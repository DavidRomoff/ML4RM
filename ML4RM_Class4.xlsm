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13_ncr:1_{CB26CE84-5FE6-2846-B75F-99471D666F6D}" xr6:coauthVersionLast="47" xr6:coauthVersionMax="47" xr10:uidLastSave="{00000000-0000-0000-0000-000000000000}"/>
  <bookViews>
    <workbookView xWindow="0" yWindow="0" windowWidth="28800" windowHeight="16620" xr2:uid="{2528C2F6-2D91-5941-BA0A-8E362C5A735B}"/>
  </bookViews>
  <sheets>
    <sheet name="Today" sheetId="94" r:id="rId1"/>
    <sheet name="Themes" sheetId="13" r:id="rId2"/>
    <sheet name="IndicatorVariables" sheetId="95" r:id="rId3"/>
    <sheet name="DiffB0_SameB1" sheetId="96" state="veryHidden" r:id="rId4"/>
    <sheet name="SameB0_DiffB1" sheetId="97" state="veryHidden" r:id="rId5"/>
    <sheet name="DiffB0_Diff_B1" sheetId="98" state="veryHidden" r:id="rId6"/>
    <sheet name="Character_Factor" sheetId="99" state="veryHidden" r:id="rId7"/>
    <sheet name="Indicators" sheetId="100" state="veryHidden" r:id="rId8"/>
    <sheet name="Interaction1" sheetId="101" state="veryHidden" r:id="rId9"/>
    <sheet name="Interaction2" sheetId="102" state="veryHidden" r:id="rId10"/>
    <sheet name="MissingData" sheetId="103" r:id="rId11"/>
    <sheet name="VIM" sheetId="104" state="veryHidden" r:id="rId12"/>
    <sheet name="KNN" sheetId="105" state="veryHidden" r:id="rId13"/>
    <sheet name="MICE" sheetId="106" state="veryHidden" r:id="rId14"/>
    <sheet name="Regularization" sheetId="107" r:id="rId15"/>
    <sheet name="Setup" sheetId="108" state="veryHidden" r:id="rId16"/>
    <sheet name="Matrices" sheetId="109" state="veryHidden" r:id="rId17"/>
    <sheet name="L2" sheetId="110" state="veryHidden" r:id="rId18"/>
    <sheet name="L1" sheetId="111" state="veryHidden" r:id="rId19"/>
    <sheet name="MultiClass" sheetId="112" r:id="rId20"/>
    <sheet name="Each_vs_Each" sheetId="113" state="veryHidden" r:id="rId21"/>
    <sheet name="Each_vs_All" sheetId="114" state="veryHidden" r:id="rId22"/>
    <sheet name="Diagnostics" sheetId="81" r:id="rId23"/>
    <sheet name="Sensitivity" sheetId="82" state="veryHidden" r:id="rId24"/>
    <sheet name="Specificity" sheetId="32" state="veryHidden" r:id="rId25"/>
    <sheet name="PPF_0" sheetId="86" state="veryHidden" r:id="rId26"/>
    <sheet name="PPF_1" sheetId="83" state="veryHidden" r:id="rId27"/>
    <sheet name="ROC_Curve" sheetId="85" state="veryHidden" r:id="rId28"/>
    <sheet name="ROC_Generator" sheetId="84" state="veryHidden" r:id="rId29"/>
    <sheet name="LogisticRegression" sheetId="87" r:id="rId30"/>
    <sheet name="Concept" sheetId="88" state="veryHidden" r:id="rId31"/>
    <sheet name="Iris_Data" sheetId="90" state="veryHidden" r:id="rId32"/>
    <sheet name="Iris_Fit" sheetId="91" state="veryHidden" r:id="rId33"/>
    <sheet name="Iris_Forecast_OOS" sheetId="92" state="veryHidden" r:id="rId34"/>
    <sheet name="R_Code" sheetId="93" state="veryHidden" r:id="rId35"/>
    <sheet name="PreWork4NextClass" sheetId="27" r:id="rId36"/>
    <sheet name="InClassProjects" sheetId="26" r:id="rId37"/>
    <sheet name="Q_MissingData" sheetId="25" r:id="rId38"/>
    <sheet name="Q_Diagnostics" sheetId="31" r:id="rId39"/>
    <sheet name="Q_Regression1" sheetId="33" r:id="rId40"/>
    <sheet name="Q_Regression2" sheetId="116" r:id="rId41"/>
    <sheet name="Q_Regression3" sheetId="117" r:id="rId42"/>
    <sheet name="Q_LogisticRegression" sheetId="70" r:id="rId43"/>
    <sheet name="LendingClubData" sheetId="115" r:id="rId44"/>
  </sheets>
  <externalReferences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</externalReferences>
  <definedNames>
    <definedName name="_r2" localSheetId="22">#REF!</definedName>
    <definedName name="_r2" localSheetId="43">#REF!</definedName>
    <definedName name="_r2" localSheetId="23">#REF!</definedName>
    <definedName name="_r2">#REF!</definedName>
    <definedName name="_R2_orig">[1]RSquareAdj!$C$6</definedName>
    <definedName name="a" localSheetId="5">DiffB0_Diff_B1!$C$3:$G$3</definedName>
    <definedName name="a" localSheetId="3">DiffB0_SameB1!$C$3:$G$3</definedName>
    <definedName name="a" localSheetId="4">SameB0_DiffB1!$C$3:$G$3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 localSheetId="5">DiffB0_Diff_B1!$C$2:$G$2</definedName>
    <definedName name="b" localSheetId="3">DiffB0_SameB1!$C$2:$G$2</definedName>
    <definedName name="b" localSheetId="4">SameB0_DiffB1!$C$2:$G$2</definedName>
    <definedName name="B">[2]NextClass1_MeanVar!#REF!</definedName>
    <definedName name="b0">#REF!</definedName>
    <definedName name="b1_">#REF!</definedName>
    <definedName name="b2_">#REF!</definedName>
    <definedName name="beta" localSheetId="22">#REF!</definedName>
    <definedName name="beta" localSheetId="23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22">[8]Options2!#REF!</definedName>
    <definedName name="Cd" localSheetId="43">[8]Options2!#REF!</definedName>
    <definedName name="Cd" localSheetId="23">[8]Options2!#REF!</definedName>
    <definedName name="Cd">[8]Options2!#REF!</definedName>
    <definedName name="Change" localSheetId="22">[5]VaR0!#REF!</definedName>
    <definedName name="Change" localSheetId="23">[5]VaR0!#REF!</definedName>
    <definedName name="Change">[5]VaR0!#REF!</definedName>
    <definedName name="change1" localSheetId="22">#REF!</definedName>
    <definedName name="change1" localSheetId="43">#REF!</definedName>
    <definedName name="change1" localSheetId="23">#REF!</definedName>
    <definedName name="change1">#REF!</definedName>
    <definedName name="change2" localSheetId="22">#REF!</definedName>
    <definedName name="change2" localSheetId="23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 localSheetId="43">#REF!</definedName>
    <definedName name="Coffee">#REF!</definedName>
    <definedName name="contracts">[7]OptionsHW!$C$26:$E$26</definedName>
    <definedName name="corrmat">[9]PortfolioVaRExample!$M$43:$Q$47</definedName>
    <definedName name="CouponPmt" localSheetId="43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 localSheetId="43">[8]Options2!#REF!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ollar_rate">[12]FX_Intro!$C$67</definedName>
    <definedName name="drv">#REF!</definedName>
    <definedName name="e" localSheetId="43">#REF!</definedName>
    <definedName name="e">#REF!</definedName>
    <definedName name="e_2" localSheetId="43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22">#REF!</definedName>
    <definedName name="Frequency" localSheetId="43">#REF!</definedName>
    <definedName name="Frequency" localSheetId="23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dx" localSheetId="22">#REF!</definedName>
    <definedName name="idx" localSheetId="43">#REF!</definedName>
    <definedName name="idx" localSheetId="23">#REF!</definedName>
    <definedName name="idx">#REF!</definedName>
    <definedName name="Inflator">[1]RSquareAdj!$C$10</definedName>
    <definedName name="k" localSheetId="22">[15]KNN_Vote!$AA$3</definedName>
    <definedName name="k" localSheetId="43">[23]KNN_Vote!$AB$4</definedName>
    <definedName name="k" localSheetId="23">[15]KNN_Vote!$AA$3</definedName>
    <definedName name="k">#REF!</definedName>
    <definedName name="L" localSheetId="43">#REF!</definedName>
    <definedName name="L">#REF!</definedName>
    <definedName name="LL" localSheetId="43">#REF!</definedName>
    <definedName name="LL">#REF!</definedName>
    <definedName name="LN_Sim" localSheetId="22">#REF!</definedName>
    <definedName name="LN_Sim" localSheetId="23">#REF!</definedName>
    <definedName name="LN_Sim">#REF!</definedName>
    <definedName name="loss" localSheetId="22">#REF!</definedName>
    <definedName name="loss" localSheetId="23">#REF!</definedName>
    <definedName name="loss">#REF!</definedName>
    <definedName name="loss_30" localSheetId="22">#REF!</definedName>
    <definedName name="loss_30" localSheetId="23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2">#REF!</definedName>
    <definedName name="n_" localSheetId="43">#REF!</definedName>
    <definedName name="n_" localSheetId="23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2">[15]DurbinWatson!$B$3</definedName>
    <definedName name="p" localSheetId="43">[23]DurbinWatson!$B$3</definedName>
    <definedName name="p" localSheetId="23">[15]DurbinWatson!$B$3</definedName>
    <definedName name="p">#REF!</definedName>
    <definedName name="PD">[4]CDS!$C$21:$C$25</definedName>
    <definedName name="PDF">[14]Calcs_Mean2!$K$10:$K$30</definedName>
    <definedName name="Period" localSheetId="22">#REF!</definedName>
    <definedName name="Period" localSheetId="43">#REF!</definedName>
    <definedName name="Period" localSheetId="23">#REF!</definedName>
    <definedName name="Period">#REF!</definedName>
    <definedName name="peso_rate">[12]FX_Intro!$C$66</definedName>
    <definedName name="Pij" localSheetId="22">#REF!</definedName>
    <definedName name="Pij" localSheetId="43">#REF!</definedName>
    <definedName name="Pij" localSheetId="23">#REF!</definedName>
    <definedName name="Pij">#REF!</definedName>
    <definedName name="pmt" localSheetId="22">#REF!</definedName>
    <definedName name="pmt" localSheetId="23">#REF!</definedName>
    <definedName name="pmt">#REF!</definedName>
    <definedName name="pmt_" localSheetId="22">#REF!</definedName>
    <definedName name="pmt_" localSheetId="23">#REF!</definedName>
    <definedName name="pmt_">#REF!</definedName>
    <definedName name="pmtperyear">[17]Bond!$C$6</definedName>
    <definedName name="pmts">[17]Bond!$E$12:$E$25</definedName>
    <definedName name="price1" localSheetId="22">#REF!</definedName>
    <definedName name="price1" localSheetId="43">#REF!</definedName>
    <definedName name="price1" localSheetId="23">#REF!</definedName>
    <definedName name="price1">#REF!</definedName>
    <definedName name="price2" localSheetId="22">#REF!</definedName>
    <definedName name="price2" localSheetId="23">#REF!</definedName>
    <definedName name="price2">#REF!</definedName>
    <definedName name="price3" localSheetId="22">#REF!</definedName>
    <definedName name="price3" localSheetId="23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2">#REF!</definedName>
    <definedName name="risk1" localSheetId="43">#REF!</definedName>
    <definedName name="risk1" localSheetId="23">#REF!</definedName>
    <definedName name="risk1">#REF!</definedName>
    <definedName name="risk2" localSheetId="22">#REF!</definedName>
    <definedName name="risk2" localSheetId="23">#REF!</definedName>
    <definedName name="risk2">#REF!</definedName>
    <definedName name="risk3" localSheetId="22">#REF!</definedName>
    <definedName name="risk3" localSheetId="23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2">#REF!</definedName>
    <definedName name="SD" localSheetId="43">#REF!</definedName>
    <definedName name="SD" localSheetId="23">#REF!</definedName>
    <definedName name="SD">#REF!</definedName>
    <definedName name="sd_x">[1]MaximumLikelihood!$C$3</definedName>
    <definedName name="SD_xbar">[14]Calcs_Mean2!$O$28</definedName>
    <definedName name="SE0" localSheetId="22">#REF!</definedName>
    <definedName name="SE0" localSheetId="43">#REF!</definedName>
    <definedName name="SE0" localSheetId="23">#REF!</definedName>
    <definedName name="SE0">#REF!</definedName>
    <definedName name="SE1_" localSheetId="22">#REF!</definedName>
    <definedName name="SE1_" localSheetId="23">#REF!</definedName>
    <definedName name="SE1_">#REF!</definedName>
    <definedName name="SE2_" localSheetId="22">#REF!</definedName>
    <definedName name="SE2_" localSheetId="23">#REF!</definedName>
    <definedName name="SE2_">#REF!</definedName>
    <definedName name="Shares">[11]VaR3!$D$6:$H$6</definedName>
    <definedName name="Sick" localSheetId="43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32" hidden="1">Iris_Fit!$H$4:$H$8</definedName>
    <definedName name="solver_adj" localSheetId="33" hidden="1">Iris_Forecast_OOS!$H$4:$H$8</definedName>
    <definedName name="solver_cvg" localSheetId="32" hidden="1">0.0001</definedName>
    <definedName name="solver_cvg" localSheetId="33" hidden="1">0.0001</definedName>
    <definedName name="solver_drv" localSheetId="32" hidden="1">1</definedName>
    <definedName name="solver_drv" localSheetId="33" hidden="1">1</definedName>
    <definedName name="solver_eng" localSheetId="32" hidden="1">1</definedName>
    <definedName name="solver_eng" localSheetId="33" hidden="1">1</definedName>
    <definedName name="solver_itr" localSheetId="32" hidden="1">2147483647</definedName>
    <definedName name="solver_itr" localSheetId="33" hidden="1">2147483647</definedName>
    <definedName name="solver_lin" localSheetId="32" hidden="1">2</definedName>
    <definedName name="solver_lin" localSheetId="33" hidden="1">2</definedName>
    <definedName name="solver_mip" localSheetId="32" hidden="1">2147483647</definedName>
    <definedName name="solver_mip" localSheetId="33" hidden="1">2147483647</definedName>
    <definedName name="solver_mni" localSheetId="32" hidden="1">30</definedName>
    <definedName name="solver_mni" localSheetId="33" hidden="1">30</definedName>
    <definedName name="solver_mrt" localSheetId="32" hidden="1">0.075</definedName>
    <definedName name="solver_mrt" localSheetId="33" hidden="1">0.075</definedName>
    <definedName name="solver_msl" localSheetId="32" hidden="1">2</definedName>
    <definedName name="solver_msl" localSheetId="33" hidden="1">2</definedName>
    <definedName name="solver_neg" localSheetId="32" hidden="1">1</definedName>
    <definedName name="solver_neg" localSheetId="33" hidden="1">1</definedName>
    <definedName name="solver_nod" localSheetId="32" hidden="1">2147483647</definedName>
    <definedName name="solver_nod" localSheetId="33" hidden="1">2147483647</definedName>
    <definedName name="solver_num" localSheetId="32" hidden="1">0</definedName>
    <definedName name="solver_num" localSheetId="33" hidden="1">0</definedName>
    <definedName name="solver_opt" localSheetId="32" hidden="1">Iris_Fit!$K$4</definedName>
    <definedName name="solver_opt" localSheetId="33" hidden="1">Iris_Forecast_OOS!$K$4</definedName>
    <definedName name="solver_pre" localSheetId="32" hidden="1">0.000001</definedName>
    <definedName name="solver_pre" localSheetId="33" hidden="1">0.000001</definedName>
    <definedName name="solver_rbv" localSheetId="32" hidden="1">1</definedName>
    <definedName name="solver_rbv" localSheetId="33" hidden="1">1</definedName>
    <definedName name="solver_rlx" localSheetId="32" hidden="1">2</definedName>
    <definedName name="solver_rlx" localSheetId="33" hidden="1">2</definedName>
    <definedName name="solver_rsd" localSheetId="32" hidden="1">0</definedName>
    <definedName name="solver_rsd" localSheetId="33" hidden="1">0</definedName>
    <definedName name="solver_scl" localSheetId="32" hidden="1">1</definedName>
    <definedName name="solver_scl" localSheetId="33" hidden="1">1</definedName>
    <definedName name="solver_sho" localSheetId="32" hidden="1">2</definedName>
    <definedName name="solver_sho" localSheetId="33" hidden="1">2</definedName>
    <definedName name="solver_ssz" localSheetId="32" hidden="1">100</definedName>
    <definedName name="solver_ssz" localSheetId="33" hidden="1">100</definedName>
    <definedName name="solver_tim" localSheetId="32" hidden="1">2147483647</definedName>
    <definedName name="solver_tim" localSheetId="33" hidden="1">2147483647</definedName>
    <definedName name="solver_tol" localSheetId="32" hidden="1">0.01</definedName>
    <definedName name="solver_tol" localSheetId="33" hidden="1">0.01</definedName>
    <definedName name="solver_typ" localSheetId="32" hidden="1">1</definedName>
    <definedName name="solver_typ" localSheetId="33" hidden="1">1</definedName>
    <definedName name="solver_val" localSheetId="32" hidden="1">0</definedName>
    <definedName name="solver_val" localSheetId="33" hidden="1">0</definedName>
    <definedName name="solver_ver" localSheetId="32" hidden="1">2</definedName>
    <definedName name="solver_ver" localSheetId="33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2">#REF!</definedName>
    <definedName name="stdev" localSheetId="43">#REF!</definedName>
    <definedName name="stdev" localSheetId="23">#REF!</definedName>
    <definedName name="stdev">#REF!</definedName>
    <definedName name="Sum">[13]CentralLimitTheorem!$C$7:$C$106</definedName>
    <definedName name="t" localSheetId="22">#REF!</definedName>
    <definedName name="t" localSheetId="5">DiffB0_Diff_B1!$B$5:$B$34</definedName>
    <definedName name="t" localSheetId="3">DiffB0_SameB1!$B$5:$B$34</definedName>
    <definedName name="t" localSheetId="43">#REF!</definedName>
    <definedName name="t" localSheetId="4">SameB0_DiffB1!$B$5:$B$34</definedName>
    <definedName name="t" localSheetId="23">#REF!</definedName>
    <definedName name="t">#REF!</definedName>
    <definedName name="t_">[4]CDS!$B$21:$B$25</definedName>
    <definedName name="table_asf">[19]ASF!$C$31:$D$34</definedName>
    <definedName name="Time" localSheetId="22">#REF!</definedName>
    <definedName name="Time" localSheetId="43">#REF!</definedName>
    <definedName name="Time" localSheetId="23">#REF!</definedName>
    <definedName name="Time">#REF!</definedName>
    <definedName name="Time_">[4]Spread2PD!$B$40:$B$44</definedName>
    <definedName name="tmat">[4]ExporeInf!$C$3:$H$8</definedName>
    <definedName name="tmat12" localSheetId="22">#REF!</definedName>
    <definedName name="tmat12" localSheetId="43">#REF!</definedName>
    <definedName name="tmat12" localSheetId="23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 localSheetId="43">[1]RSquareAdj!#REF!</definedName>
    <definedName name="TSS">[1]RSquareAdj!#REF!</definedName>
    <definedName name="u" localSheetId="43">[9]MatrixMult_Credit!#REF!</definedName>
    <definedName name="u">[9]MatrixMult_Credit!#REF!</definedName>
    <definedName name="usd_peso">[12]FX_Intro!$C$65</definedName>
    <definedName name="v">'[20]2_PMT'!$C$13</definedName>
    <definedName name="Value">[11]VaR3!$D$50:$H$50</definedName>
    <definedName name="value_01">[17]Dur2!$I$12</definedName>
    <definedName name="value_lo" localSheetId="22">#REF!</definedName>
    <definedName name="value_lo" localSheetId="43">#REF!</definedName>
    <definedName name="value_lo" localSheetId="23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3">#REF!</definedName>
    <definedName name="Volatility">#REF!</definedName>
    <definedName name="Volatility_calc" localSheetId="43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2">#REF!</definedName>
    <definedName name="y_draw" localSheetId="43">#REF!</definedName>
    <definedName name="y_draw" localSheetId="23">#REF!</definedName>
    <definedName name="y_draw">#REF!</definedName>
    <definedName name="ybar" localSheetId="22">#REF!</definedName>
    <definedName name="ybar" localSheetId="23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2">#REF!</definedName>
    <definedName name="yhat" localSheetId="43">#REF!</definedName>
    <definedName name="yhat" localSheetId="23">#REF!</definedName>
    <definedName name="yhat">#REF!</definedName>
    <definedName name="ytm">[10]qFunctions!$C$7</definedName>
    <definedName name="YTM_rf" localSheetId="43">#REF!</definedName>
    <definedName name="YTM_rf">#REF!</definedName>
    <definedName name="σ" localSheetId="43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4" i="98" l="1"/>
  <c r="F34" i="98"/>
  <c r="E34" i="98"/>
  <c r="D34" i="98"/>
  <c r="C34" i="98"/>
  <c r="G33" i="98"/>
  <c r="F33" i="98"/>
  <c r="E33" i="98"/>
  <c r="D33" i="98"/>
  <c r="C33" i="98"/>
  <c r="G32" i="98"/>
  <c r="F32" i="98"/>
  <c r="E32" i="98"/>
  <c r="D32" i="98"/>
  <c r="C32" i="98"/>
  <c r="G31" i="98"/>
  <c r="F31" i="98"/>
  <c r="E31" i="98"/>
  <c r="D31" i="98"/>
  <c r="C31" i="98"/>
  <c r="G30" i="98"/>
  <c r="F30" i="98"/>
  <c r="E30" i="98"/>
  <c r="D30" i="98"/>
  <c r="C30" i="98"/>
  <c r="G29" i="98"/>
  <c r="F29" i="98"/>
  <c r="E29" i="98"/>
  <c r="D29" i="98"/>
  <c r="C29" i="98"/>
  <c r="G28" i="98"/>
  <c r="F28" i="98"/>
  <c r="E28" i="98"/>
  <c r="D28" i="98"/>
  <c r="C28" i="98"/>
  <c r="G27" i="98"/>
  <c r="F27" i="98"/>
  <c r="E27" i="98"/>
  <c r="D27" i="98"/>
  <c r="C27" i="98"/>
  <c r="G26" i="98"/>
  <c r="F26" i="98"/>
  <c r="E26" i="98"/>
  <c r="D26" i="98"/>
  <c r="C26" i="98"/>
  <c r="G25" i="98"/>
  <c r="F25" i="98"/>
  <c r="E25" i="98"/>
  <c r="D25" i="98"/>
  <c r="C25" i="98"/>
  <c r="G24" i="98"/>
  <c r="F24" i="98"/>
  <c r="E24" i="98"/>
  <c r="D24" i="98"/>
  <c r="C24" i="98"/>
  <c r="G23" i="98"/>
  <c r="F23" i="98"/>
  <c r="E23" i="98"/>
  <c r="D23" i="98"/>
  <c r="C23" i="98"/>
  <c r="G22" i="98"/>
  <c r="F22" i="98"/>
  <c r="E22" i="98"/>
  <c r="D22" i="98"/>
  <c r="C22" i="98"/>
  <c r="G21" i="98"/>
  <c r="F21" i="98"/>
  <c r="E21" i="98"/>
  <c r="D21" i="98"/>
  <c r="C21" i="98"/>
  <c r="G20" i="98"/>
  <c r="F20" i="98"/>
  <c r="E20" i="98"/>
  <c r="D20" i="98"/>
  <c r="C20" i="98"/>
  <c r="G19" i="98"/>
  <c r="F19" i="98"/>
  <c r="E19" i="98"/>
  <c r="D19" i="98"/>
  <c r="C19" i="98"/>
  <c r="G18" i="98"/>
  <c r="F18" i="98"/>
  <c r="E18" i="98"/>
  <c r="D18" i="98"/>
  <c r="C18" i="98"/>
  <c r="G17" i="98"/>
  <c r="F17" i="98"/>
  <c r="E17" i="98"/>
  <c r="D17" i="98"/>
  <c r="C17" i="98"/>
  <c r="G16" i="98"/>
  <c r="F16" i="98"/>
  <c r="E16" i="98"/>
  <c r="D16" i="98"/>
  <c r="C16" i="98"/>
  <c r="G15" i="98"/>
  <c r="F15" i="98"/>
  <c r="E15" i="98"/>
  <c r="D15" i="98"/>
  <c r="C15" i="98"/>
  <c r="G14" i="98"/>
  <c r="F14" i="98"/>
  <c r="E14" i="98"/>
  <c r="D14" i="98"/>
  <c r="C14" i="98"/>
  <c r="G13" i="98"/>
  <c r="F13" i="98"/>
  <c r="E13" i="98"/>
  <c r="D13" i="98"/>
  <c r="C13" i="98"/>
  <c r="G12" i="98"/>
  <c r="F12" i="98"/>
  <c r="E12" i="98"/>
  <c r="D12" i="98"/>
  <c r="C12" i="98"/>
  <c r="G11" i="98"/>
  <c r="F11" i="98"/>
  <c r="E11" i="98"/>
  <c r="D11" i="98"/>
  <c r="C11" i="98"/>
  <c r="G10" i="98"/>
  <c r="F10" i="98"/>
  <c r="E10" i="98"/>
  <c r="D10" i="98"/>
  <c r="C10" i="98"/>
  <c r="G9" i="98"/>
  <c r="F9" i="98"/>
  <c r="E9" i="98"/>
  <c r="D9" i="98"/>
  <c r="C9" i="98"/>
  <c r="G8" i="98"/>
  <c r="F8" i="98"/>
  <c r="E8" i="98"/>
  <c r="D8" i="98"/>
  <c r="C8" i="98"/>
  <c r="G7" i="98"/>
  <c r="F7" i="98"/>
  <c r="E7" i="98"/>
  <c r="D7" i="98"/>
  <c r="C7" i="98"/>
  <c r="G6" i="98"/>
  <c r="F6" i="98"/>
  <c r="E6" i="98"/>
  <c r="D6" i="98"/>
  <c r="C6" i="98"/>
  <c r="G5" i="98"/>
  <c r="F5" i="98"/>
  <c r="E5" i="98"/>
  <c r="D5" i="98"/>
  <c r="C5" i="98"/>
  <c r="G34" i="97"/>
  <c r="F34" i="97"/>
  <c r="E34" i="97"/>
  <c r="D34" i="97"/>
  <c r="C34" i="97"/>
  <c r="G33" i="97"/>
  <c r="F33" i="97"/>
  <c r="E33" i="97"/>
  <c r="D33" i="97"/>
  <c r="C33" i="97"/>
  <c r="G32" i="97"/>
  <c r="F32" i="97"/>
  <c r="E32" i="97"/>
  <c r="D32" i="97"/>
  <c r="C32" i="97"/>
  <c r="G31" i="97"/>
  <c r="F31" i="97"/>
  <c r="E31" i="97"/>
  <c r="D31" i="97"/>
  <c r="C31" i="97"/>
  <c r="G30" i="97"/>
  <c r="F30" i="97"/>
  <c r="E30" i="97"/>
  <c r="D30" i="97"/>
  <c r="C30" i="97"/>
  <c r="G29" i="97"/>
  <c r="F29" i="97"/>
  <c r="E29" i="97"/>
  <c r="D29" i="97"/>
  <c r="C29" i="97"/>
  <c r="G28" i="97"/>
  <c r="F28" i="97"/>
  <c r="E28" i="97"/>
  <c r="D28" i="97"/>
  <c r="C28" i="97"/>
  <c r="G27" i="97"/>
  <c r="F27" i="97"/>
  <c r="E27" i="97"/>
  <c r="D27" i="97"/>
  <c r="C27" i="97"/>
  <c r="G26" i="97"/>
  <c r="F26" i="97"/>
  <c r="E26" i="97"/>
  <c r="D26" i="97"/>
  <c r="C26" i="97"/>
  <c r="G25" i="97"/>
  <c r="F25" i="97"/>
  <c r="E25" i="97"/>
  <c r="D25" i="97"/>
  <c r="C25" i="97"/>
  <c r="G24" i="97"/>
  <c r="F24" i="97"/>
  <c r="E24" i="97"/>
  <c r="D24" i="97"/>
  <c r="C24" i="97"/>
  <c r="G23" i="97"/>
  <c r="F23" i="97"/>
  <c r="E23" i="97"/>
  <c r="D23" i="97"/>
  <c r="C23" i="97"/>
  <c r="G22" i="97"/>
  <c r="F22" i="97"/>
  <c r="E22" i="97"/>
  <c r="D22" i="97"/>
  <c r="C22" i="97"/>
  <c r="G21" i="97"/>
  <c r="F21" i="97"/>
  <c r="E21" i="97"/>
  <c r="D21" i="97"/>
  <c r="C21" i="97"/>
  <c r="G20" i="97"/>
  <c r="F20" i="97"/>
  <c r="E20" i="97"/>
  <c r="D20" i="97"/>
  <c r="C20" i="97"/>
  <c r="G19" i="97"/>
  <c r="F19" i="97"/>
  <c r="E19" i="97"/>
  <c r="D19" i="97"/>
  <c r="C19" i="97"/>
  <c r="G18" i="97"/>
  <c r="F18" i="97"/>
  <c r="E18" i="97"/>
  <c r="D18" i="97"/>
  <c r="C18" i="97"/>
  <c r="G17" i="97"/>
  <c r="F17" i="97"/>
  <c r="E17" i="97"/>
  <c r="D17" i="97"/>
  <c r="C17" i="97"/>
  <c r="G16" i="97"/>
  <c r="F16" i="97"/>
  <c r="E16" i="97"/>
  <c r="D16" i="97"/>
  <c r="C16" i="97"/>
  <c r="G15" i="97"/>
  <c r="F15" i="97"/>
  <c r="E15" i="97"/>
  <c r="D15" i="97"/>
  <c r="C15" i="97"/>
  <c r="G14" i="97"/>
  <c r="F14" i="97"/>
  <c r="E14" i="97"/>
  <c r="D14" i="97"/>
  <c r="C14" i="97"/>
  <c r="G13" i="97"/>
  <c r="F13" i="97"/>
  <c r="E13" i="97"/>
  <c r="D13" i="97"/>
  <c r="C13" i="97"/>
  <c r="G12" i="97"/>
  <c r="F12" i="97"/>
  <c r="E12" i="97"/>
  <c r="D12" i="97"/>
  <c r="C12" i="97"/>
  <c r="G11" i="97"/>
  <c r="F11" i="97"/>
  <c r="E11" i="97"/>
  <c r="D11" i="97"/>
  <c r="C11" i="97"/>
  <c r="G10" i="97"/>
  <c r="F10" i="97"/>
  <c r="E10" i="97"/>
  <c r="D10" i="97"/>
  <c r="C10" i="97"/>
  <c r="G9" i="97"/>
  <c r="F9" i="97"/>
  <c r="E9" i="97"/>
  <c r="D9" i="97"/>
  <c r="C9" i="97"/>
  <c r="G8" i="97"/>
  <c r="F8" i="97"/>
  <c r="E8" i="97"/>
  <c r="D8" i="97"/>
  <c r="C8" i="97"/>
  <c r="G7" i="97"/>
  <c r="F7" i="97"/>
  <c r="E7" i="97"/>
  <c r="D7" i="97"/>
  <c r="C7" i="97"/>
  <c r="G6" i="97"/>
  <c r="F6" i="97"/>
  <c r="E6" i="97"/>
  <c r="D6" i="97"/>
  <c r="C6" i="97"/>
  <c r="G5" i="97"/>
  <c r="F5" i="97"/>
  <c r="E5" i="97"/>
  <c r="D5" i="97"/>
  <c r="C5" i="97"/>
  <c r="G34" i="96"/>
  <c r="F34" i="96"/>
  <c r="E34" i="96"/>
  <c r="D34" i="96"/>
  <c r="C34" i="96"/>
  <c r="G33" i="96"/>
  <c r="F33" i="96"/>
  <c r="E33" i="96"/>
  <c r="D33" i="96"/>
  <c r="C33" i="96"/>
  <c r="G32" i="96"/>
  <c r="F32" i="96"/>
  <c r="E32" i="96"/>
  <c r="D32" i="96"/>
  <c r="C32" i="96"/>
  <c r="G31" i="96"/>
  <c r="F31" i="96"/>
  <c r="E31" i="96"/>
  <c r="D31" i="96"/>
  <c r="C31" i="96"/>
  <c r="G30" i="96"/>
  <c r="F30" i="96"/>
  <c r="E30" i="96"/>
  <c r="D30" i="96"/>
  <c r="C30" i="96"/>
  <c r="G29" i="96"/>
  <c r="F29" i="96"/>
  <c r="E29" i="96"/>
  <c r="D29" i="96"/>
  <c r="C29" i="96"/>
  <c r="G28" i="96"/>
  <c r="F28" i="96"/>
  <c r="E28" i="96"/>
  <c r="D28" i="96"/>
  <c r="C28" i="96"/>
  <c r="G27" i="96"/>
  <c r="F27" i="96"/>
  <c r="E27" i="96"/>
  <c r="D27" i="96"/>
  <c r="C27" i="96"/>
  <c r="G26" i="96"/>
  <c r="F26" i="96"/>
  <c r="E26" i="96"/>
  <c r="D26" i="96"/>
  <c r="C26" i="96"/>
  <c r="G25" i="96"/>
  <c r="F25" i="96"/>
  <c r="E25" i="96"/>
  <c r="D25" i="96"/>
  <c r="C25" i="96"/>
  <c r="G24" i="96"/>
  <c r="F24" i="96"/>
  <c r="E24" i="96"/>
  <c r="D24" i="96"/>
  <c r="C24" i="96"/>
  <c r="G23" i="96"/>
  <c r="F23" i="96"/>
  <c r="E23" i="96"/>
  <c r="D23" i="96"/>
  <c r="C23" i="96"/>
  <c r="G22" i="96"/>
  <c r="F22" i="96"/>
  <c r="E22" i="96"/>
  <c r="D22" i="96"/>
  <c r="C22" i="96"/>
  <c r="G21" i="96"/>
  <c r="F21" i="96"/>
  <c r="E21" i="96"/>
  <c r="D21" i="96"/>
  <c r="C21" i="96"/>
  <c r="G20" i="96"/>
  <c r="F20" i="96"/>
  <c r="E20" i="96"/>
  <c r="D20" i="96"/>
  <c r="C20" i="96"/>
  <c r="G19" i="96"/>
  <c r="F19" i="96"/>
  <c r="E19" i="96"/>
  <c r="D19" i="96"/>
  <c r="C19" i="96"/>
  <c r="G18" i="96"/>
  <c r="F18" i="96"/>
  <c r="E18" i="96"/>
  <c r="D18" i="96"/>
  <c r="C18" i="96"/>
  <c r="G17" i="96"/>
  <c r="F17" i="96"/>
  <c r="E17" i="96"/>
  <c r="D17" i="96"/>
  <c r="C17" i="96"/>
  <c r="G16" i="96"/>
  <c r="F16" i="96"/>
  <c r="E16" i="96"/>
  <c r="D16" i="96"/>
  <c r="C16" i="96"/>
  <c r="G15" i="96"/>
  <c r="F15" i="96"/>
  <c r="E15" i="96"/>
  <c r="D15" i="96"/>
  <c r="C15" i="96"/>
  <c r="G14" i="96"/>
  <c r="F14" i="96"/>
  <c r="E14" i="96"/>
  <c r="D14" i="96"/>
  <c r="C14" i="96"/>
  <c r="G13" i="96"/>
  <c r="F13" i="96"/>
  <c r="E13" i="96"/>
  <c r="D13" i="96"/>
  <c r="C13" i="96"/>
  <c r="G12" i="96"/>
  <c r="F12" i="96"/>
  <c r="E12" i="96"/>
  <c r="D12" i="96"/>
  <c r="C12" i="96"/>
  <c r="G11" i="96"/>
  <c r="F11" i="96"/>
  <c r="E11" i="96"/>
  <c r="D11" i="96"/>
  <c r="C11" i="96"/>
  <c r="G10" i="96"/>
  <c r="F10" i="96"/>
  <c r="E10" i="96"/>
  <c r="D10" i="96"/>
  <c r="C10" i="96"/>
  <c r="G9" i="96"/>
  <c r="F9" i="96"/>
  <c r="E9" i="96"/>
  <c r="D9" i="96"/>
  <c r="C9" i="96"/>
  <c r="G8" i="96"/>
  <c r="F8" i="96"/>
  <c r="E8" i="96"/>
  <c r="D8" i="96"/>
  <c r="C8" i="96"/>
  <c r="G7" i="96"/>
  <c r="F7" i="96"/>
  <c r="E7" i="96"/>
  <c r="D7" i="96"/>
  <c r="C7" i="96"/>
  <c r="G6" i="96"/>
  <c r="F6" i="96"/>
  <c r="E6" i="96"/>
  <c r="D6" i="96"/>
  <c r="C6" i="96"/>
  <c r="G5" i="96"/>
  <c r="F5" i="96"/>
  <c r="E5" i="96"/>
  <c r="D5" i="96"/>
  <c r="C5" i="96"/>
  <c r="B12" i="92" a="1"/>
  <c r="H12" i="92" s="1"/>
  <c r="H4" i="92"/>
  <c r="H4" i="92" a="1"/>
  <c r="B37" i="91" a="1"/>
  <c r="H61" i="91" s="1"/>
  <c r="B12" i="91" a="1"/>
  <c r="H36" i="91" s="1"/>
  <c r="B1002" i="86"/>
  <c r="B1001" i="86"/>
  <c r="B1000" i="86"/>
  <c r="B999" i="86"/>
  <c r="B998" i="86"/>
  <c r="B997" i="86"/>
  <c r="B996" i="86"/>
  <c r="B995" i="86"/>
  <c r="B994" i="86"/>
  <c r="B993" i="86"/>
  <c r="B992" i="86"/>
  <c r="B991" i="86"/>
  <c r="B990" i="86"/>
  <c r="B989" i="86"/>
  <c r="B988" i="86"/>
  <c r="B987" i="86"/>
  <c r="B986" i="86"/>
  <c r="B985" i="86"/>
  <c r="B984" i="86"/>
  <c r="B983" i="86"/>
  <c r="B982" i="86"/>
  <c r="B981" i="86"/>
  <c r="B980" i="86"/>
  <c r="B979" i="86"/>
  <c r="B978" i="86"/>
  <c r="B977" i="86"/>
  <c r="B976" i="86"/>
  <c r="B975" i="86"/>
  <c r="B974" i="86"/>
  <c r="B973" i="86"/>
  <c r="B972" i="86"/>
  <c r="B971" i="86"/>
  <c r="B970" i="86"/>
  <c r="B969" i="86"/>
  <c r="B968" i="86"/>
  <c r="B967" i="86"/>
  <c r="B966" i="86"/>
  <c r="B965" i="86"/>
  <c r="B964" i="86"/>
  <c r="B963" i="86"/>
  <c r="B962" i="86"/>
  <c r="B961" i="86"/>
  <c r="B960" i="86"/>
  <c r="B959" i="86"/>
  <c r="B958" i="86"/>
  <c r="B957" i="86"/>
  <c r="B956" i="86"/>
  <c r="B955" i="86"/>
  <c r="B954" i="86"/>
  <c r="B953" i="86"/>
  <c r="B952" i="86"/>
  <c r="B951" i="86"/>
  <c r="B950" i="86"/>
  <c r="B949" i="86"/>
  <c r="B948" i="86"/>
  <c r="B947" i="86"/>
  <c r="B946" i="86"/>
  <c r="B945" i="86"/>
  <c r="B944" i="86"/>
  <c r="B943" i="86"/>
  <c r="B942" i="86"/>
  <c r="B941" i="86"/>
  <c r="B940" i="86"/>
  <c r="B939" i="86"/>
  <c r="B938" i="86"/>
  <c r="B937" i="86"/>
  <c r="B936" i="86"/>
  <c r="B935" i="86"/>
  <c r="B934" i="86"/>
  <c r="B933" i="86"/>
  <c r="B932" i="86"/>
  <c r="B931" i="86"/>
  <c r="B930" i="86"/>
  <c r="B929" i="86"/>
  <c r="B928" i="86"/>
  <c r="B927" i="86"/>
  <c r="B926" i="86"/>
  <c r="B925" i="86"/>
  <c r="B924" i="86"/>
  <c r="B923" i="86"/>
  <c r="B922" i="86"/>
  <c r="B921" i="86"/>
  <c r="B920" i="86"/>
  <c r="B919" i="86"/>
  <c r="B918" i="86"/>
  <c r="B917" i="86"/>
  <c r="B916" i="86"/>
  <c r="B915" i="86"/>
  <c r="B914" i="86"/>
  <c r="B913" i="86"/>
  <c r="B912" i="86"/>
  <c r="B911" i="86"/>
  <c r="B910" i="86"/>
  <c r="B909" i="86"/>
  <c r="B908" i="86"/>
  <c r="B907" i="86"/>
  <c r="B906" i="86"/>
  <c r="B905" i="86"/>
  <c r="B904" i="86"/>
  <c r="B903" i="86"/>
  <c r="B902" i="86"/>
  <c r="B901" i="86"/>
  <c r="B900" i="86"/>
  <c r="B899" i="86"/>
  <c r="B898" i="86"/>
  <c r="B897" i="86"/>
  <c r="B896" i="86"/>
  <c r="B895" i="86"/>
  <c r="B894" i="86"/>
  <c r="B893" i="86"/>
  <c r="B892" i="86"/>
  <c r="B891" i="86"/>
  <c r="B890" i="86"/>
  <c r="B889" i="86"/>
  <c r="B888" i="86"/>
  <c r="B887" i="86"/>
  <c r="B886" i="86"/>
  <c r="B885" i="86"/>
  <c r="B884" i="86"/>
  <c r="B883" i="86"/>
  <c r="B882" i="86"/>
  <c r="B881" i="86"/>
  <c r="B880" i="86"/>
  <c r="B879" i="86"/>
  <c r="B878" i="86"/>
  <c r="B877" i="86"/>
  <c r="B876" i="86"/>
  <c r="B875" i="86"/>
  <c r="B874" i="86"/>
  <c r="B873" i="86"/>
  <c r="B872" i="86"/>
  <c r="B871" i="86"/>
  <c r="B870" i="86"/>
  <c r="B869" i="86"/>
  <c r="B868" i="86"/>
  <c r="B867" i="86"/>
  <c r="B866" i="86"/>
  <c r="B865" i="86"/>
  <c r="B864" i="86"/>
  <c r="B863" i="86"/>
  <c r="B862" i="86"/>
  <c r="B861" i="86"/>
  <c r="B860" i="86"/>
  <c r="B859" i="86"/>
  <c r="B858" i="86"/>
  <c r="B857" i="86"/>
  <c r="B856" i="86"/>
  <c r="B855" i="86"/>
  <c r="B854" i="86"/>
  <c r="B853" i="86"/>
  <c r="B852" i="86"/>
  <c r="B851" i="86"/>
  <c r="B850" i="86"/>
  <c r="B849" i="86"/>
  <c r="B848" i="86"/>
  <c r="B847" i="86"/>
  <c r="B846" i="86"/>
  <c r="B845" i="86"/>
  <c r="B844" i="86"/>
  <c r="B843" i="86"/>
  <c r="B842" i="86"/>
  <c r="B841" i="86"/>
  <c r="B840" i="86"/>
  <c r="B839" i="86"/>
  <c r="B838" i="86"/>
  <c r="B837" i="86"/>
  <c r="B836" i="86"/>
  <c r="B835" i="86"/>
  <c r="B834" i="86"/>
  <c r="B833" i="86"/>
  <c r="B832" i="86"/>
  <c r="B831" i="86"/>
  <c r="B830" i="86"/>
  <c r="B829" i="86"/>
  <c r="B828" i="86"/>
  <c r="B827" i="86"/>
  <c r="B826" i="86"/>
  <c r="B825" i="86"/>
  <c r="B824" i="86"/>
  <c r="B823" i="86"/>
  <c r="B822" i="86"/>
  <c r="B821" i="86"/>
  <c r="B820" i="86"/>
  <c r="B819" i="86"/>
  <c r="B818" i="86"/>
  <c r="B817" i="86"/>
  <c r="B816" i="86"/>
  <c r="B815" i="86"/>
  <c r="B814" i="86"/>
  <c r="B813" i="86"/>
  <c r="B812" i="86"/>
  <c r="B811" i="86"/>
  <c r="B810" i="86"/>
  <c r="B809" i="86"/>
  <c r="B808" i="86"/>
  <c r="B807" i="86"/>
  <c r="B806" i="86"/>
  <c r="B805" i="86"/>
  <c r="B804" i="86"/>
  <c r="B803" i="86"/>
  <c r="B802" i="86"/>
  <c r="B801" i="86"/>
  <c r="B800" i="86"/>
  <c r="B799" i="86"/>
  <c r="B798" i="86"/>
  <c r="B797" i="86"/>
  <c r="B796" i="86"/>
  <c r="B795" i="86"/>
  <c r="B794" i="86"/>
  <c r="B793" i="86"/>
  <c r="B792" i="86"/>
  <c r="B791" i="86"/>
  <c r="B790" i="86"/>
  <c r="B789" i="86"/>
  <c r="B788" i="86"/>
  <c r="B787" i="86"/>
  <c r="B786" i="86"/>
  <c r="B785" i="86"/>
  <c r="B784" i="86"/>
  <c r="B783" i="86"/>
  <c r="B782" i="86"/>
  <c r="B781" i="86"/>
  <c r="B780" i="86"/>
  <c r="B779" i="86"/>
  <c r="B778" i="86"/>
  <c r="B777" i="86"/>
  <c r="B776" i="86"/>
  <c r="B775" i="86"/>
  <c r="B774" i="86"/>
  <c r="B773" i="86"/>
  <c r="B772" i="86"/>
  <c r="B771" i="86"/>
  <c r="B770" i="86"/>
  <c r="B769" i="86"/>
  <c r="B768" i="86"/>
  <c r="B767" i="86"/>
  <c r="B766" i="86"/>
  <c r="B765" i="86"/>
  <c r="B764" i="86"/>
  <c r="B763" i="86"/>
  <c r="B762" i="86"/>
  <c r="B761" i="86"/>
  <c r="B760" i="86"/>
  <c r="B759" i="86"/>
  <c r="B758" i="86"/>
  <c r="B757" i="86"/>
  <c r="B756" i="86"/>
  <c r="B755" i="86"/>
  <c r="B754" i="86"/>
  <c r="B753" i="86"/>
  <c r="B752" i="86"/>
  <c r="B751" i="86"/>
  <c r="B750" i="86"/>
  <c r="B749" i="86"/>
  <c r="B748" i="86"/>
  <c r="B747" i="86"/>
  <c r="B746" i="86"/>
  <c r="B745" i="86"/>
  <c r="B744" i="86"/>
  <c r="B743" i="86"/>
  <c r="B742" i="86"/>
  <c r="B741" i="86"/>
  <c r="B740" i="86"/>
  <c r="B739" i="86"/>
  <c r="B738" i="86"/>
  <c r="B737" i="86"/>
  <c r="B736" i="86"/>
  <c r="B735" i="86"/>
  <c r="B734" i="86"/>
  <c r="B733" i="86"/>
  <c r="B732" i="86"/>
  <c r="B731" i="86"/>
  <c r="B730" i="86"/>
  <c r="B729" i="86"/>
  <c r="B728" i="86"/>
  <c r="B727" i="86"/>
  <c r="B726" i="86"/>
  <c r="B725" i="86"/>
  <c r="B724" i="86"/>
  <c r="B723" i="86"/>
  <c r="B722" i="86"/>
  <c r="B721" i="86"/>
  <c r="B720" i="86"/>
  <c r="B719" i="86"/>
  <c r="B718" i="86"/>
  <c r="B717" i="86"/>
  <c r="B716" i="86"/>
  <c r="B715" i="86"/>
  <c r="B714" i="86"/>
  <c r="B713" i="86"/>
  <c r="B712" i="86"/>
  <c r="B711" i="86"/>
  <c r="B710" i="86"/>
  <c r="B709" i="86"/>
  <c r="B708" i="86"/>
  <c r="B707" i="86"/>
  <c r="B706" i="86"/>
  <c r="B705" i="86"/>
  <c r="B704" i="86"/>
  <c r="B703" i="86"/>
  <c r="B702" i="86"/>
  <c r="B701" i="86"/>
  <c r="B700" i="86"/>
  <c r="B699" i="86"/>
  <c r="B698" i="86"/>
  <c r="B697" i="86"/>
  <c r="B696" i="86"/>
  <c r="B695" i="86"/>
  <c r="B694" i="86"/>
  <c r="B693" i="86"/>
  <c r="B692" i="86"/>
  <c r="B691" i="86"/>
  <c r="B690" i="86"/>
  <c r="B689" i="86"/>
  <c r="B688" i="86"/>
  <c r="B687" i="86"/>
  <c r="B686" i="86"/>
  <c r="B685" i="86"/>
  <c r="B684" i="86"/>
  <c r="B683" i="86"/>
  <c r="B682" i="86"/>
  <c r="B681" i="86"/>
  <c r="B680" i="86"/>
  <c r="B679" i="86"/>
  <c r="B678" i="86"/>
  <c r="B677" i="86"/>
  <c r="B676" i="86"/>
  <c r="B675" i="86"/>
  <c r="B674" i="86"/>
  <c r="B673" i="86"/>
  <c r="B672" i="86"/>
  <c r="B671" i="86"/>
  <c r="B670" i="86"/>
  <c r="B669" i="86"/>
  <c r="B668" i="86"/>
  <c r="B667" i="86"/>
  <c r="B666" i="86"/>
  <c r="B665" i="86"/>
  <c r="B664" i="86"/>
  <c r="B663" i="86"/>
  <c r="B662" i="86"/>
  <c r="B661" i="86"/>
  <c r="B660" i="86"/>
  <c r="B659" i="86"/>
  <c r="B658" i="86"/>
  <c r="B657" i="86"/>
  <c r="B656" i="86"/>
  <c r="B655" i="86"/>
  <c r="B654" i="86"/>
  <c r="B653" i="86"/>
  <c r="B652" i="86"/>
  <c r="B651" i="86"/>
  <c r="B650" i="86"/>
  <c r="B649" i="86"/>
  <c r="B648" i="86"/>
  <c r="B647" i="86"/>
  <c r="B646" i="86"/>
  <c r="B645" i="86"/>
  <c r="B644" i="86"/>
  <c r="B643" i="86"/>
  <c r="B642" i="86"/>
  <c r="B641" i="86"/>
  <c r="B640" i="86"/>
  <c r="B639" i="86"/>
  <c r="B638" i="86"/>
  <c r="B637" i="86"/>
  <c r="B636" i="86"/>
  <c r="B635" i="86"/>
  <c r="B634" i="86"/>
  <c r="B633" i="86"/>
  <c r="B632" i="86"/>
  <c r="B631" i="86"/>
  <c r="B630" i="86"/>
  <c r="B629" i="86"/>
  <c r="B628" i="86"/>
  <c r="B627" i="86"/>
  <c r="B626" i="86"/>
  <c r="B625" i="86"/>
  <c r="B624" i="86"/>
  <c r="B623" i="86"/>
  <c r="B622" i="86"/>
  <c r="B621" i="86"/>
  <c r="B620" i="86"/>
  <c r="B619" i="86"/>
  <c r="B618" i="86"/>
  <c r="B617" i="86"/>
  <c r="B616" i="86"/>
  <c r="B615" i="86"/>
  <c r="B614" i="86"/>
  <c r="B613" i="86"/>
  <c r="B612" i="86"/>
  <c r="B611" i="86"/>
  <c r="B610" i="86"/>
  <c r="B609" i="86"/>
  <c r="B608" i="86"/>
  <c r="B607" i="86"/>
  <c r="B606" i="86"/>
  <c r="B605" i="86"/>
  <c r="B604" i="86"/>
  <c r="B603" i="86"/>
  <c r="B602" i="86"/>
  <c r="B601" i="86"/>
  <c r="B600" i="86"/>
  <c r="B599" i="86"/>
  <c r="B598" i="86"/>
  <c r="B597" i="86"/>
  <c r="B596" i="86"/>
  <c r="B595" i="86"/>
  <c r="B594" i="86"/>
  <c r="B593" i="86"/>
  <c r="B592" i="86"/>
  <c r="B591" i="86"/>
  <c r="B590" i="86"/>
  <c r="B589" i="86"/>
  <c r="B588" i="86"/>
  <c r="B587" i="86"/>
  <c r="B586" i="86"/>
  <c r="B585" i="86"/>
  <c r="B584" i="86"/>
  <c r="B583" i="86"/>
  <c r="B582" i="86"/>
  <c r="B581" i="86"/>
  <c r="B580" i="86"/>
  <c r="B579" i="86"/>
  <c r="B578" i="86"/>
  <c r="B577" i="86"/>
  <c r="B576" i="86"/>
  <c r="B575" i="86"/>
  <c r="B574" i="86"/>
  <c r="B573" i="86"/>
  <c r="B572" i="86"/>
  <c r="B571" i="86"/>
  <c r="B570" i="86"/>
  <c r="B569" i="86"/>
  <c r="B568" i="86"/>
  <c r="B567" i="86"/>
  <c r="B566" i="86"/>
  <c r="B565" i="86"/>
  <c r="B564" i="86"/>
  <c r="B563" i="86"/>
  <c r="B562" i="86"/>
  <c r="B561" i="86"/>
  <c r="B560" i="86"/>
  <c r="B559" i="86"/>
  <c r="B558" i="86"/>
  <c r="B557" i="86"/>
  <c r="B556" i="86"/>
  <c r="B555" i="86"/>
  <c r="B554" i="86"/>
  <c r="B553" i="86"/>
  <c r="B552" i="86"/>
  <c r="B551" i="86"/>
  <c r="B550" i="86"/>
  <c r="B549" i="86"/>
  <c r="B548" i="86"/>
  <c r="B547" i="86"/>
  <c r="B546" i="86"/>
  <c r="B545" i="86"/>
  <c r="B544" i="86"/>
  <c r="B543" i="86"/>
  <c r="B542" i="86"/>
  <c r="B541" i="86"/>
  <c r="B540" i="86"/>
  <c r="B539" i="86"/>
  <c r="B538" i="86"/>
  <c r="B537" i="86"/>
  <c r="B536" i="86"/>
  <c r="B535" i="86"/>
  <c r="B534" i="86"/>
  <c r="B533" i="86"/>
  <c r="B532" i="86"/>
  <c r="B531" i="86"/>
  <c r="B530" i="86"/>
  <c r="B529" i="86"/>
  <c r="B528" i="86"/>
  <c r="B527" i="86"/>
  <c r="B526" i="86"/>
  <c r="B525" i="86"/>
  <c r="B524" i="86"/>
  <c r="B523" i="86"/>
  <c r="B522" i="86"/>
  <c r="B521" i="86"/>
  <c r="B520" i="86"/>
  <c r="B519" i="86"/>
  <c r="B518" i="86"/>
  <c r="B517" i="86"/>
  <c r="B516" i="86"/>
  <c r="B515" i="86"/>
  <c r="B514" i="86"/>
  <c r="B513" i="86"/>
  <c r="B512" i="86"/>
  <c r="B511" i="86"/>
  <c r="B510" i="86"/>
  <c r="B509" i="86"/>
  <c r="B508" i="86"/>
  <c r="B507" i="86"/>
  <c r="B506" i="86"/>
  <c r="B505" i="86"/>
  <c r="B504" i="86"/>
  <c r="B503" i="86"/>
  <c r="B502" i="86"/>
  <c r="B501" i="86"/>
  <c r="B500" i="86"/>
  <c r="B499" i="86"/>
  <c r="B498" i="86"/>
  <c r="B497" i="86"/>
  <c r="B496" i="86"/>
  <c r="B495" i="86"/>
  <c r="B494" i="86"/>
  <c r="B493" i="86"/>
  <c r="B492" i="86"/>
  <c r="B491" i="86"/>
  <c r="B490" i="86"/>
  <c r="B489" i="86"/>
  <c r="B488" i="86"/>
  <c r="B487" i="86"/>
  <c r="B486" i="86"/>
  <c r="B485" i="86"/>
  <c r="B484" i="86"/>
  <c r="B483" i="86"/>
  <c r="B482" i="86"/>
  <c r="B481" i="86"/>
  <c r="B480" i="86"/>
  <c r="B479" i="86"/>
  <c r="B478" i="86"/>
  <c r="B477" i="86"/>
  <c r="B476" i="86"/>
  <c r="B475" i="86"/>
  <c r="B474" i="86"/>
  <c r="B473" i="86"/>
  <c r="B472" i="86"/>
  <c r="B471" i="86"/>
  <c r="B470" i="86"/>
  <c r="B469" i="86"/>
  <c r="B468" i="86"/>
  <c r="B467" i="86"/>
  <c r="B466" i="86"/>
  <c r="B465" i="86"/>
  <c r="B464" i="86"/>
  <c r="B463" i="86"/>
  <c r="B462" i="86"/>
  <c r="B461" i="86"/>
  <c r="B460" i="86"/>
  <c r="B459" i="86"/>
  <c r="B458" i="86"/>
  <c r="B457" i="86"/>
  <c r="B456" i="86"/>
  <c r="B455" i="86"/>
  <c r="B454" i="86"/>
  <c r="B453" i="86"/>
  <c r="B452" i="86"/>
  <c r="B451" i="86"/>
  <c r="B450" i="86"/>
  <c r="B449" i="86"/>
  <c r="B448" i="86"/>
  <c r="B447" i="86"/>
  <c r="B446" i="86"/>
  <c r="B445" i="86"/>
  <c r="B444" i="86"/>
  <c r="B443" i="86"/>
  <c r="B442" i="86"/>
  <c r="B441" i="86"/>
  <c r="B440" i="86"/>
  <c r="B439" i="86"/>
  <c r="B438" i="86"/>
  <c r="B437" i="86"/>
  <c r="B436" i="86"/>
  <c r="B435" i="86"/>
  <c r="B434" i="86"/>
  <c r="B433" i="86"/>
  <c r="B432" i="86"/>
  <c r="B431" i="86"/>
  <c r="B430" i="86"/>
  <c r="B429" i="86"/>
  <c r="B428" i="86"/>
  <c r="B427" i="86"/>
  <c r="B426" i="86"/>
  <c r="B425" i="86"/>
  <c r="B424" i="86"/>
  <c r="B423" i="86"/>
  <c r="B422" i="86"/>
  <c r="B421" i="86"/>
  <c r="B420" i="86"/>
  <c r="B419" i="86"/>
  <c r="B418" i="86"/>
  <c r="B417" i="86"/>
  <c r="B416" i="86"/>
  <c r="B415" i="86"/>
  <c r="B414" i="86"/>
  <c r="B413" i="86"/>
  <c r="B412" i="86"/>
  <c r="B411" i="86"/>
  <c r="B410" i="86"/>
  <c r="B409" i="86"/>
  <c r="B408" i="86"/>
  <c r="B407" i="86"/>
  <c r="B406" i="86"/>
  <c r="B405" i="86"/>
  <c r="B404" i="86"/>
  <c r="B403" i="86"/>
  <c r="B402" i="86"/>
  <c r="B401" i="86"/>
  <c r="B400" i="86"/>
  <c r="B399" i="86"/>
  <c r="B398" i="86"/>
  <c r="B397" i="86"/>
  <c r="B396" i="86"/>
  <c r="B395" i="86"/>
  <c r="B394" i="86"/>
  <c r="B393" i="86"/>
  <c r="B392" i="86"/>
  <c r="B391" i="86"/>
  <c r="B390" i="86"/>
  <c r="B389" i="86"/>
  <c r="B388" i="86"/>
  <c r="B387" i="86"/>
  <c r="B386" i="86"/>
  <c r="B385" i="86"/>
  <c r="B384" i="86"/>
  <c r="B383" i="86"/>
  <c r="B382" i="86"/>
  <c r="B381" i="86"/>
  <c r="B380" i="86"/>
  <c r="B379" i="86"/>
  <c r="B378" i="86"/>
  <c r="B377" i="86"/>
  <c r="B376" i="86"/>
  <c r="B375" i="86"/>
  <c r="B374" i="86"/>
  <c r="B373" i="86"/>
  <c r="B372" i="86"/>
  <c r="B371" i="86"/>
  <c r="B370" i="86"/>
  <c r="B369" i="86"/>
  <c r="B368" i="86"/>
  <c r="B367" i="86"/>
  <c r="B366" i="86"/>
  <c r="B365" i="86"/>
  <c r="B364" i="86"/>
  <c r="B363" i="86"/>
  <c r="B362" i="86"/>
  <c r="B361" i="86"/>
  <c r="B360" i="86"/>
  <c r="B359" i="86"/>
  <c r="B358" i="86"/>
  <c r="B357" i="86"/>
  <c r="B356" i="86"/>
  <c r="B355" i="86"/>
  <c r="B354" i="86"/>
  <c r="B353" i="86"/>
  <c r="B352" i="86"/>
  <c r="B351" i="86"/>
  <c r="B350" i="86"/>
  <c r="B349" i="86"/>
  <c r="B348" i="86"/>
  <c r="B347" i="86"/>
  <c r="B346" i="86"/>
  <c r="B345" i="86"/>
  <c r="B344" i="86"/>
  <c r="B343" i="86"/>
  <c r="B342" i="86"/>
  <c r="B341" i="86"/>
  <c r="B340" i="86"/>
  <c r="B339" i="86"/>
  <c r="B338" i="86"/>
  <c r="B337" i="86"/>
  <c r="B336" i="86"/>
  <c r="B335" i="86"/>
  <c r="B334" i="86"/>
  <c r="B333" i="86"/>
  <c r="B332" i="86"/>
  <c r="B331" i="86"/>
  <c r="B330" i="86"/>
  <c r="B329" i="86"/>
  <c r="B328" i="86"/>
  <c r="B327" i="86"/>
  <c r="B326" i="86"/>
  <c r="B325" i="86"/>
  <c r="B324" i="86"/>
  <c r="B323" i="86"/>
  <c r="B322" i="86"/>
  <c r="B321" i="86"/>
  <c r="B320" i="86"/>
  <c r="B319" i="86"/>
  <c r="B318" i="86"/>
  <c r="B317" i="86"/>
  <c r="B316" i="86"/>
  <c r="B315" i="86"/>
  <c r="B314" i="86"/>
  <c r="B313" i="86"/>
  <c r="B312" i="86"/>
  <c r="B311" i="86"/>
  <c r="B310" i="86"/>
  <c r="B309" i="86"/>
  <c r="B308" i="86"/>
  <c r="B307" i="86"/>
  <c r="B306" i="86"/>
  <c r="B305" i="86"/>
  <c r="B304" i="86"/>
  <c r="B303" i="86"/>
  <c r="B302" i="86"/>
  <c r="B301" i="86"/>
  <c r="B300" i="86"/>
  <c r="B299" i="86"/>
  <c r="B298" i="86"/>
  <c r="B297" i="86"/>
  <c r="B296" i="86"/>
  <c r="B295" i="86"/>
  <c r="B294" i="86"/>
  <c r="B293" i="86"/>
  <c r="B292" i="86"/>
  <c r="B291" i="86"/>
  <c r="B290" i="86"/>
  <c r="B289" i="86"/>
  <c r="B288" i="86"/>
  <c r="B287" i="86"/>
  <c r="B286" i="86"/>
  <c r="B285" i="86"/>
  <c r="B284" i="86"/>
  <c r="B283" i="86"/>
  <c r="B282" i="86"/>
  <c r="B281" i="86"/>
  <c r="B280" i="86"/>
  <c r="B279" i="86"/>
  <c r="B278" i="86"/>
  <c r="B277" i="86"/>
  <c r="B276" i="86"/>
  <c r="B275" i="86"/>
  <c r="B274" i="86"/>
  <c r="B273" i="86"/>
  <c r="B272" i="86"/>
  <c r="B271" i="86"/>
  <c r="B270" i="86"/>
  <c r="B269" i="86"/>
  <c r="B268" i="86"/>
  <c r="B267" i="86"/>
  <c r="B266" i="86"/>
  <c r="B265" i="86"/>
  <c r="B264" i="86"/>
  <c r="B263" i="86"/>
  <c r="B262" i="86"/>
  <c r="B261" i="86"/>
  <c r="B260" i="86"/>
  <c r="B259" i="86"/>
  <c r="B258" i="86"/>
  <c r="B257" i="86"/>
  <c r="B256" i="86"/>
  <c r="B255" i="86"/>
  <c r="B254" i="86"/>
  <c r="B253" i="86"/>
  <c r="B252" i="86"/>
  <c r="B251" i="86"/>
  <c r="B250" i="86"/>
  <c r="B249" i="86"/>
  <c r="B248" i="86"/>
  <c r="B247" i="86"/>
  <c r="B246" i="86"/>
  <c r="B245" i="86"/>
  <c r="B244" i="86"/>
  <c r="B243" i="86"/>
  <c r="B242" i="86"/>
  <c r="B241" i="86"/>
  <c r="B240" i="86"/>
  <c r="B239" i="86"/>
  <c r="B238" i="86"/>
  <c r="B237" i="86"/>
  <c r="B236" i="86"/>
  <c r="B235" i="86"/>
  <c r="B234" i="86"/>
  <c r="B233" i="86"/>
  <c r="B232" i="86"/>
  <c r="B231" i="86"/>
  <c r="B230" i="86"/>
  <c r="B229" i="86"/>
  <c r="B228" i="86"/>
  <c r="B227" i="86"/>
  <c r="B226" i="86"/>
  <c r="B225" i="86"/>
  <c r="B224" i="86"/>
  <c r="B223" i="86"/>
  <c r="B222" i="86"/>
  <c r="B221" i="86"/>
  <c r="B220" i="86"/>
  <c r="B219" i="86"/>
  <c r="B218" i="86"/>
  <c r="B217" i="86"/>
  <c r="B216" i="86"/>
  <c r="B215" i="86"/>
  <c r="B214" i="86"/>
  <c r="B213" i="86"/>
  <c r="B212" i="86"/>
  <c r="B211" i="86"/>
  <c r="B210" i="86"/>
  <c r="B209" i="86"/>
  <c r="B208" i="86"/>
  <c r="B207" i="86"/>
  <c r="B206" i="86"/>
  <c r="B205" i="86"/>
  <c r="B204" i="86"/>
  <c r="B203" i="86"/>
  <c r="B202" i="86"/>
  <c r="B201" i="86"/>
  <c r="B200" i="86"/>
  <c r="B199" i="86"/>
  <c r="B198" i="86"/>
  <c r="B197" i="86"/>
  <c r="B196" i="86"/>
  <c r="B195" i="86"/>
  <c r="B194" i="86"/>
  <c r="B193" i="86"/>
  <c r="B192" i="86"/>
  <c r="B191" i="86"/>
  <c r="B190" i="86"/>
  <c r="B189" i="86"/>
  <c r="B188" i="86"/>
  <c r="B187" i="86"/>
  <c r="B186" i="86"/>
  <c r="B185" i="86"/>
  <c r="B184" i="86"/>
  <c r="B183" i="86"/>
  <c r="B182" i="86"/>
  <c r="B181" i="86"/>
  <c r="B180" i="86"/>
  <c r="B179" i="86"/>
  <c r="B178" i="86"/>
  <c r="B177" i="86"/>
  <c r="B176" i="86"/>
  <c r="B175" i="86"/>
  <c r="B174" i="86"/>
  <c r="B173" i="86"/>
  <c r="B172" i="86"/>
  <c r="B171" i="86"/>
  <c r="B170" i="86"/>
  <c r="B169" i="86"/>
  <c r="B168" i="86"/>
  <c r="B167" i="86"/>
  <c r="B166" i="86"/>
  <c r="B165" i="86"/>
  <c r="B164" i="86"/>
  <c r="B163" i="86"/>
  <c r="B162" i="86"/>
  <c r="B161" i="86"/>
  <c r="B160" i="86"/>
  <c r="B159" i="86"/>
  <c r="B158" i="86"/>
  <c r="B157" i="86"/>
  <c r="B156" i="86"/>
  <c r="B155" i="86"/>
  <c r="B154" i="86"/>
  <c r="B153" i="86"/>
  <c r="B152" i="86"/>
  <c r="B151" i="86"/>
  <c r="B150" i="86"/>
  <c r="B149" i="86"/>
  <c r="B148" i="86"/>
  <c r="B147" i="86"/>
  <c r="B146" i="86"/>
  <c r="B145" i="86"/>
  <c r="B144" i="86"/>
  <c r="B143" i="86"/>
  <c r="B142" i="86"/>
  <c r="B141" i="86"/>
  <c r="B140" i="86"/>
  <c r="B139" i="86"/>
  <c r="B138" i="86"/>
  <c r="B137" i="86"/>
  <c r="B136" i="86"/>
  <c r="B135" i="86"/>
  <c r="B134" i="86"/>
  <c r="B133" i="86"/>
  <c r="B132" i="86"/>
  <c r="B131" i="86"/>
  <c r="B130" i="86"/>
  <c r="B129" i="86"/>
  <c r="B128" i="86"/>
  <c r="B127" i="86"/>
  <c r="B126" i="86"/>
  <c r="B125" i="86"/>
  <c r="B124" i="86"/>
  <c r="B123" i="86"/>
  <c r="B122" i="86"/>
  <c r="B121" i="86"/>
  <c r="B120" i="86"/>
  <c r="B119" i="86"/>
  <c r="B118" i="86"/>
  <c r="B117" i="86"/>
  <c r="B116" i="86"/>
  <c r="B115" i="86"/>
  <c r="B114" i="86"/>
  <c r="B113" i="86"/>
  <c r="B112" i="86"/>
  <c r="B111" i="86"/>
  <c r="B110" i="86"/>
  <c r="B109" i="86"/>
  <c r="B108" i="86"/>
  <c r="B107" i="86"/>
  <c r="B106" i="86"/>
  <c r="B105" i="86"/>
  <c r="B104" i="86"/>
  <c r="B103" i="86"/>
  <c r="B102" i="86"/>
  <c r="B101" i="86"/>
  <c r="B100" i="86"/>
  <c r="B99" i="86"/>
  <c r="B98" i="86"/>
  <c r="B97" i="86"/>
  <c r="B96" i="86"/>
  <c r="B95" i="86"/>
  <c r="B94" i="86"/>
  <c r="B93" i="86"/>
  <c r="B92" i="86"/>
  <c r="B91" i="86"/>
  <c r="B90" i="86"/>
  <c r="B89" i="86"/>
  <c r="B88" i="86"/>
  <c r="B87" i="86"/>
  <c r="B86" i="86"/>
  <c r="B85" i="86"/>
  <c r="B84" i="86"/>
  <c r="B83" i="86"/>
  <c r="B82" i="86"/>
  <c r="B81" i="86"/>
  <c r="B80" i="86"/>
  <c r="B79" i="86"/>
  <c r="B78" i="86"/>
  <c r="B77" i="86"/>
  <c r="B76" i="86"/>
  <c r="B75" i="86"/>
  <c r="B74" i="86"/>
  <c r="B73" i="86"/>
  <c r="B72" i="86"/>
  <c r="B71" i="86"/>
  <c r="B70" i="86"/>
  <c r="B69" i="86"/>
  <c r="B68" i="86"/>
  <c r="B67" i="86"/>
  <c r="B66" i="86"/>
  <c r="B65" i="86"/>
  <c r="B64" i="86"/>
  <c r="B63" i="86"/>
  <c r="B62" i="86"/>
  <c r="B61" i="86"/>
  <c r="B60" i="86"/>
  <c r="B59" i="86"/>
  <c r="B58" i="86"/>
  <c r="B57" i="86"/>
  <c r="B56" i="86"/>
  <c r="B55" i="86"/>
  <c r="B54" i="86"/>
  <c r="B53" i="86"/>
  <c r="B52" i="86"/>
  <c r="B51" i="86"/>
  <c r="B50" i="86"/>
  <c r="B49" i="86"/>
  <c r="B48" i="86"/>
  <c r="B47" i="86"/>
  <c r="B46" i="86"/>
  <c r="B45" i="86"/>
  <c r="B44" i="86"/>
  <c r="B43" i="86"/>
  <c r="B42" i="86"/>
  <c r="B41" i="86"/>
  <c r="B40" i="86"/>
  <c r="B39" i="86"/>
  <c r="B38" i="86"/>
  <c r="B37" i="86"/>
  <c r="B36" i="86"/>
  <c r="B35" i="86"/>
  <c r="B34" i="86"/>
  <c r="B33" i="86"/>
  <c r="B32" i="86"/>
  <c r="B31" i="86"/>
  <c r="B30" i="86"/>
  <c r="B29" i="86"/>
  <c r="B28" i="86"/>
  <c r="B27" i="86"/>
  <c r="B26" i="86"/>
  <c r="B25" i="86"/>
  <c r="B24" i="86"/>
  <c r="B23" i="86"/>
  <c r="B22" i="86"/>
  <c r="B21" i="86"/>
  <c r="B20" i="86"/>
  <c r="B19" i="86"/>
  <c r="B18" i="86"/>
  <c r="B17" i="86"/>
  <c r="B16" i="86"/>
  <c r="B15" i="86"/>
  <c r="B14" i="86"/>
  <c r="B13" i="86"/>
  <c r="B12" i="86"/>
  <c r="B11" i="86"/>
  <c r="B10" i="86"/>
  <c r="B9" i="86"/>
  <c r="B8" i="86"/>
  <c r="B7" i="86"/>
  <c r="B6" i="86"/>
  <c r="B5" i="86"/>
  <c r="B4" i="86"/>
  <c r="C3" i="86"/>
  <c r="B3" i="86" s="1"/>
  <c r="B1002" i="85"/>
  <c r="B1001" i="85"/>
  <c r="B1000" i="85"/>
  <c r="B999" i="85"/>
  <c r="B998" i="85"/>
  <c r="B997" i="85"/>
  <c r="B996" i="85"/>
  <c r="B995" i="85"/>
  <c r="B994" i="85"/>
  <c r="B993" i="85"/>
  <c r="B992" i="85"/>
  <c r="B991" i="85"/>
  <c r="B990" i="85"/>
  <c r="B989" i="85"/>
  <c r="B988" i="85"/>
  <c r="B987" i="85"/>
  <c r="B986" i="85"/>
  <c r="B985" i="85"/>
  <c r="B984" i="85"/>
  <c r="B983" i="85"/>
  <c r="B982" i="85"/>
  <c r="B981" i="85"/>
  <c r="B980" i="85"/>
  <c r="B979" i="85"/>
  <c r="B978" i="85"/>
  <c r="B977" i="85"/>
  <c r="B976" i="85"/>
  <c r="B975" i="85"/>
  <c r="B974" i="85"/>
  <c r="B973" i="85"/>
  <c r="B972" i="85"/>
  <c r="B971" i="85"/>
  <c r="B970" i="85"/>
  <c r="B969" i="85"/>
  <c r="B968" i="85"/>
  <c r="B967" i="85"/>
  <c r="B966" i="85"/>
  <c r="B965" i="85"/>
  <c r="B964" i="85"/>
  <c r="B963" i="85"/>
  <c r="B962" i="85"/>
  <c r="B961" i="85"/>
  <c r="B960" i="85"/>
  <c r="B959" i="85"/>
  <c r="B958" i="85"/>
  <c r="B957" i="85"/>
  <c r="B956" i="85"/>
  <c r="B955" i="85"/>
  <c r="B954" i="85"/>
  <c r="B953" i="85"/>
  <c r="B952" i="85"/>
  <c r="B951" i="85"/>
  <c r="B950" i="85"/>
  <c r="B949" i="85"/>
  <c r="B948" i="85"/>
  <c r="B947" i="85"/>
  <c r="B946" i="85"/>
  <c r="B945" i="85"/>
  <c r="B944" i="85"/>
  <c r="B943" i="85"/>
  <c r="B942" i="85"/>
  <c r="B941" i="85"/>
  <c r="B940" i="85"/>
  <c r="B939" i="85"/>
  <c r="B938" i="85"/>
  <c r="B937" i="85"/>
  <c r="B936" i="85"/>
  <c r="B935" i="85"/>
  <c r="B934" i="85"/>
  <c r="B933" i="85"/>
  <c r="B932" i="85"/>
  <c r="B931" i="85"/>
  <c r="B930" i="85"/>
  <c r="B929" i="85"/>
  <c r="B928" i="85"/>
  <c r="B927" i="85"/>
  <c r="B926" i="85"/>
  <c r="B925" i="85"/>
  <c r="B924" i="85"/>
  <c r="B923" i="85"/>
  <c r="B922" i="85"/>
  <c r="B921" i="85"/>
  <c r="B920" i="85"/>
  <c r="B919" i="85"/>
  <c r="B918" i="85"/>
  <c r="B917" i="85"/>
  <c r="B916" i="85"/>
  <c r="B915" i="85"/>
  <c r="B914" i="85"/>
  <c r="B913" i="85"/>
  <c r="B912" i="85"/>
  <c r="B911" i="85"/>
  <c r="B910" i="85"/>
  <c r="B909" i="85"/>
  <c r="B908" i="85"/>
  <c r="B907" i="85"/>
  <c r="B906" i="85"/>
  <c r="B905" i="85"/>
  <c r="B904" i="85"/>
  <c r="B903" i="85"/>
  <c r="B902" i="85"/>
  <c r="B901" i="85"/>
  <c r="B900" i="85"/>
  <c r="B899" i="85"/>
  <c r="B898" i="85"/>
  <c r="B897" i="85"/>
  <c r="B896" i="85"/>
  <c r="B895" i="85"/>
  <c r="B894" i="85"/>
  <c r="B893" i="85"/>
  <c r="B892" i="85"/>
  <c r="B891" i="85"/>
  <c r="B890" i="85"/>
  <c r="B889" i="85"/>
  <c r="B888" i="85"/>
  <c r="B887" i="85"/>
  <c r="B886" i="85"/>
  <c r="B885" i="85"/>
  <c r="B884" i="85"/>
  <c r="B883" i="85"/>
  <c r="B882" i="85"/>
  <c r="B881" i="85"/>
  <c r="B880" i="85"/>
  <c r="B879" i="85"/>
  <c r="B878" i="85"/>
  <c r="B877" i="85"/>
  <c r="B876" i="85"/>
  <c r="B875" i="85"/>
  <c r="B874" i="85"/>
  <c r="B873" i="85"/>
  <c r="B872" i="85"/>
  <c r="B871" i="85"/>
  <c r="B870" i="85"/>
  <c r="B869" i="85"/>
  <c r="B868" i="85"/>
  <c r="B867" i="85"/>
  <c r="B866" i="85"/>
  <c r="B865" i="85"/>
  <c r="B864" i="85"/>
  <c r="B863" i="85"/>
  <c r="B862" i="85"/>
  <c r="B861" i="85"/>
  <c r="B860" i="85"/>
  <c r="B859" i="85"/>
  <c r="B858" i="85"/>
  <c r="B857" i="85"/>
  <c r="B856" i="85"/>
  <c r="B855" i="85"/>
  <c r="B854" i="85"/>
  <c r="B853" i="85"/>
  <c r="B852" i="85"/>
  <c r="B851" i="85"/>
  <c r="B850" i="85"/>
  <c r="B849" i="85"/>
  <c r="B848" i="85"/>
  <c r="B847" i="85"/>
  <c r="B846" i="85"/>
  <c r="B845" i="85"/>
  <c r="B844" i="85"/>
  <c r="B843" i="85"/>
  <c r="B842" i="85"/>
  <c r="B841" i="85"/>
  <c r="B840" i="85"/>
  <c r="B839" i="85"/>
  <c r="B838" i="85"/>
  <c r="B837" i="85"/>
  <c r="B836" i="85"/>
  <c r="B835" i="85"/>
  <c r="B834" i="85"/>
  <c r="B833" i="85"/>
  <c r="B832" i="85"/>
  <c r="B831" i="85"/>
  <c r="B830" i="85"/>
  <c r="B829" i="85"/>
  <c r="B828" i="85"/>
  <c r="B827" i="85"/>
  <c r="B826" i="85"/>
  <c r="B825" i="85"/>
  <c r="B824" i="85"/>
  <c r="B823" i="85"/>
  <c r="B822" i="85"/>
  <c r="B821" i="85"/>
  <c r="B820" i="85"/>
  <c r="B819" i="85"/>
  <c r="B818" i="85"/>
  <c r="B817" i="85"/>
  <c r="B816" i="85"/>
  <c r="B815" i="85"/>
  <c r="B814" i="85"/>
  <c r="B813" i="85"/>
  <c r="B812" i="85"/>
  <c r="B811" i="85"/>
  <c r="B810" i="85"/>
  <c r="B809" i="85"/>
  <c r="B808" i="85"/>
  <c r="B807" i="85"/>
  <c r="B806" i="85"/>
  <c r="B805" i="85"/>
  <c r="B804" i="85"/>
  <c r="B803" i="85"/>
  <c r="B802" i="85"/>
  <c r="B801" i="85"/>
  <c r="B800" i="85"/>
  <c r="B799" i="85"/>
  <c r="B798" i="85"/>
  <c r="B797" i="85"/>
  <c r="B796" i="85"/>
  <c r="B795" i="85"/>
  <c r="B794" i="85"/>
  <c r="B793" i="85"/>
  <c r="B792" i="85"/>
  <c r="B791" i="85"/>
  <c r="B790" i="85"/>
  <c r="B789" i="85"/>
  <c r="B788" i="85"/>
  <c r="B787" i="85"/>
  <c r="B786" i="85"/>
  <c r="B785" i="85"/>
  <c r="B784" i="85"/>
  <c r="B783" i="85"/>
  <c r="B782" i="85"/>
  <c r="B781" i="85"/>
  <c r="B780" i="85"/>
  <c r="B779" i="85"/>
  <c r="B778" i="85"/>
  <c r="B777" i="85"/>
  <c r="B776" i="85"/>
  <c r="B775" i="85"/>
  <c r="B774" i="85"/>
  <c r="B773" i="85"/>
  <c r="B772" i="85"/>
  <c r="B771" i="85"/>
  <c r="B770" i="85"/>
  <c r="B769" i="85"/>
  <c r="B768" i="85"/>
  <c r="B767" i="85"/>
  <c r="B766" i="85"/>
  <c r="B765" i="85"/>
  <c r="B764" i="85"/>
  <c r="B763" i="85"/>
  <c r="B762" i="85"/>
  <c r="B761" i="85"/>
  <c r="B760" i="85"/>
  <c r="B759" i="85"/>
  <c r="B758" i="85"/>
  <c r="B757" i="85"/>
  <c r="B756" i="85"/>
  <c r="B755" i="85"/>
  <c r="B754" i="85"/>
  <c r="B753" i="85"/>
  <c r="B752" i="85"/>
  <c r="B751" i="85"/>
  <c r="B750" i="85"/>
  <c r="B749" i="85"/>
  <c r="B748" i="85"/>
  <c r="B747" i="85"/>
  <c r="B746" i="85"/>
  <c r="B745" i="85"/>
  <c r="B744" i="85"/>
  <c r="B743" i="85"/>
  <c r="B742" i="85"/>
  <c r="B741" i="85"/>
  <c r="B740" i="85"/>
  <c r="B739" i="85"/>
  <c r="B738" i="85"/>
  <c r="B737" i="85"/>
  <c r="B736" i="85"/>
  <c r="B735" i="85"/>
  <c r="B734" i="85"/>
  <c r="B733" i="85"/>
  <c r="B732" i="85"/>
  <c r="B731" i="85"/>
  <c r="B730" i="85"/>
  <c r="B729" i="85"/>
  <c r="B728" i="85"/>
  <c r="B727" i="85"/>
  <c r="B726" i="85"/>
  <c r="B725" i="85"/>
  <c r="B724" i="85"/>
  <c r="B723" i="85"/>
  <c r="B722" i="85"/>
  <c r="B721" i="85"/>
  <c r="B720" i="85"/>
  <c r="B719" i="85"/>
  <c r="B718" i="85"/>
  <c r="B717" i="85"/>
  <c r="B716" i="85"/>
  <c r="B715" i="85"/>
  <c r="B714" i="85"/>
  <c r="B713" i="85"/>
  <c r="B712" i="85"/>
  <c r="B711" i="85"/>
  <c r="B710" i="85"/>
  <c r="B709" i="85"/>
  <c r="B708" i="85"/>
  <c r="B707" i="85"/>
  <c r="B706" i="85"/>
  <c r="B705" i="85"/>
  <c r="B704" i="85"/>
  <c r="B703" i="85"/>
  <c r="B702" i="85"/>
  <c r="B701" i="85"/>
  <c r="B700" i="85"/>
  <c r="B699" i="85"/>
  <c r="B698" i="85"/>
  <c r="B697" i="85"/>
  <c r="B696" i="85"/>
  <c r="B695" i="85"/>
  <c r="B694" i="85"/>
  <c r="B693" i="85"/>
  <c r="B692" i="85"/>
  <c r="B691" i="85"/>
  <c r="B690" i="85"/>
  <c r="B689" i="85"/>
  <c r="B688" i="85"/>
  <c r="B687" i="85"/>
  <c r="B686" i="85"/>
  <c r="B685" i="85"/>
  <c r="B684" i="85"/>
  <c r="B683" i="85"/>
  <c r="B682" i="85"/>
  <c r="B681" i="85"/>
  <c r="B680" i="85"/>
  <c r="B679" i="85"/>
  <c r="B678" i="85"/>
  <c r="B677" i="85"/>
  <c r="B676" i="85"/>
  <c r="B675" i="85"/>
  <c r="B674" i="85"/>
  <c r="B673" i="85"/>
  <c r="B672" i="85"/>
  <c r="B671" i="85"/>
  <c r="B670" i="85"/>
  <c r="B669" i="85"/>
  <c r="B668" i="85"/>
  <c r="B667" i="85"/>
  <c r="B666" i="85"/>
  <c r="B665" i="85"/>
  <c r="B664" i="85"/>
  <c r="B663" i="85"/>
  <c r="B662" i="85"/>
  <c r="B661" i="85"/>
  <c r="B660" i="85"/>
  <c r="B659" i="85"/>
  <c r="B658" i="85"/>
  <c r="B657" i="85"/>
  <c r="B656" i="85"/>
  <c r="B655" i="85"/>
  <c r="B654" i="85"/>
  <c r="B653" i="85"/>
  <c r="B652" i="85"/>
  <c r="B651" i="85"/>
  <c r="B650" i="85"/>
  <c r="B649" i="85"/>
  <c r="B648" i="85"/>
  <c r="B647" i="85"/>
  <c r="B646" i="85"/>
  <c r="B645" i="85"/>
  <c r="B644" i="85"/>
  <c r="B643" i="85"/>
  <c r="B642" i="85"/>
  <c r="B641" i="85"/>
  <c r="B640" i="85"/>
  <c r="B639" i="85"/>
  <c r="B638" i="85"/>
  <c r="B637" i="85"/>
  <c r="B636" i="85"/>
  <c r="B635" i="85"/>
  <c r="B634" i="85"/>
  <c r="B633" i="85"/>
  <c r="B632" i="85"/>
  <c r="B631" i="85"/>
  <c r="B630" i="85"/>
  <c r="B629" i="85"/>
  <c r="B628" i="85"/>
  <c r="B627" i="85"/>
  <c r="B626" i="85"/>
  <c r="B625" i="85"/>
  <c r="B624" i="85"/>
  <c r="B623" i="85"/>
  <c r="B622" i="85"/>
  <c r="B621" i="85"/>
  <c r="B620" i="85"/>
  <c r="B619" i="85"/>
  <c r="B618" i="85"/>
  <c r="B617" i="85"/>
  <c r="B616" i="85"/>
  <c r="B615" i="85"/>
  <c r="B614" i="85"/>
  <c r="B613" i="85"/>
  <c r="B612" i="85"/>
  <c r="B611" i="85"/>
  <c r="B610" i="85"/>
  <c r="B609" i="85"/>
  <c r="B608" i="85"/>
  <c r="B607" i="85"/>
  <c r="B606" i="85"/>
  <c r="B605" i="85"/>
  <c r="B604" i="85"/>
  <c r="B603" i="85"/>
  <c r="B602" i="85"/>
  <c r="B601" i="85"/>
  <c r="B600" i="85"/>
  <c r="B599" i="85"/>
  <c r="B598" i="85"/>
  <c r="B597" i="85"/>
  <c r="B596" i="85"/>
  <c r="B595" i="85"/>
  <c r="B594" i="85"/>
  <c r="B593" i="85"/>
  <c r="B592" i="85"/>
  <c r="B591" i="85"/>
  <c r="B590" i="85"/>
  <c r="B589" i="85"/>
  <c r="B588" i="85"/>
  <c r="B587" i="85"/>
  <c r="B586" i="85"/>
  <c r="B585" i="85"/>
  <c r="B584" i="85"/>
  <c r="B583" i="85"/>
  <c r="B582" i="85"/>
  <c r="B581" i="85"/>
  <c r="B580" i="85"/>
  <c r="B579" i="85"/>
  <c r="B578" i="85"/>
  <c r="B577" i="85"/>
  <c r="B576" i="85"/>
  <c r="B575" i="85"/>
  <c r="B574" i="85"/>
  <c r="B573" i="85"/>
  <c r="B572" i="85"/>
  <c r="B571" i="85"/>
  <c r="B570" i="85"/>
  <c r="B569" i="85"/>
  <c r="B568" i="85"/>
  <c r="B567" i="85"/>
  <c r="B566" i="85"/>
  <c r="B565" i="85"/>
  <c r="B564" i="85"/>
  <c r="B563" i="85"/>
  <c r="B562" i="85"/>
  <c r="B561" i="85"/>
  <c r="B560" i="85"/>
  <c r="B559" i="85"/>
  <c r="B558" i="85"/>
  <c r="B557" i="85"/>
  <c r="B556" i="85"/>
  <c r="B555" i="85"/>
  <c r="B554" i="85"/>
  <c r="B553" i="85"/>
  <c r="B552" i="85"/>
  <c r="B551" i="85"/>
  <c r="B550" i="85"/>
  <c r="B549" i="85"/>
  <c r="B548" i="85"/>
  <c r="B547" i="85"/>
  <c r="B546" i="85"/>
  <c r="B545" i="85"/>
  <c r="B544" i="85"/>
  <c r="B543" i="85"/>
  <c r="B542" i="85"/>
  <c r="B541" i="85"/>
  <c r="B540" i="85"/>
  <c r="B539" i="85"/>
  <c r="B538" i="85"/>
  <c r="B537" i="85"/>
  <c r="B536" i="85"/>
  <c r="B535" i="85"/>
  <c r="B534" i="85"/>
  <c r="B533" i="85"/>
  <c r="B532" i="85"/>
  <c r="B531" i="85"/>
  <c r="B530" i="85"/>
  <c r="B529" i="85"/>
  <c r="B528" i="85"/>
  <c r="B527" i="85"/>
  <c r="B526" i="85"/>
  <c r="B525" i="85"/>
  <c r="B524" i="85"/>
  <c r="B523" i="85"/>
  <c r="B522" i="85"/>
  <c r="B521" i="85"/>
  <c r="B520" i="85"/>
  <c r="B519" i="85"/>
  <c r="B518" i="85"/>
  <c r="B517" i="85"/>
  <c r="B516" i="85"/>
  <c r="B515" i="85"/>
  <c r="B514" i="85"/>
  <c r="B513" i="85"/>
  <c r="B512" i="85"/>
  <c r="B511" i="85"/>
  <c r="B510" i="85"/>
  <c r="B509" i="85"/>
  <c r="B508" i="85"/>
  <c r="B507" i="85"/>
  <c r="B506" i="85"/>
  <c r="B505" i="85"/>
  <c r="B504" i="85"/>
  <c r="B503" i="85"/>
  <c r="B502" i="85"/>
  <c r="B501" i="85"/>
  <c r="B500" i="85"/>
  <c r="B499" i="85"/>
  <c r="B498" i="85"/>
  <c r="B497" i="85"/>
  <c r="B496" i="85"/>
  <c r="B495" i="85"/>
  <c r="B494" i="85"/>
  <c r="B493" i="85"/>
  <c r="B492" i="85"/>
  <c r="B491" i="85"/>
  <c r="B490" i="85"/>
  <c r="B489" i="85"/>
  <c r="B488" i="85"/>
  <c r="B487" i="85"/>
  <c r="B486" i="85"/>
  <c r="B485" i="85"/>
  <c r="B484" i="85"/>
  <c r="B483" i="85"/>
  <c r="B482" i="85"/>
  <c r="B481" i="85"/>
  <c r="B480" i="85"/>
  <c r="B479" i="85"/>
  <c r="B478" i="85"/>
  <c r="B477" i="85"/>
  <c r="B476" i="85"/>
  <c r="B475" i="85"/>
  <c r="B474" i="85"/>
  <c r="B473" i="85"/>
  <c r="B472" i="85"/>
  <c r="B471" i="85"/>
  <c r="B470" i="85"/>
  <c r="B469" i="85"/>
  <c r="B468" i="85"/>
  <c r="B467" i="85"/>
  <c r="B466" i="85"/>
  <c r="B465" i="85"/>
  <c r="B464" i="85"/>
  <c r="B463" i="85"/>
  <c r="B462" i="85"/>
  <c r="B461" i="85"/>
  <c r="B460" i="85"/>
  <c r="B459" i="85"/>
  <c r="B458" i="85"/>
  <c r="B457" i="85"/>
  <c r="B456" i="85"/>
  <c r="B455" i="85"/>
  <c r="B454" i="85"/>
  <c r="B453" i="85"/>
  <c r="B452" i="85"/>
  <c r="B451" i="85"/>
  <c r="B450" i="85"/>
  <c r="B449" i="85"/>
  <c r="B448" i="85"/>
  <c r="B447" i="85"/>
  <c r="B446" i="85"/>
  <c r="B445" i="85"/>
  <c r="B444" i="85"/>
  <c r="B443" i="85"/>
  <c r="B442" i="85"/>
  <c r="B441" i="85"/>
  <c r="B440" i="85"/>
  <c r="B439" i="85"/>
  <c r="B438" i="85"/>
  <c r="B437" i="85"/>
  <c r="B436" i="85"/>
  <c r="B435" i="85"/>
  <c r="B434" i="85"/>
  <c r="B433" i="85"/>
  <c r="B432" i="85"/>
  <c r="B431" i="85"/>
  <c r="B430" i="85"/>
  <c r="B429" i="85"/>
  <c r="B428" i="85"/>
  <c r="B427" i="85"/>
  <c r="B426" i="85"/>
  <c r="B425" i="85"/>
  <c r="B424" i="85"/>
  <c r="B423" i="85"/>
  <c r="B422" i="85"/>
  <c r="B421" i="85"/>
  <c r="B420" i="85"/>
  <c r="B419" i="85"/>
  <c r="B418" i="85"/>
  <c r="B417" i="85"/>
  <c r="B416" i="85"/>
  <c r="B415" i="85"/>
  <c r="B414" i="85"/>
  <c r="B413" i="85"/>
  <c r="B412" i="85"/>
  <c r="B411" i="85"/>
  <c r="B410" i="85"/>
  <c r="B409" i="85"/>
  <c r="B408" i="85"/>
  <c r="B407" i="85"/>
  <c r="B406" i="85"/>
  <c r="B405" i="85"/>
  <c r="B404" i="85"/>
  <c r="B403" i="85"/>
  <c r="B402" i="85"/>
  <c r="B401" i="85"/>
  <c r="B400" i="85"/>
  <c r="B399" i="85"/>
  <c r="B398" i="85"/>
  <c r="B397" i="85"/>
  <c r="B396" i="85"/>
  <c r="B395" i="85"/>
  <c r="B394" i="85"/>
  <c r="B393" i="85"/>
  <c r="B392" i="85"/>
  <c r="B391" i="85"/>
  <c r="B390" i="85"/>
  <c r="B389" i="85"/>
  <c r="B388" i="85"/>
  <c r="B387" i="85"/>
  <c r="B386" i="85"/>
  <c r="B385" i="85"/>
  <c r="B384" i="85"/>
  <c r="B383" i="85"/>
  <c r="B382" i="85"/>
  <c r="B381" i="85"/>
  <c r="B380" i="85"/>
  <c r="B379" i="85"/>
  <c r="B378" i="85"/>
  <c r="B377" i="85"/>
  <c r="B376" i="85"/>
  <c r="B375" i="85"/>
  <c r="B374" i="85"/>
  <c r="B373" i="85"/>
  <c r="B372" i="85"/>
  <c r="B371" i="85"/>
  <c r="B370" i="85"/>
  <c r="B369" i="85"/>
  <c r="B368" i="85"/>
  <c r="B367" i="85"/>
  <c r="B366" i="85"/>
  <c r="B365" i="85"/>
  <c r="B364" i="85"/>
  <c r="B363" i="85"/>
  <c r="B362" i="85"/>
  <c r="B361" i="85"/>
  <c r="B360" i="85"/>
  <c r="B359" i="85"/>
  <c r="B358" i="85"/>
  <c r="B357" i="85"/>
  <c r="B356" i="85"/>
  <c r="B355" i="85"/>
  <c r="B354" i="85"/>
  <c r="B353" i="85"/>
  <c r="B352" i="85"/>
  <c r="B351" i="85"/>
  <c r="B350" i="85"/>
  <c r="B349" i="85"/>
  <c r="B348" i="85"/>
  <c r="B347" i="85"/>
  <c r="B346" i="85"/>
  <c r="B345" i="85"/>
  <c r="B344" i="85"/>
  <c r="B343" i="85"/>
  <c r="B342" i="85"/>
  <c r="B341" i="85"/>
  <c r="B340" i="85"/>
  <c r="B339" i="85"/>
  <c r="B338" i="85"/>
  <c r="B337" i="85"/>
  <c r="B336" i="85"/>
  <c r="B335" i="85"/>
  <c r="B334" i="85"/>
  <c r="B333" i="85"/>
  <c r="B332" i="85"/>
  <c r="B331" i="85"/>
  <c r="B330" i="85"/>
  <c r="B329" i="85"/>
  <c r="B328" i="85"/>
  <c r="B327" i="85"/>
  <c r="B326" i="85"/>
  <c r="B325" i="85"/>
  <c r="B324" i="85"/>
  <c r="B323" i="85"/>
  <c r="B322" i="85"/>
  <c r="B321" i="85"/>
  <c r="B320" i="85"/>
  <c r="B319" i="85"/>
  <c r="B318" i="85"/>
  <c r="B317" i="85"/>
  <c r="B316" i="85"/>
  <c r="B315" i="85"/>
  <c r="B314" i="85"/>
  <c r="B313" i="85"/>
  <c r="B312" i="85"/>
  <c r="B311" i="85"/>
  <c r="B310" i="85"/>
  <c r="B309" i="85"/>
  <c r="B308" i="85"/>
  <c r="B307" i="85"/>
  <c r="B306" i="85"/>
  <c r="B305" i="85"/>
  <c r="B304" i="85"/>
  <c r="B303" i="85"/>
  <c r="B302" i="85"/>
  <c r="B301" i="85"/>
  <c r="B300" i="85"/>
  <c r="B299" i="85"/>
  <c r="B298" i="85"/>
  <c r="B297" i="85"/>
  <c r="B296" i="85"/>
  <c r="B295" i="85"/>
  <c r="B294" i="85"/>
  <c r="B293" i="85"/>
  <c r="B292" i="85"/>
  <c r="B291" i="85"/>
  <c r="B290" i="85"/>
  <c r="B289" i="85"/>
  <c r="B288" i="85"/>
  <c r="B287" i="85"/>
  <c r="B286" i="85"/>
  <c r="B285" i="85"/>
  <c r="B284" i="85"/>
  <c r="B283" i="85"/>
  <c r="B282" i="85"/>
  <c r="B281" i="85"/>
  <c r="B280" i="85"/>
  <c r="B279" i="85"/>
  <c r="B278" i="85"/>
  <c r="B277" i="85"/>
  <c r="B276" i="85"/>
  <c r="B275" i="85"/>
  <c r="B274" i="85"/>
  <c r="B273" i="85"/>
  <c r="B272" i="85"/>
  <c r="B271" i="85"/>
  <c r="B270" i="85"/>
  <c r="B269" i="85"/>
  <c r="B268" i="85"/>
  <c r="B267" i="85"/>
  <c r="B266" i="85"/>
  <c r="B265" i="85"/>
  <c r="B264" i="85"/>
  <c r="B263" i="85"/>
  <c r="B262" i="85"/>
  <c r="B261" i="85"/>
  <c r="B260" i="85"/>
  <c r="B259" i="85"/>
  <c r="B258" i="85"/>
  <c r="B257" i="85"/>
  <c r="B256" i="85"/>
  <c r="B255" i="85"/>
  <c r="B254" i="85"/>
  <c r="B253" i="85"/>
  <c r="B252" i="85"/>
  <c r="B251" i="85"/>
  <c r="B250" i="85"/>
  <c r="B249" i="85"/>
  <c r="B248" i="85"/>
  <c r="B247" i="85"/>
  <c r="B246" i="85"/>
  <c r="B245" i="85"/>
  <c r="B244" i="85"/>
  <c r="B243" i="85"/>
  <c r="B242" i="85"/>
  <c r="B241" i="85"/>
  <c r="B240" i="85"/>
  <c r="B239" i="85"/>
  <c r="B238" i="85"/>
  <c r="B237" i="85"/>
  <c r="B236" i="85"/>
  <c r="B235" i="85"/>
  <c r="B234" i="85"/>
  <c r="B233" i="85"/>
  <c r="B232" i="85"/>
  <c r="B231" i="85"/>
  <c r="B230" i="85"/>
  <c r="B229" i="85"/>
  <c r="B228" i="85"/>
  <c r="B227" i="85"/>
  <c r="B226" i="85"/>
  <c r="B225" i="85"/>
  <c r="B224" i="85"/>
  <c r="B223" i="85"/>
  <c r="B222" i="85"/>
  <c r="B221" i="85"/>
  <c r="B220" i="85"/>
  <c r="B219" i="85"/>
  <c r="B218" i="85"/>
  <c r="B217" i="85"/>
  <c r="B216" i="85"/>
  <c r="B215" i="85"/>
  <c r="B214" i="85"/>
  <c r="B213" i="85"/>
  <c r="B212" i="85"/>
  <c r="B211" i="85"/>
  <c r="B210" i="85"/>
  <c r="B209" i="85"/>
  <c r="B208" i="85"/>
  <c r="B207" i="85"/>
  <c r="B206" i="85"/>
  <c r="B205" i="85"/>
  <c r="B204" i="85"/>
  <c r="B203" i="85"/>
  <c r="B202" i="85"/>
  <c r="B201" i="85"/>
  <c r="B200" i="85"/>
  <c r="B199" i="85"/>
  <c r="B198" i="85"/>
  <c r="B197" i="85"/>
  <c r="B196" i="85"/>
  <c r="B195" i="85"/>
  <c r="B194" i="85"/>
  <c r="B193" i="85"/>
  <c r="B192" i="85"/>
  <c r="B191" i="85"/>
  <c r="B190" i="85"/>
  <c r="B189" i="85"/>
  <c r="B188" i="85"/>
  <c r="B187" i="85"/>
  <c r="B186" i="85"/>
  <c r="B185" i="85"/>
  <c r="B184" i="85"/>
  <c r="B183" i="85"/>
  <c r="B182" i="85"/>
  <c r="B181" i="85"/>
  <c r="B180" i="85"/>
  <c r="B179" i="85"/>
  <c r="B178" i="85"/>
  <c r="B177" i="85"/>
  <c r="B176" i="85"/>
  <c r="B175" i="85"/>
  <c r="B174" i="85"/>
  <c r="B173" i="85"/>
  <c r="B172" i="85"/>
  <c r="B171" i="85"/>
  <c r="B170" i="85"/>
  <c r="B169" i="85"/>
  <c r="B168" i="85"/>
  <c r="B167" i="85"/>
  <c r="B166" i="85"/>
  <c r="B165" i="85"/>
  <c r="B164" i="85"/>
  <c r="B163" i="85"/>
  <c r="B162" i="85"/>
  <c r="B161" i="85"/>
  <c r="B160" i="85"/>
  <c r="B159" i="85"/>
  <c r="B158" i="85"/>
  <c r="B157" i="85"/>
  <c r="B156" i="85"/>
  <c r="B155" i="85"/>
  <c r="B154" i="85"/>
  <c r="B153" i="85"/>
  <c r="B152" i="85"/>
  <c r="B151" i="85"/>
  <c r="B150" i="85"/>
  <c r="B149" i="85"/>
  <c r="B148" i="85"/>
  <c r="B147" i="85"/>
  <c r="B146" i="85"/>
  <c r="B145" i="85"/>
  <c r="B144" i="85"/>
  <c r="B143" i="85"/>
  <c r="B142" i="85"/>
  <c r="B141" i="85"/>
  <c r="B140" i="85"/>
  <c r="B139" i="85"/>
  <c r="B138" i="85"/>
  <c r="B137" i="85"/>
  <c r="B136" i="85"/>
  <c r="B135" i="85"/>
  <c r="B134" i="85"/>
  <c r="B133" i="85"/>
  <c r="B132" i="85"/>
  <c r="B131" i="85"/>
  <c r="B130" i="85"/>
  <c r="B129" i="85"/>
  <c r="B128" i="85"/>
  <c r="B127" i="85"/>
  <c r="B126" i="85"/>
  <c r="B125" i="85"/>
  <c r="B124" i="85"/>
  <c r="B123" i="85"/>
  <c r="B122" i="85"/>
  <c r="B121" i="85"/>
  <c r="B120" i="85"/>
  <c r="B119" i="85"/>
  <c r="B118" i="85"/>
  <c r="B117" i="85"/>
  <c r="B116" i="85"/>
  <c r="B115" i="85"/>
  <c r="B114" i="85"/>
  <c r="B113" i="85"/>
  <c r="B112" i="85"/>
  <c r="B111" i="85"/>
  <c r="B110" i="85"/>
  <c r="B109" i="85"/>
  <c r="B108" i="85"/>
  <c r="B107" i="85"/>
  <c r="B106" i="85"/>
  <c r="B105" i="85"/>
  <c r="B104" i="85"/>
  <c r="B103" i="85"/>
  <c r="B102" i="85"/>
  <c r="B101" i="85"/>
  <c r="B100" i="85"/>
  <c r="B99" i="85"/>
  <c r="B98" i="85"/>
  <c r="B97" i="85"/>
  <c r="B96" i="85"/>
  <c r="B95" i="85"/>
  <c r="B94" i="85"/>
  <c r="B93" i="85"/>
  <c r="B92" i="85"/>
  <c r="B91" i="85"/>
  <c r="B90" i="85"/>
  <c r="B89" i="85"/>
  <c r="B88" i="85"/>
  <c r="B87" i="85"/>
  <c r="B86" i="85"/>
  <c r="B85" i="85"/>
  <c r="B84" i="85"/>
  <c r="B83" i="85"/>
  <c r="B82" i="85"/>
  <c r="B81" i="85"/>
  <c r="B80" i="85"/>
  <c r="B79" i="85"/>
  <c r="B78" i="85"/>
  <c r="B77" i="85"/>
  <c r="B76" i="85"/>
  <c r="B75" i="85"/>
  <c r="B74" i="85"/>
  <c r="B73" i="85"/>
  <c r="B72" i="85"/>
  <c r="B71" i="85"/>
  <c r="B70" i="85"/>
  <c r="B69" i="85"/>
  <c r="B68" i="85"/>
  <c r="B67" i="85"/>
  <c r="B66" i="85"/>
  <c r="B65" i="85"/>
  <c r="B64" i="85"/>
  <c r="B63" i="85"/>
  <c r="B62" i="85"/>
  <c r="B61" i="85"/>
  <c r="B60" i="85"/>
  <c r="B59" i="85"/>
  <c r="B58" i="85"/>
  <c r="B57" i="85"/>
  <c r="B56" i="85"/>
  <c r="B55" i="85"/>
  <c r="B54" i="85"/>
  <c r="B53" i="85"/>
  <c r="B52" i="85"/>
  <c r="B51" i="85"/>
  <c r="B50" i="85"/>
  <c r="B49" i="85"/>
  <c r="B48" i="85"/>
  <c r="B47" i="85"/>
  <c r="B46" i="85"/>
  <c r="B45" i="85"/>
  <c r="B44" i="85"/>
  <c r="B43" i="85"/>
  <c r="B42" i="85"/>
  <c r="B41" i="85"/>
  <c r="B40" i="85"/>
  <c r="B39" i="85"/>
  <c r="B38" i="85"/>
  <c r="B37" i="85"/>
  <c r="B36" i="85"/>
  <c r="B35" i="85"/>
  <c r="B34" i="85"/>
  <c r="B33" i="85"/>
  <c r="B32" i="85"/>
  <c r="B31" i="85"/>
  <c r="B30" i="85"/>
  <c r="B29" i="85"/>
  <c r="B28" i="85"/>
  <c r="B27" i="85"/>
  <c r="B26" i="85"/>
  <c r="B25" i="85"/>
  <c r="B24" i="85"/>
  <c r="B23" i="85"/>
  <c r="B22" i="85"/>
  <c r="B21" i="85"/>
  <c r="B20" i="85"/>
  <c r="B19" i="85"/>
  <c r="B18" i="85"/>
  <c r="B17" i="85"/>
  <c r="B16" i="85"/>
  <c r="B15" i="85"/>
  <c r="B14" i="85"/>
  <c r="B13" i="85"/>
  <c r="B12" i="85"/>
  <c r="B11" i="85"/>
  <c r="B10" i="85"/>
  <c r="B9" i="85"/>
  <c r="B8" i="85"/>
  <c r="B7" i="85"/>
  <c r="B6" i="85"/>
  <c r="B5" i="85"/>
  <c r="B4" i="85"/>
  <c r="C3" i="85"/>
  <c r="B3" i="85" s="1"/>
  <c r="B4" i="83"/>
  <c r="B5" i="83"/>
  <c r="B6" i="83"/>
  <c r="B7" i="83"/>
  <c r="B8" i="83"/>
  <c r="B9" i="83"/>
  <c r="B10" i="83"/>
  <c r="B11" i="83"/>
  <c r="B12" i="83"/>
  <c r="B13" i="83"/>
  <c r="B14" i="83"/>
  <c r="B15" i="83"/>
  <c r="B16" i="83"/>
  <c r="B17" i="83"/>
  <c r="B18" i="83"/>
  <c r="B19" i="83"/>
  <c r="B20" i="83"/>
  <c r="B21" i="83"/>
  <c r="B22" i="83"/>
  <c r="B23" i="83"/>
  <c r="B24" i="83"/>
  <c r="B25" i="83"/>
  <c r="B26" i="83"/>
  <c r="B27" i="83"/>
  <c r="B28" i="83"/>
  <c r="B29" i="83"/>
  <c r="B30" i="83"/>
  <c r="B31" i="83"/>
  <c r="B32" i="83"/>
  <c r="B33" i="83"/>
  <c r="B34" i="83"/>
  <c r="B35" i="83"/>
  <c r="B36" i="83"/>
  <c r="B37" i="83"/>
  <c r="B38" i="83"/>
  <c r="B39" i="83"/>
  <c r="B40" i="83"/>
  <c r="B41" i="83"/>
  <c r="B42" i="83"/>
  <c r="B43" i="83"/>
  <c r="B44" i="83"/>
  <c r="B45" i="83"/>
  <c r="B46" i="83"/>
  <c r="B47" i="83"/>
  <c r="B48" i="83"/>
  <c r="B49" i="83"/>
  <c r="B50" i="83"/>
  <c r="B51" i="83"/>
  <c r="B52" i="83"/>
  <c r="B53" i="83"/>
  <c r="B54" i="83"/>
  <c r="B55" i="83"/>
  <c r="B56" i="83"/>
  <c r="B57" i="83"/>
  <c r="B58" i="83"/>
  <c r="B59" i="83"/>
  <c r="B60" i="83"/>
  <c r="B61" i="83"/>
  <c r="B62" i="83"/>
  <c r="B63" i="83"/>
  <c r="B64" i="83"/>
  <c r="B65" i="83"/>
  <c r="B66" i="83"/>
  <c r="B67" i="83"/>
  <c r="B68" i="83"/>
  <c r="B69" i="83"/>
  <c r="B70" i="83"/>
  <c r="B71" i="83"/>
  <c r="B72" i="83"/>
  <c r="B73" i="83"/>
  <c r="B74" i="83"/>
  <c r="B75" i="83"/>
  <c r="B76" i="83"/>
  <c r="B77" i="83"/>
  <c r="B78" i="83"/>
  <c r="B79" i="83"/>
  <c r="B80" i="83"/>
  <c r="B81" i="83"/>
  <c r="B82" i="83"/>
  <c r="B83" i="83"/>
  <c r="B84" i="83"/>
  <c r="B85" i="83"/>
  <c r="B86" i="83"/>
  <c r="B87" i="83"/>
  <c r="B88" i="83"/>
  <c r="B89" i="83"/>
  <c r="B90" i="83"/>
  <c r="B91" i="83"/>
  <c r="B92" i="83"/>
  <c r="B93" i="83"/>
  <c r="B94" i="83"/>
  <c r="B95" i="83"/>
  <c r="B96" i="83"/>
  <c r="B97" i="83"/>
  <c r="B98" i="83"/>
  <c r="B99" i="83"/>
  <c r="B100" i="83"/>
  <c r="B101" i="83"/>
  <c r="B102" i="83"/>
  <c r="B103" i="83"/>
  <c r="B104" i="83"/>
  <c r="B105" i="83"/>
  <c r="B106" i="83"/>
  <c r="B107" i="83"/>
  <c r="B108" i="83"/>
  <c r="B109" i="83"/>
  <c r="B110" i="83"/>
  <c r="B111" i="83"/>
  <c r="B112" i="83"/>
  <c r="B113" i="83"/>
  <c r="B114" i="83"/>
  <c r="B115" i="83"/>
  <c r="B116" i="83"/>
  <c r="B117" i="83"/>
  <c r="B118" i="83"/>
  <c r="B119" i="83"/>
  <c r="B120" i="83"/>
  <c r="B121" i="83"/>
  <c r="B122" i="83"/>
  <c r="B123" i="83"/>
  <c r="B124" i="83"/>
  <c r="B125" i="83"/>
  <c r="B126" i="83"/>
  <c r="B127" i="83"/>
  <c r="B128" i="83"/>
  <c r="B129" i="83"/>
  <c r="B130" i="83"/>
  <c r="B131" i="83"/>
  <c r="B132" i="83"/>
  <c r="B133" i="83"/>
  <c r="B134" i="83"/>
  <c r="B135" i="83"/>
  <c r="B136" i="83"/>
  <c r="B137" i="83"/>
  <c r="B138" i="83"/>
  <c r="B139" i="83"/>
  <c r="B140" i="83"/>
  <c r="B141" i="83"/>
  <c r="B142" i="83"/>
  <c r="B143" i="83"/>
  <c r="B144" i="83"/>
  <c r="B145" i="83"/>
  <c r="B146" i="83"/>
  <c r="B147" i="83"/>
  <c r="B148" i="83"/>
  <c r="B149" i="83"/>
  <c r="B150" i="83"/>
  <c r="B151" i="83"/>
  <c r="B152" i="83"/>
  <c r="B153" i="83"/>
  <c r="B154" i="83"/>
  <c r="B155" i="83"/>
  <c r="B156" i="83"/>
  <c r="B157" i="83"/>
  <c r="B158" i="83"/>
  <c r="B159" i="83"/>
  <c r="B160" i="83"/>
  <c r="B161" i="83"/>
  <c r="B162" i="83"/>
  <c r="B163" i="83"/>
  <c r="B164" i="83"/>
  <c r="B165" i="83"/>
  <c r="B166" i="83"/>
  <c r="B167" i="83"/>
  <c r="B168" i="83"/>
  <c r="B169" i="83"/>
  <c r="B170" i="83"/>
  <c r="B171" i="83"/>
  <c r="B172" i="83"/>
  <c r="B173" i="83"/>
  <c r="B174" i="83"/>
  <c r="B175" i="83"/>
  <c r="B176" i="83"/>
  <c r="B177" i="83"/>
  <c r="B178" i="83"/>
  <c r="B179" i="83"/>
  <c r="B180" i="83"/>
  <c r="B181" i="83"/>
  <c r="B182" i="83"/>
  <c r="B183" i="83"/>
  <c r="B184" i="83"/>
  <c r="B185" i="83"/>
  <c r="B186" i="83"/>
  <c r="B187" i="83"/>
  <c r="B188" i="83"/>
  <c r="B189" i="83"/>
  <c r="B190" i="83"/>
  <c r="B191" i="83"/>
  <c r="B192" i="83"/>
  <c r="B193" i="83"/>
  <c r="B194" i="83"/>
  <c r="B195" i="83"/>
  <c r="B196" i="83"/>
  <c r="B197" i="83"/>
  <c r="B198" i="83"/>
  <c r="B199" i="83"/>
  <c r="B200" i="83"/>
  <c r="B201" i="83"/>
  <c r="B202" i="83"/>
  <c r="B203" i="83"/>
  <c r="B204" i="83"/>
  <c r="B205" i="83"/>
  <c r="B206" i="83"/>
  <c r="B207" i="83"/>
  <c r="B208" i="83"/>
  <c r="B209" i="83"/>
  <c r="B210" i="83"/>
  <c r="B211" i="83"/>
  <c r="B212" i="83"/>
  <c r="B213" i="83"/>
  <c r="B214" i="83"/>
  <c r="B215" i="83"/>
  <c r="B216" i="83"/>
  <c r="B217" i="83"/>
  <c r="B218" i="83"/>
  <c r="B219" i="83"/>
  <c r="B220" i="83"/>
  <c r="B221" i="83"/>
  <c r="B222" i="83"/>
  <c r="B223" i="83"/>
  <c r="B224" i="83"/>
  <c r="B225" i="83"/>
  <c r="B226" i="83"/>
  <c r="B227" i="83"/>
  <c r="B228" i="83"/>
  <c r="B229" i="83"/>
  <c r="B230" i="83"/>
  <c r="B231" i="83"/>
  <c r="B232" i="83"/>
  <c r="B233" i="83"/>
  <c r="B234" i="83"/>
  <c r="B235" i="83"/>
  <c r="B236" i="83"/>
  <c r="B237" i="83"/>
  <c r="B238" i="83"/>
  <c r="B239" i="83"/>
  <c r="B240" i="83"/>
  <c r="B241" i="83"/>
  <c r="B242" i="83"/>
  <c r="B243" i="83"/>
  <c r="B244" i="83"/>
  <c r="B245" i="83"/>
  <c r="B246" i="83"/>
  <c r="B247" i="83"/>
  <c r="B248" i="83"/>
  <c r="B249" i="83"/>
  <c r="B250" i="83"/>
  <c r="B251" i="83"/>
  <c r="B252" i="83"/>
  <c r="B253" i="83"/>
  <c r="B254" i="83"/>
  <c r="B255" i="83"/>
  <c r="B256" i="83"/>
  <c r="B257" i="83"/>
  <c r="B258" i="83"/>
  <c r="B259" i="83"/>
  <c r="B260" i="83"/>
  <c r="B261" i="83"/>
  <c r="B262" i="83"/>
  <c r="B263" i="83"/>
  <c r="B264" i="83"/>
  <c r="B265" i="83"/>
  <c r="B266" i="83"/>
  <c r="B267" i="83"/>
  <c r="B268" i="83"/>
  <c r="B269" i="83"/>
  <c r="B270" i="83"/>
  <c r="B271" i="83"/>
  <c r="B272" i="83"/>
  <c r="B273" i="83"/>
  <c r="B274" i="83"/>
  <c r="B275" i="83"/>
  <c r="B276" i="83"/>
  <c r="B277" i="83"/>
  <c r="B278" i="83"/>
  <c r="B279" i="83"/>
  <c r="B280" i="83"/>
  <c r="B281" i="83"/>
  <c r="B282" i="83"/>
  <c r="B283" i="83"/>
  <c r="B284" i="83"/>
  <c r="B285" i="83"/>
  <c r="B286" i="83"/>
  <c r="B287" i="83"/>
  <c r="B288" i="83"/>
  <c r="B289" i="83"/>
  <c r="B290" i="83"/>
  <c r="B291" i="83"/>
  <c r="B292" i="83"/>
  <c r="B293" i="83"/>
  <c r="B294" i="83"/>
  <c r="B295" i="83"/>
  <c r="B296" i="83"/>
  <c r="B297" i="83"/>
  <c r="B298" i="83"/>
  <c r="B299" i="83"/>
  <c r="B300" i="83"/>
  <c r="B301" i="83"/>
  <c r="B302" i="83"/>
  <c r="B303" i="83"/>
  <c r="B304" i="83"/>
  <c r="B305" i="83"/>
  <c r="B306" i="83"/>
  <c r="B307" i="83"/>
  <c r="B308" i="83"/>
  <c r="B309" i="83"/>
  <c r="B310" i="83"/>
  <c r="B311" i="83"/>
  <c r="B312" i="83"/>
  <c r="B313" i="83"/>
  <c r="B314" i="83"/>
  <c r="B315" i="83"/>
  <c r="B316" i="83"/>
  <c r="B317" i="83"/>
  <c r="B318" i="83"/>
  <c r="B319" i="83"/>
  <c r="B320" i="83"/>
  <c r="B321" i="83"/>
  <c r="B322" i="83"/>
  <c r="B323" i="83"/>
  <c r="B324" i="83"/>
  <c r="B325" i="83"/>
  <c r="B326" i="83"/>
  <c r="B327" i="83"/>
  <c r="B328" i="83"/>
  <c r="B329" i="83"/>
  <c r="B330" i="83"/>
  <c r="B331" i="83"/>
  <c r="B332" i="83"/>
  <c r="B333" i="83"/>
  <c r="B334" i="83"/>
  <c r="B335" i="83"/>
  <c r="B336" i="83"/>
  <c r="B337" i="83"/>
  <c r="B338" i="83"/>
  <c r="B339" i="83"/>
  <c r="B340" i="83"/>
  <c r="B341" i="83"/>
  <c r="B342" i="83"/>
  <c r="B343" i="83"/>
  <c r="B344" i="83"/>
  <c r="B345" i="83"/>
  <c r="B346" i="83"/>
  <c r="B347" i="83"/>
  <c r="B348" i="83"/>
  <c r="B349" i="83"/>
  <c r="B350" i="83"/>
  <c r="B351" i="83"/>
  <c r="B352" i="83"/>
  <c r="B353" i="83"/>
  <c r="B354" i="83"/>
  <c r="B355" i="83"/>
  <c r="B356" i="83"/>
  <c r="B357" i="83"/>
  <c r="B358" i="83"/>
  <c r="B359" i="83"/>
  <c r="B360" i="83"/>
  <c r="B361" i="83"/>
  <c r="B362" i="83"/>
  <c r="B363" i="83"/>
  <c r="B364" i="83"/>
  <c r="B365" i="83"/>
  <c r="B366" i="83"/>
  <c r="B367" i="83"/>
  <c r="B368" i="83"/>
  <c r="B369" i="83"/>
  <c r="B370" i="83"/>
  <c r="B371" i="83"/>
  <c r="B372" i="83"/>
  <c r="B373" i="83"/>
  <c r="B374" i="83"/>
  <c r="B375" i="83"/>
  <c r="B376" i="83"/>
  <c r="B377" i="83"/>
  <c r="B378" i="83"/>
  <c r="B379" i="83"/>
  <c r="B380" i="83"/>
  <c r="B381" i="83"/>
  <c r="B382" i="83"/>
  <c r="B383" i="83"/>
  <c r="B384" i="83"/>
  <c r="B385" i="83"/>
  <c r="B386" i="83"/>
  <c r="B387" i="83"/>
  <c r="B388" i="83"/>
  <c r="B389" i="83"/>
  <c r="B390" i="83"/>
  <c r="B391" i="83"/>
  <c r="B392" i="83"/>
  <c r="B393" i="83"/>
  <c r="B394" i="83"/>
  <c r="B395" i="83"/>
  <c r="B396" i="83"/>
  <c r="B397" i="83"/>
  <c r="B398" i="83"/>
  <c r="B399" i="83"/>
  <c r="B400" i="83"/>
  <c r="B401" i="83"/>
  <c r="B402" i="83"/>
  <c r="B403" i="83"/>
  <c r="B404" i="83"/>
  <c r="B405" i="83"/>
  <c r="B406" i="83"/>
  <c r="B407" i="83"/>
  <c r="B408" i="83"/>
  <c r="B409" i="83"/>
  <c r="B410" i="83"/>
  <c r="B411" i="83"/>
  <c r="B412" i="83"/>
  <c r="B413" i="83"/>
  <c r="B414" i="83"/>
  <c r="B415" i="83"/>
  <c r="B416" i="83"/>
  <c r="B417" i="83"/>
  <c r="B418" i="83"/>
  <c r="B419" i="83"/>
  <c r="B420" i="83"/>
  <c r="B421" i="83"/>
  <c r="B422" i="83"/>
  <c r="B423" i="83"/>
  <c r="B424" i="83"/>
  <c r="B425" i="83"/>
  <c r="B426" i="83"/>
  <c r="B427" i="83"/>
  <c r="B428" i="83"/>
  <c r="B429" i="83"/>
  <c r="B430" i="83"/>
  <c r="B431" i="83"/>
  <c r="B432" i="83"/>
  <c r="B433" i="83"/>
  <c r="B434" i="83"/>
  <c r="B435" i="83"/>
  <c r="B436" i="83"/>
  <c r="B437" i="83"/>
  <c r="B438" i="83"/>
  <c r="B439" i="83"/>
  <c r="B440" i="83"/>
  <c r="B441" i="83"/>
  <c r="B442" i="83"/>
  <c r="B443" i="83"/>
  <c r="B444" i="83"/>
  <c r="B445" i="83"/>
  <c r="B446" i="83"/>
  <c r="B447" i="83"/>
  <c r="B448" i="83"/>
  <c r="B449" i="83"/>
  <c r="B450" i="83"/>
  <c r="B451" i="83"/>
  <c r="B452" i="83"/>
  <c r="B453" i="83"/>
  <c r="B454" i="83"/>
  <c r="B455" i="83"/>
  <c r="B456" i="83"/>
  <c r="B457" i="83"/>
  <c r="B458" i="83"/>
  <c r="B459" i="83"/>
  <c r="B460" i="83"/>
  <c r="B461" i="83"/>
  <c r="B462" i="83"/>
  <c r="B463" i="83"/>
  <c r="B464" i="83"/>
  <c r="B465" i="83"/>
  <c r="B466" i="83"/>
  <c r="B467" i="83"/>
  <c r="B468" i="83"/>
  <c r="B469" i="83"/>
  <c r="B470" i="83"/>
  <c r="B471" i="83"/>
  <c r="B472" i="83"/>
  <c r="B473" i="83"/>
  <c r="B474" i="83"/>
  <c r="B475" i="83"/>
  <c r="B476" i="83"/>
  <c r="B477" i="83"/>
  <c r="B478" i="83"/>
  <c r="B479" i="83"/>
  <c r="B480" i="83"/>
  <c r="B481" i="83"/>
  <c r="B482" i="83"/>
  <c r="B483" i="83"/>
  <c r="B484" i="83"/>
  <c r="B485" i="83"/>
  <c r="B486" i="83"/>
  <c r="B487" i="83"/>
  <c r="B488" i="83"/>
  <c r="B489" i="83"/>
  <c r="B490" i="83"/>
  <c r="B491" i="83"/>
  <c r="B492" i="83"/>
  <c r="B493" i="83"/>
  <c r="B494" i="83"/>
  <c r="B495" i="83"/>
  <c r="B496" i="83"/>
  <c r="B497" i="83"/>
  <c r="B498" i="83"/>
  <c r="B499" i="83"/>
  <c r="B500" i="83"/>
  <c r="B501" i="83"/>
  <c r="B502" i="83"/>
  <c r="B503" i="83"/>
  <c r="B504" i="83"/>
  <c r="B505" i="83"/>
  <c r="B506" i="83"/>
  <c r="B507" i="83"/>
  <c r="B508" i="83"/>
  <c r="B509" i="83"/>
  <c r="B510" i="83"/>
  <c r="B511" i="83"/>
  <c r="B512" i="83"/>
  <c r="B513" i="83"/>
  <c r="B514" i="83"/>
  <c r="B515" i="83"/>
  <c r="B516" i="83"/>
  <c r="B517" i="83"/>
  <c r="B518" i="83"/>
  <c r="B519" i="83"/>
  <c r="B520" i="83"/>
  <c r="B521" i="83"/>
  <c r="B522" i="83"/>
  <c r="B523" i="83"/>
  <c r="B524" i="83"/>
  <c r="B525" i="83"/>
  <c r="B526" i="83"/>
  <c r="B527" i="83"/>
  <c r="B528" i="83"/>
  <c r="B529" i="83"/>
  <c r="B530" i="83"/>
  <c r="B531" i="83"/>
  <c r="B532" i="83"/>
  <c r="B533" i="83"/>
  <c r="B534" i="83"/>
  <c r="B535" i="83"/>
  <c r="B536" i="83"/>
  <c r="B537" i="83"/>
  <c r="B538" i="83"/>
  <c r="B539" i="83"/>
  <c r="B540" i="83"/>
  <c r="B541" i="83"/>
  <c r="B542" i="83"/>
  <c r="B543" i="83"/>
  <c r="B544" i="83"/>
  <c r="B545" i="83"/>
  <c r="B546" i="83"/>
  <c r="B547" i="83"/>
  <c r="B548" i="83"/>
  <c r="B549" i="83"/>
  <c r="B550" i="83"/>
  <c r="B551" i="83"/>
  <c r="B552" i="83"/>
  <c r="B553" i="83"/>
  <c r="B554" i="83"/>
  <c r="B555" i="83"/>
  <c r="B556" i="83"/>
  <c r="B557" i="83"/>
  <c r="B558" i="83"/>
  <c r="B559" i="83"/>
  <c r="B560" i="83"/>
  <c r="B561" i="83"/>
  <c r="B562" i="83"/>
  <c r="B563" i="83"/>
  <c r="B564" i="83"/>
  <c r="B565" i="83"/>
  <c r="B566" i="83"/>
  <c r="B567" i="83"/>
  <c r="B568" i="83"/>
  <c r="B569" i="83"/>
  <c r="B570" i="83"/>
  <c r="B571" i="83"/>
  <c r="B572" i="83"/>
  <c r="B573" i="83"/>
  <c r="B574" i="83"/>
  <c r="B575" i="83"/>
  <c r="B576" i="83"/>
  <c r="B577" i="83"/>
  <c r="B578" i="83"/>
  <c r="B579" i="83"/>
  <c r="B580" i="83"/>
  <c r="B581" i="83"/>
  <c r="B582" i="83"/>
  <c r="B583" i="83"/>
  <c r="B584" i="83"/>
  <c r="B585" i="83"/>
  <c r="B586" i="83"/>
  <c r="B587" i="83"/>
  <c r="B588" i="83"/>
  <c r="B589" i="83"/>
  <c r="B590" i="83"/>
  <c r="B591" i="83"/>
  <c r="B592" i="83"/>
  <c r="B593" i="83"/>
  <c r="B594" i="83"/>
  <c r="B595" i="83"/>
  <c r="B596" i="83"/>
  <c r="B597" i="83"/>
  <c r="B598" i="83"/>
  <c r="B599" i="83"/>
  <c r="B600" i="83"/>
  <c r="B601" i="83"/>
  <c r="B602" i="83"/>
  <c r="B603" i="83"/>
  <c r="B604" i="83"/>
  <c r="B605" i="83"/>
  <c r="B606" i="83"/>
  <c r="B607" i="83"/>
  <c r="B608" i="83"/>
  <c r="B609" i="83"/>
  <c r="B610" i="83"/>
  <c r="B611" i="83"/>
  <c r="B612" i="83"/>
  <c r="B613" i="83"/>
  <c r="B614" i="83"/>
  <c r="B615" i="83"/>
  <c r="B616" i="83"/>
  <c r="B617" i="83"/>
  <c r="B618" i="83"/>
  <c r="B619" i="83"/>
  <c r="B620" i="83"/>
  <c r="B621" i="83"/>
  <c r="B622" i="83"/>
  <c r="B623" i="83"/>
  <c r="B624" i="83"/>
  <c r="B625" i="83"/>
  <c r="B626" i="83"/>
  <c r="B627" i="83"/>
  <c r="B628" i="83"/>
  <c r="B629" i="83"/>
  <c r="B630" i="83"/>
  <c r="B631" i="83"/>
  <c r="B632" i="83"/>
  <c r="B633" i="83"/>
  <c r="B634" i="83"/>
  <c r="B635" i="83"/>
  <c r="B636" i="83"/>
  <c r="B637" i="83"/>
  <c r="B638" i="83"/>
  <c r="B639" i="83"/>
  <c r="B640" i="83"/>
  <c r="B641" i="83"/>
  <c r="B642" i="83"/>
  <c r="B643" i="83"/>
  <c r="B644" i="83"/>
  <c r="B645" i="83"/>
  <c r="B646" i="83"/>
  <c r="B647" i="83"/>
  <c r="B648" i="83"/>
  <c r="B649" i="83"/>
  <c r="B650" i="83"/>
  <c r="B651" i="83"/>
  <c r="B652" i="83"/>
  <c r="B653" i="83"/>
  <c r="B654" i="83"/>
  <c r="B655" i="83"/>
  <c r="B656" i="83"/>
  <c r="B657" i="83"/>
  <c r="B658" i="83"/>
  <c r="B659" i="83"/>
  <c r="B660" i="83"/>
  <c r="B661" i="83"/>
  <c r="B662" i="83"/>
  <c r="B663" i="83"/>
  <c r="B664" i="83"/>
  <c r="B665" i="83"/>
  <c r="B666" i="83"/>
  <c r="B667" i="83"/>
  <c r="B668" i="83"/>
  <c r="B669" i="83"/>
  <c r="B670" i="83"/>
  <c r="B671" i="83"/>
  <c r="B672" i="83"/>
  <c r="B673" i="83"/>
  <c r="B674" i="83"/>
  <c r="B675" i="83"/>
  <c r="B676" i="83"/>
  <c r="B677" i="83"/>
  <c r="B678" i="83"/>
  <c r="B679" i="83"/>
  <c r="B680" i="83"/>
  <c r="B681" i="83"/>
  <c r="B682" i="83"/>
  <c r="B683" i="83"/>
  <c r="B684" i="83"/>
  <c r="B685" i="83"/>
  <c r="B686" i="83"/>
  <c r="B687" i="83"/>
  <c r="B688" i="83"/>
  <c r="B689" i="83"/>
  <c r="B690" i="83"/>
  <c r="B691" i="83"/>
  <c r="B692" i="83"/>
  <c r="B693" i="83"/>
  <c r="B694" i="83"/>
  <c r="B695" i="83"/>
  <c r="B696" i="83"/>
  <c r="B697" i="83"/>
  <c r="B698" i="83"/>
  <c r="B699" i="83"/>
  <c r="B700" i="83"/>
  <c r="B701" i="83"/>
  <c r="B702" i="83"/>
  <c r="B703" i="83"/>
  <c r="B704" i="83"/>
  <c r="B705" i="83"/>
  <c r="B706" i="83"/>
  <c r="B707" i="83"/>
  <c r="B708" i="83"/>
  <c r="B709" i="83"/>
  <c r="B710" i="83"/>
  <c r="B711" i="83"/>
  <c r="B712" i="83"/>
  <c r="B713" i="83"/>
  <c r="B714" i="83"/>
  <c r="B715" i="83"/>
  <c r="B716" i="83"/>
  <c r="B717" i="83"/>
  <c r="B718" i="83"/>
  <c r="B719" i="83"/>
  <c r="B720" i="83"/>
  <c r="B721" i="83"/>
  <c r="B722" i="83"/>
  <c r="B723" i="83"/>
  <c r="B724" i="83"/>
  <c r="B725" i="83"/>
  <c r="B726" i="83"/>
  <c r="B727" i="83"/>
  <c r="B728" i="83"/>
  <c r="B729" i="83"/>
  <c r="B730" i="83"/>
  <c r="B731" i="83"/>
  <c r="B732" i="83"/>
  <c r="B733" i="83"/>
  <c r="B734" i="83"/>
  <c r="B735" i="83"/>
  <c r="B736" i="83"/>
  <c r="B737" i="83"/>
  <c r="B738" i="83"/>
  <c r="B739" i="83"/>
  <c r="B740" i="83"/>
  <c r="B741" i="83"/>
  <c r="B742" i="83"/>
  <c r="B743" i="83"/>
  <c r="B744" i="83"/>
  <c r="B745" i="83"/>
  <c r="B746" i="83"/>
  <c r="B747" i="83"/>
  <c r="B748" i="83"/>
  <c r="B749" i="83"/>
  <c r="B750" i="83"/>
  <c r="B751" i="83"/>
  <c r="B752" i="83"/>
  <c r="B753" i="83"/>
  <c r="B754" i="83"/>
  <c r="B755" i="83"/>
  <c r="B756" i="83"/>
  <c r="B757" i="83"/>
  <c r="B758" i="83"/>
  <c r="B759" i="83"/>
  <c r="B760" i="83"/>
  <c r="B761" i="83"/>
  <c r="B762" i="83"/>
  <c r="B763" i="83"/>
  <c r="B764" i="83"/>
  <c r="B765" i="83"/>
  <c r="B766" i="83"/>
  <c r="B767" i="83"/>
  <c r="B768" i="83"/>
  <c r="B769" i="83"/>
  <c r="B770" i="83"/>
  <c r="B771" i="83"/>
  <c r="B772" i="83"/>
  <c r="B773" i="83"/>
  <c r="B774" i="83"/>
  <c r="B775" i="83"/>
  <c r="B776" i="83"/>
  <c r="B777" i="83"/>
  <c r="B778" i="83"/>
  <c r="B779" i="83"/>
  <c r="B780" i="83"/>
  <c r="B781" i="83"/>
  <c r="B782" i="83"/>
  <c r="B783" i="83"/>
  <c r="B784" i="83"/>
  <c r="B785" i="83"/>
  <c r="B786" i="83"/>
  <c r="B787" i="83"/>
  <c r="B788" i="83"/>
  <c r="B789" i="83"/>
  <c r="B790" i="83"/>
  <c r="B791" i="83"/>
  <c r="B792" i="83"/>
  <c r="B793" i="83"/>
  <c r="B794" i="83"/>
  <c r="B795" i="83"/>
  <c r="B796" i="83"/>
  <c r="B797" i="83"/>
  <c r="B798" i="83"/>
  <c r="B799" i="83"/>
  <c r="B800" i="83"/>
  <c r="B801" i="83"/>
  <c r="B802" i="83"/>
  <c r="B803" i="83"/>
  <c r="B804" i="83"/>
  <c r="B805" i="83"/>
  <c r="B806" i="83"/>
  <c r="B807" i="83"/>
  <c r="B808" i="83"/>
  <c r="B809" i="83"/>
  <c r="B810" i="83"/>
  <c r="B811" i="83"/>
  <c r="B812" i="83"/>
  <c r="B813" i="83"/>
  <c r="B814" i="83"/>
  <c r="B815" i="83"/>
  <c r="B816" i="83"/>
  <c r="B817" i="83"/>
  <c r="B818" i="83"/>
  <c r="B819" i="83"/>
  <c r="B820" i="83"/>
  <c r="B821" i="83"/>
  <c r="B822" i="83"/>
  <c r="B823" i="83"/>
  <c r="B824" i="83"/>
  <c r="B825" i="83"/>
  <c r="B826" i="83"/>
  <c r="B827" i="83"/>
  <c r="B828" i="83"/>
  <c r="B829" i="83"/>
  <c r="B830" i="83"/>
  <c r="B831" i="83"/>
  <c r="B832" i="83"/>
  <c r="B833" i="83"/>
  <c r="B834" i="83"/>
  <c r="B835" i="83"/>
  <c r="B836" i="83"/>
  <c r="B837" i="83"/>
  <c r="B838" i="83"/>
  <c r="B839" i="83"/>
  <c r="B840" i="83"/>
  <c r="B841" i="83"/>
  <c r="B842" i="83"/>
  <c r="B843" i="83"/>
  <c r="B844" i="83"/>
  <c r="B845" i="83"/>
  <c r="B846" i="83"/>
  <c r="B847" i="83"/>
  <c r="B848" i="83"/>
  <c r="B849" i="83"/>
  <c r="B850" i="83"/>
  <c r="B851" i="83"/>
  <c r="B852" i="83"/>
  <c r="B853" i="83"/>
  <c r="B854" i="83"/>
  <c r="B855" i="83"/>
  <c r="B856" i="83"/>
  <c r="B857" i="83"/>
  <c r="B858" i="83"/>
  <c r="B859" i="83"/>
  <c r="B860" i="83"/>
  <c r="B861" i="83"/>
  <c r="B862" i="83"/>
  <c r="B863" i="83"/>
  <c r="B864" i="83"/>
  <c r="B865" i="83"/>
  <c r="B866" i="83"/>
  <c r="B867" i="83"/>
  <c r="B868" i="83"/>
  <c r="B869" i="83"/>
  <c r="B870" i="83"/>
  <c r="B871" i="83"/>
  <c r="B872" i="83"/>
  <c r="B873" i="83"/>
  <c r="B874" i="83"/>
  <c r="B875" i="83"/>
  <c r="B876" i="83"/>
  <c r="B877" i="83"/>
  <c r="B878" i="83"/>
  <c r="B879" i="83"/>
  <c r="B880" i="83"/>
  <c r="B881" i="83"/>
  <c r="B882" i="83"/>
  <c r="B883" i="83"/>
  <c r="B884" i="83"/>
  <c r="B885" i="83"/>
  <c r="B886" i="83"/>
  <c r="B887" i="83"/>
  <c r="B888" i="83"/>
  <c r="B889" i="83"/>
  <c r="B890" i="83"/>
  <c r="B891" i="83"/>
  <c r="B892" i="83"/>
  <c r="B893" i="83"/>
  <c r="B894" i="83"/>
  <c r="B895" i="83"/>
  <c r="B896" i="83"/>
  <c r="B897" i="83"/>
  <c r="B898" i="83"/>
  <c r="B899" i="83"/>
  <c r="B900" i="83"/>
  <c r="B901" i="83"/>
  <c r="B902" i="83"/>
  <c r="B903" i="83"/>
  <c r="B904" i="83"/>
  <c r="B905" i="83"/>
  <c r="B906" i="83"/>
  <c r="B907" i="83"/>
  <c r="B908" i="83"/>
  <c r="B909" i="83"/>
  <c r="B910" i="83"/>
  <c r="B911" i="83"/>
  <c r="B912" i="83"/>
  <c r="B913" i="83"/>
  <c r="B914" i="83"/>
  <c r="B915" i="83"/>
  <c r="B916" i="83"/>
  <c r="B917" i="83"/>
  <c r="B918" i="83"/>
  <c r="B919" i="83"/>
  <c r="B920" i="83"/>
  <c r="B921" i="83"/>
  <c r="B922" i="83"/>
  <c r="B923" i="83"/>
  <c r="B924" i="83"/>
  <c r="B925" i="83"/>
  <c r="B926" i="83"/>
  <c r="B927" i="83"/>
  <c r="B928" i="83"/>
  <c r="B929" i="83"/>
  <c r="B930" i="83"/>
  <c r="B931" i="83"/>
  <c r="B932" i="83"/>
  <c r="B933" i="83"/>
  <c r="B934" i="83"/>
  <c r="B935" i="83"/>
  <c r="B936" i="83"/>
  <c r="B937" i="83"/>
  <c r="B938" i="83"/>
  <c r="B939" i="83"/>
  <c r="B940" i="83"/>
  <c r="B941" i="83"/>
  <c r="B942" i="83"/>
  <c r="B943" i="83"/>
  <c r="B944" i="83"/>
  <c r="B945" i="83"/>
  <c r="B946" i="83"/>
  <c r="B947" i="83"/>
  <c r="B948" i="83"/>
  <c r="B949" i="83"/>
  <c r="B950" i="83"/>
  <c r="B951" i="83"/>
  <c r="B952" i="83"/>
  <c r="B953" i="83"/>
  <c r="B954" i="83"/>
  <c r="B955" i="83"/>
  <c r="B956" i="83"/>
  <c r="B957" i="83"/>
  <c r="B958" i="83"/>
  <c r="B959" i="83"/>
  <c r="B960" i="83"/>
  <c r="B961" i="83"/>
  <c r="B962" i="83"/>
  <c r="B963" i="83"/>
  <c r="B964" i="83"/>
  <c r="B965" i="83"/>
  <c r="B966" i="83"/>
  <c r="B967" i="83"/>
  <c r="B968" i="83"/>
  <c r="B969" i="83"/>
  <c r="B970" i="83"/>
  <c r="B971" i="83"/>
  <c r="B972" i="83"/>
  <c r="B973" i="83"/>
  <c r="B974" i="83"/>
  <c r="B975" i="83"/>
  <c r="B976" i="83"/>
  <c r="B977" i="83"/>
  <c r="B978" i="83"/>
  <c r="B979" i="83"/>
  <c r="B980" i="83"/>
  <c r="B981" i="83"/>
  <c r="B982" i="83"/>
  <c r="B983" i="83"/>
  <c r="B984" i="83"/>
  <c r="B985" i="83"/>
  <c r="B986" i="83"/>
  <c r="B987" i="83"/>
  <c r="B988" i="83"/>
  <c r="B989" i="83"/>
  <c r="B990" i="83"/>
  <c r="B991" i="83"/>
  <c r="B992" i="83"/>
  <c r="B993" i="83"/>
  <c r="B994" i="83"/>
  <c r="B995" i="83"/>
  <c r="B996" i="83"/>
  <c r="B997" i="83"/>
  <c r="B998" i="83"/>
  <c r="B999" i="83"/>
  <c r="B1000" i="83"/>
  <c r="B1001" i="83"/>
  <c r="B1002" i="83"/>
  <c r="C3" i="83"/>
  <c r="B3" i="83" s="1"/>
  <c r="C3" i="84"/>
  <c r="B3" i="84" s="1"/>
  <c r="E8" i="82" a="1"/>
  <c r="E8" i="82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E7" i="86"/>
  <c r="K3" i="86" s="1"/>
  <c r="F7" i="86"/>
  <c r="J3" i="86" s="1"/>
  <c r="E7" i="85"/>
  <c r="F7" i="85"/>
  <c r="E7" i="83"/>
  <c r="K3" i="83" s="1"/>
  <c r="F7" i="83"/>
  <c r="J3" i="83" s="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F10" i="85"/>
  <c r="J3" i="85" s="1"/>
  <c r="E10" i="85"/>
  <c r="K3" i="85" s="1"/>
  <c r="E8" i="32" a="1"/>
  <c r="E8" i="3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<sst xmlns="http://schemas.openxmlformats.org/spreadsheetml/2006/main" count="16359" uniqueCount="139">
  <si>
    <t>Visualize your answer here.</t>
  </si>
  <si>
    <t>Learning Curve plot</t>
  </si>
  <si>
    <t>With a dataset of your choice and using Excel, R, Python, or Matlab …</t>
  </si>
  <si>
    <t>Code or Excel work</t>
  </si>
  <si>
    <t>Visualization of the forecast</t>
  </si>
  <si>
    <t>KNN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</si>
  <si>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</si>
  <si>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</si>
  <si>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</si>
  <si>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</si>
  <si>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</si>
  <si>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</si>
  <si>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</si>
  <si>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</si>
  <si>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</si>
  <si>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</si>
  <si>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</si>
  <si>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</si>
  <si>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</si>
  <si>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</si>
  <si>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</si>
  <si>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</si>
  <si>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</si>
  <si>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</si>
  <si>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</si>
  <si>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</si>
  <si>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</si>
  <si>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Take two steps from any starting place.</t>
  </si>
  <si>
    <t>Display the following below.</t>
  </si>
  <si>
    <t>Table of AICs and variables</t>
  </si>
  <si>
    <t>Perform a stepwise logistic regression.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</si>
  <si>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</si>
  <si>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</si>
  <si>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</si>
  <si>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</si>
  <si>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</si>
  <si>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</si>
  <si>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</si>
  <si>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</si>
  <si>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</si>
  <si>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</si>
  <si>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</si>
  <si>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ROC_Generator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</si>
  <si>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</si>
  <si>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</si>
  <si>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</si>
  <si>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</si>
  <si>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</si>
  <si>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</si>
  <si>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</si>
  <si>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</si>
  <si>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</si>
  <si>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</si>
  <si>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</si>
  <si>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</si>
  <si>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</si>
  <si>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</si>
  <si>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</si>
  <si>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</si>
  <si>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</si>
  <si>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</si>
  <si>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</si>
  <si>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</si>
  <si>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</si>
  <si>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</si>
  <si>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</si>
  <si>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</si>
  <si>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</si>
  <si>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</si>
  <si>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</si>
  <si>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</si>
  <si>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</si>
  <si>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</si>
  <si>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</si>
  <si>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</si>
  <si>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</si>
  <si>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</si>
  <si>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</si>
  <si>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</si>
  <si>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</si>
  <si>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Categorical data</t>
  </si>
  <si>
    <t>Missing data</t>
  </si>
  <si>
    <t>a</t>
  </si>
  <si>
    <t>t</t>
  </si>
  <si>
    <t>X1</t>
  </si>
  <si>
    <t>X2</t>
  </si>
  <si>
    <t>X3</t>
  </si>
  <si>
    <t>X4</t>
  </si>
  <si>
    <t>X5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</si>
  <si>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</si>
  <si>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</si>
  <si>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</si>
  <si>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</si>
  <si>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</si>
  <si>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</si>
  <si>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</si>
  <si>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</si>
  <si>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</si>
  <si>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</si>
  <si>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</si>
  <si>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</si>
  <si>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</si>
  <si>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Find the best k insample</t>
  </si>
  <si>
    <t>Use the same k for your out of sample data set.</t>
  </si>
  <si>
    <t>Impute missing Values for both in-sample and out-of-sample data.</t>
  </si>
  <si>
    <t>Predict a categorical variable using KNN or Logistic Regression.</t>
  </si>
  <si>
    <t>Manually create an RoC Curve in Excel or in code.</t>
  </si>
  <si>
    <t>Your answer should include in this page.</t>
  </si>
  <si>
    <t>RoC Curve</t>
  </si>
  <si>
    <t>Fit a regression model to the data below</t>
  </si>
  <si>
    <t xml:space="preserve"> </t>
  </si>
  <si>
    <t>A display of the beta's</t>
  </si>
  <si>
    <t>DiffB0_SameB1</t>
  </si>
  <si>
    <t>SameB0_DiffB1</t>
  </si>
  <si>
    <t>DiffB0_Diff_B1</t>
  </si>
  <si>
    <t>Character_Factor</t>
  </si>
  <si>
    <t>Indicators</t>
  </si>
  <si>
    <t>Interaction1</t>
  </si>
  <si>
    <t>Interaction2</t>
  </si>
  <si>
    <t>VIM</t>
  </si>
  <si>
    <t>MICE</t>
  </si>
  <si>
    <t>Setup</t>
  </si>
  <si>
    <t>Matrices</t>
  </si>
  <si>
    <t>L2</t>
  </si>
  <si>
    <t>L1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</si>
  <si>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</si>
  <si>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</si>
  <si>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</si>
  <si>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</si>
  <si>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</si>
  <si>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</si>
  <si>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</si>
  <si>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</si>
  <si>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Mising Data</t>
  </si>
  <si>
    <t>Regression 1</t>
  </si>
  <si>
    <t>Regression 2</t>
  </si>
  <si>
    <t>Regression 3</t>
  </si>
  <si>
    <t>Question</t>
  </si>
  <si>
    <t>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</si>
</sst>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2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0" fontId="0" fillId="2" borderId="0" xfId="0" applyFont="1" applyFill="1"/>
    <xf numFmtId="9" fontId="0" fillId="2" borderId="0" xfId="5" applyFont="1" applyFill="1"/>
    <xf numFmtId="9" fontId="0" fillId="2" borderId="0" xfId="0" applyNumberFormat="1" applyFont="1" applyFill="1"/>
    <xf numFmtId="0" fontId="0" fillId="2" borderId="0" xfId="0" applyFont="1" applyFill="1" applyAlignment="1">
      <alignment horizontal="right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0" fillId="5" borderId="0" xfId="0" applyFont="1" applyFill="1"/>
    <xf numFmtId="9" fontId="0" fillId="5" borderId="0" xfId="0" applyNumberFormat="1" applyFont="1" applyFill="1"/>
    <xf numFmtId="9" fontId="0" fillId="6" borderId="0" xfId="5" applyFont="1" applyFill="1"/>
    <xf numFmtId="0" fontId="1" fillId="3" borderId="0" xfId="4" applyFont="1" applyFill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164" fontId="0" fillId="6" borderId="0" xfId="0" applyNumberFormat="1" applyFill="1" applyAlignment="1">
      <alignment horizontal="center"/>
    </xf>
    <xf numFmtId="0" fontId="11" fillId="2" borderId="0" xfId="0" applyFont="1" applyFill="1"/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63" Type="http://schemas.openxmlformats.org/officeDocument/2006/relationships/externalLink" Target="externalLinks/externalLink19.xml"/><Relationship Id="rId6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externalLink" Target="externalLinks/externalLink9.xml"/><Relationship Id="rId58" Type="http://schemas.openxmlformats.org/officeDocument/2006/relationships/externalLink" Target="externalLinks/externalLink14.xml"/><Relationship Id="rId66" Type="http://schemas.openxmlformats.org/officeDocument/2006/relationships/externalLink" Target="externalLinks/externalLink22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56" Type="http://schemas.openxmlformats.org/officeDocument/2006/relationships/externalLink" Target="externalLinks/externalLink12.xml"/><Relationship Id="rId64" Type="http://schemas.openxmlformats.org/officeDocument/2006/relationships/externalLink" Target="externalLinks/externalLink20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7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59" Type="http://schemas.openxmlformats.org/officeDocument/2006/relationships/externalLink" Target="externalLinks/externalLink15.xml"/><Relationship Id="rId67" Type="http://schemas.openxmlformats.org/officeDocument/2006/relationships/externalLink" Target="externalLinks/externalLink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0.xml"/><Relationship Id="rId62" Type="http://schemas.openxmlformats.org/officeDocument/2006/relationships/externalLink" Target="externalLinks/externalLink18.xml"/><Relationship Id="rId7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Relationship Id="rId57" Type="http://schemas.openxmlformats.org/officeDocument/2006/relationships/externalLink" Target="externalLinks/externalLink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8.xml"/><Relationship Id="rId60" Type="http://schemas.openxmlformats.org/officeDocument/2006/relationships/externalLink" Target="externalLinks/externalLink16.xml"/><Relationship Id="rId65" Type="http://schemas.openxmlformats.org/officeDocument/2006/relationships/externalLink" Target="externalLinks/externalLink21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6.xml"/><Relationship Id="rId55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71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DiffB0_SameB1!$C$4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DiffB0_SameB1!$C$5:$C$34</c:f>
              <c:numCache>
                <c:formatCode>0.0</c:formatCode>
                <c:ptCount val="30"/>
                <c:pt idx="0">
                  <c:v>8.2420634163637185</c:v>
                </c:pt>
                <c:pt idx="1">
                  <c:v>16.9960328016723</c:v>
                </c:pt>
                <c:pt idx="2">
                  <c:v>14.173153062827859</c:v>
                </c:pt>
                <c:pt idx="3">
                  <c:v>16.575973926396181</c:v>
                </c:pt>
                <c:pt idx="4">
                  <c:v>23.467396735236569</c:v>
                </c:pt>
                <c:pt idx="5">
                  <c:v>15.512134347674195</c:v>
                </c:pt>
                <c:pt idx="6">
                  <c:v>14.548501234168421</c:v>
                </c:pt>
                <c:pt idx="7">
                  <c:v>18.313342454543175</c:v>
                </c:pt>
                <c:pt idx="8">
                  <c:v>23.704375373063677</c:v>
                </c:pt>
                <c:pt idx="9">
                  <c:v>23.142873759351332</c:v>
                </c:pt>
                <c:pt idx="10">
                  <c:v>20.407160423460365</c:v>
                </c:pt>
                <c:pt idx="11">
                  <c:v>24.712860289611264</c:v>
                </c:pt>
                <c:pt idx="12">
                  <c:v>23.106124847812662</c:v>
                </c:pt>
                <c:pt idx="13">
                  <c:v>25.620387596145033</c:v>
                </c:pt>
                <c:pt idx="14">
                  <c:v>19.568392557245687</c:v>
                </c:pt>
                <c:pt idx="15">
                  <c:v>28.993325146274628</c:v>
                </c:pt>
                <c:pt idx="16">
                  <c:v>28.954198489760696</c:v>
                </c:pt>
                <c:pt idx="17">
                  <c:v>24.576565330059623</c:v>
                </c:pt>
                <c:pt idx="18">
                  <c:v>19.132205931694408</c:v>
                </c:pt>
                <c:pt idx="19">
                  <c:v>31.810070574973519</c:v>
                </c:pt>
                <c:pt idx="20">
                  <c:v>35.084992170570708</c:v>
                </c:pt>
                <c:pt idx="21">
                  <c:v>27.798670210434437</c:v>
                </c:pt>
                <c:pt idx="22">
                  <c:v>40.472593881977929</c:v>
                </c:pt>
                <c:pt idx="23">
                  <c:v>31.993748440043746</c:v>
                </c:pt>
                <c:pt idx="24">
                  <c:v>33.530712021513786</c:v>
                </c:pt>
                <c:pt idx="25">
                  <c:v>37.535914753716803</c:v>
                </c:pt>
                <c:pt idx="26">
                  <c:v>42.014036131341172</c:v>
                </c:pt>
                <c:pt idx="27">
                  <c:v>32.124229881125473</c:v>
                </c:pt>
                <c:pt idx="28">
                  <c:v>38.851735494032972</c:v>
                </c:pt>
                <c:pt idx="29">
                  <c:v>38.295118638778149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2-3748-873B-1216D2F75A4D}"/>
            </c:ext>
          </c:extLst>
        </c:ser>
        <c:ser>
          <c:idx val="1"/>
          <c:order val="1"/>
          <c:tx>
            <c:strRef>
              <c:f>DiffB0_SameB1!$D$4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DiffB0_SameB1!$D$5:$D$34</c:f>
              <c:numCache>
                <c:formatCode>0.0</c:formatCode>
                <c:ptCount val="30"/>
                <c:pt idx="0">
                  <c:v>17.736249922889424</c:v>
                </c:pt>
                <c:pt idx="1">
                  <c:v>22.804602660008019</c:v>
                </c:pt>
                <c:pt idx="2">
                  <c:v>20.109347863240529</c:v>
                </c:pt>
                <c:pt idx="3">
                  <c:v>14.949165391627455</c:v>
                </c:pt>
                <c:pt idx="4">
                  <c:v>28.288328553490679</c:v>
                </c:pt>
                <c:pt idx="5">
                  <c:v>28.191940182353399</c:v>
                </c:pt>
                <c:pt idx="6">
                  <c:v>32.608547273951167</c:v>
                </c:pt>
                <c:pt idx="7">
                  <c:v>28.381071920155961</c:v>
                </c:pt>
                <c:pt idx="8">
                  <c:v>27.7818764620928</c:v>
                </c:pt>
                <c:pt idx="9">
                  <c:v>29.586812890311496</c:v>
                </c:pt>
                <c:pt idx="10">
                  <c:v>41.480368988267287</c:v>
                </c:pt>
                <c:pt idx="11">
                  <c:v>25.791086463403389</c:v>
                </c:pt>
                <c:pt idx="12">
                  <c:v>26.081158006179798</c:v>
                </c:pt>
                <c:pt idx="13">
                  <c:v>40.102186410032438</c:v>
                </c:pt>
                <c:pt idx="14">
                  <c:v>37.567015708608722</c:v>
                </c:pt>
                <c:pt idx="15">
                  <c:v>31.022292718131887</c:v>
                </c:pt>
                <c:pt idx="16">
                  <c:v>32.407813019802788</c:v>
                </c:pt>
                <c:pt idx="17">
                  <c:v>37.815378690469899</c:v>
                </c:pt>
                <c:pt idx="18">
                  <c:v>35.930469639445555</c:v>
                </c:pt>
                <c:pt idx="19">
                  <c:v>42.555362279001535</c:v>
                </c:pt>
                <c:pt idx="20">
                  <c:v>36.59667955880029</c:v>
                </c:pt>
                <c:pt idx="21">
                  <c:v>43.316598557557661</c:v>
                </c:pt>
                <c:pt idx="22">
                  <c:v>38.752872592751402</c:v>
                </c:pt>
                <c:pt idx="23">
                  <c:v>41.357534407342236</c:v>
                </c:pt>
                <c:pt idx="24">
                  <c:v>49.015101534443644</c:v>
                </c:pt>
                <c:pt idx="25">
                  <c:v>47.051853512626082</c:v>
                </c:pt>
                <c:pt idx="26">
                  <c:v>51.119462751611636</c:v>
                </c:pt>
                <c:pt idx="27">
                  <c:v>50.66722190963344</c:v>
                </c:pt>
                <c:pt idx="28">
                  <c:v>51.958556651063866</c:v>
                </c:pt>
                <c:pt idx="29">
                  <c:v>47.804049177993619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C2-3748-873B-1216D2F75A4D}"/>
            </c:ext>
          </c:extLst>
        </c:ser>
        <c:ser>
          <c:idx val="2"/>
          <c:order val="2"/>
          <c:tx>
            <c:strRef>
              <c:f>DiffB0_SameB1!$E$4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DiffB0_SameB1!$E$5:$E$34</c:f>
              <c:numCache>
                <c:formatCode>0.0</c:formatCode>
                <c:ptCount val="30"/>
                <c:pt idx="0">
                  <c:v>30.62280798932672</c:v>
                </c:pt>
                <c:pt idx="1">
                  <c:v>38.515770977878169</c:v>
                </c:pt>
                <c:pt idx="2">
                  <c:v>32.999775669533513</c:v>
                </c:pt>
                <c:pt idx="3">
                  <c:v>33.249383839764114</c:v>
                </c:pt>
                <c:pt idx="4">
                  <c:v>34.508169815915529</c:v>
                </c:pt>
                <c:pt idx="5">
                  <c:v>30.286723119356321</c:v>
                </c:pt>
                <c:pt idx="6">
                  <c:v>31.156472892855739</c:v>
                </c:pt>
                <c:pt idx="7">
                  <c:v>40.778547491866249</c:v>
                </c:pt>
                <c:pt idx="8">
                  <c:v>35.504241992328367</c:v>
                </c:pt>
                <c:pt idx="9">
                  <c:v>41.798305377902551</c:v>
                </c:pt>
                <c:pt idx="10">
                  <c:v>44.726678614937008</c:v>
                </c:pt>
                <c:pt idx="11">
                  <c:v>41.396828664681024</c:v>
                </c:pt>
                <c:pt idx="12">
                  <c:v>43.584314005553203</c:v>
                </c:pt>
                <c:pt idx="13">
                  <c:v>41.077006662473885</c:v>
                </c:pt>
                <c:pt idx="14">
                  <c:v>40.996815842577348</c:v>
                </c:pt>
                <c:pt idx="15">
                  <c:v>50.778329511365563</c:v>
                </c:pt>
                <c:pt idx="16">
                  <c:v>51.240975640226559</c:v>
                </c:pt>
                <c:pt idx="17">
                  <c:v>53.217189484661148</c:v>
                </c:pt>
                <c:pt idx="18">
                  <c:v>49.000116354405705</c:v>
                </c:pt>
                <c:pt idx="19">
                  <c:v>52.016939607154427</c:v>
                </c:pt>
                <c:pt idx="20">
                  <c:v>48.022549314238319</c:v>
                </c:pt>
                <c:pt idx="21">
                  <c:v>44.105044868051408</c:v>
                </c:pt>
                <c:pt idx="22">
                  <c:v>58.021023260882245</c:v>
                </c:pt>
                <c:pt idx="23">
                  <c:v>54.753263910462564</c:v>
                </c:pt>
                <c:pt idx="24">
                  <c:v>57.271357025379288</c:v>
                </c:pt>
                <c:pt idx="25">
                  <c:v>60.715009712389048</c:v>
                </c:pt>
                <c:pt idx="26">
                  <c:v>61.037150939579689</c:v>
                </c:pt>
                <c:pt idx="27">
                  <c:v>63.091703242867432</c:v>
                </c:pt>
                <c:pt idx="28">
                  <c:v>55.197543188301296</c:v>
                </c:pt>
                <c:pt idx="29">
                  <c:v>61.834941839063397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C2-3748-873B-1216D2F75A4D}"/>
            </c:ext>
          </c:extLst>
        </c:ser>
        <c:ser>
          <c:idx val="3"/>
          <c:order val="3"/>
          <c:tx>
            <c:strRef>
              <c:f>DiffB0_SameB1!$F$4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DiffB0_SameB1!$F$5:$F$34</c:f>
              <c:numCache>
                <c:formatCode>0.0</c:formatCode>
                <c:ptCount val="30"/>
                <c:pt idx="0">
                  <c:v>39.944073132796554</c:v>
                </c:pt>
                <c:pt idx="1">
                  <c:v>35.00352556944793</c:v>
                </c:pt>
                <c:pt idx="2">
                  <c:v>38.986537117126822</c:v>
                </c:pt>
                <c:pt idx="3">
                  <c:v>44.476252539612474</c:v>
                </c:pt>
                <c:pt idx="4">
                  <c:v>51.825651396103083</c:v>
                </c:pt>
                <c:pt idx="5">
                  <c:v>46.337313517299634</c:v>
                </c:pt>
                <c:pt idx="6">
                  <c:v>40.034698641091033</c:v>
                </c:pt>
                <c:pt idx="7">
                  <c:v>48.993064230127032</c:v>
                </c:pt>
                <c:pt idx="8">
                  <c:v>51.572298105737438</c:v>
                </c:pt>
                <c:pt idx="9">
                  <c:v>45.080698613089702</c:v>
                </c:pt>
                <c:pt idx="10">
                  <c:v>48.753084285568441</c:v>
                </c:pt>
                <c:pt idx="11">
                  <c:v>49.834457609132656</c:v>
                </c:pt>
                <c:pt idx="12">
                  <c:v>40.832229714339846</c:v>
                </c:pt>
                <c:pt idx="13">
                  <c:v>49.045136896511266</c:v>
                </c:pt>
                <c:pt idx="14">
                  <c:v>49.485439132856989</c:v>
                </c:pt>
                <c:pt idx="15">
                  <c:v>55.609553733387827</c:v>
                </c:pt>
                <c:pt idx="16">
                  <c:v>49.81323551985615</c:v>
                </c:pt>
                <c:pt idx="17">
                  <c:v>58.920942478244015</c:v>
                </c:pt>
                <c:pt idx="18">
                  <c:v>57.195417295381112</c:v>
                </c:pt>
                <c:pt idx="19">
                  <c:v>57.500401516194749</c:v>
                </c:pt>
                <c:pt idx="20">
                  <c:v>64.512229913099446</c:v>
                </c:pt>
                <c:pt idx="21">
                  <c:v>60.020242637559477</c:v>
                </c:pt>
                <c:pt idx="22">
                  <c:v>52.41632511805885</c:v>
                </c:pt>
                <c:pt idx="23">
                  <c:v>55.116204479161247</c:v>
                </c:pt>
                <c:pt idx="24">
                  <c:v>63.556036841890851</c:v>
                </c:pt>
                <c:pt idx="25">
                  <c:v>62.402067213968778</c:v>
                </c:pt>
                <c:pt idx="26">
                  <c:v>68.119036994916115</c:v>
                </c:pt>
                <c:pt idx="27">
                  <c:v>67.170979094246263</c:v>
                </c:pt>
                <c:pt idx="28">
                  <c:v>67.765105502979068</c:v>
                </c:pt>
                <c:pt idx="29">
                  <c:v>69.499541414285829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C2-3748-873B-1216D2F75A4D}"/>
            </c:ext>
          </c:extLst>
        </c:ser>
        <c:ser>
          <c:idx val="4"/>
          <c:order val="4"/>
          <c:tx>
            <c:strRef>
              <c:f>DiffB0_SameB1!$G$4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DiffB0_SameB1!$G$5:$G$34</c:f>
              <c:numCache>
                <c:formatCode>0.0</c:formatCode>
                <c:ptCount val="30"/>
                <c:pt idx="0">
                  <c:v>47.013054647062106</c:v>
                </c:pt>
                <c:pt idx="1">
                  <c:v>54.49967700835149</c:v>
                </c:pt>
                <c:pt idx="2">
                  <c:v>53.129701266081092</c:v>
                </c:pt>
                <c:pt idx="3">
                  <c:v>53.458291472278276</c:v>
                </c:pt>
                <c:pt idx="4">
                  <c:v>42.902421196825145</c:v>
                </c:pt>
                <c:pt idx="5">
                  <c:v>55.478021977156679</c:v>
                </c:pt>
                <c:pt idx="6">
                  <c:v>60.023680982612078</c:v>
                </c:pt>
                <c:pt idx="7">
                  <c:v>62.12497183604259</c:v>
                </c:pt>
                <c:pt idx="8">
                  <c:v>60.719105299056686</c:v>
                </c:pt>
                <c:pt idx="9">
                  <c:v>65.569691763558026</c:v>
                </c:pt>
                <c:pt idx="10">
                  <c:v>55.953731338965987</c:v>
                </c:pt>
                <c:pt idx="11">
                  <c:v>62.762484825644165</c:v>
                </c:pt>
                <c:pt idx="12">
                  <c:v>65.691805867623927</c:v>
                </c:pt>
                <c:pt idx="13">
                  <c:v>61.541003852026307</c:v>
                </c:pt>
                <c:pt idx="14">
                  <c:v>66.429666290883063</c:v>
                </c:pt>
                <c:pt idx="15">
                  <c:v>62.225719889323429</c:v>
                </c:pt>
                <c:pt idx="16">
                  <c:v>72.535097576963892</c:v>
                </c:pt>
                <c:pt idx="17">
                  <c:v>75.476555307226619</c:v>
                </c:pt>
                <c:pt idx="18">
                  <c:v>71.88061531728323</c:v>
                </c:pt>
                <c:pt idx="19">
                  <c:v>70.328197036806387</c:v>
                </c:pt>
                <c:pt idx="20">
                  <c:v>74.486759781118934</c:v>
                </c:pt>
                <c:pt idx="21">
                  <c:v>72.614755896428363</c:v>
                </c:pt>
                <c:pt idx="22">
                  <c:v>72.221566199701826</c:v>
                </c:pt>
                <c:pt idx="23">
                  <c:v>73.368293599998921</c:v>
                </c:pt>
                <c:pt idx="24">
                  <c:v>74.458290421870714</c:v>
                </c:pt>
                <c:pt idx="25">
                  <c:v>74.413998834413803</c:v>
                </c:pt>
                <c:pt idx="26">
                  <c:v>75.025387460724815</c:v>
                </c:pt>
                <c:pt idx="27">
                  <c:v>79.904362097219192</c:v>
                </c:pt>
                <c:pt idx="28">
                  <c:v>84.109402600326916</c:v>
                </c:pt>
                <c:pt idx="29">
                  <c:v>80.412305925650443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C2-3748-873B-1216D2F75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SameB0_DiffB1!$C$4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SameB0_DiffB1!$C$5:$C$34</c:f>
              <c:numCache>
                <c:formatCode>0.0</c:formatCode>
                <c:ptCount val="30"/>
                <c:pt idx="0">
                  <c:v>2.883913229443861</c:v>
                </c:pt>
                <c:pt idx="1">
                  <c:v>-2.2905539327925197</c:v>
                </c:pt>
                <c:pt idx="2">
                  <c:v>3.7664477969434027</c:v>
                </c:pt>
                <c:pt idx="3">
                  <c:v>13.148626769631562</c:v>
                </c:pt>
                <c:pt idx="4">
                  <c:v>-1.2198873108380717</c:v>
                </c:pt>
                <c:pt idx="5">
                  <c:v>8.4216804596343664</c:v>
                </c:pt>
                <c:pt idx="6">
                  <c:v>15.727607307492235</c:v>
                </c:pt>
                <c:pt idx="7">
                  <c:v>6.4041940352701978</c:v>
                </c:pt>
                <c:pt idx="8">
                  <c:v>15.823753649800432</c:v>
                </c:pt>
                <c:pt idx="9">
                  <c:v>14.496025145932457</c:v>
                </c:pt>
                <c:pt idx="10">
                  <c:v>-0.34213516307331204</c:v>
                </c:pt>
                <c:pt idx="11">
                  <c:v>9.7132445804687713</c:v>
                </c:pt>
                <c:pt idx="12">
                  <c:v>10.433899547009073</c:v>
                </c:pt>
                <c:pt idx="13">
                  <c:v>15.117448146128526</c:v>
                </c:pt>
                <c:pt idx="14">
                  <c:v>19.920234220064259</c:v>
                </c:pt>
                <c:pt idx="15">
                  <c:v>25.511997466916057</c:v>
                </c:pt>
                <c:pt idx="16">
                  <c:v>24.491587216555835</c:v>
                </c:pt>
                <c:pt idx="17">
                  <c:v>24.208250723497645</c:v>
                </c:pt>
                <c:pt idx="18">
                  <c:v>24.344890212345231</c:v>
                </c:pt>
                <c:pt idx="19">
                  <c:v>25.113006394998749</c:v>
                </c:pt>
                <c:pt idx="20">
                  <c:v>24.530563310479891</c:v>
                </c:pt>
                <c:pt idx="21">
                  <c:v>29.693094386129303</c:v>
                </c:pt>
                <c:pt idx="22">
                  <c:v>37.159900902815274</c:v>
                </c:pt>
                <c:pt idx="23">
                  <c:v>33.628343936593801</c:v>
                </c:pt>
                <c:pt idx="24">
                  <c:v>30.004660325724416</c:v>
                </c:pt>
                <c:pt idx="25">
                  <c:v>29.614595058854089</c:v>
                </c:pt>
                <c:pt idx="26">
                  <c:v>32.633951121657759</c:v>
                </c:pt>
                <c:pt idx="27">
                  <c:v>33.249126864260823</c:v>
                </c:pt>
                <c:pt idx="28">
                  <c:v>32.935694737234982</c:v>
                </c:pt>
                <c:pt idx="29">
                  <c:v>34.647789685350311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8-B440-93DD-283E912CC8DD}"/>
            </c:ext>
          </c:extLst>
        </c:ser>
        <c:ser>
          <c:idx val="1"/>
          <c:order val="1"/>
          <c:tx>
            <c:strRef>
              <c:f>SameB0_DiffB1!$D$4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SameB0_DiffB1!$D$5:$D$34</c:f>
              <c:numCache>
                <c:formatCode>0.0</c:formatCode>
                <c:ptCount val="30"/>
                <c:pt idx="0">
                  <c:v>6.5227531937999483</c:v>
                </c:pt>
                <c:pt idx="1">
                  <c:v>5.0434923743451581</c:v>
                </c:pt>
                <c:pt idx="2">
                  <c:v>-2.8292633861195249</c:v>
                </c:pt>
                <c:pt idx="3">
                  <c:v>3.1771291349764734</c:v>
                </c:pt>
                <c:pt idx="4">
                  <c:v>15.981748009498155</c:v>
                </c:pt>
                <c:pt idx="5">
                  <c:v>19.685028775108485</c:v>
                </c:pt>
                <c:pt idx="6">
                  <c:v>10.459981007927791</c:v>
                </c:pt>
                <c:pt idx="7">
                  <c:v>13.277379735531955</c:v>
                </c:pt>
                <c:pt idx="8">
                  <c:v>25.532215624634173</c:v>
                </c:pt>
                <c:pt idx="9">
                  <c:v>26.743247682877012</c:v>
                </c:pt>
                <c:pt idx="10">
                  <c:v>29.241449219587487</c:v>
                </c:pt>
                <c:pt idx="11">
                  <c:v>30.27552871874104</c:v>
                </c:pt>
                <c:pt idx="12">
                  <c:v>29.553216769251211</c:v>
                </c:pt>
                <c:pt idx="13">
                  <c:v>38.488831904109098</c:v>
                </c:pt>
                <c:pt idx="14">
                  <c:v>30.016615123485504</c:v>
                </c:pt>
                <c:pt idx="15">
                  <c:v>34.929829604429109</c:v>
                </c:pt>
                <c:pt idx="16">
                  <c:v>30.276067696800091</c:v>
                </c:pt>
                <c:pt idx="17">
                  <c:v>36.979818169401135</c:v>
                </c:pt>
                <c:pt idx="18">
                  <c:v>37.253247989280901</c:v>
                </c:pt>
                <c:pt idx="19">
                  <c:v>42.656863773343417</c:v>
                </c:pt>
                <c:pt idx="20">
                  <c:v>37.497569032328485</c:v>
                </c:pt>
                <c:pt idx="21">
                  <c:v>51.715734577220118</c:v>
                </c:pt>
                <c:pt idx="22">
                  <c:v>40.515452056174553</c:v>
                </c:pt>
                <c:pt idx="23">
                  <c:v>46.654503251935893</c:v>
                </c:pt>
                <c:pt idx="24">
                  <c:v>50.26788014105253</c:v>
                </c:pt>
                <c:pt idx="25">
                  <c:v>49.782307167816356</c:v>
                </c:pt>
                <c:pt idx="26">
                  <c:v>51.661835854802064</c:v>
                </c:pt>
                <c:pt idx="27">
                  <c:v>65.503258220436507</c:v>
                </c:pt>
                <c:pt idx="28">
                  <c:v>65.734159277288398</c:v>
                </c:pt>
                <c:pt idx="29">
                  <c:v>62.390885849929454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88-B440-93DD-283E912CC8DD}"/>
            </c:ext>
          </c:extLst>
        </c:ser>
        <c:ser>
          <c:idx val="2"/>
          <c:order val="2"/>
          <c:tx>
            <c:strRef>
              <c:f>SameB0_DiffB1!$E$4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SameB0_DiffB1!$E$5:$E$34</c:f>
              <c:numCache>
                <c:formatCode>0.0</c:formatCode>
                <c:ptCount val="30"/>
                <c:pt idx="0">
                  <c:v>3.0578455351473384</c:v>
                </c:pt>
                <c:pt idx="1">
                  <c:v>18.058306947877266</c:v>
                </c:pt>
                <c:pt idx="2">
                  <c:v>13.442212100339047</c:v>
                </c:pt>
                <c:pt idx="3">
                  <c:v>-0.62295914989647905</c:v>
                </c:pt>
                <c:pt idx="4">
                  <c:v>9.8909836302140199</c:v>
                </c:pt>
                <c:pt idx="5">
                  <c:v>24.169082841878751</c:v>
                </c:pt>
                <c:pt idx="6">
                  <c:v>14.488519799158214</c:v>
                </c:pt>
                <c:pt idx="7">
                  <c:v>30.46845162267471</c:v>
                </c:pt>
                <c:pt idx="8">
                  <c:v>32.229499977192731</c:v>
                </c:pt>
                <c:pt idx="9">
                  <c:v>42.383078365285336</c:v>
                </c:pt>
                <c:pt idx="10">
                  <c:v>42.889465601283518</c:v>
                </c:pt>
                <c:pt idx="11">
                  <c:v>25.918976380600455</c:v>
                </c:pt>
                <c:pt idx="12">
                  <c:v>38.17167917681661</c:v>
                </c:pt>
                <c:pt idx="13">
                  <c:v>35.816779167706699</c:v>
                </c:pt>
                <c:pt idx="14">
                  <c:v>41.883379632097892</c:v>
                </c:pt>
                <c:pt idx="15">
                  <c:v>45.318043309463164</c:v>
                </c:pt>
                <c:pt idx="16">
                  <c:v>62.252906477984524</c:v>
                </c:pt>
                <c:pt idx="17">
                  <c:v>53.828692022590396</c:v>
                </c:pt>
                <c:pt idx="18">
                  <c:v>58.67753544003596</c:v>
                </c:pt>
                <c:pt idx="19">
                  <c:v>69.017466835553989</c:v>
                </c:pt>
                <c:pt idx="20">
                  <c:v>63.0106967365152</c:v>
                </c:pt>
                <c:pt idx="21">
                  <c:v>55.915654389335231</c:v>
                </c:pt>
                <c:pt idx="22">
                  <c:v>73.587644656232172</c:v>
                </c:pt>
                <c:pt idx="23">
                  <c:v>72.574883563276984</c:v>
                </c:pt>
                <c:pt idx="24">
                  <c:v>68.411257003583501</c:v>
                </c:pt>
                <c:pt idx="25">
                  <c:v>74.520143939118057</c:v>
                </c:pt>
                <c:pt idx="26">
                  <c:v>84.162876832179961</c:v>
                </c:pt>
                <c:pt idx="27">
                  <c:v>86.076384060046934</c:v>
                </c:pt>
                <c:pt idx="28">
                  <c:v>94.480471434832324</c:v>
                </c:pt>
                <c:pt idx="29">
                  <c:v>86.508567661464284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88-B440-93DD-283E912CC8DD}"/>
            </c:ext>
          </c:extLst>
        </c:ser>
        <c:ser>
          <c:idx val="3"/>
          <c:order val="3"/>
          <c:tx>
            <c:strRef>
              <c:f>SameB0_DiffB1!$F$4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SameB0_DiffB1!$F$5:$F$34</c:f>
              <c:numCache>
                <c:formatCode>0.0</c:formatCode>
                <c:ptCount val="30"/>
                <c:pt idx="0">
                  <c:v>11.977016388738843</c:v>
                </c:pt>
                <c:pt idx="1">
                  <c:v>8.9969953581458615</c:v>
                </c:pt>
                <c:pt idx="2">
                  <c:v>13.120004692972071</c:v>
                </c:pt>
                <c:pt idx="3">
                  <c:v>3.3615242549267172</c:v>
                </c:pt>
                <c:pt idx="4">
                  <c:v>22.833470117037205</c:v>
                </c:pt>
                <c:pt idx="5">
                  <c:v>38.575487108003657</c:v>
                </c:pt>
                <c:pt idx="6">
                  <c:v>26.736435586233423</c:v>
                </c:pt>
                <c:pt idx="7">
                  <c:v>38.676392030768646</c:v>
                </c:pt>
                <c:pt idx="8">
                  <c:v>32.793169857948627</c:v>
                </c:pt>
                <c:pt idx="9">
                  <c:v>19.324167848521647</c:v>
                </c:pt>
                <c:pt idx="10">
                  <c:v>48.914703297440816</c:v>
                </c:pt>
                <c:pt idx="11">
                  <c:v>42.488681296926977</c:v>
                </c:pt>
                <c:pt idx="12">
                  <c:v>51.335785430119287</c:v>
                </c:pt>
                <c:pt idx="13">
                  <c:v>39.970946965615681</c:v>
                </c:pt>
                <c:pt idx="14">
                  <c:v>64.608581972113129</c:v>
                </c:pt>
                <c:pt idx="15">
                  <c:v>75.44505549310577</c:v>
                </c:pt>
                <c:pt idx="16">
                  <c:v>67.12471557000255</c:v>
                </c:pt>
                <c:pt idx="17">
                  <c:v>81.850480233069732</c:v>
                </c:pt>
                <c:pt idx="18">
                  <c:v>81.0399612635631</c:v>
                </c:pt>
                <c:pt idx="19">
                  <c:v>82.876903570768462</c:v>
                </c:pt>
                <c:pt idx="20">
                  <c:v>90.963858145993839</c:v>
                </c:pt>
                <c:pt idx="21">
                  <c:v>70.923198985801207</c:v>
                </c:pt>
                <c:pt idx="22">
                  <c:v>95.924027141634653</c:v>
                </c:pt>
                <c:pt idx="23">
                  <c:v>100.09782818630484</c:v>
                </c:pt>
                <c:pt idx="24">
                  <c:v>106.68782209623225</c:v>
                </c:pt>
                <c:pt idx="25">
                  <c:v>98.820205238140204</c:v>
                </c:pt>
                <c:pt idx="26">
                  <c:v>120.58241758042151</c:v>
                </c:pt>
                <c:pt idx="27">
                  <c:v>106.37498226349493</c:v>
                </c:pt>
                <c:pt idx="28">
                  <c:v>112.49884048842974</c:v>
                </c:pt>
                <c:pt idx="29">
                  <c:v>113.2668131605848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88-B440-93DD-283E912CC8DD}"/>
            </c:ext>
          </c:extLst>
        </c:ser>
        <c:ser>
          <c:idx val="4"/>
          <c:order val="4"/>
          <c:tx>
            <c:strRef>
              <c:f>SameB0_DiffB1!$G$4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SameB0_DiffB1!$G$5:$G$34</c:f>
              <c:numCache>
                <c:formatCode>0.0</c:formatCode>
                <c:ptCount val="30"/>
                <c:pt idx="0">
                  <c:v>-13.167664515625585</c:v>
                </c:pt>
                <c:pt idx="1">
                  <c:v>10.424110579385415</c:v>
                </c:pt>
                <c:pt idx="2">
                  <c:v>17.332606222115917</c:v>
                </c:pt>
                <c:pt idx="3">
                  <c:v>11.794087785267614</c:v>
                </c:pt>
                <c:pt idx="4">
                  <c:v>21.394348232735801</c:v>
                </c:pt>
                <c:pt idx="5">
                  <c:v>35.857355100050867</c:v>
                </c:pt>
                <c:pt idx="6">
                  <c:v>49.276973753190404</c:v>
                </c:pt>
                <c:pt idx="7">
                  <c:v>42.507334839055993</c:v>
                </c:pt>
                <c:pt idx="8">
                  <c:v>38.961822965785551</c:v>
                </c:pt>
                <c:pt idx="9">
                  <c:v>43.211665256293983</c:v>
                </c:pt>
                <c:pt idx="10">
                  <c:v>56.376851347169627</c:v>
                </c:pt>
                <c:pt idx="11">
                  <c:v>56.5392278953938</c:v>
                </c:pt>
                <c:pt idx="12">
                  <c:v>80.423032674907773</c:v>
                </c:pt>
                <c:pt idx="13">
                  <c:v>66.526605931007552</c:v>
                </c:pt>
                <c:pt idx="14">
                  <c:v>80.796281989257423</c:v>
                </c:pt>
                <c:pt idx="15">
                  <c:v>86.73904155436891</c:v>
                </c:pt>
                <c:pt idx="16">
                  <c:v>86.485079786497067</c:v>
                </c:pt>
                <c:pt idx="17">
                  <c:v>92.210465109273571</c:v>
                </c:pt>
                <c:pt idx="18">
                  <c:v>91.655681851558057</c:v>
                </c:pt>
                <c:pt idx="19">
                  <c:v>108.72718455631937</c:v>
                </c:pt>
                <c:pt idx="20">
                  <c:v>106.46822254127697</c:v>
                </c:pt>
                <c:pt idx="21">
                  <c:v>105.4651023540262</c:v>
                </c:pt>
                <c:pt idx="22">
                  <c:v>109.03747971726156</c:v>
                </c:pt>
                <c:pt idx="23">
                  <c:v>122.50855379652094</c:v>
                </c:pt>
                <c:pt idx="24">
                  <c:v>124.70726123751494</c:v>
                </c:pt>
                <c:pt idx="25">
                  <c:v>130.8572535377636</c:v>
                </c:pt>
                <c:pt idx="26">
                  <c:v>136.28171380589401</c:v>
                </c:pt>
                <c:pt idx="27">
                  <c:v>144.35349980812109</c:v>
                </c:pt>
                <c:pt idx="28">
                  <c:v>147.45623063615247</c:v>
                </c:pt>
                <c:pt idx="29">
                  <c:v>144.05301590834111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088-B440-93DD-283E912CC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DiffB0_Diff_B1!$C$4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DiffB0_Diff_B1!$C$5:$C$34</c:f>
              <c:numCache>
                <c:formatCode>0.0</c:formatCode>
                <c:ptCount val="30"/>
                <c:pt idx="0">
                  <c:v>17.836906053712259</c:v>
                </c:pt>
                <c:pt idx="1">
                  <c:v>7.1614150311183966</c:v>
                </c:pt>
                <c:pt idx="2">
                  <c:v>17.105406626663342</c:v>
                </c:pt>
                <c:pt idx="3">
                  <c:v>11.375793403801064</c:v>
                </c:pt>
                <c:pt idx="4">
                  <c:v>20.876711763203872</c:v>
                </c:pt>
                <c:pt idx="5">
                  <c:v>20.267945936233076</c:v>
                </c:pt>
                <c:pt idx="6">
                  <c:v>11.802728903507791</c:v>
                </c:pt>
                <c:pt idx="7">
                  <c:v>19.709997476109368</c:v>
                </c:pt>
                <c:pt idx="8">
                  <c:v>22.523041427103159</c:v>
                </c:pt>
                <c:pt idx="9">
                  <c:v>19.171148776957416</c:v>
                </c:pt>
                <c:pt idx="10">
                  <c:v>16.62212673951862</c:v>
                </c:pt>
                <c:pt idx="11">
                  <c:v>19.385169270765129</c:v>
                </c:pt>
                <c:pt idx="12">
                  <c:v>21.644737733713114</c:v>
                </c:pt>
                <c:pt idx="13">
                  <c:v>30.806601140126652</c:v>
                </c:pt>
                <c:pt idx="14">
                  <c:v>20.814470415223902</c:v>
                </c:pt>
                <c:pt idx="15">
                  <c:v>13.301947987947564</c:v>
                </c:pt>
                <c:pt idx="16">
                  <c:v>20.492073377858919</c:v>
                </c:pt>
                <c:pt idx="17">
                  <c:v>27.032299060236305</c:v>
                </c:pt>
                <c:pt idx="18">
                  <c:v>27.49038702895831</c:v>
                </c:pt>
                <c:pt idx="19">
                  <c:v>29.657293628869038</c:v>
                </c:pt>
                <c:pt idx="20">
                  <c:v>37.73024076626659</c:v>
                </c:pt>
                <c:pt idx="21">
                  <c:v>35.520691387669473</c:v>
                </c:pt>
                <c:pt idx="22">
                  <c:v>39.970784586305363</c:v>
                </c:pt>
                <c:pt idx="23">
                  <c:v>40.518355634026911</c:v>
                </c:pt>
                <c:pt idx="24">
                  <c:v>29.501587409725897</c:v>
                </c:pt>
                <c:pt idx="25">
                  <c:v>47.597767782426445</c:v>
                </c:pt>
                <c:pt idx="26">
                  <c:v>34.180288600409604</c:v>
                </c:pt>
                <c:pt idx="27">
                  <c:v>37.663696628526417</c:v>
                </c:pt>
                <c:pt idx="28">
                  <c:v>41.653648936739394</c:v>
                </c:pt>
                <c:pt idx="29">
                  <c:v>40.689619099540678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67-F248-87FD-C444F89A4AE2}"/>
            </c:ext>
          </c:extLst>
        </c:ser>
        <c:ser>
          <c:idx val="1"/>
          <c:order val="1"/>
          <c:tx>
            <c:strRef>
              <c:f>DiffB0_Diff_B1!$D$4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DiffB0_Diff_B1!$D$5:$D$34</c:f>
              <c:numCache>
                <c:formatCode>0.0</c:formatCode>
                <c:ptCount val="30"/>
                <c:pt idx="0">
                  <c:v>21.157942251344728</c:v>
                </c:pt>
                <c:pt idx="1">
                  <c:v>26.841780306881279</c:v>
                </c:pt>
                <c:pt idx="2">
                  <c:v>24.290318941515466</c:v>
                </c:pt>
                <c:pt idx="3">
                  <c:v>30.632575066521945</c:v>
                </c:pt>
                <c:pt idx="4">
                  <c:v>43.099060810980788</c:v>
                </c:pt>
                <c:pt idx="5">
                  <c:v>28.081460353715958</c:v>
                </c:pt>
                <c:pt idx="6">
                  <c:v>27.521416279160032</c:v>
                </c:pt>
                <c:pt idx="7">
                  <c:v>47.463426125971132</c:v>
                </c:pt>
                <c:pt idx="8">
                  <c:v>37.919761779112818</c:v>
                </c:pt>
                <c:pt idx="9">
                  <c:v>42.990070273480065</c:v>
                </c:pt>
                <c:pt idx="10">
                  <c:v>35.239772040828974</c:v>
                </c:pt>
                <c:pt idx="11">
                  <c:v>35.052070894291532</c:v>
                </c:pt>
                <c:pt idx="12">
                  <c:v>35.879031066850153</c:v>
                </c:pt>
                <c:pt idx="13">
                  <c:v>47.032592580957086</c:v>
                </c:pt>
                <c:pt idx="14">
                  <c:v>45.365402497279447</c:v>
                </c:pt>
                <c:pt idx="15">
                  <c:v>57.408475098663843</c:v>
                </c:pt>
                <c:pt idx="16">
                  <c:v>43.925185638197853</c:v>
                </c:pt>
                <c:pt idx="17">
                  <c:v>49.992047478635698</c:v>
                </c:pt>
                <c:pt idx="18">
                  <c:v>61.621548179912388</c:v>
                </c:pt>
                <c:pt idx="19">
                  <c:v>60.695046687665297</c:v>
                </c:pt>
                <c:pt idx="20">
                  <c:v>54.116676833444515</c:v>
                </c:pt>
                <c:pt idx="21">
                  <c:v>63.714480978600939</c:v>
                </c:pt>
                <c:pt idx="22">
                  <c:v>67.283359809240295</c:v>
                </c:pt>
                <c:pt idx="23">
                  <c:v>59.595960845271307</c:v>
                </c:pt>
                <c:pt idx="24">
                  <c:v>86.889803290739422</c:v>
                </c:pt>
                <c:pt idx="25">
                  <c:v>66.614944342255797</c:v>
                </c:pt>
                <c:pt idx="26">
                  <c:v>87.321506409294074</c:v>
                </c:pt>
                <c:pt idx="27">
                  <c:v>94.339408854627067</c:v>
                </c:pt>
                <c:pt idx="28">
                  <c:v>76.27690469845372</c:v>
                </c:pt>
                <c:pt idx="29">
                  <c:v>67.348384316658553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67-F248-87FD-C444F89A4AE2}"/>
            </c:ext>
          </c:extLst>
        </c:ser>
        <c:ser>
          <c:idx val="2"/>
          <c:order val="2"/>
          <c:tx>
            <c:strRef>
              <c:f>DiffB0_Diff_B1!$E$4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DiffB0_Diff_B1!$E$5:$E$34</c:f>
              <c:numCache>
                <c:formatCode>0.0</c:formatCode>
                <c:ptCount val="30"/>
                <c:pt idx="0">
                  <c:v>25.027818803910996</c:v>
                </c:pt>
                <c:pt idx="1">
                  <c:v>29.213323870253799</c:v>
                </c:pt>
                <c:pt idx="2">
                  <c:v>53.90023150566342</c:v>
                </c:pt>
                <c:pt idx="3">
                  <c:v>44.958412392851152</c:v>
                </c:pt>
                <c:pt idx="4">
                  <c:v>42.925296305417497</c:v>
                </c:pt>
                <c:pt idx="5">
                  <c:v>54.101522631213129</c:v>
                </c:pt>
                <c:pt idx="6">
                  <c:v>61.176243993591363</c:v>
                </c:pt>
                <c:pt idx="7">
                  <c:v>53.111758577366146</c:v>
                </c:pt>
                <c:pt idx="8">
                  <c:v>60.101298411098419</c:v>
                </c:pt>
                <c:pt idx="9">
                  <c:v>65.52621402534318</c:v>
                </c:pt>
                <c:pt idx="10">
                  <c:v>59.789563417569013</c:v>
                </c:pt>
                <c:pt idx="11">
                  <c:v>76.974119363672372</c:v>
                </c:pt>
                <c:pt idx="12">
                  <c:v>80.511743491108618</c:v>
                </c:pt>
                <c:pt idx="13">
                  <c:v>77.294640044265208</c:v>
                </c:pt>
                <c:pt idx="14">
                  <c:v>83.930817845729351</c:v>
                </c:pt>
                <c:pt idx="15">
                  <c:v>80.078058016801521</c:v>
                </c:pt>
                <c:pt idx="16">
                  <c:v>98.753831076082704</c:v>
                </c:pt>
                <c:pt idx="17">
                  <c:v>86.296979135125866</c:v>
                </c:pt>
                <c:pt idx="18">
                  <c:v>93.861440320066819</c:v>
                </c:pt>
                <c:pt idx="19">
                  <c:v>90.438588577620109</c:v>
                </c:pt>
                <c:pt idx="20">
                  <c:v>85.481180392368003</c:v>
                </c:pt>
                <c:pt idx="21">
                  <c:v>99.337231554746637</c:v>
                </c:pt>
                <c:pt idx="22">
                  <c:v>101.95012515561376</c:v>
                </c:pt>
                <c:pt idx="23">
                  <c:v>107.24254959272564</c:v>
                </c:pt>
                <c:pt idx="24">
                  <c:v>93.87597251325414</c:v>
                </c:pt>
                <c:pt idx="25">
                  <c:v>109.21958073884009</c:v>
                </c:pt>
                <c:pt idx="26">
                  <c:v>114.04691493019115</c:v>
                </c:pt>
                <c:pt idx="27">
                  <c:v>117.6396006975102</c:v>
                </c:pt>
                <c:pt idx="28">
                  <c:v>118.69936109024604</c:v>
                </c:pt>
                <c:pt idx="29">
                  <c:v>115.74406278132575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67-F248-87FD-C444F89A4AE2}"/>
            </c:ext>
          </c:extLst>
        </c:ser>
        <c:ser>
          <c:idx val="3"/>
          <c:order val="3"/>
          <c:tx>
            <c:strRef>
              <c:f>DiffB0_Diff_B1!$F$4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DiffB0_Diff_B1!$F$5:$F$34</c:f>
              <c:numCache>
                <c:formatCode>0.0</c:formatCode>
                <c:ptCount val="30"/>
                <c:pt idx="0">
                  <c:v>42.344032374008947</c:v>
                </c:pt>
                <c:pt idx="1">
                  <c:v>44.959995392258577</c:v>
                </c:pt>
                <c:pt idx="2">
                  <c:v>53.07456995127388</c:v>
                </c:pt>
                <c:pt idx="3">
                  <c:v>57.323944359118002</c:v>
                </c:pt>
                <c:pt idx="4">
                  <c:v>60.746283692130262</c:v>
                </c:pt>
                <c:pt idx="5">
                  <c:v>75.937990900089233</c:v>
                </c:pt>
                <c:pt idx="6">
                  <c:v>61.589828366202269</c:v>
                </c:pt>
                <c:pt idx="7">
                  <c:v>81.880920734923109</c:v>
                </c:pt>
                <c:pt idx="8">
                  <c:v>81.073887822146077</c:v>
                </c:pt>
                <c:pt idx="9">
                  <c:v>67.059086387602804</c:v>
                </c:pt>
                <c:pt idx="10">
                  <c:v>75.408505873859468</c:v>
                </c:pt>
                <c:pt idx="11">
                  <c:v>77.752090952418754</c:v>
                </c:pt>
                <c:pt idx="12">
                  <c:v>84.078837035044501</c:v>
                </c:pt>
                <c:pt idx="13">
                  <c:v>99.818749480058642</c:v>
                </c:pt>
                <c:pt idx="14">
                  <c:v>97.542003439943556</c:v>
                </c:pt>
                <c:pt idx="15">
                  <c:v>110.30911123440173</c:v>
                </c:pt>
                <c:pt idx="16">
                  <c:v>107.56659353556509</c:v>
                </c:pt>
                <c:pt idx="17">
                  <c:v>108.93744011200893</c:v>
                </c:pt>
                <c:pt idx="18">
                  <c:v>117.00937447246464</c:v>
                </c:pt>
                <c:pt idx="19">
                  <c:v>128.37858794460669</c:v>
                </c:pt>
                <c:pt idx="20">
                  <c:v>139.19989717540054</c:v>
                </c:pt>
                <c:pt idx="21">
                  <c:v>135.94747948598197</c:v>
                </c:pt>
                <c:pt idx="22">
                  <c:v>127.8291768956976</c:v>
                </c:pt>
                <c:pt idx="23">
                  <c:v>127.18148075375882</c:v>
                </c:pt>
                <c:pt idx="24">
                  <c:v>126.06059508619262</c:v>
                </c:pt>
                <c:pt idx="25">
                  <c:v>142.43990590567628</c:v>
                </c:pt>
                <c:pt idx="26">
                  <c:v>156.03403537892189</c:v>
                </c:pt>
                <c:pt idx="27">
                  <c:v>163.00672624551603</c:v>
                </c:pt>
                <c:pt idx="28">
                  <c:v>160.35315083649681</c:v>
                </c:pt>
                <c:pt idx="29">
                  <c:v>162.74379145053621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67-F248-87FD-C444F89A4AE2}"/>
            </c:ext>
          </c:extLst>
        </c:ser>
        <c:ser>
          <c:idx val="4"/>
          <c:order val="4"/>
          <c:tx>
            <c:strRef>
              <c:f>DiffB0_Diff_B1!$G$4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DiffB0_Diff_B1!$G$5:$G$34</c:f>
              <c:numCache>
                <c:formatCode>0.0</c:formatCode>
                <c:ptCount val="30"/>
                <c:pt idx="0">
                  <c:v>51.050063416595762</c:v>
                </c:pt>
                <c:pt idx="1">
                  <c:v>54.881892282896928</c:v>
                </c:pt>
                <c:pt idx="2">
                  <c:v>60.874098872453501</c:v>
                </c:pt>
                <c:pt idx="3">
                  <c:v>58.697662604317088</c:v>
                </c:pt>
                <c:pt idx="4">
                  <c:v>62.826608083656538</c:v>
                </c:pt>
                <c:pt idx="5">
                  <c:v>85.198479104925823</c:v>
                </c:pt>
                <c:pt idx="6">
                  <c:v>87.422421497187301</c:v>
                </c:pt>
                <c:pt idx="7">
                  <c:v>92.256562845922289</c:v>
                </c:pt>
                <c:pt idx="8">
                  <c:v>94.03772475637939</c:v>
                </c:pt>
                <c:pt idx="9">
                  <c:v>109.77272209544333</c:v>
                </c:pt>
                <c:pt idx="10">
                  <c:v>122.87662582885577</c:v>
                </c:pt>
                <c:pt idx="11">
                  <c:v>107.59301187381307</c:v>
                </c:pt>
                <c:pt idx="12">
                  <c:v>110.48605565572731</c:v>
                </c:pt>
                <c:pt idx="13">
                  <c:v>122.60626910517195</c:v>
                </c:pt>
                <c:pt idx="14">
                  <c:v>122.2267344381668</c:v>
                </c:pt>
                <c:pt idx="15">
                  <c:v>129.31645172871947</c:v>
                </c:pt>
                <c:pt idx="16">
                  <c:v>138.14127401998422</c:v>
                </c:pt>
                <c:pt idx="17">
                  <c:v>136.98346314815305</c:v>
                </c:pt>
                <c:pt idx="18">
                  <c:v>145.95446285884094</c:v>
                </c:pt>
                <c:pt idx="19">
                  <c:v>155.73358856758676</c:v>
                </c:pt>
                <c:pt idx="20">
                  <c:v>158.4453942554367</c:v>
                </c:pt>
                <c:pt idx="21">
                  <c:v>163.10076455429547</c:v>
                </c:pt>
                <c:pt idx="22">
                  <c:v>173.58450737991708</c:v>
                </c:pt>
                <c:pt idx="23">
                  <c:v>170.88248747288415</c:v>
                </c:pt>
                <c:pt idx="24">
                  <c:v>174.4048075001929</c:v>
                </c:pt>
                <c:pt idx="25">
                  <c:v>181.77032747671578</c:v>
                </c:pt>
                <c:pt idx="26">
                  <c:v>176.23549805022915</c:v>
                </c:pt>
                <c:pt idx="27">
                  <c:v>197.8012706750375</c:v>
                </c:pt>
                <c:pt idx="28">
                  <c:v>194.6984669148016</c:v>
                </c:pt>
                <c:pt idx="29">
                  <c:v>194.13558202916221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67-F248-87FD-C444F89A4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1.9493177387914229E-3</c:v>
                </c:pt>
                <c:pt idx="5">
                  <c:v>0</c:v>
                </c:pt>
                <c:pt idx="6">
                  <c:v>7.7972709551656916E-3</c:v>
                </c:pt>
                <c:pt idx="7">
                  <c:v>1.7509727626459144E-2</c:v>
                </c:pt>
                <c:pt idx="8">
                  <c:v>5.8365758754863814E-3</c:v>
                </c:pt>
                <c:pt idx="9">
                  <c:v>1.7509727626459144E-2</c:v>
                </c:pt>
                <c:pt idx="10">
                  <c:v>3.1189083820662766E-2</c:v>
                </c:pt>
                <c:pt idx="11">
                  <c:v>6.8226120857699801E-2</c:v>
                </c:pt>
                <c:pt idx="12">
                  <c:v>7.407407407407407E-2</c:v>
                </c:pt>
                <c:pt idx="13">
                  <c:v>0.11867704280155641</c:v>
                </c:pt>
                <c:pt idx="14">
                  <c:v>0.17348927875243664</c:v>
                </c:pt>
                <c:pt idx="15">
                  <c:v>0.24366471734892786</c:v>
                </c:pt>
                <c:pt idx="16">
                  <c:v>0.2587548638132296</c:v>
                </c:pt>
                <c:pt idx="17">
                  <c:v>0.35477582846003897</c:v>
                </c:pt>
                <c:pt idx="18">
                  <c:v>0.46692607003891051</c:v>
                </c:pt>
                <c:pt idx="19">
                  <c:v>0.45808966861598438</c:v>
                </c:pt>
                <c:pt idx="20">
                  <c:v>0.57976653696498059</c:v>
                </c:pt>
                <c:pt idx="21">
                  <c:v>0.642023346303502</c:v>
                </c:pt>
                <c:pt idx="22">
                  <c:v>0.78404669260700388</c:v>
                </c:pt>
                <c:pt idx="23">
                  <c:v>0.80933852140077822</c:v>
                </c:pt>
                <c:pt idx="24">
                  <c:v>0.85964912280701755</c:v>
                </c:pt>
                <c:pt idx="25">
                  <c:v>0.86186770428015569</c:v>
                </c:pt>
                <c:pt idx="26">
                  <c:v>0.91634241245136183</c:v>
                </c:pt>
                <c:pt idx="27">
                  <c:v>0.94152046783625731</c:v>
                </c:pt>
                <c:pt idx="28">
                  <c:v>0.96686159844054576</c:v>
                </c:pt>
                <c:pt idx="29">
                  <c:v>0.98830409356725146</c:v>
                </c:pt>
                <c:pt idx="30">
                  <c:v>0.99221789883268485</c:v>
                </c:pt>
                <c:pt idx="31">
                  <c:v>0.99220272904483431</c:v>
                </c:pt>
                <c:pt idx="32">
                  <c:v>0.99220272904483431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0.9958932238193019</c:v>
                </c:pt>
                <c:pt idx="13">
                  <c:v>1</c:v>
                </c:pt>
                <c:pt idx="14">
                  <c:v>0.99178644763860369</c:v>
                </c:pt>
                <c:pt idx="15">
                  <c:v>0.98562628336755642</c:v>
                </c:pt>
                <c:pt idx="16">
                  <c:v>0.98148148148148151</c:v>
                </c:pt>
                <c:pt idx="17">
                  <c:v>0.93429158110882959</c:v>
                </c:pt>
                <c:pt idx="18">
                  <c:v>0.89917695473251025</c:v>
                </c:pt>
                <c:pt idx="19">
                  <c:v>0.84188911704312119</c:v>
                </c:pt>
                <c:pt idx="20">
                  <c:v>0.77983539094650201</c:v>
                </c:pt>
                <c:pt idx="21">
                  <c:v>0.63991769547325106</c:v>
                </c:pt>
                <c:pt idx="22">
                  <c:v>0.52263374485596703</c:v>
                </c:pt>
                <c:pt idx="23">
                  <c:v>0.40534979423868311</c:v>
                </c:pt>
                <c:pt idx="24">
                  <c:v>0.31006160164271046</c:v>
                </c:pt>
                <c:pt idx="25">
                  <c:v>0.21604938271604937</c:v>
                </c:pt>
                <c:pt idx="26">
                  <c:v>0.13786008230452676</c:v>
                </c:pt>
                <c:pt idx="27">
                  <c:v>6.7761806981519512E-2</c:v>
                </c:pt>
                <c:pt idx="28">
                  <c:v>3.6960985626283367E-2</c:v>
                </c:pt>
                <c:pt idx="29">
                  <c:v>2.0533880903490759E-2</c:v>
                </c:pt>
                <c:pt idx="30">
                  <c:v>4.11522633744856E-3</c:v>
                </c:pt>
                <c:pt idx="31">
                  <c:v>2.0533880903490761E-3</c:v>
                </c:pt>
                <c:pt idx="32">
                  <c:v>4.1067761806981521E-3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FDE-EC4D-86DD-C9C4DAEAA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1DCF40C-090F-4B48-B1A0-110B6D16F4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4-8944-838A-424936AC77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6572A9-1139-4445-9B11-18A7AB57F1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4-8944-838A-424936AC77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70B778-0204-FD49-B559-EC5184E180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4-8944-838A-424936AC77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4308AB-C889-4149-8C04-287D80FD1A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4-8944-838A-424936AC77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4CB1D9-0541-484F-AA15-AEF59DEB22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4-8944-838A-424936AC77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D268E41-69A0-2642-B8BD-2E2B02E8C6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4-8944-838A-424936AC77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1E3222-158C-0A4D-B712-4DA86F5D24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4-8944-838A-424936AC77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0F8DD0-663A-9B4A-B0A5-5224212501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4-8944-838A-424936AC77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92258C-9DC8-8A46-BABC-E66C3760A7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4-8944-838A-424936AC77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A83DD6-1DE6-5D47-B737-C96A6235D3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4-8944-838A-424936AC77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11766E-013E-7E47-8EF7-AEEDCBF175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4-8944-838A-424936AC77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961235-AB14-C340-8E92-F6C0877589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4-8944-838A-424936AC77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9AAA7DA-8D98-0840-8FC5-6C5AADC2B2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4-8944-838A-424936AC77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FCF0174-1E80-6E44-809B-F6AE74B415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4-8944-838A-424936AC77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45B989-4693-F44E-8D21-8C2AF38521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4-8944-838A-424936AC77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799539-5C2C-3946-93F1-85AC654593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4-8944-838A-424936AC77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872B51-4BF1-E448-B0ED-603C53D279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4-8944-838A-424936AC77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D69F8B-E4E4-6E41-9C41-9185F290D1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4-8944-838A-424936AC77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BD5FCE-6176-E048-A84A-F3BD6F4346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4-8944-838A-424936AC77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7446707-BC16-FC45-B0DD-58E9DF4B3A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4-8944-838A-424936AC77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90B429-EEEC-5C41-BEE7-1190CCF3C9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4-8944-838A-424936AC77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564F668-2D84-6142-A843-F4ECFFA796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4-8944-838A-424936AC77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A6615D-8C32-C545-ADB9-8F9462795E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4-8944-838A-424936AC77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9216804-7718-2A4C-B51C-A97C820224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4-8944-838A-424936AC77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D160DF-4245-E345-9CA1-3D7D13432E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4-8944-838A-424936AC77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1CA3A21-643F-7C4F-B319-3D5B48EBB4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4-8944-838A-424936AC77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8C0C8C8-6EE6-3C45-9B76-50961144CF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4-8944-838A-424936AC77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D20E4AB-4314-8846-B77D-E49F88E911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4-8944-838A-424936AC77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7CC7255-8E94-F143-BA10-13FC5C706D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4-8944-838A-424936AC77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E73B2AF-BB50-7842-99CF-C10AB8636F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4-8944-838A-424936AC77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991F6F-9A71-F54D-BF25-28802A20B0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54-8944-838A-424936AC77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241AEE5-6B5B-0345-80F9-BE8E4BC370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54-8944-838A-424936AC77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31E406-A059-0E47-9DD2-82332C4630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54-8944-838A-424936AC7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3.8986354775828458E-3</c:v>
                </c:pt>
                <c:pt idx="5">
                  <c:v>3.8910505836575876E-3</c:v>
                </c:pt>
                <c:pt idx="6">
                  <c:v>3.8986354775828458E-3</c:v>
                </c:pt>
                <c:pt idx="7">
                  <c:v>1.9455252918287938E-3</c:v>
                </c:pt>
                <c:pt idx="8">
                  <c:v>7.7972709551656916E-3</c:v>
                </c:pt>
                <c:pt idx="9">
                  <c:v>1.3618677042801557E-2</c:v>
                </c:pt>
                <c:pt idx="10">
                  <c:v>5.0583657587548639E-2</c:v>
                </c:pt>
                <c:pt idx="11">
                  <c:v>4.8732943469785572E-2</c:v>
                </c:pt>
                <c:pt idx="12">
                  <c:v>6.4202334630350189E-2</c:v>
                </c:pt>
                <c:pt idx="13">
                  <c:v>0.11306042884990253</c:v>
                </c:pt>
                <c:pt idx="14">
                  <c:v>0.15399610136452241</c:v>
                </c:pt>
                <c:pt idx="15">
                  <c:v>0.22417153996101363</c:v>
                </c:pt>
                <c:pt idx="16">
                  <c:v>0.25291828793774318</c:v>
                </c:pt>
                <c:pt idx="17">
                  <c:v>0.35477582846003897</c:v>
                </c:pt>
                <c:pt idx="18">
                  <c:v>0.41828793774319067</c:v>
                </c:pt>
                <c:pt idx="19">
                  <c:v>0.50194552529182879</c:v>
                </c:pt>
                <c:pt idx="20">
                  <c:v>0.60623781676413258</c:v>
                </c:pt>
                <c:pt idx="21">
                  <c:v>0.67509727626459148</c:v>
                </c:pt>
                <c:pt idx="22">
                  <c:v>0.71400778210116733</c:v>
                </c:pt>
                <c:pt idx="23">
                  <c:v>0.77821011673151752</c:v>
                </c:pt>
                <c:pt idx="24">
                  <c:v>0.85408560311284043</c:v>
                </c:pt>
                <c:pt idx="25">
                  <c:v>0.90272373540856032</c:v>
                </c:pt>
                <c:pt idx="26">
                  <c:v>0.93762183235867447</c:v>
                </c:pt>
                <c:pt idx="27">
                  <c:v>0.94152046783625731</c:v>
                </c:pt>
                <c:pt idx="28">
                  <c:v>0.96296296296296291</c:v>
                </c:pt>
                <c:pt idx="29">
                  <c:v>0.98832684824902728</c:v>
                </c:pt>
                <c:pt idx="30">
                  <c:v>0.98050682261208577</c:v>
                </c:pt>
                <c:pt idx="31">
                  <c:v>0.98635477582845998</c:v>
                </c:pt>
                <c:pt idx="32">
                  <c:v>0.99610136452241715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0.99794661190965095</c:v>
                </c:pt>
                <c:pt idx="14">
                  <c:v>0.99794661190965095</c:v>
                </c:pt>
                <c:pt idx="15">
                  <c:v>0.97946611909650927</c:v>
                </c:pt>
                <c:pt idx="16">
                  <c:v>0.96090534979423869</c:v>
                </c:pt>
                <c:pt idx="17">
                  <c:v>0.95687885010266938</c:v>
                </c:pt>
                <c:pt idx="18">
                  <c:v>0.87860082304526754</c:v>
                </c:pt>
                <c:pt idx="19">
                  <c:v>0.80864197530864201</c:v>
                </c:pt>
                <c:pt idx="20">
                  <c:v>0.76796714579055436</c:v>
                </c:pt>
                <c:pt idx="21">
                  <c:v>0.6728395061728395</c:v>
                </c:pt>
                <c:pt idx="22">
                  <c:v>0.55349794238683125</c:v>
                </c:pt>
                <c:pt idx="23">
                  <c:v>0.46502057613168724</c:v>
                </c:pt>
                <c:pt idx="24">
                  <c:v>0.30246913580246915</c:v>
                </c:pt>
                <c:pt idx="25">
                  <c:v>0.17695473251028807</c:v>
                </c:pt>
                <c:pt idx="26">
                  <c:v>0.12731006160164271</c:v>
                </c:pt>
                <c:pt idx="27">
                  <c:v>9.2402464065708415E-2</c:v>
                </c:pt>
                <c:pt idx="28">
                  <c:v>5.1334702258726897E-2</c:v>
                </c:pt>
                <c:pt idx="29">
                  <c:v>3.0864197530864196E-2</c:v>
                </c:pt>
                <c:pt idx="30">
                  <c:v>6.1601642710472282E-3</c:v>
                </c:pt>
                <c:pt idx="31">
                  <c:v>0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54-8944-838A-424936AC7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56FE78C-B363-F540-806F-F1A3016192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924D-BAA7-1C46911D0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6FEC01-D608-374C-8B50-658E3F1229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924D-BAA7-1C46911D0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C3BBDE-87C2-3D4B-A73C-9883284689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924D-BAA7-1C46911D0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427B54-2295-D14A-B9A0-03FDF6A686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924D-BAA7-1C46911D0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48F6A4-ECEE-1847-A6C0-5982228D89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924D-BAA7-1C46911D0F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F6EFAC-C58D-A247-8062-84CBC37541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924D-BAA7-1C46911D0F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3C923A4-CBB5-A04E-9017-8D3F0B85C0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924D-BAA7-1C46911D0F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15DDBA-3724-2A42-8B78-9CC63992D2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924D-BAA7-1C46911D0F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510BAC-89D5-364C-A9C2-1B5AB746A8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924D-BAA7-1C46911D0F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B268B7-259F-A54A-BB5D-A585FD11AE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924D-BAA7-1C46911D0F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FD0DB1-96E6-C041-AB46-177A51BA8B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924D-BAA7-1C46911D0F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A0BD98-935D-A244-84FB-449CC0F2B0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924D-BAA7-1C46911D0F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569271-0868-4D45-9FE2-E7CFB11C49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924D-BAA7-1C46911D0F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B274AF7-495F-E14E-BF20-4E882E36C3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924D-BAA7-1C46911D0F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A54CE1E-DEE9-D343-8ADC-2712289DF9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924D-BAA7-1C46911D0F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0ED22E5-8195-DB44-959E-75AF812062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924D-BAA7-1C46911D0F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26D4C3-BCA2-334F-A439-A41C7D5E8D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924D-BAA7-1C46911D0F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A0CD973-E867-2449-A80C-CBB59F1D95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924D-BAA7-1C46911D0F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3378B8-EE6D-7344-BBC2-5A3ABB34C7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924D-BAA7-1C46911D0F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3D2629A-E15B-4C46-88E1-D426C27E80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924D-BAA7-1C46911D0F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C9BF0D8-7BB6-4443-943D-959646BDB2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924D-BAA7-1C46911D0F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6793CC-4613-204E-968A-0EFEC79520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924D-BAA7-1C46911D0F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9CD327-D613-F449-85C8-B1599786E6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924D-BAA7-1C46911D0F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89DF821-4F5C-B64D-B545-A884459661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924D-BAA7-1C46911D0F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8C40441-D14C-D046-8890-27A92314A4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924D-BAA7-1C46911D0F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C03086-77F7-F142-9C90-CBD9497767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924D-BAA7-1C46911D0F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18A712A-293D-6C41-879D-102357DB39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924D-BAA7-1C46911D0F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6B00472-9E23-3A4A-B510-B36C07CF96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924D-BAA7-1C46911D0F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18E5243-5E89-BA44-853A-9EDCF6995A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924D-BAA7-1C46911D0F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4B66041-53E5-074A-936D-B4AB8C9BDF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924D-BAA7-1C46911D0F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7D16AF6-8125-BE44-9CF4-45B27DA21F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924D-BAA7-1C46911D0F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341256F-4776-8944-BD0F-289E316DBE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924D-BAA7-1C46911D0F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181E0F8-0B48-354F-9218-12B8902C33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924D-BAA7-1C46911D0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0.99805068226120852</c:v>
                </c:pt>
                <c:pt idx="5">
                  <c:v>0.99610136452241715</c:v>
                </c:pt>
                <c:pt idx="6">
                  <c:v>0.99416342412451364</c:v>
                </c:pt>
                <c:pt idx="7">
                  <c:v>0.99025341130604283</c:v>
                </c:pt>
                <c:pt idx="8">
                  <c:v>0.98832684824902728</c:v>
                </c:pt>
                <c:pt idx="9">
                  <c:v>0.97465886939571145</c:v>
                </c:pt>
                <c:pt idx="10">
                  <c:v>0.9688715953307393</c:v>
                </c:pt>
                <c:pt idx="11">
                  <c:v>0.94357976653696496</c:v>
                </c:pt>
                <c:pt idx="12">
                  <c:v>0.89494163424124518</c:v>
                </c:pt>
                <c:pt idx="13">
                  <c:v>0.9064327485380117</c:v>
                </c:pt>
                <c:pt idx="14">
                  <c:v>0.82456140350877194</c:v>
                </c:pt>
                <c:pt idx="15">
                  <c:v>0.82066276803118909</c:v>
                </c:pt>
                <c:pt idx="16">
                  <c:v>0.72904483430799227</c:v>
                </c:pt>
                <c:pt idx="17">
                  <c:v>0.61598440545808963</c:v>
                </c:pt>
                <c:pt idx="18">
                  <c:v>0.57504873294346981</c:v>
                </c:pt>
                <c:pt idx="19">
                  <c:v>0.5311284046692607</c:v>
                </c:pt>
                <c:pt idx="20">
                  <c:v>0.41245136186770426</c:v>
                </c:pt>
                <c:pt idx="21">
                  <c:v>0.35214007782101164</c:v>
                </c:pt>
                <c:pt idx="22">
                  <c:v>0.2300194931773879</c:v>
                </c:pt>
                <c:pt idx="23">
                  <c:v>0.22957198443579763</c:v>
                </c:pt>
                <c:pt idx="24">
                  <c:v>0.16374269005847952</c:v>
                </c:pt>
                <c:pt idx="25">
                  <c:v>0.12085769980506822</c:v>
                </c:pt>
                <c:pt idx="26">
                  <c:v>6.2256809338521402E-2</c:v>
                </c:pt>
                <c:pt idx="27">
                  <c:v>5.8365758754863828E-2</c:v>
                </c:pt>
                <c:pt idx="28">
                  <c:v>4.6692607003890996E-2</c:v>
                </c:pt>
                <c:pt idx="29">
                  <c:v>2.3346303501945553E-2</c:v>
                </c:pt>
                <c:pt idx="30">
                  <c:v>1.1695906432748537E-2</c:v>
                </c:pt>
                <c:pt idx="31">
                  <c:v>5.8479532163743242E-3</c:v>
                </c:pt>
                <c:pt idx="32">
                  <c:v>3.8910505836575737E-3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0.99383983572895274</c:v>
                </c:pt>
                <c:pt idx="15">
                  <c:v>0.98767967145790558</c:v>
                </c:pt>
                <c:pt idx="16">
                  <c:v>0.97330595482546201</c:v>
                </c:pt>
                <c:pt idx="17">
                  <c:v>0.94661190965092401</c:v>
                </c:pt>
                <c:pt idx="18">
                  <c:v>0.91375770020533886</c:v>
                </c:pt>
                <c:pt idx="19">
                  <c:v>0.83333333333333337</c:v>
                </c:pt>
                <c:pt idx="20">
                  <c:v>0.74485596707818935</c:v>
                </c:pt>
                <c:pt idx="21">
                  <c:v>0.65432098765432101</c:v>
                </c:pt>
                <c:pt idx="22">
                  <c:v>0.5154004106776181</c:v>
                </c:pt>
                <c:pt idx="23">
                  <c:v>0.43415637860082307</c:v>
                </c:pt>
                <c:pt idx="24">
                  <c:v>0.3347022587268994</c:v>
                </c:pt>
                <c:pt idx="25">
                  <c:v>0.21560574948665298</c:v>
                </c:pt>
                <c:pt idx="26">
                  <c:v>0.12962962962962962</c:v>
                </c:pt>
                <c:pt idx="27">
                  <c:v>7.6131687242798354E-2</c:v>
                </c:pt>
                <c:pt idx="28">
                  <c:v>2.8806584362139918E-2</c:v>
                </c:pt>
                <c:pt idx="29">
                  <c:v>1.8518518518518517E-2</c:v>
                </c:pt>
                <c:pt idx="30">
                  <c:v>4.1067761806981521E-3</c:v>
                </c:pt>
                <c:pt idx="31">
                  <c:v>6.1601642710472282E-3</c:v>
                </c:pt>
                <c:pt idx="32">
                  <c:v>4.11522633744856E-3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5B-924D-BAA7-1C46911D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35E1B2-9FF2-DA42-B565-F555B3C855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C33182-A3B2-634A-8F29-E801E3EF7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27CB98-AB9E-E146-8139-53B494F71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355600</xdr:colOff>
      <xdr:row>21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3283082-BBB1-2147-AACD-D49640A204FD}"/>
            </a:ext>
          </a:extLst>
        </xdr:cNvPr>
        <xdr:cNvSpPr txBox="1"/>
      </xdr:nvSpPr>
      <xdr:spPr>
        <a:xfrm>
          <a:off x="850900" y="3556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Character vs Factor ####</a:t>
          </a:r>
        </a:p>
        <a:p>
          <a:r>
            <a:rPr lang="en-US" sz="2000"/>
            <a:t>d = iris</a:t>
          </a:r>
        </a:p>
        <a:p>
          <a:r>
            <a:rPr lang="en-US" sz="2000"/>
            <a:t>sapply(d,class)</a:t>
          </a:r>
        </a:p>
        <a:p>
          <a:r>
            <a:rPr lang="en-US" sz="2000"/>
            <a:t>d$Species_Character = paste(as.character(d$Species),"")</a:t>
          </a:r>
        </a:p>
        <a:p>
          <a:r>
            <a:rPr lang="en-US" sz="2000"/>
            <a:t>sapply(d,class)</a:t>
          </a:r>
        </a:p>
        <a:p>
          <a:r>
            <a:rPr lang="en-US" sz="2000"/>
            <a:t>head(d)</a:t>
          </a:r>
        </a:p>
        <a:p>
          <a:r>
            <a:rPr lang="en-US" sz="2000"/>
            <a:t>levels(d$Species)</a:t>
          </a:r>
        </a:p>
        <a:p>
          <a:r>
            <a:rPr lang="en-US" sz="2000"/>
            <a:t>levels(d$Species_Character)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471265-3FA1-D143-8D08-3382E44C49BB}"/>
            </a:ext>
          </a:extLst>
        </xdr:cNvPr>
        <xdr:cNvSpPr txBox="1"/>
      </xdr:nvSpPr>
      <xdr:spPr>
        <a:xfrm>
          <a:off x="825500" y="3302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Indicator Variables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+ 1, d)</a:t>
          </a:r>
        </a:p>
        <a:p>
          <a:r>
            <a:rPr lang="en-US" sz="2000"/>
            <a:t>head(dmat)</a:t>
          </a:r>
        </a:p>
        <a:p>
          <a:r>
            <a:rPr lang="en-US" sz="2000"/>
            <a:t>dmat = model.matrix(Sepal.Length ~ Species - 1, d)</a:t>
          </a:r>
        </a:p>
        <a:p>
          <a:r>
            <a:rPr lang="en-US" sz="2000"/>
            <a:t>head(dmat)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CBDB18-5B75-3446-9FE4-23B84890EB60}"/>
            </a:ext>
          </a:extLst>
        </xdr:cNvPr>
        <xdr:cNvSpPr txBox="1"/>
      </xdr:nvSpPr>
      <xdr:spPr>
        <a:xfrm>
          <a:off x="825500" y="3302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1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Petal.Width - 1, d)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  <a:p>
          <a:r>
            <a:rPr lang="en-US" sz="2000"/>
            <a:t>abline(0,1)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CFEBD6A-CF11-2241-ACB0-64C822DD132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2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*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plot(d$Petal.Width,yhat,col = d$Species)</a:t>
          </a:r>
        </a:p>
        <a:p>
          <a:r>
            <a:rPr lang="en-US" sz="2000"/>
            <a:t>points(d$Petal.Width,y,col = d$Species,cex = .1)</a:t>
          </a:r>
        </a:p>
        <a:p>
          <a:endParaRPr lang="en-US" sz="2000"/>
        </a:p>
        <a:p>
          <a:r>
            <a:rPr lang="en-US" sz="2000"/>
            <a:t>b = fit_lm$coefficients</a:t>
          </a:r>
        </a:p>
        <a:p>
          <a:r>
            <a:rPr lang="en-US" sz="2000"/>
            <a:t>abline(b['Speciesversicolor'],b['Speciesversicolor:Petal.Width']+b['Petal.Width'])</a:t>
          </a:r>
        </a:p>
        <a:p>
          <a:r>
            <a:rPr lang="en-US" sz="2000"/>
            <a:t>abline(b['Speciesvirginica'],b['Speciesvirginica:Petal.Width']+b['Petal.Width'])</a:t>
          </a:r>
        </a:p>
        <a:p>
          <a:r>
            <a:rPr lang="en-US" sz="2000"/>
            <a:t>abline(b['Speciessetosa'],b['Petal.Width'])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8BAFDB-8C9B-8B45-8914-04C8B1A1785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 up VIM ####</a:t>
          </a:r>
        </a:p>
        <a:p>
          <a:r>
            <a:rPr lang="en-US" sz="2000"/>
            <a:t>install.packages('VIM')</a:t>
          </a:r>
        </a:p>
        <a:p>
          <a:r>
            <a:rPr lang="en-US" sz="2000"/>
            <a:t>install.packages('Rcpp')</a:t>
          </a:r>
        </a:p>
        <a:p>
          <a:endParaRPr lang="en-US" sz="2000"/>
        </a:p>
        <a:p>
          <a:r>
            <a:rPr lang="en-US" sz="2000"/>
            <a:t># Explore VIM ####</a:t>
          </a:r>
        </a:p>
        <a:p>
          <a:r>
            <a:rPr lang="en-US" sz="2000"/>
            <a:t>mydata2 = VIM::sleep</a:t>
          </a:r>
        </a:p>
        <a:p>
          <a:r>
            <a:rPr lang="en-US" sz="2000"/>
            <a:t>names(mydata2)</a:t>
          </a:r>
        </a:p>
        <a:p>
          <a:endParaRPr lang="en-US" sz="2000"/>
        </a:p>
        <a:p>
          <a:r>
            <a:rPr lang="en-US" sz="2000"/>
            <a:t>VIM::aggr(mydata2)</a:t>
          </a:r>
        </a:p>
        <a:p>
          <a:r>
            <a:rPr lang="en-US" sz="2000"/>
            <a:t>VIM::aggr(mydata2,plot = F)</a:t>
          </a:r>
        </a:p>
        <a:p>
          <a:endParaRPr lang="en-US" sz="20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E01F9-1217-0F47-A159-D8A48C590FA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IRIS Example ####</a:t>
          </a:r>
        </a:p>
        <a:p>
          <a:r>
            <a:rPr lang="en-US" sz="1600"/>
            <a:t>data(iris)</a:t>
          </a:r>
        </a:p>
        <a:p>
          <a:r>
            <a:rPr lang="en-US" sz="1600"/>
            <a:t>mydata0 = iris[, c(1, 2, 5)]</a:t>
          </a:r>
        </a:p>
        <a:p>
          <a:r>
            <a:rPr lang="en-US" sz="1600"/>
            <a:t>mydata1 = iris[, c(1, 2, 5)]</a:t>
          </a:r>
        </a:p>
        <a:p>
          <a:endParaRPr lang="en-US" sz="1600"/>
        </a:p>
        <a:p>
          <a:r>
            <a:rPr lang="en-US" sz="1600"/>
            <a:t>idx_missing1 = c(41:45, 91:95, 141:145)</a:t>
          </a:r>
        </a:p>
        <a:p>
          <a:r>
            <a:rPr lang="en-US" sz="1600"/>
            <a:t>idx_missing2 = c(46:50, 96:100, 146:150)</a:t>
          </a:r>
        </a:p>
        <a:p>
          <a:r>
            <a:rPr lang="en-US" sz="1600"/>
            <a:t>idx_missing  = union(idx_missing1,idx_missing2)</a:t>
          </a:r>
        </a:p>
        <a:p>
          <a:r>
            <a:rPr lang="en-US" sz="1600"/>
            <a:t>mydata1[idx_missing1,1] = NA</a:t>
          </a:r>
        </a:p>
        <a:p>
          <a:r>
            <a:rPr lang="en-US" sz="1600"/>
            <a:t>mydata1[idx_missing2,2] = NA</a:t>
          </a:r>
        </a:p>
        <a:p>
          <a:endParaRPr lang="en-US" sz="1600"/>
        </a:p>
        <a:p>
          <a:r>
            <a:rPr lang="en-US" sz="1600"/>
            <a:t>mycolors = rep(c('red','green','blue'),c(50,50,50))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mycolors[idx_missing] = 'black'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# KNN ####</a:t>
          </a:r>
        </a:p>
        <a:p>
          <a:r>
            <a:rPr lang="en-US" sz="1600"/>
            <a:t>mynames = names(mydata1)</a:t>
          </a:r>
        </a:p>
        <a:p>
          <a:r>
            <a:rPr lang="en-US" sz="1600"/>
            <a:t>knn1 = VIM::kNN(data = mydata1,variable = mynames[1],k = 1)</a:t>
          </a:r>
        </a:p>
        <a:p>
          <a:r>
            <a:rPr lang="en-US" sz="1600"/>
            <a:t>knn3 = VIM::kNN(data = mydata1,variable = mynames[1],k = 3)</a:t>
          </a:r>
        </a:p>
        <a:p>
          <a:endParaRPr lang="en-US" sz="1600"/>
        </a:p>
        <a:p>
          <a:r>
            <a:rPr lang="en-US" sz="1600"/>
            <a:t>points(knn1[,1:2],col= mycolors, cex = .1)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071947-F89D-E548-ACF1-23195E6EDB7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MICE ####</a:t>
          </a:r>
        </a:p>
        <a:p>
          <a:endParaRPr lang="en-US" sz="2000"/>
        </a:p>
        <a:p>
          <a:r>
            <a:rPr lang="en-US" sz="2000"/>
            <a:t># install.packages('mice')</a:t>
          </a:r>
        </a:p>
        <a:p>
          <a:r>
            <a:rPr lang="en-US" sz="2000"/>
            <a:t>mice::md.pattern(mydata2)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y = as.matrix(X_std)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800100</xdr:colOff>
      <xdr:row>9</xdr:row>
      <xdr:rowOff>190500</xdr:rowOff>
    </xdr:from>
    <xdr:ext cx="74930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AF412697-18EC-1240-9D24-96195FDD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6" name="Picture 5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DEFEC979-5BEB-674D-8278-7399E32BA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56DEF-78A7-7947-91D4-AC713FEFD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455662-D1C9-724D-85BF-444F6E4E0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692264</xdr:colOff>
      <xdr:row>30</xdr:row>
      <xdr:rowOff>25400</xdr:rowOff>
    </xdr:from>
    <xdr:to>
      <xdr:col>10</xdr:col>
      <xdr:colOff>266699</xdr:colOff>
      <xdr:row>39</xdr:row>
      <xdr:rowOff>38100</xdr:rowOff>
    </xdr:to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7CC92C04-E461-F244-8409-3CE0638D7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2B6EF-7D4C-8F42-ADF9-3DAB014E8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7FD2F-615A-C041-BA0C-29BBC5843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4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IndicatorVariables"/>
      <sheetName val="DiffB0_SameB1"/>
      <sheetName val="SameB0_DiffB1"/>
      <sheetName val="DiffB0_Diff_B1"/>
      <sheetName val="Character_Factor"/>
      <sheetName val="Indicators"/>
      <sheetName val="Interaction1"/>
      <sheetName val="Interaction2"/>
      <sheetName val="MissingData"/>
      <sheetName val="VIM"/>
      <sheetName val="KNN"/>
      <sheetName val="MICE"/>
      <sheetName val="Regularization"/>
      <sheetName val="Setup"/>
      <sheetName val="Matrices"/>
      <sheetName val="L2"/>
      <sheetName val="L1"/>
      <sheetName val="MultiClass"/>
      <sheetName val="Each_vs_Each"/>
      <sheetName val="Each_vs_All"/>
    </sheetNames>
    <sheetDataSet>
      <sheetData sheetId="0" refreshError="1"/>
      <sheetData sheetId="1" refreshError="1"/>
      <sheetData sheetId="2">
        <row r="4">
          <cell r="C4" t="str">
            <v>X1</v>
          </cell>
          <cell r="D4" t="str">
            <v>X2</v>
          </cell>
          <cell r="E4" t="str">
            <v>X3</v>
          </cell>
          <cell r="F4" t="str">
            <v>X4</v>
          </cell>
          <cell r="G4" t="str">
            <v>X5</v>
          </cell>
        </row>
        <row r="5">
          <cell r="B5">
            <v>1</v>
          </cell>
          <cell r="C5">
            <v>14.729829382366759</v>
          </cell>
          <cell r="D5">
            <v>23.080670741975222</v>
          </cell>
          <cell r="E5">
            <v>32.015461762328989</v>
          </cell>
          <cell r="F5">
            <v>38.538037680642674</v>
          </cell>
          <cell r="G5">
            <v>53.501614870632189</v>
          </cell>
        </row>
        <row r="6">
          <cell r="B6">
            <v>2</v>
          </cell>
          <cell r="C6">
            <v>18.54535629141192</v>
          </cell>
          <cell r="D6">
            <v>13.348047017747529</v>
          </cell>
          <cell r="E6">
            <v>32.087472251280538</v>
          </cell>
          <cell r="F6">
            <v>41.428264498818208</v>
          </cell>
          <cell r="G6">
            <v>51.002835160159997</v>
          </cell>
        </row>
        <row r="7">
          <cell r="B7">
            <v>3</v>
          </cell>
          <cell r="C7">
            <v>12.935535569807293</v>
          </cell>
          <cell r="D7">
            <v>21.569351442973712</v>
          </cell>
          <cell r="E7">
            <v>29.457781441980945</v>
          </cell>
          <cell r="F7">
            <v>42.621489630830844</v>
          </cell>
          <cell r="G7">
            <v>47.944876041275805</v>
          </cell>
        </row>
        <row r="8">
          <cell r="B8">
            <v>4</v>
          </cell>
          <cell r="C8">
            <v>19.674229270002858</v>
          </cell>
          <cell r="D8">
            <v>20.034986589762791</v>
          </cell>
          <cell r="E8">
            <v>32.228281155308444</v>
          </cell>
          <cell r="F8">
            <v>35.468759817793398</v>
          </cell>
          <cell r="G8">
            <v>52.742108609377475</v>
          </cell>
        </row>
        <row r="9">
          <cell r="B9">
            <v>5</v>
          </cell>
          <cell r="C9">
            <v>19.778285157399029</v>
          </cell>
          <cell r="D9">
            <v>20.507884519409423</v>
          </cell>
          <cell r="E9">
            <v>33.93020462411797</v>
          </cell>
          <cell r="F9">
            <v>43.770893014599324</v>
          </cell>
          <cell r="G9">
            <v>57.450036171469662</v>
          </cell>
        </row>
        <row r="10">
          <cell r="B10">
            <v>6</v>
          </cell>
          <cell r="C10">
            <v>14.186810228029964</v>
          </cell>
          <cell r="D10">
            <v>23.951380400562879</v>
          </cell>
          <cell r="E10">
            <v>43.275366768686496</v>
          </cell>
          <cell r="F10">
            <v>41.04017898776214</v>
          </cell>
          <cell r="G10">
            <v>51.583153818299373</v>
          </cell>
        </row>
        <row r="11">
          <cell r="B11">
            <v>7</v>
          </cell>
          <cell r="C11">
            <v>15.040882955177148</v>
          </cell>
          <cell r="D11">
            <v>29.968840865119446</v>
          </cell>
          <cell r="E11">
            <v>36.957971618275131</v>
          </cell>
          <cell r="F11">
            <v>45.030905078827296</v>
          </cell>
          <cell r="G11">
            <v>60.569287638296132</v>
          </cell>
        </row>
        <row r="12">
          <cell r="B12">
            <v>8</v>
          </cell>
          <cell r="C12">
            <v>19.272266534980048</v>
          </cell>
          <cell r="D12">
            <v>26.558061462522474</v>
          </cell>
          <cell r="E12">
            <v>38.959549324059871</v>
          </cell>
          <cell r="F12">
            <v>46.220486755167137</v>
          </cell>
          <cell r="G12">
            <v>55.074443491241311</v>
          </cell>
        </row>
        <row r="13">
          <cell r="B13">
            <v>9</v>
          </cell>
          <cell r="C13">
            <v>14.24105880311096</v>
          </cell>
          <cell r="D13">
            <v>29.969160495407436</v>
          </cell>
          <cell r="E13">
            <v>38.053997336079782</v>
          </cell>
          <cell r="F13">
            <v>45.869391367451065</v>
          </cell>
          <cell r="G13">
            <v>55.129842580418007</v>
          </cell>
        </row>
        <row r="14">
          <cell r="B14">
            <v>10</v>
          </cell>
          <cell r="C14">
            <v>18.589541396022284</v>
          </cell>
          <cell r="D14">
            <v>33.959615787153425</v>
          </cell>
          <cell r="E14">
            <v>45.449079294373902</v>
          </cell>
          <cell r="F14">
            <v>49.634094882152645</v>
          </cell>
          <cell r="G14">
            <v>56.187061243477658</v>
          </cell>
        </row>
        <row r="15">
          <cell r="B15">
            <v>11</v>
          </cell>
          <cell r="C15">
            <v>17.461073000034908</v>
          </cell>
          <cell r="D15">
            <v>33.640177998514297</v>
          </cell>
          <cell r="E15">
            <v>36.514946683151422</v>
          </cell>
          <cell r="F15">
            <v>47.257664413717109</v>
          </cell>
          <cell r="G15">
            <v>60.975277030636121</v>
          </cell>
        </row>
        <row r="16">
          <cell r="B16">
            <v>12</v>
          </cell>
          <cell r="C16">
            <v>24.852711872269815</v>
          </cell>
          <cell r="D16">
            <v>32.789290146721193</v>
          </cell>
          <cell r="E16">
            <v>43.412783498224947</v>
          </cell>
          <cell r="F16">
            <v>51.731509948253695</v>
          </cell>
          <cell r="G16">
            <v>63.962345481178858</v>
          </cell>
        </row>
        <row r="17">
          <cell r="B17">
            <v>13</v>
          </cell>
          <cell r="C17">
            <v>16.046934526267762</v>
          </cell>
          <cell r="D17">
            <v>31.506822195819716</v>
          </cell>
          <cell r="E17">
            <v>41.352223501943577</v>
          </cell>
          <cell r="F17">
            <v>52.658297252655103</v>
          </cell>
          <cell r="G17">
            <v>62.932005283085978</v>
          </cell>
        </row>
        <row r="18">
          <cell r="B18">
            <v>14</v>
          </cell>
          <cell r="C18">
            <v>23.362228338413352</v>
          </cell>
          <cell r="D18">
            <v>32.899534294252334</v>
          </cell>
          <cell r="E18">
            <v>41.020462443759698</v>
          </cell>
          <cell r="F18">
            <v>52.758042841279284</v>
          </cell>
          <cell r="G18">
            <v>59.651980611668343</v>
          </cell>
        </row>
        <row r="19">
          <cell r="B19">
            <v>15</v>
          </cell>
          <cell r="C19">
            <v>15.538827581927558</v>
          </cell>
          <cell r="D19">
            <v>30.003915545161423</v>
          </cell>
          <cell r="E19">
            <v>34.628145598926906</v>
          </cell>
          <cell r="F19">
            <v>53.327518301242293</v>
          </cell>
          <cell r="G19">
            <v>74.176931025373435</v>
          </cell>
        </row>
        <row r="20">
          <cell r="B20">
            <v>16</v>
          </cell>
          <cell r="C20">
            <v>23.620589349526576</v>
          </cell>
          <cell r="D20">
            <v>40.443165133974667</v>
          </cell>
          <cell r="E20">
            <v>42.402475376035895</v>
          </cell>
          <cell r="F20">
            <v>48.944379903383521</v>
          </cell>
          <cell r="G20">
            <v>73.92125230875628</v>
          </cell>
        </row>
        <row r="21">
          <cell r="B21">
            <v>17</v>
          </cell>
          <cell r="C21">
            <v>27.672066447105763</v>
          </cell>
          <cell r="D21">
            <v>37.280999103384381</v>
          </cell>
          <cell r="E21">
            <v>48.991346008570133</v>
          </cell>
          <cell r="F21">
            <v>56.781561071888511</v>
          </cell>
          <cell r="G21">
            <v>70.117624150367178</v>
          </cell>
        </row>
        <row r="22">
          <cell r="B22">
            <v>18</v>
          </cell>
          <cell r="C22">
            <v>35.455443110827574</v>
          </cell>
          <cell r="D22">
            <v>39.185962421381547</v>
          </cell>
          <cell r="E22">
            <v>49.703432734936058</v>
          </cell>
          <cell r="F22">
            <v>62.373318918267628</v>
          </cell>
          <cell r="G22">
            <v>65.830521455277193</v>
          </cell>
        </row>
        <row r="23">
          <cell r="B23">
            <v>19</v>
          </cell>
          <cell r="C23">
            <v>31.537786903194508</v>
          </cell>
          <cell r="D23">
            <v>38.335071739222776</v>
          </cell>
          <cell r="E23">
            <v>46.916434989108559</v>
          </cell>
          <cell r="F23">
            <v>57.126358465277093</v>
          </cell>
          <cell r="G23">
            <v>74.17302533118395</v>
          </cell>
        </row>
        <row r="24">
          <cell r="B24">
            <v>20</v>
          </cell>
          <cell r="C24">
            <v>34.827822700900427</v>
          </cell>
          <cell r="D24">
            <v>43.116868828393194</v>
          </cell>
          <cell r="E24">
            <v>44.448511122999307</v>
          </cell>
          <cell r="F24">
            <v>58.087345839749275</v>
          </cell>
          <cell r="G24">
            <v>71.5742921680161</v>
          </cell>
        </row>
        <row r="25">
          <cell r="B25">
            <v>21</v>
          </cell>
          <cell r="C25">
            <v>31.544537121071947</v>
          </cell>
          <cell r="D25">
            <v>42.418546244586899</v>
          </cell>
          <cell r="E25">
            <v>53.924050294364385</v>
          </cell>
          <cell r="F25">
            <v>57.970367849020164</v>
          </cell>
          <cell r="G25">
            <v>69.298190207221936</v>
          </cell>
        </row>
        <row r="26">
          <cell r="B26">
            <v>22</v>
          </cell>
          <cell r="C26">
            <v>28.545872180726409</v>
          </cell>
          <cell r="D26">
            <v>36.421339424002099</v>
          </cell>
          <cell r="E26">
            <v>48.430403336149709</v>
          </cell>
          <cell r="F26">
            <v>65.326087831842472</v>
          </cell>
          <cell r="G26">
            <v>65.528812421739516</v>
          </cell>
        </row>
        <row r="27">
          <cell r="B27">
            <v>23</v>
          </cell>
          <cell r="C27">
            <v>32.793835087100071</v>
          </cell>
          <cell r="D27">
            <v>41.933871401237042</v>
          </cell>
          <cell r="E27">
            <v>54.360186141065043</v>
          </cell>
          <cell r="F27">
            <v>63.287364245432123</v>
          </cell>
          <cell r="G27">
            <v>72.986923326561453</v>
          </cell>
        </row>
        <row r="28">
          <cell r="B28">
            <v>24</v>
          </cell>
          <cell r="C28">
            <v>30.990514623362312</v>
          </cell>
          <cell r="D28">
            <v>46.329712805440792</v>
          </cell>
          <cell r="E28">
            <v>47.353070124617517</v>
          </cell>
          <cell r="F28">
            <v>67.113366888776284</v>
          </cell>
          <cell r="G28">
            <v>70.127357583768458</v>
          </cell>
        </row>
        <row r="29">
          <cell r="B29">
            <v>25</v>
          </cell>
          <cell r="C29">
            <v>32.977853420180708</v>
          </cell>
          <cell r="D29">
            <v>47.181291023608054</v>
          </cell>
          <cell r="E29">
            <v>59.361152790807019</v>
          </cell>
          <cell r="F29">
            <v>59.24947375824862</v>
          </cell>
          <cell r="G29">
            <v>73.230702583902826</v>
          </cell>
        </row>
        <row r="30">
          <cell r="B30">
            <v>26</v>
          </cell>
          <cell r="C30">
            <v>45.429644508693947</v>
          </cell>
          <cell r="D30">
            <v>42.447618650940584</v>
          </cell>
          <cell r="E30">
            <v>48.995792589572382</v>
          </cell>
          <cell r="F30">
            <v>61.188357178597656</v>
          </cell>
          <cell r="G30">
            <v>75.540707186509508</v>
          </cell>
        </row>
        <row r="31">
          <cell r="B31">
            <v>27</v>
          </cell>
          <cell r="C31">
            <v>38.613579677082335</v>
          </cell>
          <cell r="D31">
            <v>48.127532502344124</v>
          </cell>
          <cell r="E31">
            <v>54.809669279797149</v>
          </cell>
          <cell r="F31">
            <v>69.078956862206013</v>
          </cell>
          <cell r="G31">
            <v>74.065686463763996</v>
          </cell>
        </row>
        <row r="32">
          <cell r="B32">
            <v>28</v>
          </cell>
          <cell r="C32">
            <v>34.45813113382976</v>
          </cell>
          <cell r="D32">
            <v>52.912898813506871</v>
          </cell>
          <cell r="E32">
            <v>62.504525337345711</v>
          </cell>
          <cell r="F32">
            <v>69.159435083948196</v>
          </cell>
          <cell r="G32">
            <v>76.725724295521331</v>
          </cell>
        </row>
        <row r="33">
          <cell r="B33">
            <v>29</v>
          </cell>
          <cell r="C33">
            <v>38.011987646051146</v>
          </cell>
          <cell r="D33">
            <v>54.301937716826707</v>
          </cell>
          <cell r="E33">
            <v>55.586014294388463</v>
          </cell>
          <cell r="F33">
            <v>71.747064101420392</v>
          </cell>
          <cell r="G33">
            <v>78.703131265136392</v>
          </cell>
        </row>
        <row r="34">
          <cell r="B34">
            <v>30</v>
          </cell>
          <cell r="C34">
            <v>41.51461846995322</v>
          </cell>
          <cell r="D34">
            <v>56.819379866796204</v>
          </cell>
          <cell r="E34">
            <v>62.631530156041237</v>
          </cell>
          <cell r="F34">
            <v>70.456845186019095</v>
          </cell>
          <cell r="G34">
            <v>88.233465963708156</v>
          </cell>
        </row>
      </sheetData>
      <sheetData sheetId="3">
        <row r="4">
          <cell r="C4" t="str">
            <v>X1</v>
          </cell>
          <cell r="D4" t="str">
            <v>X2</v>
          </cell>
          <cell r="E4" t="str">
            <v>X3</v>
          </cell>
          <cell r="F4" t="str">
            <v>X4</v>
          </cell>
          <cell r="G4" t="str">
            <v>X5</v>
          </cell>
        </row>
        <row r="5">
          <cell r="B5">
            <v>1</v>
          </cell>
          <cell r="C5">
            <v>10.063502134331802</v>
          </cell>
          <cell r="D5">
            <v>-5.1406796361671017</v>
          </cell>
          <cell r="E5">
            <v>11.738993232035572</v>
          </cell>
          <cell r="F5">
            <v>1.0181488035393342</v>
          </cell>
          <cell r="G5">
            <v>6.3839863673356865</v>
          </cell>
        </row>
        <row r="6">
          <cell r="B6">
            <v>2</v>
          </cell>
          <cell r="C6">
            <v>4.0866290748618015</v>
          </cell>
          <cell r="D6">
            <v>-3.4032256974407211</v>
          </cell>
          <cell r="E6">
            <v>8.5361942781118358</v>
          </cell>
          <cell r="F6">
            <v>12.43438257350255</v>
          </cell>
          <cell r="G6">
            <v>11.398646676454083</v>
          </cell>
        </row>
        <row r="7">
          <cell r="B7">
            <v>3</v>
          </cell>
          <cell r="C7">
            <v>4.3813741166531059</v>
          </cell>
          <cell r="D7">
            <v>14.829401187717043</v>
          </cell>
          <cell r="E7">
            <v>-9.170003165222063</v>
          </cell>
          <cell r="F7">
            <v>0.62848122914458493</v>
          </cell>
          <cell r="G7">
            <v>17.579213474748808</v>
          </cell>
        </row>
        <row r="8">
          <cell r="B8">
            <v>4</v>
          </cell>
          <cell r="C8">
            <v>7.1905596132461831</v>
          </cell>
          <cell r="D8">
            <v>-0.35809826874299944</v>
          </cell>
          <cell r="E8">
            <v>17.413152958743762</v>
          </cell>
          <cell r="F8">
            <v>6.4982589869456664</v>
          </cell>
          <cell r="G8">
            <v>28.109069469514164</v>
          </cell>
        </row>
        <row r="9">
          <cell r="B9">
            <v>5</v>
          </cell>
          <cell r="C9">
            <v>1.9001639196526572</v>
          </cell>
          <cell r="D9">
            <v>12.086317335198231</v>
          </cell>
          <cell r="E9">
            <v>26.012294038329934</v>
          </cell>
          <cell r="F9">
            <v>22.457515911216753</v>
          </cell>
          <cell r="G9">
            <v>22.836747069952164</v>
          </cell>
        </row>
        <row r="10">
          <cell r="B10">
            <v>6</v>
          </cell>
          <cell r="C10">
            <v>4.5772824842665223</v>
          </cell>
          <cell r="D10">
            <v>20.883202502180829</v>
          </cell>
          <cell r="E10">
            <v>23.701830225184054</v>
          </cell>
          <cell r="F10">
            <v>22.328283779645464</v>
          </cell>
          <cell r="G10">
            <v>28.932174851685819</v>
          </cell>
        </row>
        <row r="11">
          <cell r="B11">
            <v>7</v>
          </cell>
          <cell r="C11">
            <v>9.900186050597954</v>
          </cell>
          <cell r="D11">
            <v>12.241680475697954</v>
          </cell>
          <cell r="E11">
            <v>31.508710757404501</v>
          </cell>
          <cell r="F11">
            <v>26.80936301935407</v>
          </cell>
          <cell r="G11">
            <v>34.963275073873191</v>
          </cell>
        </row>
        <row r="12">
          <cell r="B12">
            <v>8</v>
          </cell>
          <cell r="C12">
            <v>9.5670151242155441</v>
          </cell>
          <cell r="D12">
            <v>18.774425977462826</v>
          </cell>
          <cell r="E12">
            <v>17.973753605180164</v>
          </cell>
          <cell r="F12">
            <v>14.859035698300783</v>
          </cell>
          <cell r="G12">
            <v>43.294669208305777</v>
          </cell>
        </row>
        <row r="13">
          <cell r="B13">
            <v>9</v>
          </cell>
          <cell r="C13">
            <v>15.219871652048351</v>
          </cell>
          <cell r="D13">
            <v>16.965008626087211</v>
          </cell>
          <cell r="E13">
            <v>28.62347673011697</v>
          </cell>
          <cell r="F13">
            <v>41.118325254997856</v>
          </cell>
          <cell r="G13">
            <v>43.810581504527804</v>
          </cell>
        </row>
        <row r="14">
          <cell r="B14">
            <v>10</v>
          </cell>
          <cell r="C14">
            <v>2.571804555021302</v>
          </cell>
          <cell r="D14">
            <v>27.660406284399144</v>
          </cell>
          <cell r="E14">
            <v>29.13756587427811</v>
          </cell>
          <cell r="F14">
            <v>43.429549731624178</v>
          </cell>
          <cell r="G14">
            <v>47.677337906591319</v>
          </cell>
        </row>
        <row r="15">
          <cell r="B15">
            <v>11</v>
          </cell>
          <cell r="C15">
            <v>13.726865461462259</v>
          </cell>
          <cell r="D15">
            <v>19.124766620402198</v>
          </cell>
          <cell r="E15">
            <v>30.221443520425368</v>
          </cell>
          <cell r="F15">
            <v>47.725269756033512</v>
          </cell>
          <cell r="G15">
            <v>62.578750277371512</v>
          </cell>
        </row>
        <row r="16">
          <cell r="B16">
            <v>12</v>
          </cell>
          <cell r="C16">
            <v>15.849986743535194</v>
          </cell>
          <cell r="D16">
            <v>34.14073078430328</v>
          </cell>
          <cell r="E16">
            <v>19.38990005696834</v>
          </cell>
          <cell r="F16">
            <v>49.699215638229241</v>
          </cell>
          <cell r="G16">
            <v>58.178599251103542</v>
          </cell>
        </row>
        <row r="17">
          <cell r="B17">
            <v>13</v>
          </cell>
          <cell r="C17">
            <v>-5.4586282869362144</v>
          </cell>
          <cell r="D17">
            <v>28.055540975667029</v>
          </cell>
          <cell r="E17">
            <v>39.669524501158627</v>
          </cell>
          <cell r="F17">
            <v>66.45625767594484</v>
          </cell>
          <cell r="G17">
            <v>63.144654584115735</v>
          </cell>
        </row>
        <row r="18">
          <cell r="B18">
            <v>14</v>
          </cell>
          <cell r="C18">
            <v>17.963459762794642</v>
          </cell>
          <cell r="D18">
            <v>38.203568797861905</v>
          </cell>
          <cell r="E18">
            <v>39.487688407299608</v>
          </cell>
          <cell r="F18">
            <v>60.203714279925123</v>
          </cell>
          <cell r="G18">
            <v>79.318924504468526</v>
          </cell>
        </row>
        <row r="19">
          <cell r="B19">
            <v>15</v>
          </cell>
          <cell r="C19">
            <v>16.716273616644816</v>
          </cell>
          <cell r="D19">
            <v>30.774968862625691</v>
          </cell>
          <cell r="E19">
            <v>43.212957618652219</v>
          </cell>
          <cell r="F19">
            <v>68.131656556463227</v>
          </cell>
          <cell r="G19">
            <v>74.391571013157062</v>
          </cell>
        </row>
        <row r="20">
          <cell r="B20">
            <v>16</v>
          </cell>
          <cell r="C20">
            <v>24.372378979202878</v>
          </cell>
          <cell r="D20">
            <v>35.634874338840248</v>
          </cell>
          <cell r="E20">
            <v>52.079901771459085</v>
          </cell>
          <cell r="F20">
            <v>58.970612793753297</v>
          </cell>
          <cell r="G20">
            <v>70.494581803974611</v>
          </cell>
        </row>
        <row r="21">
          <cell r="B21">
            <v>17</v>
          </cell>
          <cell r="C21">
            <v>25.559362899059654</v>
          </cell>
          <cell r="D21">
            <v>24.706785085269978</v>
          </cell>
          <cell r="E21">
            <v>50.786156566350606</v>
          </cell>
          <cell r="F21">
            <v>66.14967199625417</v>
          </cell>
          <cell r="G21">
            <v>91.256328716892696</v>
          </cell>
        </row>
        <row r="22">
          <cell r="B22">
            <v>18</v>
          </cell>
          <cell r="C22">
            <v>18.387362578264778</v>
          </cell>
          <cell r="D22">
            <v>27.913730419611795</v>
          </cell>
          <cell r="E22">
            <v>62.166462944825099</v>
          </cell>
          <cell r="F22">
            <v>79.858315719555392</v>
          </cell>
          <cell r="G22">
            <v>95.59696243455943</v>
          </cell>
        </row>
        <row r="23">
          <cell r="B23">
            <v>19</v>
          </cell>
          <cell r="C23">
            <v>30.698870708854063</v>
          </cell>
          <cell r="D23">
            <v>38.489011842041727</v>
          </cell>
          <cell r="E23">
            <v>60.173123517716732</v>
          </cell>
          <cell r="F23">
            <v>68.639055110431144</v>
          </cell>
          <cell r="G23">
            <v>94.498973797524059</v>
          </cell>
        </row>
        <row r="24">
          <cell r="B24">
            <v>20</v>
          </cell>
          <cell r="C24">
            <v>23.09175843973722</v>
          </cell>
          <cell r="D24">
            <v>48.834732028541247</v>
          </cell>
          <cell r="E24">
            <v>49.298500920491428</v>
          </cell>
          <cell r="F24">
            <v>88.051549410505913</v>
          </cell>
          <cell r="G24">
            <v>107.58554407443954</v>
          </cell>
        </row>
        <row r="25">
          <cell r="B25">
            <v>21</v>
          </cell>
          <cell r="C25">
            <v>34.018452873312647</v>
          </cell>
          <cell r="D25">
            <v>45.302333894438455</v>
          </cell>
          <cell r="E25">
            <v>66.601891116155727</v>
          </cell>
          <cell r="F25">
            <v>82.913760611592991</v>
          </cell>
          <cell r="G25">
            <v>112.46533339923054</v>
          </cell>
        </row>
        <row r="26">
          <cell r="B26">
            <v>22</v>
          </cell>
          <cell r="C26">
            <v>15.555245035709383</v>
          </cell>
          <cell r="D26">
            <v>43.376101728090688</v>
          </cell>
          <cell r="E26">
            <v>59.322166997819316</v>
          </cell>
          <cell r="F26">
            <v>84.138218235171891</v>
          </cell>
          <cell r="G26">
            <v>115.63337809224575</v>
          </cell>
        </row>
        <row r="27">
          <cell r="B27">
            <v>23</v>
          </cell>
          <cell r="C27">
            <v>27.522685715561977</v>
          </cell>
          <cell r="D27">
            <v>53.141215115393493</v>
          </cell>
          <cell r="E27">
            <v>78.984091988554695</v>
          </cell>
          <cell r="F27">
            <v>97.173429660924569</v>
          </cell>
          <cell r="G27">
            <v>117.73366624845977</v>
          </cell>
        </row>
        <row r="28">
          <cell r="B28">
            <v>24</v>
          </cell>
          <cell r="C28">
            <v>23.886174820679475</v>
          </cell>
          <cell r="D28">
            <v>44.654798103790846</v>
          </cell>
          <cell r="E28">
            <v>76.576029391240141</v>
          </cell>
          <cell r="F28">
            <v>100.49755968265058</v>
          </cell>
          <cell r="G28">
            <v>124.9655524448608</v>
          </cell>
        </row>
        <row r="29">
          <cell r="B29">
            <v>25</v>
          </cell>
          <cell r="C29">
            <v>24.077827787342073</v>
          </cell>
          <cell r="D29">
            <v>51.590876078270597</v>
          </cell>
          <cell r="E29">
            <v>76.407096511501479</v>
          </cell>
          <cell r="F29">
            <v>103.08933316680249</v>
          </cell>
          <cell r="G29">
            <v>132.28740312087979</v>
          </cell>
        </row>
        <row r="30">
          <cell r="B30">
            <v>26</v>
          </cell>
          <cell r="C30">
            <v>10.334215329470847</v>
          </cell>
          <cell r="D30">
            <v>58.233258296524312</v>
          </cell>
          <cell r="E30">
            <v>81.82187325055925</v>
          </cell>
          <cell r="F30">
            <v>102.95381909708678</v>
          </cell>
          <cell r="G30">
            <v>134.54863445651276</v>
          </cell>
        </row>
        <row r="31">
          <cell r="B31">
            <v>27</v>
          </cell>
          <cell r="C31">
            <v>7.2139386056959758</v>
          </cell>
          <cell r="D31">
            <v>58.939450381794195</v>
          </cell>
          <cell r="E31">
            <v>91.92674436341575</v>
          </cell>
          <cell r="F31">
            <v>102.69865410642473</v>
          </cell>
          <cell r="G31">
            <v>128.64644425594179</v>
          </cell>
        </row>
        <row r="32">
          <cell r="B32">
            <v>28</v>
          </cell>
          <cell r="C32">
            <v>25.921593800691124</v>
          </cell>
          <cell r="D32">
            <v>68.447775979302619</v>
          </cell>
          <cell r="E32">
            <v>93.633266368426433</v>
          </cell>
          <cell r="F32">
            <v>122.01592290857167</v>
          </cell>
          <cell r="G32">
            <v>152.03618587499204</v>
          </cell>
        </row>
        <row r="33">
          <cell r="B33">
            <v>29</v>
          </cell>
          <cell r="C33">
            <v>22.55464225084414</v>
          </cell>
          <cell r="D33">
            <v>60.970840216056217</v>
          </cell>
          <cell r="E33">
            <v>91.761655984718615</v>
          </cell>
          <cell r="F33">
            <v>108.18546512957739</v>
          </cell>
          <cell r="G33">
            <v>128.01419984914259</v>
          </cell>
        </row>
        <row r="34">
          <cell r="B34">
            <v>30</v>
          </cell>
          <cell r="C34">
            <v>20.617988526979595</v>
          </cell>
          <cell r="D34">
            <v>51.624296310774291</v>
          </cell>
          <cell r="E34">
            <v>91.920231602690961</v>
          </cell>
          <cell r="F34">
            <v>125.67088171644242</v>
          </cell>
          <cell r="G34">
            <v>171.08675543322389</v>
          </cell>
        </row>
      </sheetData>
      <sheetData sheetId="4">
        <row r="4">
          <cell r="C4" t="str">
            <v>X1</v>
          </cell>
          <cell r="D4" t="str">
            <v>X2</v>
          </cell>
          <cell r="E4" t="str">
            <v>X3</v>
          </cell>
          <cell r="F4" t="str">
            <v>X4</v>
          </cell>
          <cell r="G4" t="str">
            <v>X5</v>
          </cell>
        </row>
        <row r="5">
          <cell r="B5">
            <v>1</v>
          </cell>
          <cell r="C5">
            <v>6.9684028919818441</v>
          </cell>
          <cell r="D5">
            <v>12.961530085237049</v>
          </cell>
          <cell r="E5">
            <v>35.207785043973445</v>
          </cell>
          <cell r="F5">
            <v>59.856545136247107</v>
          </cell>
          <cell r="G5">
            <v>49.490860348171218</v>
          </cell>
        </row>
        <row r="6">
          <cell r="B6">
            <v>2</v>
          </cell>
          <cell r="C6">
            <v>22.969606274399133</v>
          </cell>
          <cell r="D6">
            <v>30.094662298245325</v>
          </cell>
          <cell r="E6">
            <v>34.306145839549906</v>
          </cell>
          <cell r="F6">
            <v>46.030464766742682</v>
          </cell>
          <cell r="G6">
            <v>50.708199396951485</v>
          </cell>
        </row>
        <row r="7">
          <cell r="B7">
            <v>3</v>
          </cell>
          <cell r="C7">
            <v>13.971831342682595</v>
          </cell>
          <cell r="D7">
            <v>33.992050853086063</v>
          </cell>
          <cell r="E7">
            <v>48.799623624308737</v>
          </cell>
          <cell r="F7">
            <v>47.321710057757251</v>
          </cell>
          <cell r="G7">
            <v>61.768747438719181</v>
          </cell>
        </row>
        <row r="8">
          <cell r="B8">
            <v>4</v>
          </cell>
          <cell r="C8">
            <v>7.7117744989054176</v>
          </cell>
          <cell r="D8">
            <v>17.251760860617733</v>
          </cell>
          <cell r="E8">
            <v>29.948118014749809</v>
          </cell>
          <cell r="F8">
            <v>53.544762786827292</v>
          </cell>
          <cell r="G8">
            <v>72.731850205437439</v>
          </cell>
        </row>
        <row r="9">
          <cell r="B9">
            <v>5</v>
          </cell>
          <cell r="C9">
            <v>13.99941851119083</v>
          </cell>
          <cell r="D9">
            <v>33.716614986273456</v>
          </cell>
          <cell r="E9">
            <v>46.514575706710907</v>
          </cell>
          <cell r="F9">
            <v>62.530370748575152</v>
          </cell>
          <cell r="G9">
            <v>85.878920108138587</v>
          </cell>
        </row>
        <row r="10">
          <cell r="B10">
            <v>6</v>
          </cell>
          <cell r="C10">
            <v>17.461569209812993</v>
          </cell>
          <cell r="D10">
            <v>20.187168076671522</v>
          </cell>
          <cell r="E10">
            <v>56.910483427020807</v>
          </cell>
          <cell r="F10">
            <v>62.50601298614086</v>
          </cell>
          <cell r="G10">
            <v>88.323543221205128</v>
          </cell>
        </row>
        <row r="11">
          <cell r="B11">
            <v>7</v>
          </cell>
          <cell r="C11">
            <v>19.065741641342075</v>
          </cell>
          <cell r="D11">
            <v>44.386042544253407</v>
          </cell>
          <cell r="E11">
            <v>46.572439164559206</v>
          </cell>
          <cell r="F11">
            <v>67.394333963161301</v>
          </cell>
          <cell r="G11">
            <v>93.288827015336352</v>
          </cell>
        </row>
        <row r="12">
          <cell r="B12">
            <v>8</v>
          </cell>
          <cell r="C12">
            <v>33.505087642943153</v>
          </cell>
          <cell r="D12">
            <v>30.297205155320416</v>
          </cell>
          <cell r="E12">
            <v>56.860454474995109</v>
          </cell>
          <cell r="F12">
            <v>68.707795956958932</v>
          </cell>
          <cell r="G12">
            <v>88.754500548731144</v>
          </cell>
        </row>
        <row r="13">
          <cell r="B13">
            <v>9</v>
          </cell>
          <cell r="C13">
            <v>19.707844020099184</v>
          </cell>
          <cell r="D13">
            <v>32.820732270601859</v>
          </cell>
          <cell r="E13">
            <v>51.451575043211022</v>
          </cell>
          <cell r="F13">
            <v>75.692502431723781</v>
          </cell>
          <cell r="G13">
            <v>87.083619511169687</v>
          </cell>
        </row>
        <row r="14">
          <cell r="B14">
            <v>10</v>
          </cell>
          <cell r="C14">
            <v>22.039331742358549</v>
          </cell>
          <cell r="D14">
            <v>42.924878339381529</v>
          </cell>
          <cell r="E14">
            <v>59.393972981056116</v>
          </cell>
          <cell r="F14">
            <v>84.971284232395845</v>
          </cell>
          <cell r="G14">
            <v>97.072350238791969</v>
          </cell>
        </row>
        <row r="15">
          <cell r="B15">
            <v>11</v>
          </cell>
          <cell r="C15">
            <v>14.00811296393924</v>
          </cell>
          <cell r="D15">
            <v>50.042760744393711</v>
          </cell>
          <cell r="E15">
            <v>62.643793536629282</v>
          </cell>
          <cell r="F15">
            <v>86.075023760560654</v>
          </cell>
          <cell r="G15">
            <v>104.864189368878</v>
          </cell>
        </row>
        <row r="16">
          <cell r="B16">
            <v>12</v>
          </cell>
          <cell r="C16">
            <v>21.922313763280791</v>
          </cell>
          <cell r="D16">
            <v>31.210645763153916</v>
          </cell>
          <cell r="E16">
            <v>67.609289599190404</v>
          </cell>
          <cell r="F16">
            <v>87.841769310912142</v>
          </cell>
          <cell r="G16">
            <v>111.1418325571973</v>
          </cell>
        </row>
        <row r="17">
          <cell r="B17">
            <v>13</v>
          </cell>
          <cell r="C17">
            <v>26.47424670735278</v>
          </cell>
          <cell r="D17">
            <v>50.957783902010924</v>
          </cell>
          <cell r="E17">
            <v>61.663384674739156</v>
          </cell>
          <cell r="F17">
            <v>101.12689749979968</v>
          </cell>
          <cell r="G17">
            <v>108.49135934154613</v>
          </cell>
        </row>
        <row r="18">
          <cell r="B18">
            <v>14</v>
          </cell>
          <cell r="C18">
            <v>20.933477520945843</v>
          </cell>
          <cell r="D18">
            <v>44.918080821834899</v>
          </cell>
          <cell r="E18">
            <v>71.439018562033112</v>
          </cell>
          <cell r="F18">
            <v>89.469813917436909</v>
          </cell>
          <cell r="G18">
            <v>111.23100341333408</v>
          </cell>
        </row>
        <row r="19">
          <cell r="B19">
            <v>15</v>
          </cell>
          <cell r="C19">
            <v>26.680880470438055</v>
          </cell>
          <cell r="D19">
            <v>41.928725351702596</v>
          </cell>
          <cell r="E19">
            <v>77.887646923096639</v>
          </cell>
          <cell r="F19">
            <v>98.451876470638609</v>
          </cell>
          <cell r="G19">
            <v>118.97231539886432</v>
          </cell>
        </row>
        <row r="20">
          <cell r="B20">
            <v>16</v>
          </cell>
          <cell r="C20">
            <v>24.459671749817897</v>
          </cell>
          <cell r="D20">
            <v>48.282951852719705</v>
          </cell>
          <cell r="E20">
            <v>71.155701132389339</v>
          </cell>
          <cell r="F20">
            <v>103.05804956389215</v>
          </cell>
          <cell r="G20">
            <v>126.367159473032</v>
          </cell>
        </row>
        <row r="21">
          <cell r="B21">
            <v>17</v>
          </cell>
          <cell r="C21">
            <v>26.74880422374401</v>
          </cell>
          <cell r="D21">
            <v>57.499927564189143</v>
          </cell>
          <cell r="E21">
            <v>83.937987276774209</v>
          </cell>
          <cell r="F21">
            <v>104.94940409709234</v>
          </cell>
          <cell r="G21">
            <v>127.63111035539627</v>
          </cell>
        </row>
        <row r="22">
          <cell r="B22">
            <v>18</v>
          </cell>
          <cell r="C22">
            <v>26.977092462968518</v>
          </cell>
          <cell r="D22">
            <v>55.219602714106742</v>
          </cell>
          <cell r="E22">
            <v>87.972990308744016</v>
          </cell>
          <cell r="F22">
            <v>111.86095745821704</v>
          </cell>
          <cell r="G22">
            <v>143.97150848833647</v>
          </cell>
        </row>
        <row r="23">
          <cell r="B23">
            <v>19</v>
          </cell>
          <cell r="C23">
            <v>28.185730936862946</v>
          </cell>
          <cell r="D23">
            <v>50.682830156006382</v>
          </cell>
          <cell r="E23">
            <v>82.171885919038303</v>
          </cell>
          <cell r="F23">
            <v>121.02801281931586</v>
          </cell>
          <cell r="G23">
            <v>141.44887835753019</v>
          </cell>
        </row>
        <row r="24">
          <cell r="B24">
            <v>20</v>
          </cell>
          <cell r="C24">
            <v>31.063061346923874</v>
          </cell>
          <cell r="D24">
            <v>55.452602704221107</v>
          </cell>
          <cell r="E24">
            <v>76.751743307988747</v>
          </cell>
          <cell r="F24">
            <v>122.55026770703888</v>
          </cell>
          <cell r="G24">
            <v>148.66275567315557</v>
          </cell>
        </row>
        <row r="25">
          <cell r="B25">
            <v>21</v>
          </cell>
          <cell r="C25">
            <v>35.312246699882749</v>
          </cell>
          <cell r="D25">
            <v>52.474611092104354</v>
          </cell>
          <cell r="E25">
            <v>88.44946322976709</v>
          </cell>
          <cell r="F25">
            <v>120.22317751681778</v>
          </cell>
          <cell r="G25">
            <v>166.60759898544848</v>
          </cell>
        </row>
        <row r="26">
          <cell r="B26">
            <v>22</v>
          </cell>
          <cell r="C26">
            <v>32.776614208717206</v>
          </cell>
          <cell r="D26">
            <v>63.283863544197587</v>
          </cell>
          <cell r="E26">
            <v>89.773248737844142</v>
          </cell>
          <cell r="F26">
            <v>131.76910820592769</v>
          </cell>
          <cell r="G26">
            <v>164.9803878058562</v>
          </cell>
        </row>
        <row r="27">
          <cell r="B27">
            <v>23</v>
          </cell>
          <cell r="C27">
            <v>35.664723381738305</v>
          </cell>
          <cell r="D27">
            <v>77.211313408854124</v>
          </cell>
          <cell r="E27">
            <v>92.75967903773477</v>
          </cell>
          <cell r="F27">
            <v>136.28189464053068</v>
          </cell>
          <cell r="G27">
            <v>170.70633598325972</v>
          </cell>
        </row>
        <row r="28">
          <cell r="B28">
            <v>24</v>
          </cell>
          <cell r="C28">
            <v>38.378573537819889</v>
          </cell>
          <cell r="D28">
            <v>74.629275535986551</v>
          </cell>
          <cell r="E28">
            <v>107.97939678920199</v>
          </cell>
          <cell r="F28">
            <v>130.41427881826419</v>
          </cell>
          <cell r="G28">
            <v>171.72216168402241</v>
          </cell>
        </row>
        <row r="29">
          <cell r="B29">
            <v>25</v>
          </cell>
          <cell r="C29">
            <v>42.693647238827808</v>
          </cell>
          <cell r="D29">
            <v>60.935260869106742</v>
          </cell>
          <cell r="E29">
            <v>106.39939813510325</v>
          </cell>
          <cell r="F29">
            <v>139.58231607031692</v>
          </cell>
          <cell r="G29">
            <v>171.30127140473599</v>
          </cell>
        </row>
        <row r="30">
          <cell r="B30">
            <v>26</v>
          </cell>
          <cell r="C30">
            <v>30.378707394701173</v>
          </cell>
          <cell r="D30">
            <v>76.25454300343749</v>
          </cell>
          <cell r="E30">
            <v>114.97871068246997</v>
          </cell>
          <cell r="F30">
            <v>142.71681832485132</v>
          </cell>
          <cell r="G30">
            <v>188.77293297239163</v>
          </cell>
        </row>
        <row r="31">
          <cell r="B31">
            <v>27</v>
          </cell>
          <cell r="C31">
            <v>38.396947284313718</v>
          </cell>
          <cell r="D31">
            <v>65.198249050710587</v>
          </cell>
          <cell r="E31">
            <v>114.78137514165655</v>
          </cell>
          <cell r="F31">
            <v>139.58676216147498</v>
          </cell>
          <cell r="G31">
            <v>192.94444520255823</v>
          </cell>
        </row>
        <row r="32">
          <cell r="B32">
            <v>28</v>
          </cell>
          <cell r="C32">
            <v>34.058957826248076</v>
          </cell>
          <cell r="D32">
            <v>72.455739700524632</v>
          </cell>
          <cell r="E32">
            <v>109.71494164939065</v>
          </cell>
          <cell r="F32">
            <v>164.82561587911221</v>
          </cell>
          <cell r="G32">
            <v>188.35642226283005</v>
          </cell>
        </row>
        <row r="33">
          <cell r="B33">
            <v>29</v>
          </cell>
          <cell r="C33">
            <v>43.258491547725065</v>
          </cell>
          <cell r="D33">
            <v>65.569429371924244</v>
          </cell>
          <cell r="E33">
            <v>117.24570391646112</v>
          </cell>
          <cell r="F33">
            <v>158.77255845566327</v>
          </cell>
          <cell r="G33">
            <v>183.78202882560208</v>
          </cell>
        </row>
        <row r="34">
          <cell r="B34">
            <v>30</v>
          </cell>
          <cell r="C34">
            <v>46.537591836646392</v>
          </cell>
          <cell r="D34">
            <v>83.137343616623355</v>
          </cell>
          <cell r="E34">
            <v>114.58226520980072</v>
          </cell>
          <cell r="F34">
            <v>163.86539014425796</v>
          </cell>
          <cell r="G34">
            <v>207.48003081142602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en.wikipedia.org/wiki/Precision_and_recall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en.wikipedia.org/wiki/Sensitivity_and_specificity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0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80</v>
      </c>
    </row>
    <row r="4" spans="2:2" x14ac:dyDescent="0.3">
      <c r="B4" s="1" t="s">
        <v>81</v>
      </c>
    </row>
    <row r="6" spans="2:2" x14ac:dyDescent="0.3">
      <c r="B6" s="1" t="s">
        <v>16</v>
      </c>
    </row>
    <row r="8" spans="2:2" x14ac:dyDescent="0.3">
      <c r="B8" s="1" t="s">
        <v>15</v>
      </c>
    </row>
    <row r="10" spans="2:2" x14ac:dyDescent="0.3">
      <c r="B10" s="1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1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6</v>
      </c>
    </row>
    <row r="4" spans="2:3" x14ac:dyDescent="0.3">
      <c r="B4" s="1" t="s">
        <v>7</v>
      </c>
    </row>
    <row r="6" spans="2:3" x14ac:dyDescent="0.3">
      <c r="B6" s="1" t="s">
        <v>8</v>
      </c>
    </row>
    <row r="8" spans="2:3" x14ac:dyDescent="0.3">
      <c r="B8" s="1" t="s">
        <v>9</v>
      </c>
    </row>
    <row r="10" spans="2:3" x14ac:dyDescent="0.3">
      <c r="B10" s="1" t="s">
        <v>89</v>
      </c>
    </row>
    <row r="13" spans="2:3" x14ac:dyDescent="0.3">
      <c r="C13" s="26" t="s">
        <v>127</v>
      </c>
    </row>
    <row r="14" spans="2:3" x14ac:dyDescent="0.3">
      <c r="C14" s="1" t="s">
        <v>128</v>
      </c>
    </row>
    <row r="15" spans="2:3" x14ac:dyDescent="0.3">
      <c r="C15" s="1" t="s">
        <v>129</v>
      </c>
    </row>
    <row r="16" spans="2:3" x14ac:dyDescent="0.3">
      <c r="C16" s="1" t="s">
        <v>130</v>
      </c>
    </row>
    <row r="17" spans="3:3" x14ac:dyDescent="0.3">
      <c r="C17" s="1" t="s">
        <v>131</v>
      </c>
    </row>
    <row r="18" spans="3:3" x14ac:dyDescent="0.3">
      <c r="C18" s="1" t="s">
        <v>132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30D5B-43BA-A948-9635-D776EB0739FE}">
  <sheetPr codeName="Sheet7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112</v>
      </c>
    </row>
    <row r="2" spans="1:1" x14ac:dyDescent="0.3">
      <c r="A2" s="1" t="s">
        <v>113</v>
      </c>
    </row>
    <row r="3" spans="1:1" x14ac:dyDescent="0.3">
      <c r="A3" s="1" t="s">
        <v>114</v>
      </c>
    </row>
    <row r="4" spans="1:1" x14ac:dyDescent="0.3">
      <c r="A4" s="1" t="s">
        <v>115</v>
      </c>
    </row>
    <row r="5" spans="1:1" x14ac:dyDescent="0.3">
      <c r="A5" s="1" t="s">
        <v>116</v>
      </c>
    </row>
    <row r="6" spans="1:1" x14ac:dyDescent="0.3">
      <c r="A6" s="1" t="s">
        <v>117</v>
      </c>
    </row>
    <row r="7" spans="1:1" x14ac:dyDescent="0.3">
      <c r="A7" s="1" t="s">
        <v>118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02D16-AED2-0249-97D7-36E8756E5A98}">
  <sheetPr codeName="Sheet8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23"/>
  </cols>
  <sheetData>
    <row r="2" spans="2:7" x14ac:dyDescent="0.2">
      <c r="B2" s="23" t="s">
        <v>71</v>
      </c>
      <c r="C2" s="23">
        <v>1</v>
      </c>
      <c r="D2" s="23">
        <v>1</v>
      </c>
      <c r="E2" s="23">
        <v>1</v>
      </c>
      <c r="F2" s="23">
        <v>1</v>
      </c>
      <c r="G2" s="23">
        <v>1</v>
      </c>
    </row>
    <row r="3" spans="2:7" x14ac:dyDescent="0.2">
      <c r="B3" s="23" t="s">
        <v>82</v>
      </c>
      <c r="C3" s="23">
        <v>10</v>
      </c>
      <c r="D3" s="23">
        <v>20</v>
      </c>
      <c r="E3" s="23">
        <v>30</v>
      </c>
      <c r="F3" s="23">
        <v>40</v>
      </c>
      <c r="G3" s="23">
        <v>50</v>
      </c>
    </row>
    <row r="4" spans="2:7" x14ac:dyDescent="0.2">
      <c r="B4" s="24" t="s">
        <v>83</v>
      </c>
      <c r="C4" s="24" t="s">
        <v>84</v>
      </c>
      <c r="D4" s="24" t="s">
        <v>85</v>
      </c>
      <c r="E4" s="24" t="s">
        <v>86</v>
      </c>
      <c r="F4" s="24" t="s">
        <v>87</v>
      </c>
      <c r="G4" s="24" t="s">
        <v>88</v>
      </c>
    </row>
    <row r="5" spans="2:7" x14ac:dyDescent="0.2">
      <c r="B5" s="24">
        <v>1</v>
      </c>
      <c r="C5" s="25">
        <f t="shared" ref="C5:G14" ca="1" si="0">a + b*t+_xlfn.NORM.INV(RAND(),0,SQRT(AVERAGE(b)*AVERAGE(t)))</f>
        <v>8.2420634163637185</v>
      </c>
      <c r="D5" s="25">
        <f t="shared" ca="1" si="0"/>
        <v>17.736249922889424</v>
      </c>
      <c r="E5" s="25">
        <f t="shared" ca="1" si="0"/>
        <v>30.62280798932672</v>
      </c>
      <c r="F5" s="25">
        <f t="shared" ca="1" si="0"/>
        <v>39.944073132796554</v>
      </c>
      <c r="G5" s="25">
        <f t="shared" ca="1" si="0"/>
        <v>47.013054647062106</v>
      </c>
    </row>
    <row r="6" spans="2:7" x14ac:dyDescent="0.2">
      <c r="B6" s="24">
        <v>2</v>
      </c>
      <c r="C6" s="25">
        <f t="shared" ca="1" si="0"/>
        <v>16.9960328016723</v>
      </c>
      <c r="D6" s="25">
        <f t="shared" ca="1" si="0"/>
        <v>22.804602660008019</v>
      </c>
      <c r="E6" s="25">
        <f t="shared" ca="1" si="0"/>
        <v>38.515770977878169</v>
      </c>
      <c r="F6" s="25">
        <f t="shared" ca="1" si="0"/>
        <v>35.00352556944793</v>
      </c>
      <c r="G6" s="25">
        <f t="shared" ca="1" si="0"/>
        <v>54.49967700835149</v>
      </c>
    </row>
    <row r="7" spans="2:7" x14ac:dyDescent="0.2">
      <c r="B7" s="24">
        <v>3</v>
      </c>
      <c r="C7" s="25">
        <f t="shared" ca="1" si="0"/>
        <v>14.173153062827859</v>
      </c>
      <c r="D7" s="25">
        <f t="shared" ca="1" si="0"/>
        <v>20.109347863240529</v>
      </c>
      <c r="E7" s="25">
        <f t="shared" ca="1" si="0"/>
        <v>32.999775669533513</v>
      </c>
      <c r="F7" s="25">
        <f t="shared" ca="1" si="0"/>
        <v>38.986537117126822</v>
      </c>
      <c r="G7" s="25">
        <f t="shared" ca="1" si="0"/>
        <v>53.129701266081092</v>
      </c>
    </row>
    <row r="8" spans="2:7" x14ac:dyDescent="0.2">
      <c r="B8" s="24">
        <v>4</v>
      </c>
      <c r="C8" s="25">
        <f t="shared" ca="1" si="0"/>
        <v>16.575973926396181</v>
      </c>
      <c r="D8" s="25">
        <f t="shared" ca="1" si="0"/>
        <v>14.949165391627455</v>
      </c>
      <c r="E8" s="25">
        <f t="shared" ca="1" si="0"/>
        <v>33.249383839764114</v>
      </c>
      <c r="F8" s="25">
        <f t="shared" ca="1" si="0"/>
        <v>44.476252539612474</v>
      </c>
      <c r="G8" s="25">
        <f t="shared" ca="1" si="0"/>
        <v>53.458291472278276</v>
      </c>
    </row>
    <row r="9" spans="2:7" x14ac:dyDescent="0.2">
      <c r="B9" s="24">
        <v>5</v>
      </c>
      <c r="C9" s="25">
        <f t="shared" ca="1" si="0"/>
        <v>23.467396735236569</v>
      </c>
      <c r="D9" s="25">
        <f t="shared" ca="1" si="0"/>
        <v>28.288328553490679</v>
      </c>
      <c r="E9" s="25">
        <f t="shared" ca="1" si="0"/>
        <v>34.508169815915529</v>
      </c>
      <c r="F9" s="25">
        <f t="shared" ca="1" si="0"/>
        <v>51.825651396103083</v>
      </c>
      <c r="G9" s="25">
        <f t="shared" ca="1" si="0"/>
        <v>42.902421196825145</v>
      </c>
    </row>
    <row r="10" spans="2:7" x14ac:dyDescent="0.2">
      <c r="B10" s="24">
        <v>6</v>
      </c>
      <c r="C10" s="25">
        <f t="shared" ca="1" si="0"/>
        <v>15.512134347674195</v>
      </c>
      <c r="D10" s="25">
        <f t="shared" ca="1" si="0"/>
        <v>28.191940182353399</v>
      </c>
      <c r="E10" s="25">
        <f t="shared" ca="1" si="0"/>
        <v>30.286723119356321</v>
      </c>
      <c r="F10" s="25">
        <f t="shared" ca="1" si="0"/>
        <v>46.337313517299634</v>
      </c>
      <c r="G10" s="25">
        <f t="shared" ca="1" si="0"/>
        <v>55.478021977156679</v>
      </c>
    </row>
    <row r="11" spans="2:7" x14ac:dyDescent="0.2">
      <c r="B11" s="24">
        <v>7</v>
      </c>
      <c r="C11" s="25">
        <f t="shared" ca="1" si="0"/>
        <v>14.548501234168421</v>
      </c>
      <c r="D11" s="25">
        <f t="shared" ca="1" si="0"/>
        <v>32.608547273951167</v>
      </c>
      <c r="E11" s="25">
        <f t="shared" ca="1" si="0"/>
        <v>31.156472892855739</v>
      </c>
      <c r="F11" s="25">
        <f t="shared" ca="1" si="0"/>
        <v>40.034698641091033</v>
      </c>
      <c r="G11" s="25">
        <f t="shared" ca="1" si="0"/>
        <v>60.023680982612078</v>
      </c>
    </row>
    <row r="12" spans="2:7" x14ac:dyDescent="0.2">
      <c r="B12" s="24">
        <v>8</v>
      </c>
      <c r="C12" s="25">
        <f t="shared" ca="1" si="0"/>
        <v>18.313342454543175</v>
      </c>
      <c r="D12" s="25">
        <f t="shared" ca="1" si="0"/>
        <v>28.381071920155961</v>
      </c>
      <c r="E12" s="25">
        <f t="shared" ca="1" si="0"/>
        <v>40.778547491866249</v>
      </c>
      <c r="F12" s="25">
        <f t="shared" ca="1" si="0"/>
        <v>48.993064230127032</v>
      </c>
      <c r="G12" s="25">
        <f t="shared" ca="1" si="0"/>
        <v>62.12497183604259</v>
      </c>
    </row>
    <row r="13" spans="2:7" x14ac:dyDescent="0.2">
      <c r="B13" s="24">
        <v>9</v>
      </c>
      <c r="C13" s="25">
        <f t="shared" ca="1" si="0"/>
        <v>23.704375373063677</v>
      </c>
      <c r="D13" s="25">
        <f t="shared" ca="1" si="0"/>
        <v>27.7818764620928</v>
      </c>
      <c r="E13" s="25">
        <f t="shared" ca="1" si="0"/>
        <v>35.504241992328367</v>
      </c>
      <c r="F13" s="25">
        <f t="shared" ca="1" si="0"/>
        <v>51.572298105737438</v>
      </c>
      <c r="G13" s="25">
        <f t="shared" ca="1" si="0"/>
        <v>60.719105299056686</v>
      </c>
    </row>
    <row r="14" spans="2:7" x14ac:dyDescent="0.2">
      <c r="B14" s="24">
        <v>10</v>
      </c>
      <c r="C14" s="25">
        <f t="shared" ca="1" si="0"/>
        <v>23.142873759351332</v>
      </c>
      <c r="D14" s="25">
        <f t="shared" ca="1" si="0"/>
        <v>29.586812890311496</v>
      </c>
      <c r="E14" s="25">
        <f t="shared" ca="1" si="0"/>
        <v>41.798305377902551</v>
      </c>
      <c r="F14" s="25">
        <f t="shared" ca="1" si="0"/>
        <v>45.080698613089702</v>
      </c>
      <c r="G14" s="25">
        <f t="shared" ca="1" si="0"/>
        <v>65.569691763558026</v>
      </c>
    </row>
    <row r="15" spans="2:7" x14ac:dyDescent="0.2">
      <c r="B15" s="24">
        <v>11</v>
      </c>
      <c r="C15" s="25">
        <f t="shared" ref="C15:G24" ca="1" si="1">a + b*t+_xlfn.NORM.INV(RAND(),0,SQRT(AVERAGE(b)*AVERAGE(t)))</f>
        <v>20.407160423460365</v>
      </c>
      <c r="D15" s="25">
        <f t="shared" ca="1" si="1"/>
        <v>41.480368988267287</v>
      </c>
      <c r="E15" s="25">
        <f t="shared" ca="1" si="1"/>
        <v>44.726678614937008</v>
      </c>
      <c r="F15" s="25">
        <f t="shared" ca="1" si="1"/>
        <v>48.753084285568441</v>
      </c>
      <c r="G15" s="25">
        <f t="shared" ca="1" si="1"/>
        <v>55.953731338965987</v>
      </c>
    </row>
    <row r="16" spans="2:7" x14ac:dyDescent="0.2">
      <c r="B16" s="24">
        <v>12</v>
      </c>
      <c r="C16" s="25">
        <f t="shared" ca="1" si="1"/>
        <v>24.712860289611264</v>
      </c>
      <c r="D16" s="25">
        <f t="shared" ca="1" si="1"/>
        <v>25.791086463403389</v>
      </c>
      <c r="E16" s="25">
        <f t="shared" ca="1" si="1"/>
        <v>41.396828664681024</v>
      </c>
      <c r="F16" s="25">
        <f t="shared" ca="1" si="1"/>
        <v>49.834457609132656</v>
      </c>
      <c r="G16" s="25">
        <f t="shared" ca="1" si="1"/>
        <v>62.762484825644165</v>
      </c>
    </row>
    <row r="17" spans="2:7" x14ac:dyDescent="0.2">
      <c r="B17" s="24">
        <v>13</v>
      </c>
      <c r="C17" s="25">
        <f t="shared" ca="1" si="1"/>
        <v>23.106124847812662</v>
      </c>
      <c r="D17" s="25">
        <f t="shared" ca="1" si="1"/>
        <v>26.081158006179798</v>
      </c>
      <c r="E17" s="25">
        <f t="shared" ca="1" si="1"/>
        <v>43.584314005553203</v>
      </c>
      <c r="F17" s="25">
        <f t="shared" ca="1" si="1"/>
        <v>40.832229714339846</v>
      </c>
      <c r="G17" s="25">
        <f t="shared" ca="1" si="1"/>
        <v>65.691805867623927</v>
      </c>
    </row>
    <row r="18" spans="2:7" x14ac:dyDescent="0.2">
      <c r="B18" s="24">
        <v>14</v>
      </c>
      <c r="C18" s="25">
        <f t="shared" ca="1" si="1"/>
        <v>25.620387596145033</v>
      </c>
      <c r="D18" s="25">
        <f t="shared" ca="1" si="1"/>
        <v>40.102186410032438</v>
      </c>
      <c r="E18" s="25">
        <f t="shared" ca="1" si="1"/>
        <v>41.077006662473885</v>
      </c>
      <c r="F18" s="25">
        <f t="shared" ca="1" si="1"/>
        <v>49.045136896511266</v>
      </c>
      <c r="G18" s="25">
        <f t="shared" ca="1" si="1"/>
        <v>61.541003852026307</v>
      </c>
    </row>
    <row r="19" spans="2:7" x14ac:dyDescent="0.2">
      <c r="B19" s="24">
        <v>15</v>
      </c>
      <c r="C19" s="25">
        <f t="shared" ca="1" si="1"/>
        <v>19.568392557245687</v>
      </c>
      <c r="D19" s="25">
        <f t="shared" ca="1" si="1"/>
        <v>37.567015708608722</v>
      </c>
      <c r="E19" s="25">
        <f t="shared" ca="1" si="1"/>
        <v>40.996815842577348</v>
      </c>
      <c r="F19" s="25">
        <f t="shared" ca="1" si="1"/>
        <v>49.485439132856989</v>
      </c>
      <c r="G19" s="25">
        <f t="shared" ca="1" si="1"/>
        <v>66.429666290883063</v>
      </c>
    </row>
    <row r="20" spans="2:7" x14ac:dyDescent="0.2">
      <c r="B20" s="24">
        <v>16</v>
      </c>
      <c r="C20" s="25">
        <f t="shared" ca="1" si="1"/>
        <v>28.993325146274628</v>
      </c>
      <c r="D20" s="25">
        <f t="shared" ca="1" si="1"/>
        <v>31.022292718131887</v>
      </c>
      <c r="E20" s="25">
        <f t="shared" ca="1" si="1"/>
        <v>50.778329511365563</v>
      </c>
      <c r="F20" s="25">
        <f t="shared" ca="1" si="1"/>
        <v>55.609553733387827</v>
      </c>
      <c r="G20" s="25">
        <f t="shared" ca="1" si="1"/>
        <v>62.225719889323429</v>
      </c>
    </row>
    <row r="21" spans="2:7" x14ac:dyDescent="0.2">
      <c r="B21" s="24">
        <v>17</v>
      </c>
      <c r="C21" s="25">
        <f t="shared" ca="1" si="1"/>
        <v>28.954198489760696</v>
      </c>
      <c r="D21" s="25">
        <f t="shared" ca="1" si="1"/>
        <v>32.407813019802788</v>
      </c>
      <c r="E21" s="25">
        <f t="shared" ca="1" si="1"/>
        <v>51.240975640226559</v>
      </c>
      <c r="F21" s="25">
        <f t="shared" ca="1" si="1"/>
        <v>49.81323551985615</v>
      </c>
      <c r="G21" s="25">
        <f t="shared" ca="1" si="1"/>
        <v>72.535097576963892</v>
      </c>
    </row>
    <row r="22" spans="2:7" x14ac:dyDescent="0.2">
      <c r="B22" s="24">
        <v>18</v>
      </c>
      <c r="C22" s="25">
        <f t="shared" ca="1" si="1"/>
        <v>24.576565330059623</v>
      </c>
      <c r="D22" s="25">
        <f t="shared" ca="1" si="1"/>
        <v>37.815378690469899</v>
      </c>
      <c r="E22" s="25">
        <f t="shared" ca="1" si="1"/>
        <v>53.217189484661148</v>
      </c>
      <c r="F22" s="25">
        <f t="shared" ca="1" si="1"/>
        <v>58.920942478244015</v>
      </c>
      <c r="G22" s="25">
        <f t="shared" ca="1" si="1"/>
        <v>75.476555307226619</v>
      </c>
    </row>
    <row r="23" spans="2:7" x14ac:dyDescent="0.2">
      <c r="B23" s="24">
        <v>19</v>
      </c>
      <c r="C23" s="25">
        <f t="shared" ca="1" si="1"/>
        <v>19.132205931694408</v>
      </c>
      <c r="D23" s="25">
        <f t="shared" ca="1" si="1"/>
        <v>35.930469639445555</v>
      </c>
      <c r="E23" s="25">
        <f t="shared" ca="1" si="1"/>
        <v>49.000116354405705</v>
      </c>
      <c r="F23" s="25">
        <f t="shared" ca="1" si="1"/>
        <v>57.195417295381112</v>
      </c>
      <c r="G23" s="25">
        <f t="shared" ca="1" si="1"/>
        <v>71.88061531728323</v>
      </c>
    </row>
    <row r="24" spans="2:7" x14ac:dyDescent="0.2">
      <c r="B24" s="24">
        <v>20</v>
      </c>
      <c r="C24" s="25">
        <f t="shared" ca="1" si="1"/>
        <v>31.810070574973519</v>
      </c>
      <c r="D24" s="25">
        <f t="shared" ca="1" si="1"/>
        <v>42.555362279001535</v>
      </c>
      <c r="E24" s="25">
        <f t="shared" ca="1" si="1"/>
        <v>52.016939607154427</v>
      </c>
      <c r="F24" s="25">
        <f t="shared" ca="1" si="1"/>
        <v>57.500401516194749</v>
      </c>
      <c r="G24" s="25">
        <f t="shared" ca="1" si="1"/>
        <v>70.328197036806387</v>
      </c>
    </row>
    <row r="25" spans="2:7" x14ac:dyDescent="0.2">
      <c r="B25" s="24">
        <v>21</v>
      </c>
      <c r="C25" s="25">
        <f t="shared" ref="C25:G34" ca="1" si="2">a + b*t+_xlfn.NORM.INV(RAND(),0,SQRT(AVERAGE(b)*AVERAGE(t)))</f>
        <v>35.084992170570708</v>
      </c>
      <c r="D25" s="25">
        <f t="shared" ca="1" si="2"/>
        <v>36.59667955880029</v>
      </c>
      <c r="E25" s="25">
        <f t="shared" ca="1" si="2"/>
        <v>48.022549314238319</v>
      </c>
      <c r="F25" s="25">
        <f t="shared" ca="1" si="2"/>
        <v>64.512229913099446</v>
      </c>
      <c r="G25" s="25">
        <f t="shared" ca="1" si="2"/>
        <v>74.486759781118934</v>
      </c>
    </row>
    <row r="26" spans="2:7" x14ac:dyDescent="0.2">
      <c r="B26" s="24">
        <v>22</v>
      </c>
      <c r="C26" s="25">
        <f t="shared" ca="1" si="2"/>
        <v>27.798670210434437</v>
      </c>
      <c r="D26" s="25">
        <f t="shared" ca="1" si="2"/>
        <v>43.316598557557661</v>
      </c>
      <c r="E26" s="25">
        <f t="shared" ca="1" si="2"/>
        <v>44.105044868051408</v>
      </c>
      <c r="F26" s="25">
        <f t="shared" ca="1" si="2"/>
        <v>60.020242637559477</v>
      </c>
      <c r="G26" s="25">
        <f t="shared" ca="1" si="2"/>
        <v>72.614755896428363</v>
      </c>
    </row>
    <row r="27" spans="2:7" x14ac:dyDescent="0.2">
      <c r="B27" s="24">
        <v>23</v>
      </c>
      <c r="C27" s="25">
        <f t="shared" ca="1" si="2"/>
        <v>40.472593881977929</v>
      </c>
      <c r="D27" s="25">
        <f t="shared" ca="1" si="2"/>
        <v>38.752872592751402</v>
      </c>
      <c r="E27" s="25">
        <f t="shared" ca="1" si="2"/>
        <v>58.021023260882245</v>
      </c>
      <c r="F27" s="25">
        <f t="shared" ca="1" si="2"/>
        <v>52.41632511805885</v>
      </c>
      <c r="G27" s="25">
        <f t="shared" ca="1" si="2"/>
        <v>72.221566199701826</v>
      </c>
    </row>
    <row r="28" spans="2:7" x14ac:dyDescent="0.2">
      <c r="B28" s="24">
        <v>24</v>
      </c>
      <c r="C28" s="25">
        <f t="shared" ca="1" si="2"/>
        <v>31.993748440043746</v>
      </c>
      <c r="D28" s="25">
        <f t="shared" ca="1" si="2"/>
        <v>41.357534407342236</v>
      </c>
      <c r="E28" s="25">
        <f t="shared" ca="1" si="2"/>
        <v>54.753263910462564</v>
      </c>
      <c r="F28" s="25">
        <f t="shared" ca="1" si="2"/>
        <v>55.116204479161247</v>
      </c>
      <c r="G28" s="25">
        <f t="shared" ca="1" si="2"/>
        <v>73.368293599998921</v>
      </c>
    </row>
    <row r="29" spans="2:7" x14ac:dyDescent="0.2">
      <c r="B29" s="24">
        <v>25</v>
      </c>
      <c r="C29" s="25">
        <f t="shared" ca="1" si="2"/>
        <v>33.530712021513786</v>
      </c>
      <c r="D29" s="25">
        <f t="shared" ca="1" si="2"/>
        <v>49.015101534443644</v>
      </c>
      <c r="E29" s="25">
        <f t="shared" ca="1" si="2"/>
        <v>57.271357025379288</v>
      </c>
      <c r="F29" s="25">
        <f t="shared" ca="1" si="2"/>
        <v>63.556036841890851</v>
      </c>
      <c r="G29" s="25">
        <f t="shared" ca="1" si="2"/>
        <v>74.458290421870714</v>
      </c>
    </row>
    <row r="30" spans="2:7" x14ac:dyDescent="0.2">
      <c r="B30" s="24">
        <v>26</v>
      </c>
      <c r="C30" s="25">
        <f t="shared" ca="1" si="2"/>
        <v>37.535914753716803</v>
      </c>
      <c r="D30" s="25">
        <f t="shared" ca="1" si="2"/>
        <v>47.051853512626082</v>
      </c>
      <c r="E30" s="25">
        <f t="shared" ca="1" si="2"/>
        <v>60.715009712389048</v>
      </c>
      <c r="F30" s="25">
        <f t="shared" ca="1" si="2"/>
        <v>62.402067213968778</v>
      </c>
      <c r="G30" s="25">
        <f t="shared" ca="1" si="2"/>
        <v>74.413998834413803</v>
      </c>
    </row>
    <row r="31" spans="2:7" x14ac:dyDescent="0.2">
      <c r="B31" s="24">
        <v>27</v>
      </c>
      <c r="C31" s="25">
        <f t="shared" ca="1" si="2"/>
        <v>42.014036131341172</v>
      </c>
      <c r="D31" s="25">
        <f t="shared" ca="1" si="2"/>
        <v>51.119462751611636</v>
      </c>
      <c r="E31" s="25">
        <f t="shared" ca="1" si="2"/>
        <v>61.037150939579689</v>
      </c>
      <c r="F31" s="25">
        <f t="shared" ca="1" si="2"/>
        <v>68.119036994916115</v>
      </c>
      <c r="G31" s="25">
        <f t="shared" ca="1" si="2"/>
        <v>75.025387460724815</v>
      </c>
    </row>
    <row r="32" spans="2:7" x14ac:dyDescent="0.2">
      <c r="B32" s="24">
        <v>28</v>
      </c>
      <c r="C32" s="25">
        <f t="shared" ca="1" si="2"/>
        <v>32.124229881125473</v>
      </c>
      <c r="D32" s="25">
        <f t="shared" ca="1" si="2"/>
        <v>50.66722190963344</v>
      </c>
      <c r="E32" s="25">
        <f t="shared" ca="1" si="2"/>
        <v>63.091703242867432</v>
      </c>
      <c r="F32" s="25">
        <f t="shared" ca="1" si="2"/>
        <v>67.170979094246263</v>
      </c>
      <c r="G32" s="25">
        <f t="shared" ca="1" si="2"/>
        <v>79.904362097219192</v>
      </c>
    </row>
    <row r="33" spans="2:7" x14ac:dyDescent="0.2">
      <c r="B33" s="24">
        <v>29</v>
      </c>
      <c r="C33" s="25">
        <f t="shared" ca="1" si="2"/>
        <v>38.851735494032972</v>
      </c>
      <c r="D33" s="25">
        <f t="shared" ca="1" si="2"/>
        <v>51.958556651063866</v>
      </c>
      <c r="E33" s="25">
        <f t="shared" ca="1" si="2"/>
        <v>55.197543188301296</v>
      </c>
      <c r="F33" s="25">
        <f t="shared" ca="1" si="2"/>
        <v>67.765105502979068</v>
      </c>
      <c r="G33" s="25">
        <f t="shared" ca="1" si="2"/>
        <v>84.109402600326916</v>
      </c>
    </row>
    <row r="34" spans="2:7" x14ac:dyDescent="0.2">
      <c r="B34" s="24">
        <v>30</v>
      </c>
      <c r="C34" s="25">
        <f t="shared" ca="1" si="2"/>
        <v>38.295118638778149</v>
      </c>
      <c r="D34" s="25">
        <f t="shared" ca="1" si="2"/>
        <v>47.804049177993619</v>
      </c>
      <c r="E34" s="25">
        <f t="shared" ca="1" si="2"/>
        <v>61.834941839063397</v>
      </c>
      <c r="F34" s="25">
        <f t="shared" ca="1" si="2"/>
        <v>69.499541414285829</v>
      </c>
      <c r="G34" s="25">
        <f t="shared" ca="1" si="2"/>
        <v>80.412305925650443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218D-EB66-BF45-9753-E3D6B95F66EE}">
  <sheetPr codeName="Sheet9">
    <tabColor rgb="FFFF0000"/>
  </sheetPr>
  <dimension ref="B2:G34"/>
  <sheetViews>
    <sheetView workbookViewId="0">
      <selection activeCell="B4" sqref="B4:G34"/>
    </sheetView>
  </sheetViews>
  <sheetFormatPr baseColWidth="10" defaultRowHeight="16" x14ac:dyDescent="0.2"/>
  <cols>
    <col min="1" max="16384" width="10.83203125" style="23"/>
  </cols>
  <sheetData>
    <row r="2" spans="2:7" x14ac:dyDescent="0.2">
      <c r="B2" s="23" t="s">
        <v>71</v>
      </c>
      <c r="C2" s="23">
        <v>1</v>
      </c>
      <c r="D2" s="23">
        <v>2</v>
      </c>
      <c r="E2" s="23">
        <v>3</v>
      </c>
      <c r="F2" s="23">
        <v>4</v>
      </c>
      <c r="G2" s="23">
        <v>5</v>
      </c>
    </row>
    <row r="3" spans="2:7" x14ac:dyDescent="0.2">
      <c r="B3" s="23" t="s">
        <v>82</v>
      </c>
      <c r="C3" s="23">
        <v>1</v>
      </c>
      <c r="D3" s="23">
        <v>1</v>
      </c>
      <c r="E3" s="23">
        <v>1</v>
      </c>
      <c r="F3" s="23">
        <v>1</v>
      </c>
      <c r="G3" s="23">
        <v>1</v>
      </c>
    </row>
    <row r="4" spans="2:7" x14ac:dyDescent="0.2">
      <c r="B4" s="24" t="s">
        <v>83</v>
      </c>
      <c r="C4" s="24" t="s">
        <v>84</v>
      </c>
      <c r="D4" s="24" t="s">
        <v>85</v>
      </c>
      <c r="E4" s="24" t="s">
        <v>86</v>
      </c>
      <c r="F4" s="24" t="s">
        <v>87</v>
      </c>
      <c r="G4" s="24" t="s">
        <v>88</v>
      </c>
    </row>
    <row r="5" spans="2:7" x14ac:dyDescent="0.2">
      <c r="B5" s="24">
        <v>1</v>
      </c>
      <c r="C5" s="25">
        <f t="shared" ref="C5:G14" ca="1" si="0">a + b*t+_xlfn.NORM.INV(RAND(),0,SQRT(AVERAGE(b)*AVERAGE(t)))</f>
        <v>2.883913229443861</v>
      </c>
      <c r="D5" s="25">
        <f t="shared" ca="1" si="0"/>
        <v>6.5227531937999483</v>
      </c>
      <c r="E5" s="25">
        <f t="shared" ca="1" si="0"/>
        <v>3.0578455351473384</v>
      </c>
      <c r="F5" s="25">
        <f t="shared" ca="1" si="0"/>
        <v>11.977016388738843</v>
      </c>
      <c r="G5" s="25">
        <f t="shared" ca="1" si="0"/>
        <v>-13.167664515625585</v>
      </c>
    </row>
    <row r="6" spans="2:7" x14ac:dyDescent="0.2">
      <c r="B6" s="24">
        <v>2</v>
      </c>
      <c r="C6" s="25">
        <f t="shared" ca="1" si="0"/>
        <v>-2.2905539327925197</v>
      </c>
      <c r="D6" s="25">
        <f t="shared" ca="1" si="0"/>
        <v>5.0434923743451581</v>
      </c>
      <c r="E6" s="25">
        <f t="shared" ca="1" si="0"/>
        <v>18.058306947877266</v>
      </c>
      <c r="F6" s="25">
        <f t="shared" ca="1" si="0"/>
        <v>8.9969953581458615</v>
      </c>
      <c r="G6" s="25">
        <f t="shared" ca="1" si="0"/>
        <v>10.424110579385415</v>
      </c>
    </row>
    <row r="7" spans="2:7" x14ac:dyDescent="0.2">
      <c r="B7" s="24">
        <v>3</v>
      </c>
      <c r="C7" s="25">
        <f t="shared" ca="1" si="0"/>
        <v>3.7664477969434027</v>
      </c>
      <c r="D7" s="25">
        <f t="shared" ca="1" si="0"/>
        <v>-2.8292633861195249</v>
      </c>
      <c r="E7" s="25">
        <f t="shared" ca="1" si="0"/>
        <v>13.442212100339047</v>
      </c>
      <c r="F7" s="25">
        <f t="shared" ca="1" si="0"/>
        <v>13.120004692972071</v>
      </c>
      <c r="G7" s="25">
        <f t="shared" ca="1" si="0"/>
        <v>17.332606222115917</v>
      </c>
    </row>
    <row r="8" spans="2:7" x14ac:dyDescent="0.2">
      <c r="B8" s="24">
        <v>4</v>
      </c>
      <c r="C8" s="25">
        <f t="shared" ca="1" si="0"/>
        <v>13.148626769631562</v>
      </c>
      <c r="D8" s="25">
        <f t="shared" ca="1" si="0"/>
        <v>3.1771291349764734</v>
      </c>
      <c r="E8" s="25">
        <f t="shared" ca="1" si="0"/>
        <v>-0.62295914989647905</v>
      </c>
      <c r="F8" s="25">
        <f t="shared" ca="1" si="0"/>
        <v>3.3615242549267172</v>
      </c>
      <c r="G8" s="25">
        <f t="shared" ca="1" si="0"/>
        <v>11.794087785267614</v>
      </c>
    </row>
    <row r="9" spans="2:7" x14ac:dyDescent="0.2">
      <c r="B9" s="24">
        <v>5</v>
      </c>
      <c r="C9" s="25">
        <f t="shared" ca="1" si="0"/>
        <v>-1.2198873108380717</v>
      </c>
      <c r="D9" s="25">
        <f t="shared" ca="1" si="0"/>
        <v>15.981748009498155</v>
      </c>
      <c r="E9" s="25">
        <f t="shared" ca="1" si="0"/>
        <v>9.8909836302140199</v>
      </c>
      <c r="F9" s="25">
        <f t="shared" ca="1" si="0"/>
        <v>22.833470117037205</v>
      </c>
      <c r="G9" s="25">
        <f t="shared" ca="1" si="0"/>
        <v>21.394348232735801</v>
      </c>
    </row>
    <row r="10" spans="2:7" x14ac:dyDescent="0.2">
      <c r="B10" s="24">
        <v>6</v>
      </c>
      <c r="C10" s="25">
        <f t="shared" ca="1" si="0"/>
        <v>8.4216804596343664</v>
      </c>
      <c r="D10" s="25">
        <f t="shared" ca="1" si="0"/>
        <v>19.685028775108485</v>
      </c>
      <c r="E10" s="25">
        <f t="shared" ca="1" si="0"/>
        <v>24.169082841878751</v>
      </c>
      <c r="F10" s="25">
        <f t="shared" ca="1" si="0"/>
        <v>38.575487108003657</v>
      </c>
      <c r="G10" s="25">
        <f t="shared" ca="1" si="0"/>
        <v>35.857355100050867</v>
      </c>
    </row>
    <row r="11" spans="2:7" x14ac:dyDescent="0.2">
      <c r="B11" s="24">
        <v>7</v>
      </c>
      <c r="C11" s="25">
        <f t="shared" ca="1" si="0"/>
        <v>15.727607307492235</v>
      </c>
      <c r="D11" s="25">
        <f t="shared" ca="1" si="0"/>
        <v>10.459981007927791</v>
      </c>
      <c r="E11" s="25">
        <f t="shared" ca="1" si="0"/>
        <v>14.488519799158214</v>
      </c>
      <c r="F11" s="25">
        <f t="shared" ca="1" si="0"/>
        <v>26.736435586233423</v>
      </c>
      <c r="G11" s="25">
        <f t="shared" ca="1" si="0"/>
        <v>49.276973753190404</v>
      </c>
    </row>
    <row r="12" spans="2:7" x14ac:dyDescent="0.2">
      <c r="B12" s="24">
        <v>8</v>
      </c>
      <c r="C12" s="25">
        <f t="shared" ca="1" si="0"/>
        <v>6.4041940352701978</v>
      </c>
      <c r="D12" s="25">
        <f t="shared" ca="1" si="0"/>
        <v>13.277379735531955</v>
      </c>
      <c r="E12" s="25">
        <f t="shared" ca="1" si="0"/>
        <v>30.46845162267471</v>
      </c>
      <c r="F12" s="25">
        <f t="shared" ca="1" si="0"/>
        <v>38.676392030768646</v>
      </c>
      <c r="G12" s="25">
        <f t="shared" ca="1" si="0"/>
        <v>42.507334839055993</v>
      </c>
    </row>
    <row r="13" spans="2:7" x14ac:dyDescent="0.2">
      <c r="B13" s="24">
        <v>9</v>
      </c>
      <c r="C13" s="25">
        <f t="shared" ca="1" si="0"/>
        <v>15.823753649800432</v>
      </c>
      <c r="D13" s="25">
        <f t="shared" ca="1" si="0"/>
        <v>25.532215624634173</v>
      </c>
      <c r="E13" s="25">
        <f t="shared" ca="1" si="0"/>
        <v>32.229499977192731</v>
      </c>
      <c r="F13" s="25">
        <f t="shared" ca="1" si="0"/>
        <v>32.793169857948627</v>
      </c>
      <c r="G13" s="25">
        <f t="shared" ca="1" si="0"/>
        <v>38.961822965785551</v>
      </c>
    </row>
    <row r="14" spans="2:7" x14ac:dyDescent="0.2">
      <c r="B14" s="24">
        <v>10</v>
      </c>
      <c r="C14" s="25">
        <f t="shared" ca="1" si="0"/>
        <v>14.496025145932457</v>
      </c>
      <c r="D14" s="25">
        <f t="shared" ca="1" si="0"/>
        <v>26.743247682877012</v>
      </c>
      <c r="E14" s="25">
        <f t="shared" ca="1" si="0"/>
        <v>42.383078365285336</v>
      </c>
      <c r="F14" s="25">
        <f t="shared" ca="1" si="0"/>
        <v>19.324167848521647</v>
      </c>
      <c r="G14" s="25">
        <f t="shared" ca="1" si="0"/>
        <v>43.211665256293983</v>
      </c>
    </row>
    <row r="15" spans="2:7" x14ac:dyDescent="0.2">
      <c r="B15" s="24">
        <v>11</v>
      </c>
      <c r="C15" s="25">
        <f t="shared" ref="C15:G24" ca="1" si="1">a + b*t+_xlfn.NORM.INV(RAND(),0,SQRT(AVERAGE(b)*AVERAGE(t)))</f>
        <v>-0.34213516307331204</v>
      </c>
      <c r="D15" s="25">
        <f t="shared" ca="1" si="1"/>
        <v>29.241449219587487</v>
      </c>
      <c r="E15" s="25">
        <f t="shared" ca="1" si="1"/>
        <v>42.889465601283518</v>
      </c>
      <c r="F15" s="25">
        <f t="shared" ca="1" si="1"/>
        <v>48.914703297440816</v>
      </c>
      <c r="G15" s="25">
        <f t="shared" ca="1" si="1"/>
        <v>56.376851347169627</v>
      </c>
    </row>
    <row r="16" spans="2:7" x14ac:dyDescent="0.2">
      <c r="B16" s="24">
        <v>12</v>
      </c>
      <c r="C16" s="25">
        <f t="shared" ca="1" si="1"/>
        <v>9.7132445804687713</v>
      </c>
      <c r="D16" s="25">
        <f t="shared" ca="1" si="1"/>
        <v>30.27552871874104</v>
      </c>
      <c r="E16" s="25">
        <f t="shared" ca="1" si="1"/>
        <v>25.918976380600455</v>
      </c>
      <c r="F16" s="25">
        <f t="shared" ca="1" si="1"/>
        <v>42.488681296926977</v>
      </c>
      <c r="G16" s="25">
        <f t="shared" ca="1" si="1"/>
        <v>56.5392278953938</v>
      </c>
    </row>
    <row r="17" spans="2:7" x14ac:dyDescent="0.2">
      <c r="B17" s="24">
        <v>13</v>
      </c>
      <c r="C17" s="25">
        <f t="shared" ca="1" si="1"/>
        <v>10.433899547009073</v>
      </c>
      <c r="D17" s="25">
        <f t="shared" ca="1" si="1"/>
        <v>29.553216769251211</v>
      </c>
      <c r="E17" s="25">
        <f t="shared" ca="1" si="1"/>
        <v>38.17167917681661</v>
      </c>
      <c r="F17" s="25">
        <f t="shared" ca="1" si="1"/>
        <v>51.335785430119287</v>
      </c>
      <c r="G17" s="25">
        <f t="shared" ca="1" si="1"/>
        <v>80.423032674907773</v>
      </c>
    </row>
    <row r="18" spans="2:7" x14ac:dyDescent="0.2">
      <c r="B18" s="24">
        <v>14</v>
      </c>
      <c r="C18" s="25">
        <f t="shared" ca="1" si="1"/>
        <v>15.117448146128526</v>
      </c>
      <c r="D18" s="25">
        <f t="shared" ca="1" si="1"/>
        <v>38.488831904109098</v>
      </c>
      <c r="E18" s="25">
        <f t="shared" ca="1" si="1"/>
        <v>35.816779167706699</v>
      </c>
      <c r="F18" s="25">
        <f t="shared" ca="1" si="1"/>
        <v>39.970946965615681</v>
      </c>
      <c r="G18" s="25">
        <f t="shared" ca="1" si="1"/>
        <v>66.526605931007552</v>
      </c>
    </row>
    <row r="19" spans="2:7" x14ac:dyDescent="0.2">
      <c r="B19" s="24">
        <v>15</v>
      </c>
      <c r="C19" s="25">
        <f t="shared" ca="1" si="1"/>
        <v>19.920234220064259</v>
      </c>
      <c r="D19" s="25">
        <f t="shared" ca="1" si="1"/>
        <v>30.016615123485504</v>
      </c>
      <c r="E19" s="25">
        <f t="shared" ca="1" si="1"/>
        <v>41.883379632097892</v>
      </c>
      <c r="F19" s="25">
        <f t="shared" ca="1" si="1"/>
        <v>64.608581972113129</v>
      </c>
      <c r="G19" s="25">
        <f t="shared" ca="1" si="1"/>
        <v>80.796281989257423</v>
      </c>
    </row>
    <row r="20" spans="2:7" x14ac:dyDescent="0.2">
      <c r="B20" s="24">
        <v>16</v>
      </c>
      <c r="C20" s="25">
        <f t="shared" ca="1" si="1"/>
        <v>25.511997466916057</v>
      </c>
      <c r="D20" s="25">
        <f t="shared" ca="1" si="1"/>
        <v>34.929829604429109</v>
      </c>
      <c r="E20" s="25">
        <f t="shared" ca="1" si="1"/>
        <v>45.318043309463164</v>
      </c>
      <c r="F20" s="25">
        <f t="shared" ca="1" si="1"/>
        <v>75.44505549310577</v>
      </c>
      <c r="G20" s="25">
        <f t="shared" ca="1" si="1"/>
        <v>86.73904155436891</v>
      </c>
    </row>
    <row r="21" spans="2:7" x14ac:dyDescent="0.2">
      <c r="B21" s="24">
        <v>17</v>
      </c>
      <c r="C21" s="25">
        <f t="shared" ca="1" si="1"/>
        <v>24.491587216555835</v>
      </c>
      <c r="D21" s="25">
        <f t="shared" ca="1" si="1"/>
        <v>30.276067696800091</v>
      </c>
      <c r="E21" s="25">
        <f t="shared" ca="1" si="1"/>
        <v>62.252906477984524</v>
      </c>
      <c r="F21" s="25">
        <f t="shared" ca="1" si="1"/>
        <v>67.12471557000255</v>
      </c>
      <c r="G21" s="25">
        <f t="shared" ca="1" si="1"/>
        <v>86.485079786497067</v>
      </c>
    </row>
    <row r="22" spans="2:7" x14ac:dyDescent="0.2">
      <c r="B22" s="24">
        <v>18</v>
      </c>
      <c r="C22" s="25">
        <f t="shared" ca="1" si="1"/>
        <v>24.208250723497645</v>
      </c>
      <c r="D22" s="25">
        <f t="shared" ca="1" si="1"/>
        <v>36.979818169401135</v>
      </c>
      <c r="E22" s="25">
        <f t="shared" ca="1" si="1"/>
        <v>53.828692022590396</v>
      </c>
      <c r="F22" s="25">
        <f t="shared" ca="1" si="1"/>
        <v>81.850480233069732</v>
      </c>
      <c r="G22" s="25">
        <f t="shared" ca="1" si="1"/>
        <v>92.210465109273571</v>
      </c>
    </row>
    <row r="23" spans="2:7" x14ac:dyDescent="0.2">
      <c r="B23" s="24">
        <v>19</v>
      </c>
      <c r="C23" s="25">
        <f t="shared" ca="1" si="1"/>
        <v>24.344890212345231</v>
      </c>
      <c r="D23" s="25">
        <f t="shared" ca="1" si="1"/>
        <v>37.253247989280901</v>
      </c>
      <c r="E23" s="25">
        <f t="shared" ca="1" si="1"/>
        <v>58.67753544003596</v>
      </c>
      <c r="F23" s="25">
        <f t="shared" ca="1" si="1"/>
        <v>81.0399612635631</v>
      </c>
      <c r="G23" s="25">
        <f t="shared" ca="1" si="1"/>
        <v>91.655681851558057</v>
      </c>
    </row>
    <row r="24" spans="2:7" x14ac:dyDescent="0.2">
      <c r="B24" s="24">
        <v>20</v>
      </c>
      <c r="C24" s="25">
        <f t="shared" ca="1" si="1"/>
        <v>25.113006394998749</v>
      </c>
      <c r="D24" s="25">
        <f t="shared" ca="1" si="1"/>
        <v>42.656863773343417</v>
      </c>
      <c r="E24" s="25">
        <f t="shared" ca="1" si="1"/>
        <v>69.017466835553989</v>
      </c>
      <c r="F24" s="25">
        <f t="shared" ca="1" si="1"/>
        <v>82.876903570768462</v>
      </c>
      <c r="G24" s="25">
        <f t="shared" ca="1" si="1"/>
        <v>108.72718455631937</v>
      </c>
    </row>
    <row r="25" spans="2:7" x14ac:dyDescent="0.2">
      <c r="B25" s="24">
        <v>21</v>
      </c>
      <c r="C25" s="25">
        <f t="shared" ref="C25:G34" ca="1" si="2">a + b*t+_xlfn.NORM.INV(RAND(),0,SQRT(AVERAGE(b)*AVERAGE(t)))</f>
        <v>24.530563310479891</v>
      </c>
      <c r="D25" s="25">
        <f t="shared" ca="1" si="2"/>
        <v>37.497569032328485</v>
      </c>
      <c r="E25" s="25">
        <f t="shared" ca="1" si="2"/>
        <v>63.0106967365152</v>
      </c>
      <c r="F25" s="25">
        <f t="shared" ca="1" si="2"/>
        <v>90.963858145993839</v>
      </c>
      <c r="G25" s="25">
        <f t="shared" ca="1" si="2"/>
        <v>106.46822254127697</v>
      </c>
    </row>
    <row r="26" spans="2:7" x14ac:dyDescent="0.2">
      <c r="B26" s="24">
        <v>22</v>
      </c>
      <c r="C26" s="25">
        <f t="shared" ca="1" si="2"/>
        <v>29.693094386129303</v>
      </c>
      <c r="D26" s="25">
        <f t="shared" ca="1" si="2"/>
        <v>51.715734577220118</v>
      </c>
      <c r="E26" s="25">
        <f t="shared" ca="1" si="2"/>
        <v>55.915654389335231</v>
      </c>
      <c r="F26" s="25">
        <f t="shared" ca="1" si="2"/>
        <v>70.923198985801207</v>
      </c>
      <c r="G26" s="25">
        <f t="shared" ca="1" si="2"/>
        <v>105.4651023540262</v>
      </c>
    </row>
    <row r="27" spans="2:7" x14ac:dyDescent="0.2">
      <c r="B27" s="24">
        <v>23</v>
      </c>
      <c r="C27" s="25">
        <f t="shared" ca="1" si="2"/>
        <v>37.159900902815274</v>
      </c>
      <c r="D27" s="25">
        <f t="shared" ca="1" si="2"/>
        <v>40.515452056174553</v>
      </c>
      <c r="E27" s="25">
        <f t="shared" ca="1" si="2"/>
        <v>73.587644656232172</v>
      </c>
      <c r="F27" s="25">
        <f t="shared" ca="1" si="2"/>
        <v>95.924027141634653</v>
      </c>
      <c r="G27" s="25">
        <f t="shared" ca="1" si="2"/>
        <v>109.03747971726156</v>
      </c>
    </row>
    <row r="28" spans="2:7" x14ac:dyDescent="0.2">
      <c r="B28" s="24">
        <v>24</v>
      </c>
      <c r="C28" s="25">
        <f t="shared" ca="1" si="2"/>
        <v>33.628343936593801</v>
      </c>
      <c r="D28" s="25">
        <f t="shared" ca="1" si="2"/>
        <v>46.654503251935893</v>
      </c>
      <c r="E28" s="25">
        <f t="shared" ca="1" si="2"/>
        <v>72.574883563276984</v>
      </c>
      <c r="F28" s="25">
        <f t="shared" ca="1" si="2"/>
        <v>100.09782818630484</v>
      </c>
      <c r="G28" s="25">
        <f t="shared" ca="1" si="2"/>
        <v>122.50855379652094</v>
      </c>
    </row>
    <row r="29" spans="2:7" x14ac:dyDescent="0.2">
      <c r="B29" s="24">
        <v>25</v>
      </c>
      <c r="C29" s="25">
        <f t="shared" ca="1" si="2"/>
        <v>30.004660325724416</v>
      </c>
      <c r="D29" s="25">
        <f t="shared" ca="1" si="2"/>
        <v>50.26788014105253</v>
      </c>
      <c r="E29" s="25">
        <f t="shared" ca="1" si="2"/>
        <v>68.411257003583501</v>
      </c>
      <c r="F29" s="25">
        <f t="shared" ca="1" si="2"/>
        <v>106.68782209623225</v>
      </c>
      <c r="G29" s="25">
        <f t="shared" ca="1" si="2"/>
        <v>124.70726123751494</v>
      </c>
    </row>
    <row r="30" spans="2:7" x14ac:dyDescent="0.2">
      <c r="B30" s="24">
        <v>26</v>
      </c>
      <c r="C30" s="25">
        <f t="shared" ca="1" si="2"/>
        <v>29.614595058854089</v>
      </c>
      <c r="D30" s="25">
        <f t="shared" ca="1" si="2"/>
        <v>49.782307167816356</v>
      </c>
      <c r="E30" s="25">
        <f t="shared" ca="1" si="2"/>
        <v>74.520143939118057</v>
      </c>
      <c r="F30" s="25">
        <f t="shared" ca="1" si="2"/>
        <v>98.820205238140204</v>
      </c>
      <c r="G30" s="25">
        <f t="shared" ca="1" si="2"/>
        <v>130.8572535377636</v>
      </c>
    </row>
    <row r="31" spans="2:7" x14ac:dyDescent="0.2">
      <c r="B31" s="24">
        <v>27</v>
      </c>
      <c r="C31" s="25">
        <f t="shared" ca="1" si="2"/>
        <v>32.633951121657759</v>
      </c>
      <c r="D31" s="25">
        <f t="shared" ca="1" si="2"/>
        <v>51.661835854802064</v>
      </c>
      <c r="E31" s="25">
        <f t="shared" ca="1" si="2"/>
        <v>84.162876832179961</v>
      </c>
      <c r="F31" s="25">
        <f t="shared" ca="1" si="2"/>
        <v>120.58241758042151</v>
      </c>
      <c r="G31" s="25">
        <f t="shared" ca="1" si="2"/>
        <v>136.28171380589401</v>
      </c>
    </row>
    <row r="32" spans="2:7" x14ac:dyDescent="0.2">
      <c r="B32" s="24">
        <v>28</v>
      </c>
      <c r="C32" s="25">
        <f t="shared" ca="1" si="2"/>
        <v>33.249126864260823</v>
      </c>
      <c r="D32" s="25">
        <f t="shared" ca="1" si="2"/>
        <v>65.503258220436507</v>
      </c>
      <c r="E32" s="25">
        <f t="shared" ca="1" si="2"/>
        <v>86.076384060046934</v>
      </c>
      <c r="F32" s="25">
        <f t="shared" ca="1" si="2"/>
        <v>106.37498226349493</v>
      </c>
      <c r="G32" s="25">
        <f t="shared" ca="1" si="2"/>
        <v>144.35349980812109</v>
      </c>
    </row>
    <row r="33" spans="2:7" x14ac:dyDescent="0.2">
      <c r="B33" s="24">
        <v>29</v>
      </c>
      <c r="C33" s="25">
        <f t="shared" ca="1" si="2"/>
        <v>32.935694737234982</v>
      </c>
      <c r="D33" s="25">
        <f t="shared" ca="1" si="2"/>
        <v>65.734159277288398</v>
      </c>
      <c r="E33" s="25">
        <f t="shared" ca="1" si="2"/>
        <v>94.480471434832324</v>
      </c>
      <c r="F33" s="25">
        <f t="shared" ca="1" si="2"/>
        <v>112.49884048842974</v>
      </c>
      <c r="G33" s="25">
        <f t="shared" ca="1" si="2"/>
        <v>147.45623063615247</v>
      </c>
    </row>
    <row r="34" spans="2:7" x14ac:dyDescent="0.2">
      <c r="B34" s="24">
        <v>30</v>
      </c>
      <c r="C34" s="25">
        <f t="shared" ca="1" si="2"/>
        <v>34.647789685350311</v>
      </c>
      <c r="D34" s="25">
        <f t="shared" ca="1" si="2"/>
        <v>62.390885849929454</v>
      </c>
      <c r="E34" s="25">
        <f t="shared" ca="1" si="2"/>
        <v>86.508567661464284</v>
      </c>
      <c r="F34" s="25">
        <f t="shared" ca="1" si="2"/>
        <v>113.2668131605848</v>
      </c>
      <c r="G34" s="25">
        <f t="shared" ca="1" si="2"/>
        <v>144.05301590834111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8E39D-6624-B44B-93EC-63E290F760A9}">
  <sheetPr codeName="Sheet10">
    <tabColor rgb="FFFF0000"/>
  </sheetPr>
  <dimension ref="B2:G34"/>
  <sheetViews>
    <sheetView workbookViewId="0">
      <selection activeCell="B4" sqref="B4:G34"/>
    </sheetView>
  </sheetViews>
  <sheetFormatPr baseColWidth="10" defaultRowHeight="16" x14ac:dyDescent="0.2"/>
  <cols>
    <col min="1" max="16384" width="10.83203125" style="23"/>
  </cols>
  <sheetData>
    <row r="2" spans="2:7" x14ac:dyDescent="0.2">
      <c r="B2" s="23" t="s">
        <v>71</v>
      </c>
      <c r="C2" s="23">
        <v>1</v>
      </c>
      <c r="D2" s="23">
        <v>2</v>
      </c>
      <c r="E2" s="23">
        <v>3</v>
      </c>
      <c r="F2" s="23">
        <v>4</v>
      </c>
      <c r="G2" s="23">
        <v>5</v>
      </c>
    </row>
    <row r="3" spans="2:7" x14ac:dyDescent="0.2">
      <c r="B3" s="23" t="s">
        <v>82</v>
      </c>
      <c r="C3" s="23">
        <v>10</v>
      </c>
      <c r="D3" s="23">
        <v>20</v>
      </c>
      <c r="E3" s="23">
        <v>30</v>
      </c>
      <c r="F3" s="23">
        <v>40</v>
      </c>
      <c r="G3" s="23">
        <v>50</v>
      </c>
    </row>
    <row r="4" spans="2:7" x14ac:dyDescent="0.2">
      <c r="B4" s="24" t="s">
        <v>83</v>
      </c>
      <c r="C4" s="24" t="s">
        <v>84</v>
      </c>
      <c r="D4" s="24" t="s">
        <v>85</v>
      </c>
      <c r="E4" s="24" t="s">
        <v>86</v>
      </c>
      <c r="F4" s="24" t="s">
        <v>87</v>
      </c>
      <c r="G4" s="24" t="s">
        <v>88</v>
      </c>
    </row>
    <row r="5" spans="2:7" x14ac:dyDescent="0.2">
      <c r="B5" s="24">
        <v>1</v>
      </c>
      <c r="C5" s="25">
        <f t="shared" ref="C5:G14" ca="1" si="0">a + b*t+_xlfn.NORM.INV(RAND(),0,SQRT(AVERAGE(b)*AVERAGE(t)))</f>
        <v>17.836906053712259</v>
      </c>
      <c r="D5" s="25">
        <f t="shared" ca="1" si="0"/>
        <v>21.157942251344728</v>
      </c>
      <c r="E5" s="25">
        <f t="shared" ca="1" si="0"/>
        <v>25.027818803910996</v>
      </c>
      <c r="F5" s="25">
        <f t="shared" ca="1" si="0"/>
        <v>42.344032374008947</v>
      </c>
      <c r="G5" s="25">
        <f t="shared" ca="1" si="0"/>
        <v>51.050063416595762</v>
      </c>
    </row>
    <row r="6" spans="2:7" x14ac:dyDescent="0.2">
      <c r="B6" s="24">
        <v>2</v>
      </c>
      <c r="C6" s="25">
        <f t="shared" ca="1" si="0"/>
        <v>7.1614150311183966</v>
      </c>
      <c r="D6" s="25">
        <f t="shared" ca="1" si="0"/>
        <v>26.841780306881279</v>
      </c>
      <c r="E6" s="25">
        <f t="shared" ca="1" si="0"/>
        <v>29.213323870253799</v>
      </c>
      <c r="F6" s="25">
        <f t="shared" ca="1" si="0"/>
        <v>44.959995392258577</v>
      </c>
      <c r="G6" s="25">
        <f t="shared" ca="1" si="0"/>
        <v>54.881892282896928</v>
      </c>
    </row>
    <row r="7" spans="2:7" x14ac:dyDescent="0.2">
      <c r="B7" s="24">
        <v>3</v>
      </c>
      <c r="C7" s="25">
        <f t="shared" ca="1" si="0"/>
        <v>17.105406626663342</v>
      </c>
      <c r="D7" s="25">
        <f t="shared" ca="1" si="0"/>
        <v>24.290318941515466</v>
      </c>
      <c r="E7" s="25">
        <f t="shared" ca="1" si="0"/>
        <v>53.90023150566342</v>
      </c>
      <c r="F7" s="25">
        <f t="shared" ca="1" si="0"/>
        <v>53.07456995127388</v>
      </c>
      <c r="G7" s="25">
        <f t="shared" ca="1" si="0"/>
        <v>60.874098872453501</v>
      </c>
    </row>
    <row r="8" spans="2:7" x14ac:dyDescent="0.2">
      <c r="B8" s="24">
        <v>4</v>
      </c>
      <c r="C8" s="25">
        <f t="shared" ca="1" si="0"/>
        <v>11.375793403801064</v>
      </c>
      <c r="D8" s="25">
        <f t="shared" ca="1" si="0"/>
        <v>30.632575066521945</v>
      </c>
      <c r="E8" s="25">
        <f t="shared" ca="1" si="0"/>
        <v>44.958412392851152</v>
      </c>
      <c r="F8" s="25">
        <f t="shared" ca="1" si="0"/>
        <v>57.323944359118002</v>
      </c>
      <c r="G8" s="25">
        <f t="shared" ca="1" si="0"/>
        <v>58.697662604317088</v>
      </c>
    </row>
    <row r="9" spans="2:7" x14ac:dyDescent="0.2">
      <c r="B9" s="24">
        <v>5</v>
      </c>
      <c r="C9" s="25">
        <f t="shared" ca="1" si="0"/>
        <v>20.876711763203872</v>
      </c>
      <c r="D9" s="25">
        <f t="shared" ca="1" si="0"/>
        <v>43.099060810980788</v>
      </c>
      <c r="E9" s="25">
        <f t="shared" ca="1" si="0"/>
        <v>42.925296305417497</v>
      </c>
      <c r="F9" s="25">
        <f t="shared" ca="1" si="0"/>
        <v>60.746283692130262</v>
      </c>
      <c r="G9" s="25">
        <f t="shared" ca="1" si="0"/>
        <v>62.826608083656538</v>
      </c>
    </row>
    <row r="10" spans="2:7" x14ac:dyDescent="0.2">
      <c r="B10" s="24">
        <v>6</v>
      </c>
      <c r="C10" s="25">
        <f t="shared" ca="1" si="0"/>
        <v>20.267945936233076</v>
      </c>
      <c r="D10" s="25">
        <f t="shared" ca="1" si="0"/>
        <v>28.081460353715958</v>
      </c>
      <c r="E10" s="25">
        <f t="shared" ca="1" si="0"/>
        <v>54.101522631213129</v>
      </c>
      <c r="F10" s="25">
        <f t="shared" ca="1" si="0"/>
        <v>75.937990900089233</v>
      </c>
      <c r="G10" s="25">
        <f t="shared" ca="1" si="0"/>
        <v>85.198479104925823</v>
      </c>
    </row>
    <row r="11" spans="2:7" x14ac:dyDescent="0.2">
      <c r="B11" s="24">
        <v>7</v>
      </c>
      <c r="C11" s="25">
        <f t="shared" ca="1" si="0"/>
        <v>11.802728903507791</v>
      </c>
      <c r="D11" s="25">
        <f t="shared" ca="1" si="0"/>
        <v>27.521416279160032</v>
      </c>
      <c r="E11" s="25">
        <f t="shared" ca="1" si="0"/>
        <v>61.176243993591363</v>
      </c>
      <c r="F11" s="25">
        <f t="shared" ca="1" si="0"/>
        <v>61.589828366202269</v>
      </c>
      <c r="G11" s="25">
        <f t="shared" ca="1" si="0"/>
        <v>87.422421497187301</v>
      </c>
    </row>
    <row r="12" spans="2:7" x14ac:dyDescent="0.2">
      <c r="B12" s="24">
        <v>8</v>
      </c>
      <c r="C12" s="25">
        <f t="shared" ca="1" si="0"/>
        <v>19.709997476109368</v>
      </c>
      <c r="D12" s="25">
        <f t="shared" ca="1" si="0"/>
        <v>47.463426125971132</v>
      </c>
      <c r="E12" s="25">
        <f t="shared" ca="1" si="0"/>
        <v>53.111758577366146</v>
      </c>
      <c r="F12" s="25">
        <f t="shared" ca="1" si="0"/>
        <v>81.880920734923109</v>
      </c>
      <c r="G12" s="25">
        <f t="shared" ca="1" si="0"/>
        <v>92.256562845922289</v>
      </c>
    </row>
    <row r="13" spans="2:7" x14ac:dyDescent="0.2">
      <c r="B13" s="24">
        <v>9</v>
      </c>
      <c r="C13" s="25">
        <f t="shared" ca="1" si="0"/>
        <v>22.523041427103159</v>
      </c>
      <c r="D13" s="25">
        <f t="shared" ca="1" si="0"/>
        <v>37.919761779112818</v>
      </c>
      <c r="E13" s="25">
        <f t="shared" ca="1" si="0"/>
        <v>60.101298411098419</v>
      </c>
      <c r="F13" s="25">
        <f t="shared" ca="1" si="0"/>
        <v>81.073887822146077</v>
      </c>
      <c r="G13" s="25">
        <f t="shared" ca="1" si="0"/>
        <v>94.03772475637939</v>
      </c>
    </row>
    <row r="14" spans="2:7" x14ac:dyDescent="0.2">
      <c r="B14" s="24">
        <v>10</v>
      </c>
      <c r="C14" s="25">
        <f t="shared" ca="1" si="0"/>
        <v>19.171148776957416</v>
      </c>
      <c r="D14" s="25">
        <f t="shared" ca="1" si="0"/>
        <v>42.990070273480065</v>
      </c>
      <c r="E14" s="25">
        <f t="shared" ca="1" si="0"/>
        <v>65.52621402534318</v>
      </c>
      <c r="F14" s="25">
        <f t="shared" ca="1" si="0"/>
        <v>67.059086387602804</v>
      </c>
      <c r="G14" s="25">
        <f t="shared" ca="1" si="0"/>
        <v>109.77272209544333</v>
      </c>
    </row>
    <row r="15" spans="2:7" x14ac:dyDescent="0.2">
      <c r="B15" s="24">
        <v>11</v>
      </c>
      <c r="C15" s="25">
        <f t="shared" ref="C15:G24" ca="1" si="1">a + b*t+_xlfn.NORM.INV(RAND(),0,SQRT(AVERAGE(b)*AVERAGE(t)))</f>
        <v>16.62212673951862</v>
      </c>
      <c r="D15" s="25">
        <f t="shared" ca="1" si="1"/>
        <v>35.239772040828974</v>
      </c>
      <c r="E15" s="25">
        <f t="shared" ca="1" si="1"/>
        <v>59.789563417569013</v>
      </c>
      <c r="F15" s="25">
        <f t="shared" ca="1" si="1"/>
        <v>75.408505873859468</v>
      </c>
      <c r="G15" s="25">
        <f t="shared" ca="1" si="1"/>
        <v>122.87662582885577</v>
      </c>
    </row>
    <row r="16" spans="2:7" x14ac:dyDescent="0.2">
      <c r="B16" s="24">
        <v>12</v>
      </c>
      <c r="C16" s="25">
        <f t="shared" ca="1" si="1"/>
        <v>19.385169270765129</v>
      </c>
      <c r="D16" s="25">
        <f t="shared" ca="1" si="1"/>
        <v>35.052070894291532</v>
      </c>
      <c r="E16" s="25">
        <f t="shared" ca="1" si="1"/>
        <v>76.974119363672372</v>
      </c>
      <c r="F16" s="25">
        <f t="shared" ca="1" si="1"/>
        <v>77.752090952418754</v>
      </c>
      <c r="G16" s="25">
        <f t="shared" ca="1" si="1"/>
        <v>107.59301187381307</v>
      </c>
    </row>
    <row r="17" spans="2:7" x14ac:dyDescent="0.2">
      <c r="B17" s="24">
        <v>13</v>
      </c>
      <c r="C17" s="25">
        <f t="shared" ca="1" si="1"/>
        <v>21.644737733713114</v>
      </c>
      <c r="D17" s="25">
        <f t="shared" ca="1" si="1"/>
        <v>35.879031066850153</v>
      </c>
      <c r="E17" s="25">
        <f t="shared" ca="1" si="1"/>
        <v>80.511743491108618</v>
      </c>
      <c r="F17" s="25">
        <f t="shared" ca="1" si="1"/>
        <v>84.078837035044501</v>
      </c>
      <c r="G17" s="25">
        <f t="shared" ca="1" si="1"/>
        <v>110.48605565572731</v>
      </c>
    </row>
    <row r="18" spans="2:7" x14ac:dyDescent="0.2">
      <c r="B18" s="24">
        <v>14</v>
      </c>
      <c r="C18" s="25">
        <f t="shared" ca="1" si="1"/>
        <v>30.806601140126652</v>
      </c>
      <c r="D18" s="25">
        <f t="shared" ca="1" si="1"/>
        <v>47.032592580957086</v>
      </c>
      <c r="E18" s="25">
        <f t="shared" ca="1" si="1"/>
        <v>77.294640044265208</v>
      </c>
      <c r="F18" s="25">
        <f t="shared" ca="1" si="1"/>
        <v>99.818749480058642</v>
      </c>
      <c r="G18" s="25">
        <f t="shared" ca="1" si="1"/>
        <v>122.60626910517195</v>
      </c>
    </row>
    <row r="19" spans="2:7" x14ac:dyDescent="0.2">
      <c r="B19" s="24">
        <v>15</v>
      </c>
      <c r="C19" s="25">
        <f t="shared" ca="1" si="1"/>
        <v>20.814470415223902</v>
      </c>
      <c r="D19" s="25">
        <f t="shared" ca="1" si="1"/>
        <v>45.365402497279447</v>
      </c>
      <c r="E19" s="25">
        <f t="shared" ca="1" si="1"/>
        <v>83.930817845729351</v>
      </c>
      <c r="F19" s="25">
        <f t="shared" ca="1" si="1"/>
        <v>97.542003439943556</v>
      </c>
      <c r="G19" s="25">
        <f t="shared" ca="1" si="1"/>
        <v>122.2267344381668</v>
      </c>
    </row>
    <row r="20" spans="2:7" x14ac:dyDescent="0.2">
      <c r="B20" s="24">
        <v>16</v>
      </c>
      <c r="C20" s="25">
        <f t="shared" ca="1" si="1"/>
        <v>13.301947987947564</v>
      </c>
      <c r="D20" s="25">
        <f t="shared" ca="1" si="1"/>
        <v>57.408475098663843</v>
      </c>
      <c r="E20" s="25">
        <f t="shared" ca="1" si="1"/>
        <v>80.078058016801521</v>
      </c>
      <c r="F20" s="25">
        <f t="shared" ca="1" si="1"/>
        <v>110.30911123440173</v>
      </c>
      <c r="G20" s="25">
        <f t="shared" ca="1" si="1"/>
        <v>129.31645172871947</v>
      </c>
    </row>
    <row r="21" spans="2:7" x14ac:dyDescent="0.2">
      <c r="B21" s="24">
        <v>17</v>
      </c>
      <c r="C21" s="25">
        <f t="shared" ca="1" si="1"/>
        <v>20.492073377858919</v>
      </c>
      <c r="D21" s="25">
        <f t="shared" ca="1" si="1"/>
        <v>43.925185638197853</v>
      </c>
      <c r="E21" s="25">
        <f t="shared" ca="1" si="1"/>
        <v>98.753831076082704</v>
      </c>
      <c r="F21" s="25">
        <f t="shared" ca="1" si="1"/>
        <v>107.56659353556509</v>
      </c>
      <c r="G21" s="25">
        <f t="shared" ca="1" si="1"/>
        <v>138.14127401998422</v>
      </c>
    </row>
    <row r="22" spans="2:7" x14ac:dyDescent="0.2">
      <c r="B22" s="24">
        <v>18</v>
      </c>
      <c r="C22" s="25">
        <f t="shared" ca="1" si="1"/>
        <v>27.032299060236305</v>
      </c>
      <c r="D22" s="25">
        <f t="shared" ca="1" si="1"/>
        <v>49.992047478635698</v>
      </c>
      <c r="E22" s="25">
        <f t="shared" ca="1" si="1"/>
        <v>86.296979135125866</v>
      </c>
      <c r="F22" s="25">
        <f t="shared" ca="1" si="1"/>
        <v>108.93744011200893</v>
      </c>
      <c r="G22" s="25">
        <f t="shared" ca="1" si="1"/>
        <v>136.98346314815305</v>
      </c>
    </row>
    <row r="23" spans="2:7" x14ac:dyDescent="0.2">
      <c r="B23" s="24">
        <v>19</v>
      </c>
      <c r="C23" s="25">
        <f t="shared" ca="1" si="1"/>
        <v>27.49038702895831</v>
      </c>
      <c r="D23" s="25">
        <f t="shared" ca="1" si="1"/>
        <v>61.621548179912388</v>
      </c>
      <c r="E23" s="25">
        <f t="shared" ca="1" si="1"/>
        <v>93.861440320066819</v>
      </c>
      <c r="F23" s="25">
        <f t="shared" ca="1" si="1"/>
        <v>117.00937447246464</v>
      </c>
      <c r="G23" s="25">
        <f t="shared" ca="1" si="1"/>
        <v>145.95446285884094</v>
      </c>
    </row>
    <row r="24" spans="2:7" x14ac:dyDescent="0.2">
      <c r="B24" s="24">
        <v>20</v>
      </c>
      <c r="C24" s="25">
        <f t="shared" ca="1" si="1"/>
        <v>29.657293628869038</v>
      </c>
      <c r="D24" s="25">
        <f t="shared" ca="1" si="1"/>
        <v>60.695046687665297</v>
      </c>
      <c r="E24" s="25">
        <f t="shared" ca="1" si="1"/>
        <v>90.438588577620109</v>
      </c>
      <c r="F24" s="25">
        <f t="shared" ca="1" si="1"/>
        <v>128.37858794460669</v>
      </c>
      <c r="G24" s="25">
        <f t="shared" ca="1" si="1"/>
        <v>155.73358856758676</v>
      </c>
    </row>
    <row r="25" spans="2:7" x14ac:dyDescent="0.2">
      <c r="B25" s="24">
        <v>21</v>
      </c>
      <c r="C25" s="25">
        <f t="shared" ref="C25:G34" ca="1" si="2">a + b*t+_xlfn.NORM.INV(RAND(),0,SQRT(AVERAGE(b)*AVERAGE(t)))</f>
        <v>37.73024076626659</v>
      </c>
      <c r="D25" s="25">
        <f t="shared" ca="1" si="2"/>
        <v>54.116676833444515</v>
      </c>
      <c r="E25" s="25">
        <f t="shared" ca="1" si="2"/>
        <v>85.481180392368003</v>
      </c>
      <c r="F25" s="25">
        <f t="shared" ca="1" si="2"/>
        <v>139.19989717540054</v>
      </c>
      <c r="G25" s="25">
        <f t="shared" ca="1" si="2"/>
        <v>158.4453942554367</v>
      </c>
    </row>
    <row r="26" spans="2:7" x14ac:dyDescent="0.2">
      <c r="B26" s="24">
        <v>22</v>
      </c>
      <c r="C26" s="25">
        <f t="shared" ca="1" si="2"/>
        <v>35.520691387669473</v>
      </c>
      <c r="D26" s="25">
        <f t="shared" ca="1" si="2"/>
        <v>63.714480978600939</v>
      </c>
      <c r="E26" s="25">
        <f t="shared" ca="1" si="2"/>
        <v>99.337231554746637</v>
      </c>
      <c r="F26" s="25">
        <f t="shared" ca="1" si="2"/>
        <v>135.94747948598197</v>
      </c>
      <c r="G26" s="25">
        <f t="shared" ca="1" si="2"/>
        <v>163.10076455429547</v>
      </c>
    </row>
    <row r="27" spans="2:7" x14ac:dyDescent="0.2">
      <c r="B27" s="24">
        <v>23</v>
      </c>
      <c r="C27" s="25">
        <f t="shared" ca="1" si="2"/>
        <v>39.970784586305363</v>
      </c>
      <c r="D27" s="25">
        <f t="shared" ca="1" si="2"/>
        <v>67.283359809240295</v>
      </c>
      <c r="E27" s="25">
        <f t="shared" ca="1" si="2"/>
        <v>101.95012515561376</v>
      </c>
      <c r="F27" s="25">
        <f t="shared" ca="1" si="2"/>
        <v>127.8291768956976</v>
      </c>
      <c r="G27" s="25">
        <f t="shared" ca="1" si="2"/>
        <v>173.58450737991708</v>
      </c>
    </row>
    <row r="28" spans="2:7" x14ac:dyDescent="0.2">
      <c r="B28" s="24">
        <v>24</v>
      </c>
      <c r="C28" s="25">
        <f t="shared" ca="1" si="2"/>
        <v>40.518355634026911</v>
      </c>
      <c r="D28" s="25">
        <f t="shared" ca="1" si="2"/>
        <v>59.595960845271307</v>
      </c>
      <c r="E28" s="25">
        <f t="shared" ca="1" si="2"/>
        <v>107.24254959272564</v>
      </c>
      <c r="F28" s="25">
        <f t="shared" ca="1" si="2"/>
        <v>127.18148075375882</v>
      </c>
      <c r="G28" s="25">
        <f t="shared" ca="1" si="2"/>
        <v>170.88248747288415</v>
      </c>
    </row>
    <row r="29" spans="2:7" x14ac:dyDescent="0.2">
      <c r="B29" s="24">
        <v>25</v>
      </c>
      <c r="C29" s="25">
        <f t="shared" ca="1" si="2"/>
        <v>29.501587409725897</v>
      </c>
      <c r="D29" s="25">
        <f t="shared" ca="1" si="2"/>
        <v>86.889803290739422</v>
      </c>
      <c r="E29" s="25">
        <f t="shared" ca="1" si="2"/>
        <v>93.87597251325414</v>
      </c>
      <c r="F29" s="25">
        <f t="shared" ca="1" si="2"/>
        <v>126.06059508619262</v>
      </c>
      <c r="G29" s="25">
        <f t="shared" ca="1" si="2"/>
        <v>174.4048075001929</v>
      </c>
    </row>
    <row r="30" spans="2:7" x14ac:dyDescent="0.2">
      <c r="B30" s="24">
        <v>26</v>
      </c>
      <c r="C30" s="25">
        <f t="shared" ca="1" si="2"/>
        <v>47.597767782426445</v>
      </c>
      <c r="D30" s="25">
        <f t="shared" ca="1" si="2"/>
        <v>66.614944342255797</v>
      </c>
      <c r="E30" s="25">
        <f t="shared" ca="1" si="2"/>
        <v>109.21958073884009</v>
      </c>
      <c r="F30" s="25">
        <f t="shared" ca="1" si="2"/>
        <v>142.43990590567628</v>
      </c>
      <c r="G30" s="25">
        <f t="shared" ca="1" si="2"/>
        <v>181.77032747671578</v>
      </c>
    </row>
    <row r="31" spans="2:7" x14ac:dyDescent="0.2">
      <c r="B31" s="24">
        <v>27</v>
      </c>
      <c r="C31" s="25">
        <f t="shared" ca="1" si="2"/>
        <v>34.180288600409604</v>
      </c>
      <c r="D31" s="25">
        <f t="shared" ca="1" si="2"/>
        <v>87.321506409294074</v>
      </c>
      <c r="E31" s="25">
        <f t="shared" ca="1" si="2"/>
        <v>114.04691493019115</v>
      </c>
      <c r="F31" s="25">
        <f t="shared" ca="1" si="2"/>
        <v>156.03403537892189</v>
      </c>
      <c r="G31" s="25">
        <f t="shared" ca="1" si="2"/>
        <v>176.23549805022915</v>
      </c>
    </row>
    <row r="32" spans="2:7" x14ac:dyDescent="0.2">
      <c r="B32" s="24">
        <v>28</v>
      </c>
      <c r="C32" s="25">
        <f t="shared" ca="1" si="2"/>
        <v>37.663696628526417</v>
      </c>
      <c r="D32" s="25">
        <f t="shared" ca="1" si="2"/>
        <v>94.339408854627067</v>
      </c>
      <c r="E32" s="25">
        <f t="shared" ca="1" si="2"/>
        <v>117.6396006975102</v>
      </c>
      <c r="F32" s="25">
        <f t="shared" ca="1" si="2"/>
        <v>163.00672624551603</v>
      </c>
      <c r="G32" s="25">
        <f t="shared" ca="1" si="2"/>
        <v>197.8012706750375</v>
      </c>
    </row>
    <row r="33" spans="2:7" x14ac:dyDescent="0.2">
      <c r="B33" s="24">
        <v>29</v>
      </c>
      <c r="C33" s="25">
        <f t="shared" ca="1" si="2"/>
        <v>41.653648936739394</v>
      </c>
      <c r="D33" s="25">
        <f t="shared" ca="1" si="2"/>
        <v>76.27690469845372</v>
      </c>
      <c r="E33" s="25">
        <f t="shared" ca="1" si="2"/>
        <v>118.69936109024604</v>
      </c>
      <c r="F33" s="25">
        <f t="shared" ca="1" si="2"/>
        <v>160.35315083649681</v>
      </c>
      <c r="G33" s="25">
        <f t="shared" ca="1" si="2"/>
        <v>194.6984669148016</v>
      </c>
    </row>
    <row r="34" spans="2:7" x14ac:dyDescent="0.2">
      <c r="B34" s="24">
        <v>30</v>
      </c>
      <c r="C34" s="25">
        <f t="shared" ca="1" si="2"/>
        <v>40.689619099540678</v>
      </c>
      <c r="D34" s="25">
        <f t="shared" ca="1" si="2"/>
        <v>67.348384316658553</v>
      </c>
      <c r="E34" s="25">
        <f t="shared" ca="1" si="2"/>
        <v>115.74406278132575</v>
      </c>
      <c r="F34" s="25">
        <f t="shared" ca="1" si="2"/>
        <v>162.74379145053621</v>
      </c>
      <c r="G34" s="25">
        <f t="shared" ca="1" si="2"/>
        <v>194.13558202916221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89053-E852-BD4C-BFD0-1EB3203BC106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5DA66-8ECE-2446-9763-F3F975E3567D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836C5-8BD2-BC43-89AD-12EBB1C32800}">
  <sheetPr codeName="Sheet1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7D95E-1671-304D-ABD7-27291D972DDE}">
  <sheetPr codeName="Sheet1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783C2-9FFF-AD4B-96CC-77A667CB0720}">
  <sheetPr codeName="Sheet17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119</v>
      </c>
    </row>
    <row r="2" spans="1:1" x14ac:dyDescent="0.3">
      <c r="A2" s="1" t="s">
        <v>5</v>
      </c>
    </row>
    <row r="3" spans="1:1" x14ac:dyDescent="0.3">
      <c r="A3" s="1" t="s">
        <v>120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CD51E-2302-5145-A596-7B7EECABB8B0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15B6-078E-EE40-ACF6-14AD8498C00C}">
  <sheetPr codeName="Sheet3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56F0D-BF36-424B-A71D-58A6348299EC}">
  <sheetPr codeName="Sheet3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121</v>
      </c>
    </row>
    <row r="2" spans="1:1" x14ac:dyDescent="0.3">
      <c r="A2" s="1" t="s">
        <v>122</v>
      </c>
    </row>
    <row r="3" spans="1:1" x14ac:dyDescent="0.3">
      <c r="A3" s="1" t="s">
        <v>123</v>
      </c>
    </row>
    <row r="4" spans="1:1" x14ac:dyDescent="0.3">
      <c r="A4" s="1" t="s">
        <v>124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125</v>
      </c>
    </row>
    <row r="2" spans="1:1" x14ac:dyDescent="0.3">
      <c r="A2" s="1" t="s">
        <v>126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6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14</v>
      </c>
    </row>
    <row r="2" spans="1:1" x14ac:dyDescent="0.25">
      <c r="A2" s="2" t="s">
        <v>17</v>
      </c>
    </row>
    <row r="3" spans="1:1" x14ac:dyDescent="0.25">
      <c r="A3" s="2" t="s">
        <v>43</v>
      </c>
    </row>
    <row r="4" spans="1:1" x14ac:dyDescent="0.25">
      <c r="A4" s="2" t="s">
        <v>44</v>
      </c>
    </row>
    <row r="5" spans="1:1" x14ac:dyDescent="0.25">
      <c r="A5" s="2" t="s">
        <v>41</v>
      </c>
    </row>
    <row r="6" spans="1:1" x14ac:dyDescent="0.25">
      <c r="A6" s="2" t="s">
        <v>42</v>
      </c>
    </row>
  </sheetData>
  <phoneticPr fontId="9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4638-007F-2844-8E32-1CA8110890F7}">
  <sheetPr codeName="Sheet30">
    <tabColor rgb="FFC00000"/>
  </sheetPr>
  <dimension ref="B2:E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5" x14ac:dyDescent="0.25">
      <c r="B2" s="2" t="s">
        <v>14</v>
      </c>
    </row>
    <row r="3" spans="2:5" x14ac:dyDescent="0.25">
      <c r="B3" s="3" t="s">
        <v>33</v>
      </c>
      <c r="C3" s="3"/>
    </row>
    <row r="4" spans="2:5" x14ac:dyDescent="0.25">
      <c r="B4" s="2" t="s">
        <v>32</v>
      </c>
    </row>
    <row r="5" spans="2:5" x14ac:dyDescent="0.25">
      <c r="B5" s="2" t="s">
        <v>31</v>
      </c>
    </row>
    <row r="7" spans="2:5" x14ac:dyDescent="0.25">
      <c r="B7" s="4" t="s">
        <v>10</v>
      </c>
      <c r="C7" s="4" t="s">
        <v>11</v>
      </c>
      <c r="E7" s="4" t="s">
        <v>14</v>
      </c>
    </row>
    <row r="8" spans="2:5" x14ac:dyDescent="0.25">
      <c r="B8" s="2" t="s">
        <v>12</v>
      </c>
      <c r="C8" s="2" t="s">
        <v>12</v>
      </c>
      <c r="E8" s="2" cm="1">
        <f t="array" ref="E8">SUM((B8:B27=C8:C27)*(C8:C27="Sick"))/SUM((C8:C27="Sick")*1)</f>
        <v>0.66666666666666663</v>
      </c>
    </row>
    <row r="9" spans="2:5" x14ac:dyDescent="0.25">
      <c r="B9" s="2" t="s">
        <v>13</v>
      </c>
      <c r="C9" s="2" t="s">
        <v>12</v>
      </c>
    </row>
    <row r="10" spans="2:5" x14ac:dyDescent="0.25">
      <c r="B10" s="2" t="s">
        <v>13</v>
      </c>
      <c r="C10" s="2" t="s">
        <v>12</v>
      </c>
    </row>
    <row r="11" spans="2:5" x14ac:dyDescent="0.25">
      <c r="B11" s="2" t="s">
        <v>13</v>
      </c>
      <c r="C11" s="2" t="s">
        <v>13</v>
      </c>
    </row>
    <row r="12" spans="2:5" x14ac:dyDescent="0.25">
      <c r="B12" s="2" t="s">
        <v>12</v>
      </c>
      <c r="C12" s="2" t="s">
        <v>13</v>
      </c>
    </row>
    <row r="13" spans="2:5" x14ac:dyDescent="0.25">
      <c r="B13" s="2" t="s">
        <v>13</v>
      </c>
      <c r="C13" s="2" t="s">
        <v>13</v>
      </c>
    </row>
    <row r="14" spans="2:5" x14ac:dyDescent="0.25">
      <c r="B14" s="2" t="s">
        <v>12</v>
      </c>
      <c r="C14" s="2" t="s">
        <v>12</v>
      </c>
    </row>
    <row r="15" spans="2:5" x14ac:dyDescent="0.25">
      <c r="B15" s="2" t="s">
        <v>13</v>
      </c>
      <c r="C15" s="2" t="s">
        <v>13</v>
      </c>
    </row>
    <row r="16" spans="2:5" x14ac:dyDescent="0.25">
      <c r="B16" s="2" t="s">
        <v>12</v>
      </c>
      <c r="C16" s="2" t="s">
        <v>12</v>
      </c>
    </row>
    <row r="17" spans="2:3" x14ac:dyDescent="0.25">
      <c r="B17" s="2" t="s">
        <v>13</v>
      </c>
      <c r="C17" s="2" t="s">
        <v>12</v>
      </c>
    </row>
    <row r="18" spans="2:3" x14ac:dyDescent="0.25">
      <c r="B18" s="2" t="s">
        <v>12</v>
      </c>
      <c r="C18" s="2" t="s">
        <v>12</v>
      </c>
    </row>
    <row r="19" spans="2:3" x14ac:dyDescent="0.25">
      <c r="B19" s="2" t="s">
        <v>12</v>
      </c>
      <c r="C19" s="2" t="s">
        <v>12</v>
      </c>
    </row>
    <row r="20" spans="2:3" x14ac:dyDescent="0.25">
      <c r="B20" s="2" t="s">
        <v>12</v>
      </c>
      <c r="C20" s="2" t="s">
        <v>13</v>
      </c>
    </row>
    <row r="21" spans="2:3" x14ac:dyDescent="0.25">
      <c r="B21" s="2" t="s">
        <v>13</v>
      </c>
      <c r="C21" s="2" t="s">
        <v>13</v>
      </c>
    </row>
    <row r="22" spans="2:3" x14ac:dyDescent="0.25">
      <c r="B22" s="2" t="s">
        <v>13</v>
      </c>
      <c r="C22" s="2" t="s">
        <v>12</v>
      </c>
    </row>
    <row r="23" spans="2:3" x14ac:dyDescent="0.25">
      <c r="B23" s="2" t="s">
        <v>12</v>
      </c>
      <c r="C23" s="2" t="s">
        <v>12</v>
      </c>
    </row>
    <row r="24" spans="2:3" x14ac:dyDescent="0.25">
      <c r="B24" s="2" t="s">
        <v>13</v>
      </c>
      <c r="C24" s="2" t="s">
        <v>13</v>
      </c>
    </row>
    <row r="25" spans="2:3" x14ac:dyDescent="0.25">
      <c r="B25" s="2" t="s">
        <v>13</v>
      </c>
      <c r="C25" s="2" t="s">
        <v>13</v>
      </c>
    </row>
    <row r="26" spans="2:3" x14ac:dyDescent="0.25">
      <c r="B26" s="2" t="s">
        <v>12</v>
      </c>
      <c r="C26" s="2" t="s">
        <v>12</v>
      </c>
    </row>
    <row r="27" spans="2:3" x14ac:dyDescent="0.25">
      <c r="B27" s="2" t="s">
        <v>12</v>
      </c>
      <c r="C27" s="2" t="s">
        <v>12</v>
      </c>
    </row>
  </sheetData>
  <hyperlinks>
    <hyperlink ref="B3" r:id="rId1" xr:uid="{CB564CAE-93C3-4D4F-BFB8-9F4E3524E4FC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C00000"/>
  </sheetPr>
  <dimension ref="B2:K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1" x14ac:dyDescent="0.25">
      <c r="B2" s="2" t="s">
        <v>17</v>
      </c>
    </row>
    <row r="3" spans="2:11" x14ac:dyDescent="0.25">
      <c r="B3" s="3" t="s">
        <v>18</v>
      </c>
      <c r="C3" s="3"/>
    </row>
    <row r="4" spans="2:11" x14ac:dyDescent="0.25">
      <c r="B4" s="2" t="s">
        <v>19</v>
      </c>
    </row>
    <row r="5" spans="2:11" x14ac:dyDescent="0.25">
      <c r="B5" s="2" t="s">
        <v>20</v>
      </c>
    </row>
    <row r="7" spans="2:11" x14ac:dyDescent="0.25">
      <c r="B7" s="4" t="s">
        <v>10</v>
      </c>
      <c r="C7" s="4" t="s">
        <v>11</v>
      </c>
      <c r="E7" s="4" t="s">
        <v>17</v>
      </c>
    </row>
    <row r="8" spans="2:11" x14ac:dyDescent="0.25">
      <c r="B8" s="2" t="s">
        <v>12</v>
      </c>
      <c r="C8" s="2" t="s">
        <v>12</v>
      </c>
      <c r="E8" s="2" cm="1">
        <f t="array" ref="E8">SUM((B8:B27=C8:C27)*(C8:C27="Healthy"))/SUM((C8:C27="Healthy")*1)</f>
        <v>0.77777777777777779</v>
      </c>
    </row>
    <row r="9" spans="2:11" x14ac:dyDescent="0.25">
      <c r="B9" s="2" t="s">
        <v>13</v>
      </c>
      <c r="C9" s="2" t="s">
        <v>12</v>
      </c>
    </row>
    <row r="10" spans="2:11" x14ac:dyDescent="0.25">
      <c r="B10" s="2" t="s">
        <v>12</v>
      </c>
      <c r="C10" s="2" t="s">
        <v>12</v>
      </c>
    </row>
    <row r="11" spans="2:11" x14ac:dyDescent="0.25">
      <c r="B11" s="2" t="s">
        <v>13</v>
      </c>
      <c r="C11" s="2" t="s">
        <v>13</v>
      </c>
      <c r="K11" s="2" t="s">
        <v>21</v>
      </c>
    </row>
    <row r="12" spans="2:11" x14ac:dyDescent="0.25">
      <c r="B12" s="2" t="s">
        <v>12</v>
      </c>
      <c r="C12" s="2" t="s">
        <v>13</v>
      </c>
    </row>
    <row r="13" spans="2:11" x14ac:dyDescent="0.25">
      <c r="B13" s="2" t="s">
        <v>13</v>
      </c>
      <c r="C13" s="2" t="s">
        <v>13</v>
      </c>
    </row>
    <row r="14" spans="2:11" x14ac:dyDescent="0.25">
      <c r="B14" s="2" t="s">
        <v>12</v>
      </c>
      <c r="C14" s="2" t="s">
        <v>12</v>
      </c>
    </row>
    <row r="15" spans="2:11" x14ac:dyDescent="0.25">
      <c r="B15" s="2" t="s">
        <v>13</v>
      </c>
      <c r="C15" s="2" t="s">
        <v>13</v>
      </c>
    </row>
    <row r="16" spans="2:11" x14ac:dyDescent="0.25">
      <c r="B16" s="2" t="s">
        <v>12</v>
      </c>
      <c r="C16" s="2" t="s">
        <v>12</v>
      </c>
    </row>
    <row r="17" spans="2:3" x14ac:dyDescent="0.25">
      <c r="B17" s="2" t="s">
        <v>13</v>
      </c>
      <c r="C17" s="2" t="s">
        <v>12</v>
      </c>
    </row>
    <row r="18" spans="2:3" x14ac:dyDescent="0.25">
      <c r="B18" s="2" t="s">
        <v>12</v>
      </c>
      <c r="C18" s="2" t="s">
        <v>12</v>
      </c>
    </row>
    <row r="19" spans="2:3" x14ac:dyDescent="0.25">
      <c r="B19" s="2" t="s">
        <v>12</v>
      </c>
      <c r="C19" s="2" t="s">
        <v>12</v>
      </c>
    </row>
    <row r="20" spans="2:3" x14ac:dyDescent="0.25">
      <c r="B20" s="2" t="s">
        <v>12</v>
      </c>
      <c r="C20" s="2" t="s">
        <v>13</v>
      </c>
    </row>
    <row r="21" spans="2:3" x14ac:dyDescent="0.25">
      <c r="B21" s="2" t="s">
        <v>13</v>
      </c>
      <c r="C21" s="2" t="s">
        <v>13</v>
      </c>
    </row>
    <row r="22" spans="2:3" x14ac:dyDescent="0.25">
      <c r="B22" s="2" t="s">
        <v>13</v>
      </c>
      <c r="C22" s="2" t="s">
        <v>12</v>
      </c>
    </row>
    <row r="23" spans="2:3" x14ac:dyDescent="0.25">
      <c r="B23" s="2" t="s">
        <v>12</v>
      </c>
      <c r="C23" s="2" t="s">
        <v>12</v>
      </c>
    </row>
    <row r="24" spans="2:3" x14ac:dyDescent="0.25">
      <c r="B24" s="2" t="s">
        <v>13</v>
      </c>
      <c r="C24" s="2" t="s">
        <v>13</v>
      </c>
    </row>
    <row r="25" spans="2:3" x14ac:dyDescent="0.25">
      <c r="B25" s="2" t="s">
        <v>13</v>
      </c>
      <c r="C25" s="2" t="s">
        <v>13</v>
      </c>
    </row>
    <row r="26" spans="2:3" x14ac:dyDescent="0.25">
      <c r="B26" s="2" t="s">
        <v>12</v>
      </c>
      <c r="C26" s="2" t="s">
        <v>12</v>
      </c>
    </row>
    <row r="27" spans="2:3" x14ac:dyDescent="0.25">
      <c r="B27" s="2" t="s">
        <v>13</v>
      </c>
      <c r="C27" s="2" t="s">
        <v>13</v>
      </c>
    </row>
  </sheetData>
  <hyperlinks>
    <hyperlink ref="B3" r:id="rId1" xr:uid="{5EC57EAE-C63B-0E4D-9644-B954C32F4918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06C3-22B0-9643-8EA0-DB45A9675704}">
  <sheetPr codeName="Sheet15">
    <tabColor rgb="FFFF0000"/>
  </sheetPr>
  <dimension ref="A2:K1002"/>
  <sheetViews>
    <sheetView workbookViewId="0"/>
  </sheetViews>
  <sheetFormatPr baseColWidth="10" defaultRowHeight="16" x14ac:dyDescent="0.2"/>
  <cols>
    <col min="1" max="11" width="10.83203125" style="10"/>
    <col min="12" max="16384" width="10.83203125" style="6"/>
  </cols>
  <sheetData>
    <row r="2" spans="1:11" x14ac:dyDescent="0.2">
      <c r="B2" s="10" t="s">
        <v>36</v>
      </c>
      <c r="C2" s="10" t="s">
        <v>11</v>
      </c>
      <c r="J2" s="11" t="s">
        <v>39</v>
      </c>
      <c r="K2" s="11" t="s">
        <v>37</v>
      </c>
    </row>
    <row r="3" spans="1:11" x14ac:dyDescent="0.2">
      <c r="A3" s="10">
        <v>1</v>
      </c>
      <c r="B3" s="10">
        <f ca="1">IF(C3="Bomb",_xlfn.NORM.INV(RAND(),0.7,0.1),_xlfn.NORM.INV(RAND(),0.6,0.15))</f>
        <v>0.56175751793653739</v>
      </c>
      <c r="C3" s="10" t="str">
        <f ca="1">IF(RAND()&lt;0.5,"Bomb","Bird")</f>
        <v>Bird</v>
      </c>
      <c r="E3" s="10" t="s">
        <v>38</v>
      </c>
      <c r="J3" s="12">
        <f ca="1">F7</f>
        <v>0</v>
      </c>
      <c r="K3" s="12">
        <f ca="1">E7</f>
        <v>1</v>
      </c>
    </row>
    <row r="4" spans="1:11" x14ac:dyDescent="0.2">
      <c r="A4" s="10">
        <v>2</v>
      </c>
      <c r="B4" s="10">
        <f t="shared" ref="B4:B67" ca="1" si="0">IF(C4="Bomb",_xlfn.NORM.INV(RAND(),0.7,0.1),_xlfn.NORM.INV(RAND(),0.6,0.15))</f>
        <v>0.69007889736037065</v>
      </c>
      <c r="C4" s="10" t="s">
        <v>34</v>
      </c>
      <c r="E4" s="12">
        <v>0.03</v>
      </c>
      <c r="I4" s="12">
        <v>0.03</v>
      </c>
      <c r="J4" s="13">
        <f t="dataTable" ref="J4:K36" dt2D="0" dtr="0" r1="E4" ca="1"/>
        <v>0</v>
      </c>
      <c r="K4" s="13">
        <v>1</v>
      </c>
    </row>
    <row r="5" spans="1:11" x14ac:dyDescent="0.2">
      <c r="A5" s="10">
        <v>3</v>
      </c>
      <c r="B5" s="10">
        <f t="shared" ca="1" si="0"/>
        <v>0.86683676476173233</v>
      </c>
      <c r="C5" s="10" t="s">
        <v>35</v>
      </c>
      <c r="I5" s="12">
        <v>0.06</v>
      </c>
      <c r="J5" s="13">
        <v>0</v>
      </c>
      <c r="K5" s="13">
        <v>1</v>
      </c>
    </row>
    <row r="6" spans="1:11" x14ac:dyDescent="0.2">
      <c r="A6" s="10">
        <v>4</v>
      </c>
      <c r="B6" s="10">
        <f t="shared" ca="1" si="0"/>
        <v>0.90782279166574487</v>
      </c>
      <c r="C6" s="10" t="s">
        <v>34</v>
      </c>
      <c r="E6" s="11" t="s">
        <v>37</v>
      </c>
      <c r="F6" s="11" t="s">
        <v>39</v>
      </c>
      <c r="I6" s="12">
        <v>0.09</v>
      </c>
      <c r="J6" s="13">
        <v>0</v>
      </c>
      <c r="K6" s="13">
        <v>1</v>
      </c>
    </row>
    <row r="7" spans="1:11" x14ac:dyDescent="0.2">
      <c r="A7" s="10">
        <v>5</v>
      </c>
      <c r="B7" s="10">
        <f t="shared" ca="1" si="0"/>
        <v>0.78319899740377186</v>
      </c>
      <c r="C7" s="10" t="s">
        <v>34</v>
      </c>
      <c r="E7" s="13">
        <f ca="1">COUNTIFS(B:B,"&gt;" &amp;E4,C:C,"="&amp;"Bomb")/COUNTIFS(C:C,"="&amp;"Bomb")</f>
        <v>1</v>
      </c>
      <c r="F7" s="13">
        <f ca="1">COUNTIFS(B:B,"&lt;" &amp;E4,C:C,"="&amp;"Bird")/COUNTIFS(C:C,"="&amp;"Bird")</f>
        <v>0</v>
      </c>
      <c r="I7" s="12">
        <v>0.12</v>
      </c>
      <c r="J7" s="13">
        <v>0</v>
      </c>
      <c r="K7" s="13">
        <v>1</v>
      </c>
    </row>
    <row r="8" spans="1:11" x14ac:dyDescent="0.2">
      <c r="A8" s="10">
        <v>6</v>
      </c>
      <c r="B8" s="10">
        <f t="shared" ca="1" si="0"/>
        <v>0.63725583891927373</v>
      </c>
      <c r="C8" s="10" t="s">
        <v>34</v>
      </c>
      <c r="I8" s="12">
        <v>0.15</v>
      </c>
      <c r="J8" s="13">
        <v>1.9493177387914229E-3</v>
      </c>
      <c r="K8" s="13">
        <v>1</v>
      </c>
    </row>
    <row r="9" spans="1:11" x14ac:dyDescent="0.2">
      <c r="A9" s="10">
        <v>7</v>
      </c>
      <c r="B9" s="10">
        <f t="shared" ca="1" si="0"/>
        <v>0.77175967656001365</v>
      </c>
      <c r="C9" s="10" t="s">
        <v>34</v>
      </c>
      <c r="I9" s="12">
        <v>0.18</v>
      </c>
      <c r="J9" s="13">
        <v>0</v>
      </c>
      <c r="K9" s="13">
        <v>1</v>
      </c>
    </row>
    <row r="10" spans="1:11" x14ac:dyDescent="0.2">
      <c r="A10" s="10">
        <v>8</v>
      </c>
      <c r="B10" s="10">
        <f t="shared" ca="1" si="0"/>
        <v>0.76604297939153876</v>
      </c>
      <c r="C10" s="10" t="s">
        <v>35</v>
      </c>
      <c r="I10" s="12">
        <v>0.21</v>
      </c>
      <c r="J10" s="13">
        <v>7.7972709551656916E-3</v>
      </c>
      <c r="K10" s="13">
        <v>1</v>
      </c>
    </row>
    <row r="11" spans="1:11" x14ac:dyDescent="0.2">
      <c r="A11" s="10">
        <v>9</v>
      </c>
      <c r="B11" s="10">
        <f t="shared" ca="1" si="0"/>
        <v>0.58756469691893931</v>
      </c>
      <c r="C11" s="10" t="s">
        <v>35</v>
      </c>
      <c r="I11" s="12">
        <v>0.24</v>
      </c>
      <c r="J11" s="13">
        <v>1.7509727626459144E-2</v>
      </c>
      <c r="K11" s="13">
        <v>1</v>
      </c>
    </row>
    <row r="12" spans="1:11" x14ac:dyDescent="0.2">
      <c r="A12" s="10">
        <v>10</v>
      </c>
      <c r="B12" s="10">
        <f t="shared" ca="1" si="0"/>
        <v>0.75273020839225846</v>
      </c>
      <c r="C12" s="10" t="s">
        <v>35</v>
      </c>
      <c r="I12" s="12">
        <v>0.27</v>
      </c>
      <c r="J12" s="13">
        <v>5.8365758754863814E-3</v>
      </c>
      <c r="K12" s="13">
        <v>1</v>
      </c>
    </row>
    <row r="13" spans="1:11" x14ac:dyDescent="0.2">
      <c r="A13" s="10">
        <v>11</v>
      </c>
      <c r="B13" s="10">
        <f t="shared" ca="1" si="0"/>
        <v>0.7018544182618025</v>
      </c>
      <c r="C13" s="10" t="s">
        <v>35</v>
      </c>
      <c r="I13" s="12">
        <v>0.3</v>
      </c>
      <c r="J13" s="13">
        <v>1.7509727626459144E-2</v>
      </c>
      <c r="K13" s="13">
        <v>1</v>
      </c>
    </row>
    <row r="14" spans="1:11" x14ac:dyDescent="0.2">
      <c r="A14" s="10">
        <v>12</v>
      </c>
      <c r="B14" s="10">
        <f t="shared" ca="1" si="0"/>
        <v>0.39890813134651026</v>
      </c>
      <c r="C14" s="10" t="s">
        <v>35</v>
      </c>
      <c r="I14" s="12">
        <v>0.33</v>
      </c>
      <c r="J14" s="13">
        <v>3.1189083820662766E-2</v>
      </c>
      <c r="K14" s="13">
        <v>1</v>
      </c>
    </row>
    <row r="15" spans="1:11" x14ac:dyDescent="0.2">
      <c r="A15" s="10">
        <v>13</v>
      </c>
      <c r="B15" s="10">
        <f t="shared" ca="1" si="0"/>
        <v>0.71360555123714509</v>
      </c>
      <c r="C15" s="10" t="s">
        <v>34</v>
      </c>
      <c r="I15" s="12">
        <v>0.36</v>
      </c>
      <c r="J15" s="13">
        <v>6.8226120857699801E-2</v>
      </c>
      <c r="K15" s="13">
        <v>1</v>
      </c>
    </row>
    <row r="16" spans="1:11" x14ac:dyDescent="0.2">
      <c r="A16" s="10">
        <v>14</v>
      </c>
      <c r="B16" s="10">
        <f t="shared" ca="1" si="0"/>
        <v>0.67421903220135593</v>
      </c>
      <c r="C16" s="10" t="s">
        <v>34</v>
      </c>
      <c r="I16" s="12">
        <v>0.39</v>
      </c>
      <c r="J16" s="13">
        <v>7.407407407407407E-2</v>
      </c>
      <c r="K16" s="13">
        <v>0.9958932238193019</v>
      </c>
    </row>
    <row r="17" spans="1:11" x14ac:dyDescent="0.2">
      <c r="A17" s="10">
        <v>15</v>
      </c>
      <c r="B17" s="10">
        <f t="shared" ca="1" si="0"/>
        <v>0.66011203181455969</v>
      </c>
      <c r="C17" s="10" t="s">
        <v>34</v>
      </c>
      <c r="I17" s="12">
        <v>0.42</v>
      </c>
      <c r="J17" s="13">
        <v>0.11867704280155641</v>
      </c>
      <c r="K17" s="13">
        <v>1</v>
      </c>
    </row>
    <row r="18" spans="1:11" x14ac:dyDescent="0.2">
      <c r="A18" s="10">
        <v>16</v>
      </c>
      <c r="B18" s="10">
        <f t="shared" ca="1" si="0"/>
        <v>0.5496963304761564</v>
      </c>
      <c r="C18" s="10" t="s">
        <v>35</v>
      </c>
      <c r="I18" s="12">
        <v>0.45</v>
      </c>
      <c r="J18" s="13">
        <v>0.17348927875243664</v>
      </c>
      <c r="K18" s="13">
        <v>0.99178644763860369</v>
      </c>
    </row>
    <row r="19" spans="1:11" x14ac:dyDescent="0.2">
      <c r="A19" s="10">
        <v>17</v>
      </c>
      <c r="B19" s="10">
        <f t="shared" ca="1" si="0"/>
        <v>0.68500702281161585</v>
      </c>
      <c r="C19" s="10" t="s">
        <v>34</v>
      </c>
      <c r="I19" s="12">
        <v>0.48</v>
      </c>
      <c r="J19" s="13">
        <v>0.24366471734892786</v>
      </c>
      <c r="K19" s="13">
        <v>0.98562628336755642</v>
      </c>
    </row>
    <row r="20" spans="1:11" x14ac:dyDescent="0.2">
      <c r="A20" s="10">
        <v>18</v>
      </c>
      <c r="B20" s="10">
        <f t="shared" ca="1" si="0"/>
        <v>0.53680481186982432</v>
      </c>
      <c r="C20" s="10" t="s">
        <v>35</v>
      </c>
      <c r="I20" s="12">
        <v>0.51</v>
      </c>
      <c r="J20" s="13">
        <v>0.2587548638132296</v>
      </c>
      <c r="K20" s="13">
        <v>0.98148148148148151</v>
      </c>
    </row>
    <row r="21" spans="1:11" x14ac:dyDescent="0.2">
      <c r="A21" s="10">
        <v>19</v>
      </c>
      <c r="B21" s="10">
        <f t="shared" ca="1" si="0"/>
        <v>0.68223111494152622</v>
      </c>
      <c r="C21" s="10" t="s">
        <v>34</v>
      </c>
      <c r="I21" s="12">
        <v>0.54</v>
      </c>
      <c r="J21" s="13">
        <v>0.35477582846003897</v>
      </c>
      <c r="K21" s="13">
        <v>0.93429158110882959</v>
      </c>
    </row>
    <row r="22" spans="1:11" x14ac:dyDescent="0.2">
      <c r="A22" s="10">
        <v>20</v>
      </c>
      <c r="B22" s="10">
        <f t="shared" ca="1" si="0"/>
        <v>0.64643129744206373</v>
      </c>
      <c r="C22" s="10" t="s">
        <v>34</v>
      </c>
      <c r="I22" s="12">
        <v>0.56999999999999995</v>
      </c>
      <c r="J22" s="13">
        <v>0.46692607003891051</v>
      </c>
      <c r="K22" s="13">
        <v>0.89917695473251025</v>
      </c>
    </row>
    <row r="23" spans="1:11" x14ac:dyDescent="0.2">
      <c r="A23" s="10">
        <v>21</v>
      </c>
      <c r="B23" s="10">
        <f t="shared" ca="1" si="0"/>
        <v>0.65651159258637937</v>
      </c>
      <c r="C23" s="10" t="s">
        <v>34</v>
      </c>
      <c r="I23" s="12">
        <v>0.6</v>
      </c>
      <c r="J23" s="13">
        <v>0.45808966861598438</v>
      </c>
      <c r="K23" s="13">
        <v>0.84188911704312119</v>
      </c>
    </row>
    <row r="24" spans="1:11" x14ac:dyDescent="0.2">
      <c r="A24" s="10">
        <v>22</v>
      </c>
      <c r="B24" s="10">
        <f t="shared" ca="1" si="0"/>
        <v>0.6751020944531817</v>
      </c>
      <c r="C24" s="10" t="s">
        <v>35</v>
      </c>
      <c r="I24" s="12">
        <v>0.63</v>
      </c>
      <c r="J24" s="13">
        <v>0.57976653696498059</v>
      </c>
      <c r="K24" s="13">
        <v>0.77983539094650201</v>
      </c>
    </row>
    <row r="25" spans="1:11" x14ac:dyDescent="0.2">
      <c r="A25" s="10">
        <v>23</v>
      </c>
      <c r="B25" s="10">
        <f t="shared" ca="1" si="0"/>
        <v>0.68542817358773156</v>
      </c>
      <c r="C25" s="10" t="s">
        <v>34</v>
      </c>
      <c r="I25" s="12">
        <v>0.66</v>
      </c>
      <c r="J25" s="13">
        <v>0.642023346303502</v>
      </c>
      <c r="K25" s="13">
        <v>0.63991769547325106</v>
      </c>
    </row>
    <row r="26" spans="1:11" x14ac:dyDescent="0.2">
      <c r="A26" s="10">
        <v>24</v>
      </c>
      <c r="B26" s="10">
        <f t="shared" ca="1" si="0"/>
        <v>0.59919773011483435</v>
      </c>
      <c r="C26" s="10" t="s">
        <v>34</v>
      </c>
      <c r="I26" s="12">
        <v>0.69</v>
      </c>
      <c r="J26" s="13">
        <v>0.78404669260700388</v>
      </c>
      <c r="K26" s="13">
        <v>0.52263374485596703</v>
      </c>
    </row>
    <row r="27" spans="1:11" x14ac:dyDescent="0.2">
      <c r="A27" s="10">
        <v>25</v>
      </c>
      <c r="B27" s="10">
        <f t="shared" ca="1" si="0"/>
        <v>0.80900182788422748</v>
      </c>
      <c r="C27" s="10" t="s">
        <v>34</v>
      </c>
      <c r="I27" s="12">
        <v>0.72</v>
      </c>
      <c r="J27" s="13">
        <v>0.80933852140077822</v>
      </c>
      <c r="K27" s="13">
        <v>0.40534979423868311</v>
      </c>
    </row>
    <row r="28" spans="1:11" x14ac:dyDescent="0.2">
      <c r="A28" s="10">
        <v>26</v>
      </c>
      <c r="B28" s="10">
        <f t="shared" ca="1" si="0"/>
        <v>0.68486102220343603</v>
      </c>
      <c r="C28" s="10" t="s">
        <v>34</v>
      </c>
      <c r="I28" s="12">
        <v>0.75</v>
      </c>
      <c r="J28" s="13">
        <v>0.85964912280701755</v>
      </c>
      <c r="K28" s="13">
        <v>0.31006160164271046</v>
      </c>
    </row>
    <row r="29" spans="1:11" x14ac:dyDescent="0.2">
      <c r="A29" s="10">
        <v>27</v>
      </c>
      <c r="B29" s="10">
        <f t="shared" ca="1" si="0"/>
        <v>0.85513180974748759</v>
      </c>
      <c r="C29" s="10" t="s">
        <v>35</v>
      </c>
      <c r="I29" s="12">
        <v>0.78</v>
      </c>
      <c r="J29" s="13">
        <v>0.86186770428015569</v>
      </c>
      <c r="K29" s="13">
        <v>0.21604938271604937</v>
      </c>
    </row>
    <row r="30" spans="1:11" x14ac:dyDescent="0.2">
      <c r="A30" s="10">
        <v>28</v>
      </c>
      <c r="B30" s="10">
        <f t="shared" ca="1" si="0"/>
        <v>0.71829619576622405</v>
      </c>
      <c r="C30" s="10" t="s">
        <v>34</v>
      </c>
      <c r="I30" s="12">
        <v>0.81</v>
      </c>
      <c r="J30" s="13">
        <v>0.91634241245136183</v>
      </c>
      <c r="K30" s="13">
        <v>0.13786008230452676</v>
      </c>
    </row>
    <row r="31" spans="1:11" x14ac:dyDescent="0.2">
      <c r="A31" s="10">
        <v>29</v>
      </c>
      <c r="B31" s="10">
        <f t="shared" ca="1" si="0"/>
        <v>0.43338343488832082</v>
      </c>
      <c r="C31" s="10" t="s">
        <v>35</v>
      </c>
      <c r="I31" s="12">
        <v>0.84</v>
      </c>
      <c r="J31" s="13">
        <v>0.94152046783625731</v>
      </c>
      <c r="K31" s="13">
        <v>6.7761806981519512E-2</v>
      </c>
    </row>
    <row r="32" spans="1:11" x14ac:dyDescent="0.2">
      <c r="A32" s="10">
        <v>30</v>
      </c>
      <c r="B32" s="10">
        <f t="shared" ca="1" si="0"/>
        <v>0.61587792231767124</v>
      </c>
      <c r="C32" s="10" t="s">
        <v>34</v>
      </c>
      <c r="I32" s="12">
        <v>0.87</v>
      </c>
      <c r="J32" s="13">
        <v>0.96686159844054576</v>
      </c>
      <c r="K32" s="13">
        <v>3.6960985626283367E-2</v>
      </c>
    </row>
    <row r="33" spans="1:11" x14ac:dyDescent="0.2">
      <c r="A33" s="10">
        <v>31</v>
      </c>
      <c r="B33" s="10">
        <f t="shared" ca="1" si="0"/>
        <v>0.69410481242499866</v>
      </c>
      <c r="C33" s="10" t="s">
        <v>34</v>
      </c>
      <c r="I33" s="12">
        <v>0.9</v>
      </c>
      <c r="J33" s="13">
        <v>0.98830409356725146</v>
      </c>
      <c r="K33" s="13">
        <v>2.0533880903490759E-2</v>
      </c>
    </row>
    <row r="34" spans="1:11" x14ac:dyDescent="0.2">
      <c r="A34" s="10">
        <v>32</v>
      </c>
      <c r="B34" s="10">
        <f t="shared" ca="1" si="0"/>
        <v>0.45440591751814619</v>
      </c>
      <c r="C34" s="10" t="s">
        <v>35</v>
      </c>
      <c r="I34" s="12">
        <v>0.93</v>
      </c>
      <c r="J34" s="13">
        <v>0.99221789883268485</v>
      </c>
      <c r="K34" s="13">
        <v>4.11522633744856E-3</v>
      </c>
    </row>
    <row r="35" spans="1:11" x14ac:dyDescent="0.2">
      <c r="A35" s="10">
        <v>33</v>
      </c>
      <c r="B35" s="10">
        <f t="shared" ca="1" si="0"/>
        <v>0.43404911178387778</v>
      </c>
      <c r="C35" s="10" t="s">
        <v>35</v>
      </c>
      <c r="I35" s="12">
        <v>0.96</v>
      </c>
      <c r="J35" s="13">
        <v>0.99220272904483431</v>
      </c>
      <c r="K35" s="13">
        <v>2.0533880903490761E-3</v>
      </c>
    </row>
    <row r="36" spans="1:11" x14ac:dyDescent="0.2">
      <c r="A36" s="10">
        <v>34</v>
      </c>
      <c r="B36" s="10">
        <f t="shared" ca="1" si="0"/>
        <v>0.53243505449306661</v>
      </c>
      <c r="C36" s="10" t="s">
        <v>35</v>
      </c>
      <c r="I36" s="12">
        <v>0.99</v>
      </c>
      <c r="J36" s="13">
        <v>0.99220272904483431</v>
      </c>
      <c r="K36" s="13">
        <v>4.1067761806981521E-3</v>
      </c>
    </row>
    <row r="37" spans="1:11" x14ac:dyDescent="0.2">
      <c r="A37" s="10">
        <v>35</v>
      </c>
      <c r="B37" s="10">
        <f t="shared" ca="1" si="0"/>
        <v>0.82464192240034828</v>
      </c>
      <c r="C37" s="10" t="s">
        <v>34</v>
      </c>
      <c r="I37" s="12"/>
    </row>
    <row r="38" spans="1:11" x14ac:dyDescent="0.2">
      <c r="A38" s="10">
        <v>36</v>
      </c>
      <c r="B38" s="10">
        <f t="shared" ca="1" si="0"/>
        <v>0.68397575062495775</v>
      </c>
      <c r="C38" s="10" t="s">
        <v>35</v>
      </c>
    </row>
    <row r="39" spans="1:11" x14ac:dyDescent="0.2">
      <c r="A39" s="10">
        <v>37</v>
      </c>
      <c r="B39" s="10">
        <f t="shared" ca="1" si="0"/>
        <v>0.74719051391128744</v>
      </c>
      <c r="C39" s="10" t="s">
        <v>35</v>
      </c>
    </row>
    <row r="40" spans="1:11" x14ac:dyDescent="0.2">
      <c r="A40" s="10">
        <v>38</v>
      </c>
      <c r="B40" s="10">
        <f t="shared" ca="1" si="0"/>
        <v>0.68994325823083358</v>
      </c>
      <c r="C40" s="10" t="s">
        <v>34</v>
      </c>
    </row>
    <row r="41" spans="1:11" x14ac:dyDescent="0.2">
      <c r="A41" s="10">
        <v>39</v>
      </c>
      <c r="B41" s="10">
        <f t="shared" ca="1" si="0"/>
        <v>0.61113535411628994</v>
      </c>
      <c r="C41" s="10" t="s">
        <v>35</v>
      </c>
    </row>
    <row r="42" spans="1:11" x14ac:dyDescent="0.2">
      <c r="A42" s="10">
        <v>40</v>
      </c>
      <c r="B42" s="10">
        <f t="shared" ca="1" si="0"/>
        <v>0.95105708753730178</v>
      </c>
      <c r="C42" s="10" t="s">
        <v>34</v>
      </c>
    </row>
    <row r="43" spans="1:11" x14ac:dyDescent="0.2">
      <c r="A43" s="10">
        <v>41</v>
      </c>
      <c r="B43" s="10">
        <f t="shared" ca="1" si="0"/>
        <v>0.45871275954031709</v>
      </c>
      <c r="C43" s="10" t="s">
        <v>35</v>
      </c>
    </row>
    <row r="44" spans="1:11" x14ac:dyDescent="0.2">
      <c r="A44" s="10">
        <v>42</v>
      </c>
      <c r="B44" s="10">
        <f t="shared" ca="1" si="0"/>
        <v>0.5959498607485304</v>
      </c>
      <c r="C44" s="10" t="s">
        <v>35</v>
      </c>
    </row>
    <row r="45" spans="1:11" x14ac:dyDescent="0.2">
      <c r="A45" s="10">
        <v>43</v>
      </c>
      <c r="B45" s="10">
        <f t="shared" ca="1" si="0"/>
        <v>0.62343654127503545</v>
      </c>
      <c r="C45" s="10" t="s">
        <v>35</v>
      </c>
    </row>
    <row r="46" spans="1:11" x14ac:dyDescent="0.2">
      <c r="A46" s="10">
        <v>44</v>
      </c>
      <c r="B46" s="10">
        <f t="shared" ca="1" si="0"/>
        <v>0.96293648143738508</v>
      </c>
      <c r="C46" s="10" t="s">
        <v>35</v>
      </c>
    </row>
    <row r="47" spans="1:11" x14ac:dyDescent="0.2">
      <c r="A47" s="10">
        <v>45</v>
      </c>
      <c r="B47" s="10">
        <f t="shared" ca="1" si="0"/>
        <v>0.63743849585620405</v>
      </c>
      <c r="C47" s="10" t="s">
        <v>35</v>
      </c>
    </row>
    <row r="48" spans="1:11" x14ac:dyDescent="0.2">
      <c r="A48" s="10">
        <v>46</v>
      </c>
      <c r="B48" s="10">
        <f t="shared" ca="1" si="0"/>
        <v>0.72181576087048938</v>
      </c>
      <c r="C48" s="10" t="s">
        <v>34</v>
      </c>
    </row>
    <row r="49" spans="1:3" x14ac:dyDescent="0.2">
      <c r="A49" s="10">
        <v>47</v>
      </c>
      <c r="B49" s="10">
        <f t="shared" ca="1" si="0"/>
        <v>0.61761605366591366</v>
      </c>
      <c r="C49" s="10" t="s">
        <v>34</v>
      </c>
    </row>
    <row r="50" spans="1:3" x14ac:dyDescent="0.2">
      <c r="A50" s="10">
        <v>48</v>
      </c>
      <c r="B50" s="10">
        <f t="shared" ca="1" si="0"/>
        <v>0.44739691161828654</v>
      </c>
      <c r="C50" s="10" t="s">
        <v>35</v>
      </c>
    </row>
    <row r="51" spans="1:3" x14ac:dyDescent="0.2">
      <c r="A51" s="10">
        <v>49</v>
      </c>
      <c r="B51" s="10">
        <f t="shared" ca="1" si="0"/>
        <v>0.72457571366550588</v>
      </c>
      <c r="C51" s="10" t="s">
        <v>34</v>
      </c>
    </row>
    <row r="52" spans="1:3" x14ac:dyDescent="0.2">
      <c r="A52" s="10">
        <v>50</v>
      </c>
      <c r="B52" s="10">
        <f t="shared" ca="1" si="0"/>
        <v>0.65888484503019251</v>
      </c>
      <c r="C52" s="10" t="s">
        <v>34</v>
      </c>
    </row>
    <row r="53" spans="1:3" x14ac:dyDescent="0.2">
      <c r="A53" s="10">
        <v>51</v>
      </c>
      <c r="B53" s="10">
        <f t="shared" ca="1" si="0"/>
        <v>0.88991433372509776</v>
      </c>
      <c r="C53" s="10" t="s">
        <v>34</v>
      </c>
    </row>
    <row r="54" spans="1:3" x14ac:dyDescent="0.2">
      <c r="A54" s="10">
        <v>52</v>
      </c>
      <c r="B54" s="10">
        <f t="shared" ca="1" si="0"/>
        <v>0.81866002015101103</v>
      </c>
      <c r="C54" s="10" t="s">
        <v>35</v>
      </c>
    </row>
    <row r="55" spans="1:3" x14ac:dyDescent="0.2">
      <c r="A55" s="10">
        <v>53</v>
      </c>
      <c r="B55" s="10">
        <f t="shared" ca="1" si="0"/>
        <v>0.87328487846094105</v>
      </c>
      <c r="C55" s="10" t="s">
        <v>35</v>
      </c>
    </row>
    <row r="56" spans="1:3" x14ac:dyDescent="0.2">
      <c r="A56" s="10">
        <v>54</v>
      </c>
      <c r="B56" s="10">
        <f t="shared" ca="1" si="0"/>
        <v>0.6513605675724623</v>
      </c>
      <c r="C56" s="10" t="s">
        <v>34</v>
      </c>
    </row>
    <row r="57" spans="1:3" x14ac:dyDescent="0.2">
      <c r="A57" s="10">
        <v>55</v>
      </c>
      <c r="B57" s="10">
        <f t="shared" ca="1" si="0"/>
        <v>0.62941237729040789</v>
      </c>
      <c r="C57" s="10" t="s">
        <v>34</v>
      </c>
    </row>
    <row r="58" spans="1:3" x14ac:dyDescent="0.2">
      <c r="A58" s="10">
        <v>56</v>
      </c>
      <c r="B58" s="10">
        <f t="shared" ca="1" si="0"/>
        <v>0.67391996554814804</v>
      </c>
      <c r="C58" s="10" t="s">
        <v>34</v>
      </c>
    </row>
    <row r="59" spans="1:3" x14ac:dyDescent="0.2">
      <c r="A59" s="10">
        <v>57</v>
      </c>
      <c r="B59" s="10">
        <f t="shared" ca="1" si="0"/>
        <v>0.47856514149188323</v>
      </c>
      <c r="C59" s="10" t="s">
        <v>35</v>
      </c>
    </row>
    <row r="60" spans="1:3" x14ac:dyDescent="0.2">
      <c r="A60" s="10">
        <v>58</v>
      </c>
      <c r="B60" s="10">
        <f t="shared" ca="1" si="0"/>
        <v>0.73102791622508123</v>
      </c>
      <c r="C60" s="10" t="s">
        <v>34</v>
      </c>
    </row>
    <row r="61" spans="1:3" x14ac:dyDescent="0.2">
      <c r="A61" s="10">
        <v>59</v>
      </c>
      <c r="B61" s="10">
        <f t="shared" ca="1" si="0"/>
        <v>0.57199908309658687</v>
      </c>
      <c r="C61" s="10" t="s">
        <v>34</v>
      </c>
    </row>
    <row r="62" spans="1:3" x14ac:dyDescent="0.2">
      <c r="A62" s="10">
        <v>60</v>
      </c>
      <c r="B62" s="10">
        <f t="shared" ca="1" si="0"/>
        <v>0.52068665868174135</v>
      </c>
      <c r="C62" s="10" t="s">
        <v>35</v>
      </c>
    </row>
    <row r="63" spans="1:3" x14ac:dyDescent="0.2">
      <c r="A63" s="10">
        <v>61</v>
      </c>
      <c r="B63" s="10">
        <f t="shared" ca="1" si="0"/>
        <v>0.90470104813401342</v>
      </c>
      <c r="C63" s="10" t="s">
        <v>35</v>
      </c>
    </row>
    <row r="64" spans="1:3" x14ac:dyDescent="0.2">
      <c r="A64" s="10">
        <v>62</v>
      </c>
      <c r="B64" s="10">
        <f t="shared" ca="1" si="0"/>
        <v>0.6944765965217129</v>
      </c>
      <c r="C64" s="10" t="s">
        <v>35</v>
      </c>
    </row>
    <row r="65" spans="1:3" x14ac:dyDescent="0.2">
      <c r="A65" s="10">
        <v>63</v>
      </c>
      <c r="B65" s="10">
        <f t="shared" ca="1" si="0"/>
        <v>0.66925309991278581</v>
      </c>
      <c r="C65" s="10" t="s">
        <v>34</v>
      </c>
    </row>
    <row r="66" spans="1:3" x14ac:dyDescent="0.2">
      <c r="A66" s="10">
        <v>64</v>
      </c>
      <c r="B66" s="10">
        <f t="shared" ca="1" si="0"/>
        <v>0.61697792975568311</v>
      </c>
      <c r="C66" s="10" t="s">
        <v>34</v>
      </c>
    </row>
    <row r="67" spans="1:3" x14ac:dyDescent="0.2">
      <c r="A67" s="10">
        <v>65</v>
      </c>
      <c r="B67" s="10">
        <f t="shared" ca="1" si="0"/>
        <v>0.92874996646910168</v>
      </c>
      <c r="C67" s="10" t="s">
        <v>34</v>
      </c>
    </row>
    <row r="68" spans="1:3" x14ac:dyDescent="0.2">
      <c r="A68" s="10">
        <v>66</v>
      </c>
      <c r="B68" s="10">
        <f t="shared" ref="B68:B131" ca="1" si="1">IF(C68="Bomb",_xlfn.NORM.INV(RAND(),0.7,0.1),_xlfn.NORM.INV(RAND(),0.6,0.15))</f>
        <v>0.61770936307490854</v>
      </c>
      <c r="C68" s="10" t="s">
        <v>34</v>
      </c>
    </row>
    <row r="69" spans="1:3" x14ac:dyDescent="0.2">
      <c r="A69" s="10">
        <v>67</v>
      </c>
      <c r="B69" s="10">
        <f t="shared" ca="1" si="1"/>
        <v>0.67855386521335015</v>
      </c>
      <c r="C69" s="10" t="s">
        <v>34</v>
      </c>
    </row>
    <row r="70" spans="1:3" x14ac:dyDescent="0.2">
      <c r="A70" s="10">
        <v>68</v>
      </c>
      <c r="B70" s="10">
        <f t="shared" ca="1" si="1"/>
        <v>0.69870006550547004</v>
      </c>
      <c r="C70" s="10" t="s">
        <v>35</v>
      </c>
    </row>
    <row r="71" spans="1:3" x14ac:dyDescent="0.2">
      <c r="A71" s="10">
        <v>69</v>
      </c>
      <c r="B71" s="10">
        <f t="shared" ca="1" si="1"/>
        <v>0.50944962433943342</v>
      </c>
      <c r="C71" s="10" t="s">
        <v>35</v>
      </c>
    </row>
    <row r="72" spans="1:3" x14ac:dyDescent="0.2">
      <c r="A72" s="10">
        <v>70</v>
      </c>
      <c r="B72" s="10">
        <f t="shared" ca="1" si="1"/>
        <v>0.76979910282109465</v>
      </c>
      <c r="C72" s="10" t="s">
        <v>35</v>
      </c>
    </row>
    <row r="73" spans="1:3" x14ac:dyDescent="0.2">
      <c r="A73" s="10">
        <v>71</v>
      </c>
      <c r="B73" s="10">
        <f t="shared" ca="1" si="1"/>
        <v>0.75327214270620146</v>
      </c>
      <c r="C73" s="10" t="s">
        <v>35</v>
      </c>
    </row>
    <row r="74" spans="1:3" x14ac:dyDescent="0.2">
      <c r="A74" s="10">
        <v>72</v>
      </c>
      <c r="B74" s="10">
        <f t="shared" ca="1" si="1"/>
        <v>0.57530111096882997</v>
      </c>
      <c r="C74" s="10" t="s">
        <v>35</v>
      </c>
    </row>
    <row r="75" spans="1:3" x14ac:dyDescent="0.2">
      <c r="A75" s="10">
        <v>73</v>
      </c>
      <c r="B75" s="10">
        <f t="shared" ca="1" si="1"/>
        <v>0.90185607815363089</v>
      </c>
      <c r="C75" s="10" t="s">
        <v>34</v>
      </c>
    </row>
    <row r="76" spans="1:3" x14ac:dyDescent="0.2">
      <c r="A76" s="10">
        <v>74</v>
      </c>
      <c r="B76" s="10">
        <f t="shared" ca="1" si="1"/>
        <v>0.8156971356925814</v>
      </c>
      <c r="C76" s="10" t="s">
        <v>34</v>
      </c>
    </row>
    <row r="77" spans="1:3" x14ac:dyDescent="0.2">
      <c r="A77" s="10">
        <v>75</v>
      </c>
      <c r="B77" s="10">
        <f t="shared" ca="1" si="1"/>
        <v>0.72519385704260231</v>
      </c>
      <c r="C77" s="10" t="s">
        <v>34</v>
      </c>
    </row>
    <row r="78" spans="1:3" x14ac:dyDescent="0.2">
      <c r="A78" s="10">
        <v>76</v>
      </c>
      <c r="B78" s="10">
        <f t="shared" ca="1" si="1"/>
        <v>0.65490641674714478</v>
      </c>
      <c r="C78" s="10" t="s">
        <v>34</v>
      </c>
    </row>
    <row r="79" spans="1:3" x14ac:dyDescent="0.2">
      <c r="A79" s="10">
        <v>77</v>
      </c>
      <c r="B79" s="10">
        <f t="shared" ca="1" si="1"/>
        <v>0.79411558745511757</v>
      </c>
      <c r="C79" s="10" t="s">
        <v>35</v>
      </c>
    </row>
    <row r="80" spans="1:3" x14ac:dyDescent="0.2">
      <c r="A80" s="10">
        <v>78</v>
      </c>
      <c r="B80" s="10">
        <f t="shared" ca="1" si="1"/>
        <v>0.59124493644250464</v>
      </c>
      <c r="C80" s="10" t="s">
        <v>34</v>
      </c>
    </row>
    <row r="81" spans="1:3" x14ac:dyDescent="0.2">
      <c r="A81" s="10">
        <v>79</v>
      </c>
      <c r="B81" s="10">
        <f t="shared" ca="1" si="1"/>
        <v>0.95654162765401962</v>
      </c>
      <c r="C81" s="10" t="s">
        <v>35</v>
      </c>
    </row>
    <row r="82" spans="1:3" x14ac:dyDescent="0.2">
      <c r="A82" s="10">
        <v>80</v>
      </c>
      <c r="B82" s="10">
        <f t="shared" ca="1" si="1"/>
        <v>0.71635598144661883</v>
      </c>
      <c r="C82" s="10" t="s">
        <v>34</v>
      </c>
    </row>
    <row r="83" spans="1:3" x14ac:dyDescent="0.2">
      <c r="A83" s="10">
        <v>81</v>
      </c>
      <c r="B83" s="10">
        <f t="shared" ca="1" si="1"/>
        <v>0.73399205602848938</v>
      </c>
      <c r="C83" s="10" t="s">
        <v>34</v>
      </c>
    </row>
    <row r="84" spans="1:3" x14ac:dyDescent="0.2">
      <c r="A84" s="10">
        <v>82</v>
      </c>
      <c r="B84" s="10">
        <f t="shared" ca="1" si="1"/>
        <v>0.58378618566615226</v>
      </c>
      <c r="C84" s="10" t="s">
        <v>35</v>
      </c>
    </row>
    <row r="85" spans="1:3" x14ac:dyDescent="0.2">
      <c r="A85" s="10">
        <v>83</v>
      </c>
      <c r="B85" s="10">
        <f t="shared" ca="1" si="1"/>
        <v>0.71500873825664513</v>
      </c>
      <c r="C85" s="10" t="s">
        <v>34</v>
      </c>
    </row>
    <row r="86" spans="1:3" x14ac:dyDescent="0.2">
      <c r="A86" s="10">
        <v>84</v>
      </c>
      <c r="B86" s="10">
        <f t="shared" ca="1" si="1"/>
        <v>0.73164263344139124</v>
      </c>
      <c r="C86" s="10" t="s">
        <v>34</v>
      </c>
    </row>
    <row r="87" spans="1:3" x14ac:dyDescent="0.2">
      <c r="A87" s="10">
        <v>85</v>
      </c>
      <c r="B87" s="10">
        <f t="shared" ca="1" si="1"/>
        <v>0.80304908823207588</v>
      </c>
      <c r="C87" s="10" t="s">
        <v>35</v>
      </c>
    </row>
    <row r="88" spans="1:3" x14ac:dyDescent="0.2">
      <c r="A88" s="10">
        <v>86</v>
      </c>
      <c r="B88" s="10">
        <f t="shared" ca="1" si="1"/>
        <v>0.69852503272869271</v>
      </c>
      <c r="C88" s="10" t="s">
        <v>35</v>
      </c>
    </row>
    <row r="89" spans="1:3" x14ac:dyDescent="0.2">
      <c r="A89" s="10">
        <v>87</v>
      </c>
      <c r="B89" s="10">
        <f t="shared" ca="1" si="1"/>
        <v>0.5860997201286765</v>
      </c>
      <c r="C89" s="10" t="s">
        <v>35</v>
      </c>
    </row>
    <row r="90" spans="1:3" x14ac:dyDescent="0.2">
      <c r="A90" s="10">
        <v>88</v>
      </c>
      <c r="B90" s="10">
        <f t="shared" ca="1" si="1"/>
        <v>0.73869370928554812</v>
      </c>
      <c r="C90" s="10" t="s">
        <v>35</v>
      </c>
    </row>
    <row r="91" spans="1:3" x14ac:dyDescent="0.2">
      <c r="A91" s="10">
        <v>89</v>
      </c>
      <c r="B91" s="10">
        <f t="shared" ca="1" si="1"/>
        <v>0.56316677880751886</v>
      </c>
      <c r="C91" s="10" t="s">
        <v>35</v>
      </c>
    </row>
    <row r="92" spans="1:3" x14ac:dyDescent="0.2">
      <c r="A92" s="10">
        <v>90</v>
      </c>
      <c r="B92" s="10">
        <f t="shared" ca="1" si="1"/>
        <v>0.7348250593218697</v>
      </c>
      <c r="C92" s="10" t="s">
        <v>34</v>
      </c>
    </row>
    <row r="93" spans="1:3" x14ac:dyDescent="0.2">
      <c r="A93" s="10">
        <v>91</v>
      </c>
      <c r="B93" s="10">
        <f t="shared" ca="1" si="1"/>
        <v>0.77859524374859024</v>
      </c>
      <c r="C93" s="10" t="s">
        <v>34</v>
      </c>
    </row>
    <row r="94" spans="1:3" x14ac:dyDescent="0.2">
      <c r="A94" s="10">
        <v>92</v>
      </c>
      <c r="B94" s="10">
        <f t="shared" ca="1" si="1"/>
        <v>0.59315184621625494</v>
      </c>
      <c r="C94" s="10" t="s">
        <v>35</v>
      </c>
    </row>
    <row r="95" spans="1:3" x14ac:dyDescent="0.2">
      <c r="A95" s="10">
        <v>93</v>
      </c>
      <c r="B95" s="10">
        <f t="shared" ca="1" si="1"/>
        <v>0.63395038286488448</v>
      </c>
      <c r="C95" s="10" t="s">
        <v>34</v>
      </c>
    </row>
    <row r="96" spans="1:3" x14ac:dyDescent="0.2">
      <c r="A96" s="10">
        <v>94</v>
      </c>
      <c r="B96" s="10">
        <f t="shared" ca="1" si="1"/>
        <v>0.54574716898598297</v>
      </c>
      <c r="C96" s="10" t="s">
        <v>34</v>
      </c>
    </row>
    <row r="97" spans="1:3" x14ac:dyDescent="0.2">
      <c r="A97" s="10">
        <v>95</v>
      </c>
      <c r="B97" s="10">
        <f t="shared" ca="1" si="1"/>
        <v>0.76641180670712883</v>
      </c>
      <c r="C97" s="10" t="s">
        <v>35</v>
      </c>
    </row>
    <row r="98" spans="1:3" x14ac:dyDescent="0.2">
      <c r="A98" s="10">
        <v>96</v>
      </c>
      <c r="B98" s="10">
        <f t="shared" ca="1" si="1"/>
        <v>0.60605901827430042</v>
      </c>
      <c r="C98" s="10" t="s">
        <v>35</v>
      </c>
    </row>
    <row r="99" spans="1:3" x14ac:dyDescent="0.2">
      <c r="A99" s="10">
        <v>97</v>
      </c>
      <c r="B99" s="10">
        <f t="shared" ca="1" si="1"/>
        <v>0.58968778364632302</v>
      </c>
      <c r="C99" s="10" t="s">
        <v>34</v>
      </c>
    </row>
    <row r="100" spans="1:3" x14ac:dyDescent="0.2">
      <c r="A100" s="10">
        <v>98</v>
      </c>
      <c r="B100" s="10">
        <f t="shared" ca="1" si="1"/>
        <v>0.66152280881886483</v>
      </c>
      <c r="C100" s="10" t="s">
        <v>34</v>
      </c>
    </row>
    <row r="101" spans="1:3" x14ac:dyDescent="0.2">
      <c r="A101" s="10">
        <v>99</v>
      </c>
      <c r="B101" s="10">
        <f t="shared" ca="1" si="1"/>
        <v>0.50326998887194163</v>
      </c>
      <c r="C101" s="10" t="s">
        <v>34</v>
      </c>
    </row>
    <row r="102" spans="1:3" x14ac:dyDescent="0.2">
      <c r="A102" s="10">
        <v>100</v>
      </c>
      <c r="B102" s="10">
        <f t="shared" ca="1" si="1"/>
        <v>0.94777851538636393</v>
      </c>
      <c r="C102" s="10" t="s">
        <v>35</v>
      </c>
    </row>
    <row r="103" spans="1:3" x14ac:dyDescent="0.2">
      <c r="A103" s="10">
        <v>101</v>
      </c>
      <c r="B103" s="10">
        <f t="shared" ca="1" si="1"/>
        <v>0.66759352132243632</v>
      </c>
      <c r="C103" s="10" t="s">
        <v>34</v>
      </c>
    </row>
    <row r="104" spans="1:3" x14ac:dyDescent="0.2">
      <c r="A104" s="10">
        <v>102</v>
      </c>
      <c r="B104" s="10">
        <f t="shared" ca="1" si="1"/>
        <v>0.54450618605153289</v>
      </c>
      <c r="C104" s="10" t="s">
        <v>35</v>
      </c>
    </row>
    <row r="105" spans="1:3" x14ac:dyDescent="0.2">
      <c r="A105" s="10">
        <v>103</v>
      </c>
      <c r="B105" s="10">
        <f t="shared" ca="1" si="1"/>
        <v>0.83546241007566902</v>
      </c>
      <c r="C105" s="10" t="s">
        <v>35</v>
      </c>
    </row>
    <row r="106" spans="1:3" x14ac:dyDescent="0.2">
      <c r="A106" s="10">
        <v>104</v>
      </c>
      <c r="B106" s="10">
        <f t="shared" ca="1" si="1"/>
        <v>0.68431596800587979</v>
      </c>
      <c r="C106" s="10" t="s">
        <v>35</v>
      </c>
    </row>
    <row r="107" spans="1:3" x14ac:dyDescent="0.2">
      <c r="A107" s="10">
        <v>105</v>
      </c>
      <c r="B107" s="10">
        <f t="shared" ca="1" si="1"/>
        <v>0.78995357252960796</v>
      </c>
      <c r="C107" s="10" t="s">
        <v>34</v>
      </c>
    </row>
    <row r="108" spans="1:3" x14ac:dyDescent="0.2">
      <c r="A108" s="10">
        <v>106</v>
      </c>
      <c r="B108" s="10">
        <f t="shared" ca="1" si="1"/>
        <v>0.52000622112014416</v>
      </c>
      <c r="C108" s="10" t="s">
        <v>35</v>
      </c>
    </row>
    <row r="109" spans="1:3" x14ac:dyDescent="0.2">
      <c r="A109" s="10">
        <v>107</v>
      </c>
      <c r="B109" s="10">
        <f t="shared" ca="1" si="1"/>
        <v>0.59308093299073694</v>
      </c>
      <c r="C109" s="10" t="s">
        <v>35</v>
      </c>
    </row>
    <row r="110" spans="1:3" x14ac:dyDescent="0.2">
      <c r="A110" s="10">
        <v>108</v>
      </c>
      <c r="B110" s="10">
        <f t="shared" ca="1" si="1"/>
        <v>0.77196956221655932</v>
      </c>
      <c r="C110" s="10" t="s">
        <v>35</v>
      </c>
    </row>
    <row r="111" spans="1:3" x14ac:dyDescent="0.2">
      <c r="A111" s="10">
        <v>109</v>
      </c>
      <c r="B111" s="10">
        <f t="shared" ca="1" si="1"/>
        <v>0.42754369394287262</v>
      </c>
      <c r="C111" s="10" t="s">
        <v>35</v>
      </c>
    </row>
    <row r="112" spans="1:3" x14ac:dyDescent="0.2">
      <c r="A112" s="10">
        <v>110</v>
      </c>
      <c r="B112" s="10">
        <f t="shared" ca="1" si="1"/>
        <v>0.5886787003362105</v>
      </c>
      <c r="C112" s="10" t="s">
        <v>35</v>
      </c>
    </row>
    <row r="113" spans="1:3" x14ac:dyDescent="0.2">
      <c r="A113" s="10">
        <v>111</v>
      </c>
      <c r="B113" s="10">
        <f t="shared" ca="1" si="1"/>
        <v>0.58914277341239629</v>
      </c>
      <c r="C113" s="10" t="s">
        <v>34</v>
      </c>
    </row>
    <row r="114" spans="1:3" x14ac:dyDescent="0.2">
      <c r="A114" s="10">
        <v>112</v>
      </c>
      <c r="B114" s="10">
        <f t="shared" ca="1" si="1"/>
        <v>0.60927927303590479</v>
      </c>
      <c r="C114" s="10" t="s">
        <v>35</v>
      </c>
    </row>
    <row r="115" spans="1:3" x14ac:dyDescent="0.2">
      <c r="A115" s="10">
        <v>113</v>
      </c>
      <c r="B115" s="10">
        <f t="shared" ca="1" si="1"/>
        <v>0.24887674086420192</v>
      </c>
      <c r="C115" s="10" t="s">
        <v>35</v>
      </c>
    </row>
    <row r="116" spans="1:3" x14ac:dyDescent="0.2">
      <c r="A116" s="10">
        <v>114</v>
      </c>
      <c r="B116" s="10">
        <f t="shared" ca="1" si="1"/>
        <v>0.55503033906370702</v>
      </c>
      <c r="C116" s="10" t="s">
        <v>35</v>
      </c>
    </row>
    <row r="117" spans="1:3" x14ac:dyDescent="0.2">
      <c r="A117" s="10">
        <v>115</v>
      </c>
      <c r="B117" s="10">
        <f t="shared" ca="1" si="1"/>
        <v>0.7820691078691705</v>
      </c>
      <c r="C117" s="10" t="s">
        <v>35</v>
      </c>
    </row>
    <row r="118" spans="1:3" x14ac:dyDescent="0.2">
      <c r="A118" s="10">
        <v>116</v>
      </c>
      <c r="B118" s="10">
        <f t="shared" ca="1" si="1"/>
        <v>0.5749458943036444</v>
      </c>
      <c r="C118" s="10" t="s">
        <v>35</v>
      </c>
    </row>
    <row r="119" spans="1:3" x14ac:dyDescent="0.2">
      <c r="A119" s="10">
        <v>117</v>
      </c>
      <c r="B119" s="10">
        <f t="shared" ca="1" si="1"/>
        <v>0.54385153654868479</v>
      </c>
      <c r="C119" s="10" t="s">
        <v>35</v>
      </c>
    </row>
    <row r="120" spans="1:3" x14ac:dyDescent="0.2">
      <c r="A120" s="10">
        <v>118</v>
      </c>
      <c r="B120" s="10">
        <f t="shared" ca="1" si="1"/>
        <v>0.73214347827995263</v>
      </c>
      <c r="C120" s="10" t="s">
        <v>35</v>
      </c>
    </row>
    <row r="121" spans="1:3" x14ac:dyDescent="0.2">
      <c r="A121" s="10">
        <v>119</v>
      </c>
      <c r="B121" s="10">
        <f t="shared" ca="1" si="1"/>
        <v>0.46706604795517181</v>
      </c>
      <c r="C121" s="10" t="s">
        <v>35</v>
      </c>
    </row>
    <row r="122" spans="1:3" x14ac:dyDescent="0.2">
      <c r="A122" s="10">
        <v>120</v>
      </c>
      <c r="B122" s="10">
        <f t="shared" ca="1" si="1"/>
        <v>0.64157753159097863</v>
      </c>
      <c r="C122" s="10" t="s">
        <v>34</v>
      </c>
    </row>
    <row r="123" spans="1:3" x14ac:dyDescent="0.2">
      <c r="A123" s="10">
        <v>121</v>
      </c>
      <c r="B123" s="10">
        <f t="shared" ca="1" si="1"/>
        <v>0.8120740613069084</v>
      </c>
      <c r="C123" s="10" t="s">
        <v>34</v>
      </c>
    </row>
    <row r="124" spans="1:3" x14ac:dyDescent="0.2">
      <c r="A124" s="10">
        <v>122</v>
      </c>
      <c r="B124" s="10">
        <f t="shared" ca="1" si="1"/>
        <v>0.74035686111970989</v>
      </c>
      <c r="C124" s="10" t="s">
        <v>35</v>
      </c>
    </row>
    <row r="125" spans="1:3" x14ac:dyDescent="0.2">
      <c r="A125" s="10">
        <v>123</v>
      </c>
      <c r="B125" s="10">
        <f t="shared" ca="1" si="1"/>
        <v>0.66762481253811112</v>
      </c>
      <c r="C125" s="10" t="s">
        <v>34</v>
      </c>
    </row>
    <row r="126" spans="1:3" x14ac:dyDescent="0.2">
      <c r="A126" s="10">
        <v>124</v>
      </c>
      <c r="B126" s="10">
        <f t="shared" ca="1" si="1"/>
        <v>0.7584686693779501</v>
      </c>
      <c r="C126" s="10" t="s">
        <v>34</v>
      </c>
    </row>
    <row r="127" spans="1:3" x14ac:dyDescent="0.2">
      <c r="A127" s="10">
        <v>125</v>
      </c>
      <c r="B127" s="10">
        <f t="shared" ca="1" si="1"/>
        <v>0.67350095354770523</v>
      </c>
      <c r="C127" s="10" t="s">
        <v>35</v>
      </c>
    </row>
    <row r="128" spans="1:3" x14ac:dyDescent="0.2">
      <c r="A128" s="10">
        <v>126</v>
      </c>
      <c r="B128" s="10">
        <f t="shared" ca="1" si="1"/>
        <v>0.5668090995711238</v>
      </c>
      <c r="C128" s="10" t="s">
        <v>35</v>
      </c>
    </row>
    <row r="129" spans="1:3" x14ac:dyDescent="0.2">
      <c r="A129" s="10">
        <v>127</v>
      </c>
      <c r="B129" s="10">
        <f t="shared" ca="1" si="1"/>
        <v>0.4801959531033132</v>
      </c>
      <c r="C129" s="10" t="s">
        <v>35</v>
      </c>
    </row>
    <row r="130" spans="1:3" x14ac:dyDescent="0.2">
      <c r="A130" s="10">
        <v>128</v>
      </c>
      <c r="B130" s="10">
        <f t="shared" ca="1" si="1"/>
        <v>0.72370989858443824</v>
      </c>
      <c r="C130" s="10" t="s">
        <v>35</v>
      </c>
    </row>
    <row r="131" spans="1:3" x14ac:dyDescent="0.2">
      <c r="A131" s="10">
        <v>129</v>
      </c>
      <c r="B131" s="10">
        <f t="shared" ca="1" si="1"/>
        <v>0.39815408891076998</v>
      </c>
      <c r="C131" s="10" t="s">
        <v>35</v>
      </c>
    </row>
    <row r="132" spans="1:3" x14ac:dyDescent="0.2">
      <c r="A132" s="10">
        <v>130</v>
      </c>
      <c r="B132" s="10">
        <f t="shared" ref="B132:B195" ca="1" si="2">IF(C132="Bomb",_xlfn.NORM.INV(RAND(),0.7,0.1),_xlfn.NORM.INV(RAND(),0.6,0.15))</f>
        <v>0.76769045837718519</v>
      </c>
      <c r="C132" s="10" t="s">
        <v>34</v>
      </c>
    </row>
    <row r="133" spans="1:3" x14ac:dyDescent="0.2">
      <c r="A133" s="10">
        <v>131</v>
      </c>
      <c r="B133" s="10">
        <f t="shared" ca="1" si="2"/>
        <v>0.77673130514661048</v>
      </c>
      <c r="C133" s="10" t="s">
        <v>34</v>
      </c>
    </row>
    <row r="134" spans="1:3" x14ac:dyDescent="0.2">
      <c r="A134" s="10">
        <v>132</v>
      </c>
      <c r="B134" s="10">
        <f t="shared" ca="1" si="2"/>
        <v>0.84891869699567057</v>
      </c>
      <c r="C134" s="10" t="s">
        <v>34</v>
      </c>
    </row>
    <row r="135" spans="1:3" x14ac:dyDescent="0.2">
      <c r="A135" s="10">
        <v>133</v>
      </c>
      <c r="B135" s="10">
        <f t="shared" ca="1" si="2"/>
        <v>0.92293807751567092</v>
      </c>
      <c r="C135" s="10" t="s">
        <v>34</v>
      </c>
    </row>
    <row r="136" spans="1:3" x14ac:dyDescent="0.2">
      <c r="A136" s="10">
        <v>134</v>
      </c>
      <c r="B136" s="10">
        <f t="shared" ca="1" si="2"/>
        <v>0.59189985618473018</v>
      </c>
      <c r="C136" s="10" t="s">
        <v>35</v>
      </c>
    </row>
    <row r="137" spans="1:3" x14ac:dyDescent="0.2">
      <c r="A137" s="10">
        <v>135</v>
      </c>
      <c r="B137" s="10">
        <f t="shared" ca="1" si="2"/>
        <v>0.75043892729770678</v>
      </c>
      <c r="C137" s="10" t="s">
        <v>34</v>
      </c>
    </row>
    <row r="138" spans="1:3" x14ac:dyDescent="0.2">
      <c r="A138" s="10">
        <v>136</v>
      </c>
      <c r="B138" s="10">
        <f t="shared" ca="1" si="2"/>
        <v>0.71285336220182038</v>
      </c>
      <c r="C138" s="10" t="s">
        <v>34</v>
      </c>
    </row>
    <row r="139" spans="1:3" x14ac:dyDescent="0.2">
      <c r="A139" s="10">
        <v>137</v>
      </c>
      <c r="B139" s="10">
        <f t="shared" ca="1" si="2"/>
        <v>0.47297519420515782</v>
      </c>
      <c r="C139" s="10" t="s">
        <v>35</v>
      </c>
    </row>
    <row r="140" spans="1:3" x14ac:dyDescent="0.2">
      <c r="A140" s="10">
        <v>138</v>
      </c>
      <c r="B140" s="10">
        <f t="shared" ca="1" si="2"/>
        <v>0.6071234209621319</v>
      </c>
      <c r="C140" s="10" t="s">
        <v>34</v>
      </c>
    </row>
    <row r="141" spans="1:3" x14ac:dyDescent="0.2">
      <c r="A141" s="10">
        <v>139</v>
      </c>
      <c r="B141" s="10">
        <f t="shared" ca="1" si="2"/>
        <v>0.86519343918807246</v>
      </c>
      <c r="C141" s="10" t="s">
        <v>35</v>
      </c>
    </row>
    <row r="142" spans="1:3" x14ac:dyDescent="0.2">
      <c r="A142" s="10">
        <v>140</v>
      </c>
      <c r="B142" s="10">
        <f t="shared" ca="1" si="2"/>
        <v>0.60323291538965562</v>
      </c>
      <c r="C142" s="10" t="s">
        <v>35</v>
      </c>
    </row>
    <row r="143" spans="1:3" x14ac:dyDescent="0.2">
      <c r="A143" s="10">
        <v>141</v>
      </c>
      <c r="B143" s="10">
        <f t="shared" ca="1" si="2"/>
        <v>0.78561663042385155</v>
      </c>
      <c r="C143" s="10" t="s">
        <v>35</v>
      </c>
    </row>
    <row r="144" spans="1:3" x14ac:dyDescent="0.2">
      <c r="A144" s="10">
        <v>142</v>
      </c>
      <c r="B144" s="10">
        <f t="shared" ca="1" si="2"/>
        <v>0.70287082288374669</v>
      </c>
      <c r="C144" s="10" t="s">
        <v>34</v>
      </c>
    </row>
    <row r="145" spans="1:3" x14ac:dyDescent="0.2">
      <c r="A145" s="10">
        <v>143</v>
      </c>
      <c r="B145" s="10">
        <f t="shared" ca="1" si="2"/>
        <v>0.58190597935310728</v>
      </c>
      <c r="C145" s="10" t="s">
        <v>35</v>
      </c>
    </row>
    <row r="146" spans="1:3" x14ac:dyDescent="0.2">
      <c r="A146" s="10">
        <v>144</v>
      </c>
      <c r="B146" s="10">
        <f t="shared" ca="1" si="2"/>
        <v>0.7239889051135604</v>
      </c>
      <c r="C146" s="10" t="s">
        <v>34</v>
      </c>
    </row>
    <row r="147" spans="1:3" x14ac:dyDescent="0.2">
      <c r="A147" s="10">
        <v>145</v>
      </c>
      <c r="B147" s="10">
        <f t="shared" ca="1" si="2"/>
        <v>0.65265735590709117</v>
      </c>
      <c r="C147" s="10" t="s">
        <v>35</v>
      </c>
    </row>
    <row r="148" spans="1:3" x14ac:dyDescent="0.2">
      <c r="A148" s="10">
        <v>146</v>
      </c>
      <c r="B148" s="10">
        <f t="shared" ca="1" si="2"/>
        <v>0.50793476513226743</v>
      </c>
      <c r="C148" s="10" t="s">
        <v>35</v>
      </c>
    </row>
    <row r="149" spans="1:3" x14ac:dyDescent="0.2">
      <c r="A149" s="10">
        <v>147</v>
      </c>
      <c r="B149" s="10">
        <f t="shared" ca="1" si="2"/>
        <v>0.59825193893929829</v>
      </c>
      <c r="C149" s="10" t="s">
        <v>34</v>
      </c>
    </row>
    <row r="150" spans="1:3" x14ac:dyDescent="0.2">
      <c r="A150" s="10">
        <v>148</v>
      </c>
      <c r="B150" s="10">
        <f t="shared" ca="1" si="2"/>
        <v>0.4080137574890822</v>
      </c>
      <c r="C150" s="10" t="s">
        <v>35</v>
      </c>
    </row>
    <row r="151" spans="1:3" x14ac:dyDescent="0.2">
      <c r="A151" s="10">
        <v>149</v>
      </c>
      <c r="B151" s="10">
        <f t="shared" ca="1" si="2"/>
        <v>0.75303761727134122</v>
      </c>
      <c r="C151" s="10" t="s">
        <v>35</v>
      </c>
    </row>
    <row r="152" spans="1:3" x14ac:dyDescent="0.2">
      <c r="A152" s="10">
        <v>150</v>
      </c>
      <c r="B152" s="10">
        <f t="shared" ca="1" si="2"/>
        <v>0.8752599008134555</v>
      </c>
      <c r="C152" s="10" t="s">
        <v>35</v>
      </c>
    </row>
    <row r="153" spans="1:3" x14ac:dyDescent="0.2">
      <c r="A153" s="10">
        <v>151</v>
      </c>
      <c r="B153" s="10">
        <f t="shared" ca="1" si="2"/>
        <v>0.58146101231737934</v>
      </c>
      <c r="C153" s="10" t="s">
        <v>34</v>
      </c>
    </row>
    <row r="154" spans="1:3" x14ac:dyDescent="0.2">
      <c r="A154" s="10">
        <v>152</v>
      </c>
      <c r="B154" s="10">
        <f t="shared" ca="1" si="2"/>
        <v>0.81494691171365419</v>
      </c>
      <c r="C154" s="10" t="s">
        <v>34</v>
      </c>
    </row>
    <row r="155" spans="1:3" x14ac:dyDescent="0.2">
      <c r="A155" s="10">
        <v>153</v>
      </c>
      <c r="B155" s="10">
        <f t="shared" ca="1" si="2"/>
        <v>0.74412663945953494</v>
      </c>
      <c r="C155" s="10" t="s">
        <v>34</v>
      </c>
    </row>
    <row r="156" spans="1:3" x14ac:dyDescent="0.2">
      <c r="A156" s="10">
        <v>154</v>
      </c>
      <c r="B156" s="10">
        <f t="shared" ca="1" si="2"/>
        <v>0.68013922027499696</v>
      </c>
      <c r="C156" s="10" t="s">
        <v>35</v>
      </c>
    </row>
    <row r="157" spans="1:3" x14ac:dyDescent="0.2">
      <c r="A157" s="10">
        <v>155</v>
      </c>
      <c r="B157" s="10">
        <f t="shared" ca="1" si="2"/>
        <v>0.78587867922779941</v>
      </c>
      <c r="C157" s="10" t="s">
        <v>34</v>
      </c>
    </row>
    <row r="158" spans="1:3" x14ac:dyDescent="0.2">
      <c r="A158" s="10">
        <v>156</v>
      </c>
      <c r="B158" s="10">
        <f t="shared" ca="1" si="2"/>
        <v>0.58411209775290196</v>
      </c>
      <c r="C158" s="10" t="s">
        <v>34</v>
      </c>
    </row>
    <row r="159" spans="1:3" x14ac:dyDescent="0.2">
      <c r="A159" s="10">
        <v>157</v>
      </c>
      <c r="B159" s="10">
        <f t="shared" ca="1" si="2"/>
        <v>0.94919691985968679</v>
      </c>
      <c r="C159" s="10" t="s">
        <v>35</v>
      </c>
    </row>
    <row r="160" spans="1:3" x14ac:dyDescent="0.2">
      <c r="A160" s="10">
        <v>158</v>
      </c>
      <c r="B160" s="10">
        <f t="shared" ca="1" si="2"/>
        <v>0.81486924554253959</v>
      </c>
      <c r="C160" s="10" t="s">
        <v>35</v>
      </c>
    </row>
    <row r="161" spans="1:3" x14ac:dyDescent="0.2">
      <c r="A161" s="10">
        <v>159</v>
      </c>
      <c r="B161" s="10">
        <f t="shared" ca="1" si="2"/>
        <v>0.69339709408907091</v>
      </c>
      <c r="C161" s="10" t="s">
        <v>34</v>
      </c>
    </row>
    <row r="162" spans="1:3" x14ac:dyDescent="0.2">
      <c r="A162" s="10">
        <v>160</v>
      </c>
      <c r="B162" s="10">
        <f t="shared" ca="1" si="2"/>
        <v>0.53146007645759097</v>
      </c>
      <c r="C162" s="10" t="s">
        <v>34</v>
      </c>
    </row>
    <row r="163" spans="1:3" x14ac:dyDescent="0.2">
      <c r="A163" s="10">
        <v>161</v>
      </c>
      <c r="B163" s="10">
        <f t="shared" ca="1" si="2"/>
        <v>0.71728579510111079</v>
      </c>
      <c r="C163" s="10" t="s">
        <v>34</v>
      </c>
    </row>
    <row r="164" spans="1:3" x14ac:dyDescent="0.2">
      <c r="A164" s="10">
        <v>162</v>
      </c>
      <c r="B164" s="10">
        <f t="shared" ca="1" si="2"/>
        <v>0.55497791083920756</v>
      </c>
      <c r="C164" s="10" t="s">
        <v>35</v>
      </c>
    </row>
    <row r="165" spans="1:3" x14ac:dyDescent="0.2">
      <c r="A165" s="10">
        <v>163</v>
      </c>
      <c r="B165" s="10">
        <f t="shared" ca="1" si="2"/>
        <v>0.63923267713913734</v>
      </c>
      <c r="C165" s="10" t="s">
        <v>35</v>
      </c>
    </row>
    <row r="166" spans="1:3" x14ac:dyDescent="0.2">
      <c r="A166" s="10">
        <v>164</v>
      </c>
      <c r="B166" s="10">
        <f t="shared" ca="1" si="2"/>
        <v>0.57335802966026472</v>
      </c>
      <c r="C166" s="10" t="s">
        <v>35</v>
      </c>
    </row>
    <row r="167" spans="1:3" x14ac:dyDescent="0.2">
      <c r="A167" s="10">
        <v>165</v>
      </c>
      <c r="B167" s="10">
        <f t="shared" ca="1" si="2"/>
        <v>0.68465621308973668</v>
      </c>
      <c r="C167" s="10" t="s">
        <v>35</v>
      </c>
    </row>
    <row r="168" spans="1:3" x14ac:dyDescent="0.2">
      <c r="A168" s="10">
        <v>166</v>
      </c>
      <c r="B168" s="10">
        <f t="shared" ca="1" si="2"/>
        <v>0.57674999558567452</v>
      </c>
      <c r="C168" s="10" t="s">
        <v>34</v>
      </c>
    </row>
    <row r="169" spans="1:3" x14ac:dyDescent="0.2">
      <c r="A169" s="10">
        <v>167</v>
      </c>
      <c r="B169" s="10">
        <f t="shared" ca="1" si="2"/>
        <v>0.54499820627660578</v>
      </c>
      <c r="C169" s="10" t="s">
        <v>34</v>
      </c>
    </row>
    <row r="170" spans="1:3" x14ac:dyDescent="0.2">
      <c r="A170" s="10">
        <v>168</v>
      </c>
      <c r="B170" s="10">
        <f t="shared" ca="1" si="2"/>
        <v>0.81034646901639262</v>
      </c>
      <c r="C170" s="10" t="s">
        <v>34</v>
      </c>
    </row>
    <row r="171" spans="1:3" x14ac:dyDescent="0.2">
      <c r="A171" s="10">
        <v>169</v>
      </c>
      <c r="B171" s="10">
        <f t="shared" ca="1" si="2"/>
        <v>0.74751644401122341</v>
      </c>
      <c r="C171" s="10" t="s">
        <v>35</v>
      </c>
    </row>
    <row r="172" spans="1:3" x14ac:dyDescent="0.2">
      <c r="A172" s="10">
        <v>170</v>
      </c>
      <c r="B172" s="10">
        <f t="shared" ca="1" si="2"/>
        <v>0.54487593961388248</v>
      </c>
      <c r="C172" s="10" t="s">
        <v>35</v>
      </c>
    </row>
    <row r="173" spans="1:3" x14ac:dyDescent="0.2">
      <c r="A173" s="10">
        <v>171</v>
      </c>
      <c r="B173" s="10">
        <f t="shared" ca="1" si="2"/>
        <v>0.60329496368502666</v>
      </c>
      <c r="C173" s="10" t="s">
        <v>34</v>
      </c>
    </row>
    <row r="174" spans="1:3" x14ac:dyDescent="0.2">
      <c r="A174" s="10">
        <v>172</v>
      </c>
      <c r="B174" s="10">
        <f t="shared" ca="1" si="2"/>
        <v>0.68349944550401054</v>
      </c>
      <c r="C174" s="10" t="s">
        <v>34</v>
      </c>
    </row>
    <row r="175" spans="1:3" x14ac:dyDescent="0.2">
      <c r="A175" s="10">
        <v>173</v>
      </c>
      <c r="B175" s="10">
        <f t="shared" ca="1" si="2"/>
        <v>0.78540938465743493</v>
      </c>
      <c r="C175" s="10" t="s">
        <v>34</v>
      </c>
    </row>
    <row r="176" spans="1:3" x14ac:dyDescent="0.2">
      <c r="A176" s="10">
        <v>174</v>
      </c>
      <c r="B176" s="10">
        <f t="shared" ca="1" si="2"/>
        <v>0.51033605919642133</v>
      </c>
      <c r="C176" s="10" t="s">
        <v>35</v>
      </c>
    </row>
    <row r="177" spans="1:3" x14ac:dyDescent="0.2">
      <c r="A177" s="10">
        <v>175</v>
      </c>
      <c r="B177" s="10">
        <f t="shared" ca="1" si="2"/>
        <v>0.69545484307408933</v>
      </c>
      <c r="C177" s="10" t="s">
        <v>34</v>
      </c>
    </row>
    <row r="178" spans="1:3" x14ac:dyDescent="0.2">
      <c r="A178" s="10">
        <v>176</v>
      </c>
      <c r="B178" s="10">
        <f t="shared" ca="1" si="2"/>
        <v>0.58031918191828502</v>
      </c>
      <c r="C178" s="10" t="s">
        <v>34</v>
      </c>
    </row>
    <row r="179" spans="1:3" x14ac:dyDescent="0.2">
      <c r="A179" s="10">
        <v>177</v>
      </c>
      <c r="B179" s="10">
        <f t="shared" ca="1" si="2"/>
        <v>0.73257836336385329</v>
      </c>
      <c r="C179" s="10" t="s">
        <v>35</v>
      </c>
    </row>
    <row r="180" spans="1:3" x14ac:dyDescent="0.2">
      <c r="A180" s="10">
        <v>178</v>
      </c>
      <c r="B180" s="10">
        <f t="shared" ca="1" si="2"/>
        <v>0.80378117693781514</v>
      </c>
      <c r="C180" s="10" t="s">
        <v>35</v>
      </c>
    </row>
    <row r="181" spans="1:3" x14ac:dyDescent="0.2">
      <c r="A181" s="10">
        <v>179</v>
      </c>
      <c r="B181" s="10">
        <f t="shared" ca="1" si="2"/>
        <v>0.68849826251675494</v>
      </c>
      <c r="C181" s="10" t="s">
        <v>34</v>
      </c>
    </row>
    <row r="182" spans="1:3" x14ac:dyDescent="0.2">
      <c r="A182" s="10">
        <v>180</v>
      </c>
      <c r="B182" s="10">
        <f t="shared" ca="1" si="2"/>
        <v>0.66222517186526009</v>
      </c>
      <c r="C182" s="10" t="s">
        <v>34</v>
      </c>
    </row>
    <row r="183" spans="1:3" x14ac:dyDescent="0.2">
      <c r="A183" s="10">
        <v>181</v>
      </c>
      <c r="B183" s="10">
        <f t="shared" ca="1" si="2"/>
        <v>0.62141176134321396</v>
      </c>
      <c r="C183" s="10" t="s">
        <v>34</v>
      </c>
    </row>
    <row r="184" spans="1:3" x14ac:dyDescent="0.2">
      <c r="A184" s="10">
        <v>182</v>
      </c>
      <c r="B184" s="10">
        <f t="shared" ca="1" si="2"/>
        <v>0.63986351612389436</v>
      </c>
      <c r="C184" s="10" t="s">
        <v>34</v>
      </c>
    </row>
    <row r="185" spans="1:3" x14ac:dyDescent="0.2">
      <c r="A185" s="10">
        <v>183</v>
      </c>
      <c r="B185" s="10">
        <f t="shared" ca="1" si="2"/>
        <v>0.34153726386565775</v>
      </c>
      <c r="C185" s="10" t="s">
        <v>35</v>
      </c>
    </row>
    <row r="186" spans="1:3" x14ac:dyDescent="0.2">
      <c r="A186" s="10">
        <v>184</v>
      </c>
      <c r="B186" s="10">
        <f t="shared" ca="1" si="2"/>
        <v>0.52423026812999196</v>
      </c>
      <c r="C186" s="10" t="s">
        <v>34</v>
      </c>
    </row>
    <row r="187" spans="1:3" x14ac:dyDescent="0.2">
      <c r="A187" s="10">
        <v>185</v>
      </c>
      <c r="B187" s="10">
        <f t="shared" ca="1" si="2"/>
        <v>0.65545580789380342</v>
      </c>
      <c r="C187" s="10" t="s">
        <v>35</v>
      </c>
    </row>
    <row r="188" spans="1:3" x14ac:dyDescent="0.2">
      <c r="A188" s="10">
        <v>186</v>
      </c>
      <c r="B188" s="10">
        <f t="shared" ca="1" si="2"/>
        <v>0.69318815573254677</v>
      </c>
      <c r="C188" s="10" t="s">
        <v>34</v>
      </c>
    </row>
    <row r="189" spans="1:3" x14ac:dyDescent="0.2">
      <c r="A189" s="10">
        <v>187</v>
      </c>
      <c r="B189" s="10">
        <f t="shared" ca="1" si="2"/>
        <v>0.79422859138905899</v>
      </c>
      <c r="C189" s="10" t="s">
        <v>35</v>
      </c>
    </row>
    <row r="190" spans="1:3" x14ac:dyDescent="0.2">
      <c r="A190" s="10">
        <v>188</v>
      </c>
      <c r="B190" s="10">
        <f t="shared" ca="1" si="2"/>
        <v>0.48025735692645094</v>
      </c>
      <c r="C190" s="10" t="s">
        <v>34</v>
      </c>
    </row>
    <row r="191" spans="1:3" x14ac:dyDescent="0.2">
      <c r="A191" s="10">
        <v>189</v>
      </c>
      <c r="B191" s="10">
        <f t="shared" ca="1" si="2"/>
        <v>0.68950068887416083</v>
      </c>
      <c r="C191" s="10" t="s">
        <v>34</v>
      </c>
    </row>
    <row r="192" spans="1:3" x14ac:dyDescent="0.2">
      <c r="A192" s="10">
        <v>190</v>
      </c>
      <c r="B192" s="10">
        <f t="shared" ca="1" si="2"/>
        <v>0.74446755470526371</v>
      </c>
      <c r="C192" s="10" t="s">
        <v>35</v>
      </c>
    </row>
    <row r="193" spans="1:3" x14ac:dyDescent="0.2">
      <c r="A193" s="10">
        <v>191</v>
      </c>
      <c r="B193" s="10">
        <f t="shared" ca="1" si="2"/>
        <v>0.90210591239914106</v>
      </c>
      <c r="C193" s="10" t="s">
        <v>34</v>
      </c>
    </row>
    <row r="194" spans="1:3" x14ac:dyDescent="0.2">
      <c r="A194" s="10">
        <v>192</v>
      </c>
      <c r="B194" s="10">
        <f t="shared" ca="1" si="2"/>
        <v>0.86712626476747279</v>
      </c>
      <c r="C194" s="10" t="s">
        <v>35</v>
      </c>
    </row>
    <row r="195" spans="1:3" x14ac:dyDescent="0.2">
      <c r="A195" s="10">
        <v>193</v>
      </c>
      <c r="B195" s="10">
        <f t="shared" ca="1" si="2"/>
        <v>0.56659974850956196</v>
      </c>
      <c r="C195" s="10" t="s">
        <v>34</v>
      </c>
    </row>
    <row r="196" spans="1:3" x14ac:dyDescent="0.2">
      <c r="A196" s="10">
        <v>194</v>
      </c>
      <c r="B196" s="10">
        <f t="shared" ref="B196:B259" ca="1" si="3">IF(C196="Bomb",_xlfn.NORM.INV(RAND(),0.7,0.1),_xlfn.NORM.INV(RAND(),0.6,0.15))</f>
        <v>0.62408583245592564</v>
      </c>
      <c r="C196" s="10" t="s">
        <v>35</v>
      </c>
    </row>
    <row r="197" spans="1:3" x14ac:dyDescent="0.2">
      <c r="A197" s="10">
        <v>195</v>
      </c>
      <c r="B197" s="10">
        <f t="shared" ca="1" si="3"/>
        <v>0.63801776585790071</v>
      </c>
      <c r="C197" s="10" t="s">
        <v>35</v>
      </c>
    </row>
    <row r="198" spans="1:3" x14ac:dyDescent="0.2">
      <c r="A198" s="10">
        <v>196</v>
      </c>
      <c r="B198" s="10">
        <f t="shared" ca="1" si="3"/>
        <v>0.60971854012611948</v>
      </c>
      <c r="C198" s="10" t="s">
        <v>34</v>
      </c>
    </row>
    <row r="199" spans="1:3" x14ac:dyDescent="0.2">
      <c r="A199" s="10">
        <v>197</v>
      </c>
      <c r="B199" s="10">
        <f t="shared" ca="1" si="3"/>
        <v>0.74866367379252885</v>
      </c>
      <c r="C199" s="10" t="s">
        <v>35</v>
      </c>
    </row>
    <row r="200" spans="1:3" x14ac:dyDescent="0.2">
      <c r="A200" s="10">
        <v>198</v>
      </c>
      <c r="B200" s="10">
        <f t="shared" ca="1" si="3"/>
        <v>0.64808942593914587</v>
      </c>
      <c r="C200" s="10" t="s">
        <v>34</v>
      </c>
    </row>
    <row r="201" spans="1:3" x14ac:dyDescent="0.2">
      <c r="A201" s="10">
        <v>199</v>
      </c>
      <c r="B201" s="10">
        <f t="shared" ca="1" si="3"/>
        <v>0.56830319387344896</v>
      </c>
      <c r="C201" s="10" t="s">
        <v>35</v>
      </c>
    </row>
    <row r="202" spans="1:3" x14ac:dyDescent="0.2">
      <c r="A202" s="10">
        <v>200</v>
      </c>
      <c r="B202" s="10">
        <f t="shared" ca="1" si="3"/>
        <v>0.79608658972502044</v>
      </c>
      <c r="C202" s="10" t="s">
        <v>34</v>
      </c>
    </row>
    <row r="203" spans="1:3" x14ac:dyDescent="0.2">
      <c r="A203" s="10">
        <v>201</v>
      </c>
      <c r="B203" s="10">
        <f t="shared" ca="1" si="3"/>
        <v>0.33822591472713315</v>
      </c>
      <c r="C203" s="10" t="s">
        <v>35</v>
      </c>
    </row>
    <row r="204" spans="1:3" x14ac:dyDescent="0.2">
      <c r="A204" s="10">
        <v>202</v>
      </c>
      <c r="B204" s="10">
        <f t="shared" ca="1" si="3"/>
        <v>0.6622264234204519</v>
      </c>
      <c r="C204" s="10" t="s">
        <v>34</v>
      </c>
    </row>
    <row r="205" spans="1:3" x14ac:dyDescent="0.2">
      <c r="A205" s="10">
        <v>203</v>
      </c>
      <c r="B205" s="10">
        <f t="shared" ca="1" si="3"/>
        <v>0.91297502141833675</v>
      </c>
      <c r="C205" s="10" t="s">
        <v>35</v>
      </c>
    </row>
    <row r="206" spans="1:3" x14ac:dyDescent="0.2">
      <c r="A206" s="10">
        <v>204</v>
      </c>
      <c r="B206" s="10">
        <f t="shared" ca="1" si="3"/>
        <v>0.57374337442500822</v>
      </c>
      <c r="C206" s="10" t="s">
        <v>35</v>
      </c>
    </row>
    <row r="207" spans="1:3" x14ac:dyDescent="0.2">
      <c r="A207" s="10">
        <v>205</v>
      </c>
      <c r="B207" s="10">
        <f t="shared" ca="1" si="3"/>
        <v>0.37664759426293803</v>
      </c>
      <c r="C207" s="10" t="s">
        <v>35</v>
      </c>
    </row>
    <row r="208" spans="1:3" x14ac:dyDescent="0.2">
      <c r="A208" s="10">
        <v>206</v>
      </c>
      <c r="B208" s="10">
        <f t="shared" ca="1" si="3"/>
        <v>0.71116490592841808</v>
      </c>
      <c r="C208" s="10" t="s">
        <v>34</v>
      </c>
    </row>
    <row r="209" spans="1:3" x14ac:dyDescent="0.2">
      <c r="A209" s="10">
        <v>207</v>
      </c>
      <c r="B209" s="10">
        <f t="shared" ca="1" si="3"/>
        <v>0.5116539190945939</v>
      </c>
      <c r="C209" s="10" t="s">
        <v>34</v>
      </c>
    </row>
    <row r="210" spans="1:3" x14ac:dyDescent="0.2">
      <c r="A210" s="10">
        <v>208</v>
      </c>
      <c r="B210" s="10">
        <f t="shared" ca="1" si="3"/>
        <v>0.77256121279786494</v>
      </c>
      <c r="C210" s="10" t="s">
        <v>34</v>
      </c>
    </row>
    <row r="211" spans="1:3" x14ac:dyDescent="0.2">
      <c r="A211" s="10">
        <v>209</v>
      </c>
      <c r="B211" s="10">
        <f t="shared" ca="1" si="3"/>
        <v>0.78874466215549455</v>
      </c>
      <c r="C211" s="10" t="s">
        <v>35</v>
      </c>
    </row>
    <row r="212" spans="1:3" x14ac:dyDescent="0.2">
      <c r="A212" s="10">
        <v>210</v>
      </c>
      <c r="B212" s="10">
        <f t="shared" ca="1" si="3"/>
        <v>0.5677047439644165</v>
      </c>
      <c r="C212" s="10" t="s">
        <v>35</v>
      </c>
    </row>
    <row r="213" spans="1:3" x14ac:dyDescent="0.2">
      <c r="A213" s="10">
        <v>211</v>
      </c>
      <c r="B213" s="10">
        <f t="shared" ca="1" si="3"/>
        <v>0.43110636811916925</v>
      </c>
      <c r="C213" s="10" t="s">
        <v>35</v>
      </c>
    </row>
    <row r="214" spans="1:3" x14ac:dyDescent="0.2">
      <c r="A214" s="10">
        <v>212</v>
      </c>
      <c r="B214" s="10">
        <f t="shared" ca="1" si="3"/>
        <v>0.60231944116735958</v>
      </c>
      <c r="C214" s="10" t="s">
        <v>35</v>
      </c>
    </row>
    <row r="215" spans="1:3" x14ac:dyDescent="0.2">
      <c r="A215" s="10">
        <v>213</v>
      </c>
      <c r="B215" s="10">
        <f t="shared" ca="1" si="3"/>
        <v>0.68132000195697073</v>
      </c>
      <c r="C215" s="10" t="s">
        <v>35</v>
      </c>
    </row>
    <row r="216" spans="1:3" x14ac:dyDescent="0.2">
      <c r="A216" s="10">
        <v>214</v>
      </c>
      <c r="B216" s="10">
        <f t="shared" ca="1" si="3"/>
        <v>0.50847930892819337</v>
      </c>
      <c r="C216" s="10" t="s">
        <v>35</v>
      </c>
    </row>
    <row r="217" spans="1:3" x14ac:dyDescent="0.2">
      <c r="A217" s="10">
        <v>215</v>
      </c>
      <c r="B217" s="10">
        <f t="shared" ca="1" si="3"/>
        <v>0.57894843940296459</v>
      </c>
      <c r="C217" s="10" t="s">
        <v>34</v>
      </c>
    </row>
    <row r="218" spans="1:3" x14ac:dyDescent="0.2">
      <c r="A218" s="10">
        <v>216</v>
      </c>
      <c r="B218" s="10">
        <f t="shared" ca="1" si="3"/>
        <v>0.61686537756840543</v>
      </c>
      <c r="C218" s="10" t="s">
        <v>34</v>
      </c>
    </row>
    <row r="219" spans="1:3" x14ac:dyDescent="0.2">
      <c r="A219" s="10">
        <v>217</v>
      </c>
      <c r="B219" s="10">
        <f t="shared" ca="1" si="3"/>
        <v>0.56854925363676112</v>
      </c>
      <c r="C219" s="10" t="s">
        <v>34</v>
      </c>
    </row>
    <row r="220" spans="1:3" x14ac:dyDescent="0.2">
      <c r="A220" s="10">
        <v>218</v>
      </c>
      <c r="B220" s="10">
        <f t="shared" ca="1" si="3"/>
        <v>0.89796030112396408</v>
      </c>
      <c r="C220" s="10" t="s">
        <v>35</v>
      </c>
    </row>
    <row r="221" spans="1:3" x14ac:dyDescent="0.2">
      <c r="A221" s="10">
        <v>219</v>
      </c>
      <c r="B221" s="10">
        <f t="shared" ca="1" si="3"/>
        <v>0.68523004739701399</v>
      </c>
      <c r="C221" s="10" t="s">
        <v>34</v>
      </c>
    </row>
    <row r="222" spans="1:3" x14ac:dyDescent="0.2">
      <c r="A222" s="10">
        <v>220</v>
      </c>
      <c r="B222" s="10">
        <f t="shared" ca="1" si="3"/>
        <v>0.57879976682972756</v>
      </c>
      <c r="C222" s="10" t="s">
        <v>35</v>
      </c>
    </row>
    <row r="223" spans="1:3" x14ac:dyDescent="0.2">
      <c r="A223" s="10">
        <v>221</v>
      </c>
      <c r="B223" s="10">
        <f t="shared" ca="1" si="3"/>
        <v>0.77153535807860352</v>
      </c>
      <c r="C223" s="10" t="s">
        <v>34</v>
      </c>
    </row>
    <row r="224" spans="1:3" x14ac:dyDescent="0.2">
      <c r="A224" s="10">
        <v>222</v>
      </c>
      <c r="B224" s="10">
        <f t="shared" ca="1" si="3"/>
        <v>0.73772329948312088</v>
      </c>
      <c r="C224" s="10" t="s">
        <v>34</v>
      </c>
    </row>
    <row r="225" spans="1:3" x14ac:dyDescent="0.2">
      <c r="A225" s="10">
        <v>223</v>
      </c>
      <c r="B225" s="10">
        <f t="shared" ca="1" si="3"/>
        <v>0.51984861108829261</v>
      </c>
      <c r="C225" s="10" t="s">
        <v>35</v>
      </c>
    </row>
    <row r="226" spans="1:3" x14ac:dyDescent="0.2">
      <c r="A226" s="10">
        <v>224</v>
      </c>
      <c r="B226" s="10">
        <f t="shared" ca="1" si="3"/>
        <v>0.75172416195346559</v>
      </c>
      <c r="C226" s="10" t="s">
        <v>35</v>
      </c>
    </row>
    <row r="227" spans="1:3" x14ac:dyDescent="0.2">
      <c r="A227" s="10">
        <v>225</v>
      </c>
      <c r="B227" s="10">
        <f t="shared" ca="1" si="3"/>
        <v>0.70029021126744606</v>
      </c>
      <c r="C227" s="10" t="s">
        <v>34</v>
      </c>
    </row>
    <row r="228" spans="1:3" x14ac:dyDescent="0.2">
      <c r="A228" s="10">
        <v>226</v>
      </c>
      <c r="B228" s="10">
        <f t="shared" ca="1" si="3"/>
        <v>0.65338950600878432</v>
      </c>
      <c r="C228" s="10" t="s">
        <v>35</v>
      </c>
    </row>
    <row r="229" spans="1:3" x14ac:dyDescent="0.2">
      <c r="A229" s="10">
        <v>227</v>
      </c>
      <c r="B229" s="10">
        <f t="shared" ca="1" si="3"/>
        <v>0.24079206197533881</v>
      </c>
      <c r="C229" s="10" t="s">
        <v>35</v>
      </c>
    </row>
    <row r="230" spans="1:3" x14ac:dyDescent="0.2">
      <c r="A230" s="10">
        <v>228</v>
      </c>
      <c r="B230" s="10">
        <f t="shared" ca="1" si="3"/>
        <v>0.6145434965186698</v>
      </c>
      <c r="C230" s="10" t="s">
        <v>35</v>
      </c>
    </row>
    <row r="231" spans="1:3" x14ac:dyDescent="0.2">
      <c r="A231" s="10">
        <v>229</v>
      </c>
      <c r="B231" s="10">
        <f t="shared" ca="1" si="3"/>
        <v>0.64579988053575732</v>
      </c>
      <c r="C231" s="10" t="s">
        <v>35</v>
      </c>
    </row>
    <row r="232" spans="1:3" x14ac:dyDescent="0.2">
      <c r="A232" s="10">
        <v>230</v>
      </c>
      <c r="B232" s="10">
        <f t="shared" ca="1" si="3"/>
        <v>0.49711320167038142</v>
      </c>
      <c r="C232" s="10" t="s">
        <v>34</v>
      </c>
    </row>
    <row r="233" spans="1:3" x14ac:dyDescent="0.2">
      <c r="A233" s="10">
        <v>231</v>
      </c>
      <c r="B233" s="10">
        <f t="shared" ca="1" si="3"/>
        <v>0.73696825894233997</v>
      </c>
      <c r="C233" s="10" t="s">
        <v>34</v>
      </c>
    </row>
    <row r="234" spans="1:3" x14ac:dyDescent="0.2">
      <c r="A234" s="10">
        <v>232</v>
      </c>
      <c r="B234" s="10">
        <f t="shared" ca="1" si="3"/>
        <v>0.38431121634494425</v>
      </c>
      <c r="C234" s="10" t="s">
        <v>35</v>
      </c>
    </row>
    <row r="235" spans="1:3" x14ac:dyDescent="0.2">
      <c r="A235" s="10">
        <v>233</v>
      </c>
      <c r="B235" s="10">
        <f t="shared" ca="1" si="3"/>
        <v>0.45724914288932306</v>
      </c>
      <c r="C235" s="10" t="s">
        <v>35</v>
      </c>
    </row>
    <row r="236" spans="1:3" x14ac:dyDescent="0.2">
      <c r="A236" s="10">
        <v>234</v>
      </c>
      <c r="B236" s="10">
        <f t="shared" ca="1" si="3"/>
        <v>0.59732701620293516</v>
      </c>
      <c r="C236" s="10" t="s">
        <v>34</v>
      </c>
    </row>
    <row r="237" spans="1:3" x14ac:dyDescent="0.2">
      <c r="A237" s="10">
        <v>235</v>
      </c>
      <c r="B237" s="10">
        <f t="shared" ca="1" si="3"/>
        <v>0.55389141858026336</v>
      </c>
      <c r="C237" s="10" t="s">
        <v>35</v>
      </c>
    </row>
    <row r="238" spans="1:3" x14ac:dyDescent="0.2">
      <c r="A238" s="10">
        <v>236</v>
      </c>
      <c r="B238" s="10">
        <f t="shared" ca="1" si="3"/>
        <v>0.83485327104114004</v>
      </c>
      <c r="C238" s="10" t="s">
        <v>34</v>
      </c>
    </row>
    <row r="239" spans="1:3" x14ac:dyDescent="0.2">
      <c r="A239" s="10">
        <v>237</v>
      </c>
      <c r="B239" s="10">
        <f t="shared" ca="1" si="3"/>
        <v>0.5507052317351846</v>
      </c>
      <c r="C239" s="10" t="s">
        <v>35</v>
      </c>
    </row>
    <row r="240" spans="1:3" x14ac:dyDescent="0.2">
      <c r="A240" s="10">
        <v>238</v>
      </c>
      <c r="B240" s="10">
        <f t="shared" ca="1" si="3"/>
        <v>0.55983293391302014</v>
      </c>
      <c r="C240" s="10" t="s">
        <v>34</v>
      </c>
    </row>
    <row r="241" spans="1:3" x14ac:dyDescent="0.2">
      <c r="A241" s="10">
        <v>239</v>
      </c>
      <c r="B241" s="10">
        <f t="shared" ca="1" si="3"/>
        <v>0.69804605306444445</v>
      </c>
      <c r="C241" s="10" t="s">
        <v>35</v>
      </c>
    </row>
    <row r="242" spans="1:3" x14ac:dyDescent="0.2">
      <c r="A242" s="10">
        <v>240</v>
      </c>
      <c r="B242" s="10">
        <f t="shared" ca="1" si="3"/>
        <v>0.5848277686609209</v>
      </c>
      <c r="C242" s="10" t="s">
        <v>35</v>
      </c>
    </row>
    <row r="243" spans="1:3" x14ac:dyDescent="0.2">
      <c r="A243" s="10">
        <v>241</v>
      </c>
      <c r="B243" s="10">
        <f t="shared" ca="1" si="3"/>
        <v>0.57458190643897</v>
      </c>
      <c r="C243" s="10" t="s">
        <v>34</v>
      </c>
    </row>
    <row r="244" spans="1:3" x14ac:dyDescent="0.2">
      <c r="A244" s="10">
        <v>242</v>
      </c>
      <c r="B244" s="10">
        <f t="shared" ca="1" si="3"/>
        <v>0.63499105946610124</v>
      </c>
      <c r="C244" s="10" t="s">
        <v>34</v>
      </c>
    </row>
    <row r="245" spans="1:3" x14ac:dyDescent="0.2">
      <c r="A245" s="10">
        <v>243</v>
      </c>
      <c r="B245" s="10">
        <f t="shared" ca="1" si="3"/>
        <v>0.89140266979360083</v>
      </c>
      <c r="C245" s="10" t="s">
        <v>34</v>
      </c>
    </row>
    <row r="246" spans="1:3" x14ac:dyDescent="0.2">
      <c r="A246" s="10">
        <v>244</v>
      </c>
      <c r="B246" s="10">
        <f t="shared" ca="1" si="3"/>
        <v>0.63810634530925558</v>
      </c>
      <c r="C246" s="10" t="s">
        <v>35</v>
      </c>
    </row>
    <row r="247" spans="1:3" x14ac:dyDescent="0.2">
      <c r="A247" s="10">
        <v>245</v>
      </c>
      <c r="B247" s="10">
        <f t="shared" ca="1" si="3"/>
        <v>0.56582782965696143</v>
      </c>
      <c r="C247" s="10" t="s">
        <v>34</v>
      </c>
    </row>
    <row r="248" spans="1:3" x14ac:dyDescent="0.2">
      <c r="A248" s="10">
        <v>246</v>
      </c>
      <c r="B248" s="10">
        <f t="shared" ca="1" si="3"/>
        <v>0.59630447087646865</v>
      </c>
      <c r="C248" s="10" t="s">
        <v>34</v>
      </c>
    </row>
    <row r="249" spans="1:3" x14ac:dyDescent="0.2">
      <c r="A249" s="10">
        <v>247</v>
      </c>
      <c r="B249" s="10">
        <f t="shared" ca="1" si="3"/>
        <v>0.62718522201793458</v>
      </c>
      <c r="C249" s="10" t="s">
        <v>35</v>
      </c>
    </row>
    <row r="250" spans="1:3" x14ac:dyDescent="0.2">
      <c r="A250" s="10">
        <v>248</v>
      </c>
      <c r="B250" s="10">
        <f t="shared" ca="1" si="3"/>
        <v>0.79862563071550219</v>
      </c>
      <c r="C250" s="10" t="s">
        <v>34</v>
      </c>
    </row>
    <row r="251" spans="1:3" x14ac:dyDescent="0.2">
      <c r="A251" s="10">
        <v>249</v>
      </c>
      <c r="B251" s="10">
        <f t="shared" ca="1" si="3"/>
        <v>0.60270609529161601</v>
      </c>
      <c r="C251" s="10" t="s">
        <v>35</v>
      </c>
    </row>
    <row r="252" spans="1:3" x14ac:dyDescent="0.2">
      <c r="A252" s="10">
        <v>250</v>
      </c>
      <c r="B252" s="10">
        <f t="shared" ca="1" si="3"/>
        <v>0.80640996538076637</v>
      </c>
      <c r="C252" s="10" t="s">
        <v>34</v>
      </c>
    </row>
    <row r="253" spans="1:3" x14ac:dyDescent="0.2">
      <c r="A253" s="10">
        <v>251</v>
      </c>
      <c r="B253" s="10">
        <f t="shared" ca="1" si="3"/>
        <v>0.53497141576015961</v>
      </c>
      <c r="C253" s="10" t="s">
        <v>35</v>
      </c>
    </row>
    <row r="254" spans="1:3" x14ac:dyDescent="0.2">
      <c r="A254" s="10">
        <v>252</v>
      </c>
      <c r="B254" s="10">
        <f t="shared" ca="1" si="3"/>
        <v>0.66428640094505964</v>
      </c>
      <c r="C254" s="10" t="s">
        <v>34</v>
      </c>
    </row>
    <row r="255" spans="1:3" x14ac:dyDescent="0.2">
      <c r="A255" s="10">
        <v>253</v>
      </c>
      <c r="B255" s="10">
        <f t="shared" ca="1" si="3"/>
        <v>0.54963801065976858</v>
      </c>
      <c r="C255" s="10" t="s">
        <v>34</v>
      </c>
    </row>
    <row r="256" spans="1:3" x14ac:dyDescent="0.2">
      <c r="A256" s="10">
        <v>254</v>
      </c>
      <c r="B256" s="10">
        <f t="shared" ca="1" si="3"/>
        <v>0.63680825467129765</v>
      </c>
      <c r="C256" s="10" t="s">
        <v>34</v>
      </c>
    </row>
    <row r="257" spans="1:3" x14ac:dyDescent="0.2">
      <c r="A257" s="10">
        <v>255</v>
      </c>
      <c r="B257" s="10">
        <f t="shared" ca="1" si="3"/>
        <v>0.65859735922408358</v>
      </c>
      <c r="C257" s="10" t="s">
        <v>35</v>
      </c>
    </row>
    <row r="258" spans="1:3" x14ac:dyDescent="0.2">
      <c r="A258" s="10">
        <v>256</v>
      </c>
      <c r="B258" s="10">
        <f t="shared" ca="1" si="3"/>
        <v>0.75156880378184865</v>
      </c>
      <c r="C258" s="10" t="s">
        <v>35</v>
      </c>
    </row>
    <row r="259" spans="1:3" x14ac:dyDescent="0.2">
      <c r="A259" s="10">
        <v>257</v>
      </c>
      <c r="B259" s="10">
        <f t="shared" ca="1" si="3"/>
        <v>0.92736938722645834</v>
      </c>
      <c r="C259" s="10" t="s">
        <v>35</v>
      </c>
    </row>
    <row r="260" spans="1:3" x14ac:dyDescent="0.2">
      <c r="A260" s="10">
        <v>258</v>
      </c>
      <c r="B260" s="10">
        <f t="shared" ref="B260:B323" ca="1" si="4">IF(C260="Bomb",_xlfn.NORM.INV(RAND(),0.7,0.1),_xlfn.NORM.INV(RAND(),0.6,0.15))</f>
        <v>0.73629827995302688</v>
      </c>
      <c r="C260" s="10" t="s">
        <v>35</v>
      </c>
    </row>
    <row r="261" spans="1:3" x14ac:dyDescent="0.2">
      <c r="A261" s="10">
        <v>259</v>
      </c>
      <c r="B261" s="10">
        <f t="shared" ca="1" si="4"/>
        <v>0.68005532979103778</v>
      </c>
      <c r="C261" s="10" t="s">
        <v>35</v>
      </c>
    </row>
    <row r="262" spans="1:3" x14ac:dyDescent="0.2">
      <c r="A262" s="10">
        <v>260</v>
      </c>
      <c r="B262" s="10">
        <f t="shared" ca="1" si="4"/>
        <v>0.6208615401527765</v>
      </c>
      <c r="C262" s="10" t="s">
        <v>34</v>
      </c>
    </row>
    <row r="263" spans="1:3" x14ac:dyDescent="0.2">
      <c r="A263" s="10">
        <v>261</v>
      </c>
      <c r="B263" s="10">
        <f t="shared" ca="1" si="4"/>
        <v>0.77160275298727432</v>
      </c>
      <c r="C263" s="10" t="s">
        <v>34</v>
      </c>
    </row>
    <row r="264" spans="1:3" x14ac:dyDescent="0.2">
      <c r="A264" s="10">
        <v>262</v>
      </c>
      <c r="B264" s="10">
        <f t="shared" ca="1" si="4"/>
        <v>0.6633962333342619</v>
      </c>
      <c r="C264" s="10" t="s">
        <v>34</v>
      </c>
    </row>
    <row r="265" spans="1:3" x14ac:dyDescent="0.2">
      <c r="A265" s="10">
        <v>263</v>
      </c>
      <c r="B265" s="10">
        <f t="shared" ca="1" si="4"/>
        <v>0.68243915325560667</v>
      </c>
      <c r="C265" s="10" t="s">
        <v>34</v>
      </c>
    </row>
    <row r="266" spans="1:3" x14ac:dyDescent="0.2">
      <c r="A266" s="10">
        <v>264</v>
      </c>
      <c r="B266" s="10">
        <f t="shared" ca="1" si="4"/>
        <v>0.45400437734364163</v>
      </c>
      <c r="C266" s="10" t="s">
        <v>35</v>
      </c>
    </row>
    <row r="267" spans="1:3" x14ac:dyDescent="0.2">
      <c r="A267" s="10">
        <v>265</v>
      </c>
      <c r="B267" s="10">
        <f t="shared" ca="1" si="4"/>
        <v>0.6211851044440837</v>
      </c>
      <c r="C267" s="10" t="s">
        <v>34</v>
      </c>
    </row>
    <row r="268" spans="1:3" x14ac:dyDescent="0.2">
      <c r="A268" s="10">
        <v>266</v>
      </c>
      <c r="B268" s="10">
        <f t="shared" ca="1" si="4"/>
        <v>0.89861638107366382</v>
      </c>
      <c r="C268" s="10" t="s">
        <v>34</v>
      </c>
    </row>
    <row r="269" spans="1:3" x14ac:dyDescent="0.2">
      <c r="A269" s="10">
        <v>267</v>
      </c>
      <c r="B269" s="10">
        <f t="shared" ca="1" si="4"/>
        <v>0.31050975315769042</v>
      </c>
      <c r="C269" s="10" t="s">
        <v>35</v>
      </c>
    </row>
    <row r="270" spans="1:3" x14ac:dyDescent="0.2">
      <c r="A270" s="10">
        <v>268</v>
      </c>
      <c r="B270" s="10">
        <f t="shared" ca="1" si="4"/>
        <v>0.61774763989367421</v>
      </c>
      <c r="C270" s="10" t="s">
        <v>35</v>
      </c>
    </row>
    <row r="271" spans="1:3" x14ac:dyDescent="0.2">
      <c r="A271" s="10">
        <v>269</v>
      </c>
      <c r="B271" s="10">
        <f t="shared" ca="1" si="4"/>
        <v>0.64284403461074313</v>
      </c>
      <c r="C271" s="10" t="s">
        <v>34</v>
      </c>
    </row>
    <row r="272" spans="1:3" x14ac:dyDescent="0.2">
      <c r="A272" s="10">
        <v>270</v>
      </c>
      <c r="B272" s="10">
        <f t="shared" ca="1" si="4"/>
        <v>0.6277192244346852</v>
      </c>
      <c r="C272" s="10" t="s">
        <v>34</v>
      </c>
    </row>
    <row r="273" spans="1:3" x14ac:dyDescent="0.2">
      <c r="A273" s="10">
        <v>271</v>
      </c>
      <c r="B273" s="10">
        <f t="shared" ca="1" si="4"/>
        <v>0.64261120406005601</v>
      </c>
      <c r="C273" s="10" t="s">
        <v>35</v>
      </c>
    </row>
    <row r="274" spans="1:3" x14ac:dyDescent="0.2">
      <c r="A274" s="10">
        <v>272</v>
      </c>
      <c r="B274" s="10">
        <f t="shared" ca="1" si="4"/>
        <v>0.80360146873490979</v>
      </c>
      <c r="C274" s="10" t="s">
        <v>35</v>
      </c>
    </row>
    <row r="275" spans="1:3" x14ac:dyDescent="0.2">
      <c r="A275" s="10">
        <v>273</v>
      </c>
      <c r="B275" s="10">
        <f t="shared" ca="1" si="4"/>
        <v>0.71778298287493358</v>
      </c>
      <c r="C275" s="10" t="s">
        <v>34</v>
      </c>
    </row>
    <row r="276" spans="1:3" x14ac:dyDescent="0.2">
      <c r="A276" s="10">
        <v>274</v>
      </c>
      <c r="B276" s="10">
        <f t="shared" ca="1" si="4"/>
        <v>0.75881124969763325</v>
      </c>
      <c r="C276" s="10" t="s">
        <v>35</v>
      </c>
    </row>
    <row r="277" spans="1:3" x14ac:dyDescent="0.2">
      <c r="A277" s="10">
        <v>275</v>
      </c>
      <c r="B277" s="10">
        <f t="shared" ca="1" si="4"/>
        <v>0.81779019719231727</v>
      </c>
      <c r="C277" s="10" t="s">
        <v>35</v>
      </c>
    </row>
    <row r="278" spans="1:3" x14ac:dyDescent="0.2">
      <c r="A278" s="10">
        <v>276</v>
      </c>
      <c r="B278" s="10">
        <f t="shared" ca="1" si="4"/>
        <v>0.60180670925961421</v>
      </c>
      <c r="C278" s="10" t="s">
        <v>34</v>
      </c>
    </row>
    <row r="279" spans="1:3" x14ac:dyDescent="0.2">
      <c r="A279" s="10">
        <v>277</v>
      </c>
      <c r="B279" s="10">
        <f t="shared" ca="1" si="4"/>
        <v>0.77308440237364384</v>
      </c>
      <c r="C279" s="10" t="s">
        <v>34</v>
      </c>
    </row>
    <row r="280" spans="1:3" x14ac:dyDescent="0.2">
      <c r="A280" s="10">
        <v>278</v>
      </c>
      <c r="B280" s="10">
        <f t="shared" ca="1" si="4"/>
        <v>0.51179722992022547</v>
      </c>
      <c r="C280" s="10" t="s">
        <v>35</v>
      </c>
    </row>
    <row r="281" spans="1:3" x14ac:dyDescent="0.2">
      <c r="A281" s="10">
        <v>279</v>
      </c>
      <c r="B281" s="10">
        <f t="shared" ca="1" si="4"/>
        <v>0.47516481975017422</v>
      </c>
      <c r="C281" s="10" t="s">
        <v>35</v>
      </c>
    </row>
    <row r="282" spans="1:3" x14ac:dyDescent="0.2">
      <c r="A282" s="10">
        <v>280</v>
      </c>
      <c r="B282" s="10">
        <f t="shared" ca="1" si="4"/>
        <v>0.33593426458963632</v>
      </c>
      <c r="C282" s="10" t="s">
        <v>35</v>
      </c>
    </row>
    <row r="283" spans="1:3" x14ac:dyDescent="0.2">
      <c r="A283" s="10">
        <v>281</v>
      </c>
      <c r="B283" s="10">
        <f t="shared" ca="1" si="4"/>
        <v>0.55782646931109114</v>
      </c>
      <c r="C283" s="10" t="s">
        <v>35</v>
      </c>
    </row>
    <row r="284" spans="1:3" x14ac:dyDescent="0.2">
      <c r="A284" s="10">
        <v>282</v>
      </c>
      <c r="B284" s="10">
        <f t="shared" ca="1" si="4"/>
        <v>0.62185652146586645</v>
      </c>
      <c r="C284" s="10" t="s">
        <v>34</v>
      </c>
    </row>
    <row r="285" spans="1:3" x14ac:dyDescent="0.2">
      <c r="A285" s="10">
        <v>283</v>
      </c>
      <c r="B285" s="10">
        <f t="shared" ca="1" si="4"/>
        <v>0.58985792959479721</v>
      </c>
      <c r="C285" s="10" t="s">
        <v>34</v>
      </c>
    </row>
    <row r="286" spans="1:3" x14ac:dyDescent="0.2">
      <c r="A286" s="10">
        <v>284</v>
      </c>
      <c r="B286" s="10">
        <f t="shared" ca="1" si="4"/>
        <v>0.58200701668633759</v>
      </c>
      <c r="C286" s="10" t="s">
        <v>34</v>
      </c>
    </row>
    <row r="287" spans="1:3" x14ac:dyDescent="0.2">
      <c r="A287" s="10">
        <v>285</v>
      </c>
      <c r="B287" s="10">
        <f t="shared" ca="1" si="4"/>
        <v>0.46041011878434351</v>
      </c>
      <c r="C287" s="10" t="s">
        <v>35</v>
      </c>
    </row>
    <row r="288" spans="1:3" x14ac:dyDescent="0.2">
      <c r="A288" s="10">
        <v>286</v>
      </c>
      <c r="B288" s="10">
        <f t="shared" ca="1" si="4"/>
        <v>0.70004232472688899</v>
      </c>
      <c r="C288" s="10" t="s">
        <v>34</v>
      </c>
    </row>
    <row r="289" spans="1:3" x14ac:dyDescent="0.2">
      <c r="A289" s="10">
        <v>287</v>
      </c>
      <c r="B289" s="10">
        <f t="shared" ca="1" si="4"/>
        <v>0.73830492055220309</v>
      </c>
      <c r="C289" s="10" t="s">
        <v>34</v>
      </c>
    </row>
    <row r="290" spans="1:3" x14ac:dyDescent="0.2">
      <c r="A290" s="10">
        <v>288</v>
      </c>
      <c r="B290" s="10">
        <f t="shared" ca="1" si="4"/>
        <v>0.78127965147274936</v>
      </c>
      <c r="C290" s="10" t="s">
        <v>34</v>
      </c>
    </row>
    <row r="291" spans="1:3" x14ac:dyDescent="0.2">
      <c r="A291" s="10">
        <v>289</v>
      </c>
      <c r="B291" s="10">
        <f t="shared" ca="1" si="4"/>
        <v>0.70396008007299415</v>
      </c>
      <c r="C291" s="10" t="s">
        <v>34</v>
      </c>
    </row>
    <row r="292" spans="1:3" x14ac:dyDescent="0.2">
      <c r="A292" s="10">
        <v>290</v>
      </c>
      <c r="B292" s="10">
        <f t="shared" ca="1" si="4"/>
        <v>0.46237690206410331</v>
      </c>
      <c r="C292" s="10" t="s">
        <v>35</v>
      </c>
    </row>
    <row r="293" spans="1:3" x14ac:dyDescent="0.2">
      <c r="A293" s="10">
        <v>291</v>
      </c>
      <c r="B293" s="10">
        <f t="shared" ca="1" si="4"/>
        <v>0.66863528026637786</v>
      </c>
      <c r="C293" s="10" t="s">
        <v>34</v>
      </c>
    </row>
    <row r="294" spans="1:3" x14ac:dyDescent="0.2">
      <c r="A294" s="10">
        <v>292</v>
      </c>
      <c r="B294" s="10">
        <f t="shared" ca="1" si="4"/>
        <v>0.77417349729895069</v>
      </c>
      <c r="C294" s="10" t="s">
        <v>35</v>
      </c>
    </row>
    <row r="295" spans="1:3" x14ac:dyDescent="0.2">
      <c r="A295" s="10">
        <v>293</v>
      </c>
      <c r="B295" s="10">
        <f t="shared" ca="1" si="4"/>
        <v>0.70361763648043618</v>
      </c>
      <c r="C295" s="10" t="s">
        <v>34</v>
      </c>
    </row>
    <row r="296" spans="1:3" x14ac:dyDescent="0.2">
      <c r="A296" s="10">
        <v>294</v>
      </c>
      <c r="B296" s="10">
        <f t="shared" ca="1" si="4"/>
        <v>0.77762922276680935</v>
      </c>
      <c r="C296" s="10" t="s">
        <v>35</v>
      </c>
    </row>
    <row r="297" spans="1:3" x14ac:dyDescent="0.2">
      <c r="A297" s="10">
        <v>295</v>
      </c>
      <c r="B297" s="10">
        <f t="shared" ca="1" si="4"/>
        <v>0.35208693426177295</v>
      </c>
      <c r="C297" s="10" t="s">
        <v>35</v>
      </c>
    </row>
    <row r="298" spans="1:3" x14ac:dyDescent="0.2">
      <c r="A298" s="10">
        <v>296</v>
      </c>
      <c r="B298" s="10">
        <f t="shared" ca="1" si="4"/>
        <v>0.69032737056004656</v>
      </c>
      <c r="C298" s="10" t="s">
        <v>34</v>
      </c>
    </row>
    <row r="299" spans="1:3" x14ac:dyDescent="0.2">
      <c r="A299" s="10">
        <v>297</v>
      </c>
      <c r="B299" s="10">
        <f t="shared" ca="1" si="4"/>
        <v>0.70720786912895117</v>
      </c>
      <c r="C299" s="10" t="s">
        <v>34</v>
      </c>
    </row>
    <row r="300" spans="1:3" x14ac:dyDescent="0.2">
      <c r="A300" s="10">
        <v>298</v>
      </c>
      <c r="B300" s="10">
        <f t="shared" ca="1" si="4"/>
        <v>0.34986048852715584</v>
      </c>
      <c r="C300" s="10" t="s">
        <v>35</v>
      </c>
    </row>
    <row r="301" spans="1:3" x14ac:dyDescent="0.2">
      <c r="A301" s="10">
        <v>299</v>
      </c>
      <c r="B301" s="10">
        <f t="shared" ca="1" si="4"/>
        <v>0.6320030458200645</v>
      </c>
      <c r="C301" s="10" t="s">
        <v>34</v>
      </c>
    </row>
    <row r="302" spans="1:3" x14ac:dyDescent="0.2">
      <c r="A302" s="10">
        <v>300</v>
      </c>
      <c r="B302" s="10">
        <f t="shared" ca="1" si="4"/>
        <v>0.92747390306048128</v>
      </c>
      <c r="C302" s="10" t="s">
        <v>34</v>
      </c>
    </row>
    <row r="303" spans="1:3" x14ac:dyDescent="0.2">
      <c r="A303" s="10">
        <v>301</v>
      </c>
      <c r="B303" s="10">
        <f t="shared" ca="1" si="4"/>
        <v>0.72233946061044663</v>
      </c>
      <c r="C303" s="10" t="s">
        <v>34</v>
      </c>
    </row>
    <row r="304" spans="1:3" x14ac:dyDescent="0.2">
      <c r="A304" s="10">
        <v>302</v>
      </c>
      <c r="B304" s="10">
        <f t="shared" ca="1" si="4"/>
        <v>0.69135924356367939</v>
      </c>
      <c r="C304" s="10" t="s">
        <v>34</v>
      </c>
    </row>
    <row r="305" spans="1:3" x14ac:dyDescent="0.2">
      <c r="A305" s="10">
        <v>303</v>
      </c>
      <c r="B305" s="10">
        <f t="shared" ca="1" si="4"/>
        <v>0.77208548533712418</v>
      </c>
      <c r="C305" s="10" t="s">
        <v>34</v>
      </c>
    </row>
    <row r="306" spans="1:3" x14ac:dyDescent="0.2">
      <c r="A306" s="10">
        <v>304</v>
      </c>
      <c r="B306" s="10">
        <f t="shared" ca="1" si="4"/>
        <v>0.74638869422067311</v>
      </c>
      <c r="C306" s="10" t="s">
        <v>34</v>
      </c>
    </row>
    <row r="307" spans="1:3" x14ac:dyDescent="0.2">
      <c r="A307" s="10">
        <v>305</v>
      </c>
      <c r="B307" s="10">
        <f t="shared" ca="1" si="4"/>
        <v>0.72188009920493734</v>
      </c>
      <c r="C307" s="10" t="s">
        <v>35</v>
      </c>
    </row>
    <row r="308" spans="1:3" x14ac:dyDescent="0.2">
      <c r="A308" s="10">
        <v>306</v>
      </c>
      <c r="B308" s="10">
        <f t="shared" ca="1" si="4"/>
        <v>0.84851733769494719</v>
      </c>
      <c r="C308" s="10" t="s">
        <v>34</v>
      </c>
    </row>
    <row r="309" spans="1:3" x14ac:dyDescent="0.2">
      <c r="A309" s="10">
        <v>307</v>
      </c>
      <c r="B309" s="10">
        <f t="shared" ca="1" si="4"/>
        <v>0.46296643031857204</v>
      </c>
      <c r="C309" s="10" t="s">
        <v>35</v>
      </c>
    </row>
    <row r="310" spans="1:3" x14ac:dyDescent="0.2">
      <c r="A310" s="10">
        <v>308</v>
      </c>
      <c r="B310" s="10">
        <f t="shared" ca="1" si="4"/>
        <v>0.79216302956019313</v>
      </c>
      <c r="C310" s="10" t="s">
        <v>34</v>
      </c>
    </row>
    <row r="311" spans="1:3" x14ac:dyDescent="0.2">
      <c r="A311" s="10">
        <v>309</v>
      </c>
      <c r="B311" s="10">
        <f t="shared" ca="1" si="4"/>
        <v>0.7333110345737226</v>
      </c>
      <c r="C311" s="10" t="s">
        <v>34</v>
      </c>
    </row>
    <row r="312" spans="1:3" x14ac:dyDescent="0.2">
      <c r="A312" s="10">
        <v>310</v>
      </c>
      <c r="B312" s="10">
        <f t="shared" ca="1" si="4"/>
        <v>0.86401786862017427</v>
      </c>
      <c r="C312" s="10" t="s">
        <v>35</v>
      </c>
    </row>
    <row r="313" spans="1:3" x14ac:dyDescent="0.2">
      <c r="A313" s="10">
        <v>311</v>
      </c>
      <c r="B313" s="10">
        <f t="shared" ca="1" si="4"/>
        <v>0.64519047862737211</v>
      </c>
      <c r="C313" s="10" t="s">
        <v>34</v>
      </c>
    </row>
    <row r="314" spans="1:3" x14ac:dyDescent="0.2">
      <c r="A314" s="10">
        <v>312</v>
      </c>
      <c r="B314" s="10">
        <f t="shared" ca="1" si="4"/>
        <v>0.65126400507682636</v>
      </c>
      <c r="C314" s="10" t="s">
        <v>34</v>
      </c>
    </row>
    <row r="315" spans="1:3" x14ac:dyDescent="0.2">
      <c r="A315" s="10">
        <v>313</v>
      </c>
      <c r="B315" s="10">
        <f t="shared" ca="1" si="4"/>
        <v>0.62230162501628628</v>
      </c>
      <c r="C315" s="10" t="s">
        <v>35</v>
      </c>
    </row>
    <row r="316" spans="1:3" x14ac:dyDescent="0.2">
      <c r="A316" s="10">
        <v>314</v>
      </c>
      <c r="B316" s="10">
        <f t="shared" ca="1" si="4"/>
        <v>0.58624006233259207</v>
      </c>
      <c r="C316" s="10" t="s">
        <v>35</v>
      </c>
    </row>
    <row r="317" spans="1:3" x14ac:dyDescent="0.2">
      <c r="A317" s="10">
        <v>315</v>
      </c>
      <c r="B317" s="10">
        <f t="shared" ca="1" si="4"/>
        <v>0.78735293571328935</v>
      </c>
      <c r="C317" s="10" t="s">
        <v>34</v>
      </c>
    </row>
    <row r="318" spans="1:3" x14ac:dyDescent="0.2">
      <c r="A318" s="10">
        <v>316</v>
      </c>
      <c r="B318" s="10">
        <f t="shared" ca="1" si="4"/>
        <v>0.7255905545299387</v>
      </c>
      <c r="C318" s="10" t="s">
        <v>34</v>
      </c>
    </row>
    <row r="319" spans="1:3" x14ac:dyDescent="0.2">
      <c r="A319" s="10">
        <v>317</v>
      </c>
      <c r="B319" s="10">
        <f t="shared" ca="1" si="4"/>
        <v>0.62327706396131555</v>
      </c>
      <c r="C319" s="10" t="s">
        <v>35</v>
      </c>
    </row>
    <row r="320" spans="1:3" x14ac:dyDescent="0.2">
      <c r="A320" s="10">
        <v>318</v>
      </c>
      <c r="B320" s="10">
        <f t="shared" ca="1" si="4"/>
        <v>0.7387212466136549</v>
      </c>
      <c r="C320" s="10" t="s">
        <v>34</v>
      </c>
    </row>
    <row r="321" spans="1:3" x14ac:dyDescent="0.2">
      <c r="A321" s="10">
        <v>319</v>
      </c>
      <c r="B321" s="10">
        <f t="shared" ca="1" si="4"/>
        <v>0.35685068829613731</v>
      </c>
      <c r="C321" s="10" t="s">
        <v>35</v>
      </c>
    </row>
    <row r="322" spans="1:3" x14ac:dyDescent="0.2">
      <c r="A322" s="10">
        <v>320</v>
      </c>
      <c r="B322" s="10">
        <f t="shared" ca="1" si="4"/>
        <v>0.74918990643380923</v>
      </c>
      <c r="C322" s="10" t="s">
        <v>35</v>
      </c>
    </row>
    <row r="323" spans="1:3" x14ac:dyDescent="0.2">
      <c r="A323" s="10">
        <v>321</v>
      </c>
      <c r="B323" s="10">
        <f t="shared" ca="1" si="4"/>
        <v>0.71081094046068327</v>
      </c>
      <c r="C323" s="10" t="s">
        <v>34</v>
      </c>
    </row>
    <row r="324" spans="1:3" x14ac:dyDescent="0.2">
      <c r="A324" s="10">
        <v>322</v>
      </c>
      <c r="B324" s="10">
        <f t="shared" ref="B324:B387" ca="1" si="5">IF(C324="Bomb",_xlfn.NORM.INV(RAND(),0.7,0.1),_xlfn.NORM.INV(RAND(),0.6,0.15))</f>
        <v>0.72672948296423523</v>
      </c>
      <c r="C324" s="10" t="s">
        <v>34</v>
      </c>
    </row>
    <row r="325" spans="1:3" x14ac:dyDescent="0.2">
      <c r="A325" s="10">
        <v>323</v>
      </c>
      <c r="B325" s="10">
        <f t="shared" ca="1" si="5"/>
        <v>0.73388487853269446</v>
      </c>
      <c r="C325" s="10" t="s">
        <v>34</v>
      </c>
    </row>
    <row r="326" spans="1:3" x14ac:dyDescent="0.2">
      <c r="A326" s="10">
        <v>324</v>
      </c>
      <c r="B326" s="10">
        <f t="shared" ca="1" si="5"/>
        <v>0.75477214588991415</v>
      </c>
      <c r="C326" s="10" t="s">
        <v>35</v>
      </c>
    </row>
    <row r="327" spans="1:3" x14ac:dyDescent="0.2">
      <c r="A327" s="10">
        <v>325</v>
      </c>
      <c r="B327" s="10">
        <f t="shared" ca="1" si="5"/>
        <v>0.77639583760547071</v>
      </c>
      <c r="C327" s="10" t="s">
        <v>35</v>
      </c>
    </row>
    <row r="328" spans="1:3" x14ac:dyDescent="0.2">
      <c r="A328" s="10">
        <v>326</v>
      </c>
      <c r="B328" s="10">
        <f t="shared" ca="1" si="5"/>
        <v>0.6973364252811689</v>
      </c>
      <c r="C328" s="10" t="s">
        <v>34</v>
      </c>
    </row>
    <row r="329" spans="1:3" x14ac:dyDescent="0.2">
      <c r="A329" s="10">
        <v>327</v>
      </c>
      <c r="B329" s="10">
        <f t="shared" ca="1" si="5"/>
        <v>0.60170173763445167</v>
      </c>
      <c r="C329" s="10" t="s">
        <v>35</v>
      </c>
    </row>
    <row r="330" spans="1:3" x14ac:dyDescent="0.2">
      <c r="A330" s="10">
        <v>328</v>
      </c>
      <c r="B330" s="10">
        <f t="shared" ca="1" si="5"/>
        <v>0.69442520497235793</v>
      </c>
      <c r="C330" s="10" t="s">
        <v>35</v>
      </c>
    </row>
    <row r="331" spans="1:3" x14ac:dyDescent="0.2">
      <c r="A331" s="10">
        <v>329</v>
      </c>
      <c r="B331" s="10">
        <f t="shared" ca="1" si="5"/>
        <v>0.71488856811587198</v>
      </c>
      <c r="C331" s="10" t="s">
        <v>34</v>
      </c>
    </row>
    <row r="332" spans="1:3" x14ac:dyDescent="0.2">
      <c r="A332" s="10">
        <v>330</v>
      </c>
      <c r="B332" s="10">
        <f t="shared" ca="1" si="5"/>
        <v>0.53799512655774295</v>
      </c>
      <c r="C332" s="10" t="s">
        <v>35</v>
      </c>
    </row>
    <row r="333" spans="1:3" x14ac:dyDescent="0.2">
      <c r="A333" s="10">
        <v>331</v>
      </c>
      <c r="B333" s="10">
        <f t="shared" ca="1" si="5"/>
        <v>0.25199067856571883</v>
      </c>
      <c r="C333" s="10" t="s">
        <v>35</v>
      </c>
    </row>
    <row r="334" spans="1:3" x14ac:dyDescent="0.2">
      <c r="A334" s="10">
        <v>332</v>
      </c>
      <c r="B334" s="10">
        <f t="shared" ca="1" si="5"/>
        <v>0.81089632249450494</v>
      </c>
      <c r="C334" s="10" t="s">
        <v>34</v>
      </c>
    </row>
    <row r="335" spans="1:3" x14ac:dyDescent="0.2">
      <c r="A335" s="10">
        <v>333</v>
      </c>
      <c r="B335" s="10">
        <f t="shared" ca="1" si="5"/>
        <v>0.66667660721456923</v>
      </c>
      <c r="C335" s="10" t="s">
        <v>35</v>
      </c>
    </row>
    <row r="336" spans="1:3" x14ac:dyDescent="0.2">
      <c r="A336" s="10">
        <v>334</v>
      </c>
      <c r="B336" s="10">
        <f t="shared" ca="1" si="5"/>
        <v>0.53639660822374335</v>
      </c>
      <c r="C336" s="10" t="s">
        <v>35</v>
      </c>
    </row>
    <row r="337" spans="1:3" x14ac:dyDescent="0.2">
      <c r="A337" s="10">
        <v>335</v>
      </c>
      <c r="B337" s="10">
        <f t="shared" ca="1" si="5"/>
        <v>0.58812399549797711</v>
      </c>
      <c r="C337" s="10" t="s">
        <v>35</v>
      </c>
    </row>
    <row r="338" spans="1:3" x14ac:dyDescent="0.2">
      <c r="A338" s="10">
        <v>336</v>
      </c>
      <c r="B338" s="10">
        <f t="shared" ca="1" si="5"/>
        <v>0.63923578896598054</v>
      </c>
      <c r="C338" s="10" t="s">
        <v>34</v>
      </c>
    </row>
    <row r="339" spans="1:3" x14ac:dyDescent="0.2">
      <c r="A339" s="10">
        <v>337</v>
      </c>
      <c r="B339" s="10">
        <f t="shared" ca="1" si="5"/>
        <v>0.56530788120223119</v>
      </c>
      <c r="C339" s="10" t="s">
        <v>34</v>
      </c>
    </row>
    <row r="340" spans="1:3" x14ac:dyDescent="0.2">
      <c r="A340" s="10">
        <v>338</v>
      </c>
      <c r="B340" s="10">
        <f t="shared" ca="1" si="5"/>
        <v>0.72655351346464536</v>
      </c>
      <c r="C340" s="10" t="s">
        <v>34</v>
      </c>
    </row>
    <row r="341" spans="1:3" x14ac:dyDescent="0.2">
      <c r="A341" s="10">
        <v>339</v>
      </c>
      <c r="B341" s="10">
        <f t="shared" ca="1" si="5"/>
        <v>0.74424604315887299</v>
      </c>
      <c r="C341" s="10" t="s">
        <v>35</v>
      </c>
    </row>
    <row r="342" spans="1:3" x14ac:dyDescent="0.2">
      <c r="A342" s="10">
        <v>340</v>
      </c>
      <c r="B342" s="10">
        <f t="shared" ca="1" si="5"/>
        <v>0.46166824162379783</v>
      </c>
      <c r="C342" s="10" t="s">
        <v>35</v>
      </c>
    </row>
    <row r="343" spans="1:3" x14ac:dyDescent="0.2">
      <c r="A343" s="10">
        <v>341</v>
      </c>
      <c r="B343" s="10">
        <f t="shared" ca="1" si="5"/>
        <v>0.31114465381304512</v>
      </c>
      <c r="C343" s="10" t="s">
        <v>35</v>
      </c>
    </row>
    <row r="344" spans="1:3" x14ac:dyDescent="0.2">
      <c r="A344" s="10">
        <v>342</v>
      </c>
      <c r="B344" s="10">
        <f t="shared" ca="1" si="5"/>
        <v>0.62620051051959791</v>
      </c>
      <c r="C344" s="10" t="s">
        <v>35</v>
      </c>
    </row>
    <row r="345" spans="1:3" x14ac:dyDescent="0.2">
      <c r="A345" s="10">
        <v>343</v>
      </c>
      <c r="B345" s="10">
        <f t="shared" ca="1" si="5"/>
        <v>0.74874860740427951</v>
      </c>
      <c r="C345" s="10" t="s">
        <v>34</v>
      </c>
    </row>
    <row r="346" spans="1:3" x14ac:dyDescent="0.2">
      <c r="A346" s="10">
        <v>344</v>
      </c>
      <c r="B346" s="10">
        <f t="shared" ca="1" si="5"/>
        <v>0.60008552470474685</v>
      </c>
      <c r="C346" s="10" t="s">
        <v>34</v>
      </c>
    </row>
    <row r="347" spans="1:3" x14ac:dyDescent="0.2">
      <c r="A347" s="10">
        <v>345</v>
      </c>
      <c r="B347" s="10">
        <f t="shared" ca="1" si="5"/>
        <v>0.53891229555106002</v>
      </c>
      <c r="C347" s="10" t="s">
        <v>35</v>
      </c>
    </row>
    <row r="348" spans="1:3" x14ac:dyDescent="0.2">
      <c r="A348" s="10">
        <v>346</v>
      </c>
      <c r="B348" s="10">
        <f t="shared" ca="1" si="5"/>
        <v>0.80323798704342553</v>
      </c>
      <c r="C348" s="10" t="s">
        <v>34</v>
      </c>
    </row>
    <row r="349" spans="1:3" x14ac:dyDescent="0.2">
      <c r="A349" s="10">
        <v>347</v>
      </c>
      <c r="B349" s="10">
        <f t="shared" ca="1" si="5"/>
        <v>0.55452968602088082</v>
      </c>
      <c r="C349" s="10" t="s">
        <v>35</v>
      </c>
    </row>
    <row r="350" spans="1:3" x14ac:dyDescent="0.2">
      <c r="A350" s="10">
        <v>348</v>
      </c>
      <c r="B350" s="10">
        <f t="shared" ca="1" si="5"/>
        <v>0.92864996003864952</v>
      </c>
      <c r="C350" s="10" t="s">
        <v>34</v>
      </c>
    </row>
    <row r="351" spans="1:3" x14ac:dyDescent="0.2">
      <c r="A351" s="10">
        <v>349</v>
      </c>
      <c r="B351" s="10">
        <f t="shared" ca="1" si="5"/>
        <v>0.8317400109486085</v>
      </c>
      <c r="C351" s="10" t="s">
        <v>34</v>
      </c>
    </row>
    <row r="352" spans="1:3" x14ac:dyDescent="0.2">
      <c r="A352" s="10">
        <v>350</v>
      </c>
      <c r="B352" s="10">
        <f t="shared" ca="1" si="5"/>
        <v>0.48286458660924414</v>
      </c>
      <c r="C352" s="10" t="s">
        <v>35</v>
      </c>
    </row>
    <row r="353" spans="1:3" x14ac:dyDescent="0.2">
      <c r="A353" s="10">
        <v>351</v>
      </c>
      <c r="B353" s="10">
        <f t="shared" ca="1" si="5"/>
        <v>0.79492133306322876</v>
      </c>
      <c r="C353" s="10" t="s">
        <v>35</v>
      </c>
    </row>
    <row r="354" spans="1:3" x14ac:dyDescent="0.2">
      <c r="A354" s="10">
        <v>352</v>
      </c>
      <c r="B354" s="10">
        <f t="shared" ca="1" si="5"/>
        <v>0.82473065682065771</v>
      </c>
      <c r="C354" s="10" t="s">
        <v>35</v>
      </c>
    </row>
    <row r="355" spans="1:3" x14ac:dyDescent="0.2">
      <c r="A355" s="10">
        <v>353</v>
      </c>
      <c r="B355" s="10">
        <f t="shared" ca="1" si="5"/>
        <v>0.73034491508737753</v>
      </c>
      <c r="C355" s="10" t="s">
        <v>34</v>
      </c>
    </row>
    <row r="356" spans="1:3" x14ac:dyDescent="0.2">
      <c r="A356" s="10">
        <v>354</v>
      </c>
      <c r="B356" s="10">
        <f t="shared" ca="1" si="5"/>
        <v>0.69182379310182718</v>
      </c>
      <c r="C356" s="10" t="s">
        <v>34</v>
      </c>
    </row>
    <row r="357" spans="1:3" x14ac:dyDescent="0.2">
      <c r="A357" s="10">
        <v>355</v>
      </c>
      <c r="B357" s="10">
        <f t="shared" ca="1" si="5"/>
        <v>0.65274716197682836</v>
      </c>
      <c r="C357" s="10" t="s">
        <v>34</v>
      </c>
    </row>
    <row r="358" spans="1:3" x14ac:dyDescent="0.2">
      <c r="A358" s="10">
        <v>356</v>
      </c>
      <c r="B358" s="10">
        <f t="shared" ca="1" si="5"/>
        <v>0.76746294425857753</v>
      </c>
      <c r="C358" s="10" t="s">
        <v>34</v>
      </c>
    </row>
    <row r="359" spans="1:3" x14ac:dyDescent="0.2">
      <c r="A359" s="10">
        <v>357</v>
      </c>
      <c r="B359" s="10">
        <f t="shared" ca="1" si="5"/>
        <v>0.68412087760030282</v>
      </c>
      <c r="C359" s="10" t="s">
        <v>35</v>
      </c>
    </row>
    <row r="360" spans="1:3" x14ac:dyDescent="0.2">
      <c r="A360" s="10">
        <v>358</v>
      </c>
      <c r="B360" s="10">
        <f t="shared" ca="1" si="5"/>
        <v>0.71734189074517662</v>
      </c>
      <c r="C360" s="10" t="s">
        <v>34</v>
      </c>
    </row>
    <row r="361" spans="1:3" x14ac:dyDescent="0.2">
      <c r="A361" s="10">
        <v>359</v>
      </c>
      <c r="B361" s="10">
        <f t="shared" ca="1" si="5"/>
        <v>0.49448453237697687</v>
      </c>
      <c r="C361" s="10" t="s">
        <v>35</v>
      </c>
    </row>
    <row r="362" spans="1:3" x14ac:dyDescent="0.2">
      <c r="A362" s="10">
        <v>360</v>
      </c>
      <c r="B362" s="10">
        <f t="shared" ca="1" si="5"/>
        <v>0.3958917888350979</v>
      </c>
      <c r="C362" s="10" t="s">
        <v>35</v>
      </c>
    </row>
    <row r="363" spans="1:3" x14ac:dyDescent="0.2">
      <c r="A363" s="10">
        <v>361</v>
      </c>
      <c r="B363" s="10">
        <f t="shared" ca="1" si="5"/>
        <v>0.7107100552436354</v>
      </c>
      <c r="C363" s="10" t="s">
        <v>34</v>
      </c>
    </row>
    <row r="364" spans="1:3" x14ac:dyDescent="0.2">
      <c r="A364" s="10">
        <v>362</v>
      </c>
      <c r="B364" s="10">
        <f t="shared" ca="1" si="5"/>
        <v>0.70723151330578149</v>
      </c>
      <c r="C364" s="10" t="s">
        <v>34</v>
      </c>
    </row>
    <row r="365" spans="1:3" x14ac:dyDescent="0.2">
      <c r="A365" s="10">
        <v>363</v>
      </c>
      <c r="B365" s="10">
        <f t="shared" ca="1" si="5"/>
        <v>0.60065132564030466</v>
      </c>
      <c r="C365" s="10" t="s">
        <v>35</v>
      </c>
    </row>
    <row r="366" spans="1:3" x14ac:dyDescent="0.2">
      <c r="A366" s="10">
        <v>364</v>
      </c>
      <c r="B366" s="10">
        <f t="shared" ca="1" si="5"/>
        <v>0.55099356805229294</v>
      </c>
      <c r="C366" s="10" t="s">
        <v>34</v>
      </c>
    </row>
    <row r="367" spans="1:3" x14ac:dyDescent="0.2">
      <c r="A367" s="10">
        <v>365</v>
      </c>
      <c r="B367" s="10">
        <f t="shared" ca="1" si="5"/>
        <v>0.59671968657793306</v>
      </c>
      <c r="C367" s="10" t="s">
        <v>35</v>
      </c>
    </row>
    <row r="368" spans="1:3" x14ac:dyDescent="0.2">
      <c r="A368" s="10">
        <v>366</v>
      </c>
      <c r="B368" s="10">
        <f t="shared" ca="1" si="5"/>
        <v>0.72761672195493254</v>
      </c>
      <c r="C368" s="10" t="s">
        <v>35</v>
      </c>
    </row>
    <row r="369" spans="1:3" x14ac:dyDescent="0.2">
      <c r="A369" s="10">
        <v>367</v>
      </c>
      <c r="B369" s="10">
        <f t="shared" ca="1" si="5"/>
        <v>0.93895378944573127</v>
      </c>
      <c r="C369" s="10" t="s">
        <v>34</v>
      </c>
    </row>
    <row r="370" spans="1:3" x14ac:dyDescent="0.2">
      <c r="A370" s="10">
        <v>368</v>
      </c>
      <c r="B370" s="10">
        <f t="shared" ca="1" si="5"/>
        <v>0.73062350399397424</v>
      </c>
      <c r="C370" s="10" t="s">
        <v>34</v>
      </c>
    </row>
    <row r="371" spans="1:3" x14ac:dyDescent="0.2">
      <c r="A371" s="10">
        <v>369</v>
      </c>
      <c r="B371" s="10">
        <f t="shared" ca="1" si="5"/>
        <v>0.51268818489567602</v>
      </c>
      <c r="C371" s="10" t="s">
        <v>35</v>
      </c>
    </row>
    <row r="372" spans="1:3" x14ac:dyDescent="0.2">
      <c r="A372" s="10">
        <v>370</v>
      </c>
      <c r="B372" s="10">
        <f t="shared" ca="1" si="5"/>
        <v>0.59610086662248452</v>
      </c>
      <c r="C372" s="10" t="s">
        <v>34</v>
      </c>
    </row>
    <row r="373" spans="1:3" x14ac:dyDescent="0.2">
      <c r="A373" s="10">
        <v>371</v>
      </c>
      <c r="B373" s="10">
        <f t="shared" ca="1" si="5"/>
        <v>0.70885907183234542</v>
      </c>
      <c r="C373" s="10" t="s">
        <v>34</v>
      </c>
    </row>
    <row r="374" spans="1:3" x14ac:dyDescent="0.2">
      <c r="A374" s="10">
        <v>372</v>
      </c>
      <c r="B374" s="10">
        <f t="shared" ca="1" si="5"/>
        <v>0.7120891653595508</v>
      </c>
      <c r="C374" s="10" t="s">
        <v>35</v>
      </c>
    </row>
    <row r="375" spans="1:3" x14ac:dyDescent="0.2">
      <c r="A375" s="10">
        <v>373</v>
      </c>
      <c r="B375" s="10">
        <f t="shared" ca="1" si="5"/>
        <v>0.77062217988474035</v>
      </c>
      <c r="C375" s="10" t="s">
        <v>34</v>
      </c>
    </row>
    <row r="376" spans="1:3" x14ac:dyDescent="0.2">
      <c r="A376" s="10">
        <v>374</v>
      </c>
      <c r="B376" s="10">
        <f t="shared" ca="1" si="5"/>
        <v>0.72652578603455575</v>
      </c>
      <c r="C376" s="10" t="s">
        <v>34</v>
      </c>
    </row>
    <row r="377" spans="1:3" x14ac:dyDescent="0.2">
      <c r="A377" s="10">
        <v>375</v>
      </c>
      <c r="B377" s="10">
        <f t="shared" ca="1" si="5"/>
        <v>0.62364924834293345</v>
      </c>
      <c r="C377" s="10" t="s">
        <v>35</v>
      </c>
    </row>
    <row r="378" spans="1:3" x14ac:dyDescent="0.2">
      <c r="A378" s="10">
        <v>376</v>
      </c>
      <c r="B378" s="10">
        <f t="shared" ca="1" si="5"/>
        <v>0.61411619025191144</v>
      </c>
      <c r="C378" s="10" t="s">
        <v>34</v>
      </c>
    </row>
    <row r="379" spans="1:3" x14ac:dyDescent="0.2">
      <c r="A379" s="10">
        <v>377</v>
      </c>
      <c r="B379" s="10">
        <f t="shared" ca="1" si="5"/>
        <v>0.66599214869749412</v>
      </c>
      <c r="C379" s="10" t="s">
        <v>34</v>
      </c>
    </row>
    <row r="380" spans="1:3" x14ac:dyDescent="0.2">
      <c r="A380" s="10">
        <v>378</v>
      </c>
      <c r="B380" s="10">
        <f t="shared" ca="1" si="5"/>
        <v>0.72580022008587974</v>
      </c>
      <c r="C380" s="10" t="s">
        <v>34</v>
      </c>
    </row>
    <row r="381" spans="1:3" x14ac:dyDescent="0.2">
      <c r="A381" s="10">
        <v>379</v>
      </c>
      <c r="B381" s="10">
        <f t="shared" ca="1" si="5"/>
        <v>0.68431255641126021</v>
      </c>
      <c r="C381" s="10" t="s">
        <v>34</v>
      </c>
    </row>
    <row r="382" spans="1:3" x14ac:dyDescent="0.2">
      <c r="A382" s="10">
        <v>380</v>
      </c>
      <c r="B382" s="10">
        <f t="shared" ca="1" si="5"/>
        <v>0.65811455688098186</v>
      </c>
      <c r="C382" s="10" t="s">
        <v>34</v>
      </c>
    </row>
    <row r="383" spans="1:3" x14ac:dyDescent="0.2">
      <c r="A383" s="10">
        <v>381</v>
      </c>
      <c r="B383" s="10">
        <f t="shared" ca="1" si="5"/>
        <v>0.72774742316177909</v>
      </c>
      <c r="C383" s="10" t="s">
        <v>34</v>
      </c>
    </row>
    <row r="384" spans="1:3" x14ac:dyDescent="0.2">
      <c r="A384" s="10">
        <v>382</v>
      </c>
      <c r="B384" s="10">
        <f t="shared" ca="1" si="5"/>
        <v>0.49246048817161281</v>
      </c>
      <c r="C384" s="10" t="s">
        <v>34</v>
      </c>
    </row>
    <row r="385" spans="1:3" x14ac:dyDescent="0.2">
      <c r="A385" s="10">
        <v>383</v>
      </c>
      <c r="B385" s="10">
        <f t="shared" ca="1" si="5"/>
        <v>0.50154055923583873</v>
      </c>
      <c r="C385" s="10" t="s">
        <v>35</v>
      </c>
    </row>
    <row r="386" spans="1:3" x14ac:dyDescent="0.2">
      <c r="A386" s="10">
        <v>384</v>
      </c>
      <c r="B386" s="10">
        <f t="shared" ca="1" si="5"/>
        <v>0.74463609818572318</v>
      </c>
      <c r="C386" s="10" t="s">
        <v>34</v>
      </c>
    </row>
    <row r="387" spans="1:3" x14ac:dyDescent="0.2">
      <c r="A387" s="10">
        <v>385</v>
      </c>
      <c r="B387" s="10">
        <f t="shared" ca="1" si="5"/>
        <v>0.40824981917947401</v>
      </c>
      <c r="C387" s="10" t="s">
        <v>35</v>
      </c>
    </row>
    <row r="388" spans="1:3" x14ac:dyDescent="0.2">
      <c r="A388" s="10">
        <v>386</v>
      </c>
      <c r="B388" s="10">
        <f t="shared" ref="B388:B451" ca="1" si="6">IF(C388="Bomb",_xlfn.NORM.INV(RAND(),0.7,0.1),_xlfn.NORM.INV(RAND(),0.6,0.15))</f>
        <v>0.65996973931899083</v>
      </c>
      <c r="C388" s="10" t="s">
        <v>35</v>
      </c>
    </row>
    <row r="389" spans="1:3" x14ac:dyDescent="0.2">
      <c r="A389" s="10">
        <v>387</v>
      </c>
      <c r="B389" s="10">
        <f t="shared" ca="1" si="6"/>
        <v>0.80000651705239467</v>
      </c>
      <c r="C389" s="10" t="s">
        <v>35</v>
      </c>
    </row>
    <row r="390" spans="1:3" x14ac:dyDescent="0.2">
      <c r="A390" s="10">
        <v>388</v>
      </c>
      <c r="B390" s="10">
        <f t="shared" ca="1" si="6"/>
        <v>0.94984756574508244</v>
      </c>
      <c r="C390" s="10" t="s">
        <v>35</v>
      </c>
    </row>
    <row r="391" spans="1:3" x14ac:dyDescent="0.2">
      <c r="A391" s="10">
        <v>389</v>
      </c>
      <c r="B391" s="10">
        <f t="shared" ca="1" si="6"/>
        <v>0.62055967848807114</v>
      </c>
      <c r="C391" s="10" t="s">
        <v>35</v>
      </c>
    </row>
    <row r="392" spans="1:3" x14ac:dyDescent="0.2">
      <c r="A392" s="10">
        <v>390</v>
      </c>
      <c r="B392" s="10">
        <f t="shared" ca="1" si="6"/>
        <v>0.65128556382615499</v>
      </c>
      <c r="C392" s="10" t="s">
        <v>34</v>
      </c>
    </row>
    <row r="393" spans="1:3" x14ac:dyDescent="0.2">
      <c r="A393" s="10">
        <v>391</v>
      </c>
      <c r="B393" s="10">
        <f t="shared" ca="1" si="6"/>
        <v>0.62835462242080342</v>
      </c>
      <c r="C393" s="10" t="s">
        <v>34</v>
      </c>
    </row>
    <row r="394" spans="1:3" x14ac:dyDescent="0.2">
      <c r="A394" s="10">
        <v>392</v>
      </c>
      <c r="B394" s="10">
        <f t="shared" ca="1" si="6"/>
        <v>0.24257624300415548</v>
      </c>
      <c r="C394" s="10" t="s">
        <v>35</v>
      </c>
    </row>
    <row r="395" spans="1:3" x14ac:dyDescent="0.2">
      <c r="A395" s="10">
        <v>393</v>
      </c>
      <c r="B395" s="10">
        <f t="shared" ca="1" si="6"/>
        <v>0.41665037097196994</v>
      </c>
      <c r="C395" s="10" t="s">
        <v>35</v>
      </c>
    </row>
    <row r="396" spans="1:3" x14ac:dyDescent="0.2">
      <c r="A396" s="10">
        <v>394</v>
      </c>
      <c r="B396" s="10">
        <f t="shared" ca="1" si="6"/>
        <v>0.73151512874219549</v>
      </c>
      <c r="C396" s="10" t="s">
        <v>35</v>
      </c>
    </row>
    <row r="397" spans="1:3" x14ac:dyDescent="0.2">
      <c r="A397" s="10">
        <v>395</v>
      </c>
      <c r="B397" s="10">
        <f t="shared" ca="1" si="6"/>
        <v>0.65308849683535886</v>
      </c>
      <c r="C397" s="10" t="s">
        <v>34</v>
      </c>
    </row>
    <row r="398" spans="1:3" x14ac:dyDescent="0.2">
      <c r="A398" s="10">
        <v>396</v>
      </c>
      <c r="B398" s="10">
        <f t="shared" ca="1" si="6"/>
        <v>0.64845825036765481</v>
      </c>
      <c r="C398" s="10" t="s">
        <v>34</v>
      </c>
    </row>
    <row r="399" spans="1:3" x14ac:dyDescent="0.2">
      <c r="A399" s="10">
        <v>397</v>
      </c>
      <c r="B399" s="10">
        <f t="shared" ca="1" si="6"/>
        <v>0.4845369477414988</v>
      </c>
      <c r="C399" s="10" t="s">
        <v>35</v>
      </c>
    </row>
    <row r="400" spans="1:3" x14ac:dyDescent="0.2">
      <c r="A400" s="10">
        <v>398</v>
      </c>
      <c r="B400" s="10">
        <f t="shared" ca="1" si="6"/>
        <v>0.62915598958999686</v>
      </c>
      <c r="C400" s="10" t="s">
        <v>34</v>
      </c>
    </row>
    <row r="401" spans="1:3" x14ac:dyDescent="0.2">
      <c r="A401" s="10">
        <v>399</v>
      </c>
      <c r="B401" s="10">
        <f t="shared" ca="1" si="6"/>
        <v>0.59463856879609167</v>
      </c>
      <c r="C401" s="10" t="s">
        <v>35</v>
      </c>
    </row>
    <row r="402" spans="1:3" x14ac:dyDescent="0.2">
      <c r="A402" s="10">
        <v>400</v>
      </c>
      <c r="B402" s="10">
        <f t="shared" ca="1" si="6"/>
        <v>0.68703573077731839</v>
      </c>
      <c r="C402" s="10" t="s">
        <v>34</v>
      </c>
    </row>
    <row r="403" spans="1:3" x14ac:dyDescent="0.2">
      <c r="A403" s="10">
        <v>401</v>
      </c>
      <c r="B403" s="10">
        <f t="shared" ca="1" si="6"/>
        <v>0.6227606318958554</v>
      </c>
      <c r="C403" s="10" t="s">
        <v>35</v>
      </c>
    </row>
    <row r="404" spans="1:3" x14ac:dyDescent="0.2">
      <c r="A404" s="10">
        <v>402</v>
      </c>
      <c r="B404" s="10">
        <f t="shared" ca="1" si="6"/>
        <v>0.24185008636427546</v>
      </c>
      <c r="C404" s="10" t="s">
        <v>35</v>
      </c>
    </row>
    <row r="405" spans="1:3" x14ac:dyDescent="0.2">
      <c r="A405" s="10">
        <v>403</v>
      </c>
      <c r="B405" s="10">
        <f t="shared" ca="1" si="6"/>
        <v>0.62782352146032827</v>
      </c>
      <c r="C405" s="10" t="s">
        <v>35</v>
      </c>
    </row>
    <row r="406" spans="1:3" x14ac:dyDescent="0.2">
      <c r="A406" s="10">
        <v>404</v>
      </c>
      <c r="B406" s="10">
        <f t="shared" ca="1" si="6"/>
        <v>0.66399984639158027</v>
      </c>
      <c r="C406" s="10" t="s">
        <v>34</v>
      </c>
    </row>
    <row r="407" spans="1:3" x14ac:dyDescent="0.2">
      <c r="A407" s="10">
        <v>405</v>
      </c>
      <c r="B407" s="10">
        <f t="shared" ca="1" si="6"/>
        <v>0.67205384422444636</v>
      </c>
      <c r="C407" s="10" t="s">
        <v>34</v>
      </c>
    </row>
    <row r="408" spans="1:3" x14ac:dyDescent="0.2">
      <c r="A408" s="10">
        <v>406</v>
      </c>
      <c r="B408" s="10">
        <f t="shared" ca="1" si="6"/>
        <v>0.73376063587858198</v>
      </c>
      <c r="C408" s="10" t="s">
        <v>35</v>
      </c>
    </row>
    <row r="409" spans="1:3" x14ac:dyDescent="0.2">
      <c r="A409" s="10">
        <v>407</v>
      </c>
      <c r="B409" s="10">
        <f t="shared" ca="1" si="6"/>
        <v>0.5519479939434917</v>
      </c>
      <c r="C409" s="10" t="s">
        <v>35</v>
      </c>
    </row>
    <row r="410" spans="1:3" x14ac:dyDescent="0.2">
      <c r="A410" s="10">
        <v>408</v>
      </c>
      <c r="B410" s="10">
        <f t="shared" ca="1" si="6"/>
        <v>0.58787871650677759</v>
      </c>
      <c r="C410" s="10" t="s">
        <v>34</v>
      </c>
    </row>
    <row r="411" spans="1:3" x14ac:dyDescent="0.2">
      <c r="A411" s="10">
        <v>409</v>
      </c>
      <c r="B411" s="10">
        <f t="shared" ca="1" si="6"/>
        <v>0.7671306683976391</v>
      </c>
      <c r="C411" s="10" t="s">
        <v>34</v>
      </c>
    </row>
    <row r="412" spans="1:3" x14ac:dyDescent="0.2">
      <c r="A412" s="10">
        <v>410</v>
      </c>
      <c r="B412" s="10">
        <f t="shared" ca="1" si="6"/>
        <v>0.93894019377518678</v>
      </c>
      <c r="C412" s="10" t="s">
        <v>34</v>
      </c>
    </row>
    <row r="413" spans="1:3" x14ac:dyDescent="0.2">
      <c r="A413" s="10">
        <v>411</v>
      </c>
      <c r="B413" s="10">
        <f t="shared" ca="1" si="6"/>
        <v>0.64918321974826165</v>
      </c>
      <c r="C413" s="10" t="s">
        <v>35</v>
      </c>
    </row>
    <row r="414" spans="1:3" x14ac:dyDescent="0.2">
      <c r="A414" s="10">
        <v>412</v>
      </c>
      <c r="B414" s="10">
        <f t="shared" ca="1" si="6"/>
        <v>0.44942122975464538</v>
      </c>
      <c r="C414" s="10" t="s">
        <v>35</v>
      </c>
    </row>
    <row r="415" spans="1:3" x14ac:dyDescent="0.2">
      <c r="A415" s="10">
        <v>413</v>
      </c>
      <c r="B415" s="10">
        <f t="shared" ca="1" si="6"/>
        <v>0.78391417845453981</v>
      </c>
      <c r="C415" s="10" t="s">
        <v>34</v>
      </c>
    </row>
    <row r="416" spans="1:3" x14ac:dyDescent="0.2">
      <c r="A416" s="10">
        <v>414</v>
      </c>
      <c r="B416" s="10">
        <f t="shared" ca="1" si="6"/>
        <v>0.63100866920577436</v>
      </c>
      <c r="C416" s="10" t="s">
        <v>34</v>
      </c>
    </row>
    <row r="417" spans="1:3" x14ac:dyDescent="0.2">
      <c r="A417" s="10">
        <v>415</v>
      </c>
      <c r="B417" s="10">
        <f t="shared" ca="1" si="6"/>
        <v>0.56320419147888945</v>
      </c>
      <c r="C417" s="10" t="s">
        <v>35</v>
      </c>
    </row>
    <row r="418" spans="1:3" x14ac:dyDescent="0.2">
      <c r="A418" s="10">
        <v>416</v>
      </c>
      <c r="B418" s="10">
        <f t="shared" ca="1" si="6"/>
        <v>0.74072461413419244</v>
      </c>
      <c r="C418" s="10" t="s">
        <v>34</v>
      </c>
    </row>
    <row r="419" spans="1:3" x14ac:dyDescent="0.2">
      <c r="A419" s="10">
        <v>417</v>
      </c>
      <c r="B419" s="10">
        <f t="shared" ca="1" si="6"/>
        <v>0.72195675253135894</v>
      </c>
      <c r="C419" s="10" t="s">
        <v>34</v>
      </c>
    </row>
    <row r="420" spans="1:3" x14ac:dyDescent="0.2">
      <c r="A420" s="10">
        <v>418</v>
      </c>
      <c r="B420" s="10">
        <f t="shared" ca="1" si="6"/>
        <v>0.56745480538220072</v>
      </c>
      <c r="C420" s="10" t="s">
        <v>35</v>
      </c>
    </row>
    <row r="421" spans="1:3" x14ac:dyDescent="0.2">
      <c r="A421" s="10">
        <v>419</v>
      </c>
      <c r="B421" s="10">
        <f t="shared" ca="1" si="6"/>
        <v>0.79865786739678812</v>
      </c>
      <c r="C421" s="10" t="s">
        <v>35</v>
      </c>
    </row>
    <row r="422" spans="1:3" x14ac:dyDescent="0.2">
      <c r="A422" s="10">
        <v>420</v>
      </c>
      <c r="B422" s="10">
        <f t="shared" ca="1" si="6"/>
        <v>0.69580525690531059</v>
      </c>
      <c r="C422" s="10" t="s">
        <v>34</v>
      </c>
    </row>
    <row r="423" spans="1:3" x14ac:dyDescent="0.2">
      <c r="A423" s="10">
        <v>421</v>
      </c>
      <c r="B423" s="10">
        <f t="shared" ca="1" si="6"/>
        <v>0.66613282206730362</v>
      </c>
      <c r="C423" s="10" t="s">
        <v>34</v>
      </c>
    </row>
    <row r="424" spans="1:3" x14ac:dyDescent="0.2">
      <c r="A424" s="10">
        <v>422</v>
      </c>
      <c r="B424" s="10">
        <f t="shared" ca="1" si="6"/>
        <v>0.42931181153463549</v>
      </c>
      <c r="C424" s="10" t="s">
        <v>35</v>
      </c>
    </row>
    <row r="425" spans="1:3" x14ac:dyDescent="0.2">
      <c r="A425" s="10">
        <v>423</v>
      </c>
      <c r="B425" s="10">
        <f t="shared" ca="1" si="6"/>
        <v>0.61758912594512805</v>
      </c>
      <c r="C425" s="10" t="s">
        <v>35</v>
      </c>
    </row>
    <row r="426" spans="1:3" x14ac:dyDescent="0.2">
      <c r="A426" s="10">
        <v>424</v>
      </c>
      <c r="B426" s="10">
        <f t="shared" ca="1" si="6"/>
        <v>0.78735286527851944</v>
      </c>
      <c r="C426" s="10" t="s">
        <v>35</v>
      </c>
    </row>
    <row r="427" spans="1:3" x14ac:dyDescent="0.2">
      <c r="A427" s="10">
        <v>425</v>
      </c>
      <c r="B427" s="10">
        <f t="shared" ca="1" si="6"/>
        <v>0.49459580696030236</v>
      </c>
      <c r="C427" s="10" t="s">
        <v>34</v>
      </c>
    </row>
    <row r="428" spans="1:3" x14ac:dyDescent="0.2">
      <c r="A428" s="10">
        <v>426</v>
      </c>
      <c r="B428" s="10">
        <f t="shared" ca="1" si="6"/>
        <v>0.76973905495382478</v>
      </c>
      <c r="C428" s="10" t="s">
        <v>35</v>
      </c>
    </row>
    <row r="429" spans="1:3" x14ac:dyDescent="0.2">
      <c r="A429" s="10">
        <v>427</v>
      </c>
      <c r="B429" s="10">
        <f t="shared" ca="1" si="6"/>
        <v>0.56664764528928835</v>
      </c>
      <c r="C429" s="10" t="s">
        <v>34</v>
      </c>
    </row>
    <row r="430" spans="1:3" x14ac:dyDescent="0.2">
      <c r="A430" s="10">
        <v>428</v>
      </c>
      <c r="B430" s="10">
        <f t="shared" ca="1" si="6"/>
        <v>0.77921974645890013</v>
      </c>
      <c r="C430" s="10" t="s">
        <v>35</v>
      </c>
    </row>
    <row r="431" spans="1:3" x14ac:dyDescent="0.2">
      <c r="A431" s="10">
        <v>429</v>
      </c>
      <c r="B431" s="10">
        <f t="shared" ca="1" si="6"/>
        <v>0.54513970166324233</v>
      </c>
      <c r="C431" s="10" t="s">
        <v>35</v>
      </c>
    </row>
    <row r="432" spans="1:3" x14ac:dyDescent="0.2">
      <c r="A432" s="10">
        <v>430</v>
      </c>
      <c r="B432" s="10">
        <f t="shared" ca="1" si="6"/>
        <v>0.70914955252440381</v>
      </c>
      <c r="C432" s="10" t="s">
        <v>34</v>
      </c>
    </row>
    <row r="433" spans="1:3" x14ac:dyDescent="0.2">
      <c r="A433" s="10">
        <v>431</v>
      </c>
      <c r="B433" s="10">
        <f t="shared" ca="1" si="6"/>
        <v>0.55328928736986516</v>
      </c>
      <c r="C433" s="10" t="s">
        <v>34</v>
      </c>
    </row>
    <row r="434" spans="1:3" x14ac:dyDescent="0.2">
      <c r="A434" s="10">
        <v>432</v>
      </c>
      <c r="B434" s="10">
        <f t="shared" ca="1" si="6"/>
        <v>0.70535677859981538</v>
      </c>
      <c r="C434" s="10" t="s">
        <v>35</v>
      </c>
    </row>
    <row r="435" spans="1:3" x14ac:dyDescent="0.2">
      <c r="A435" s="10">
        <v>433</v>
      </c>
      <c r="B435" s="10">
        <f t="shared" ca="1" si="6"/>
        <v>0.70714142363934196</v>
      </c>
      <c r="C435" s="10" t="s">
        <v>34</v>
      </c>
    </row>
    <row r="436" spans="1:3" x14ac:dyDescent="0.2">
      <c r="A436" s="10">
        <v>434</v>
      </c>
      <c r="B436" s="10">
        <f t="shared" ca="1" si="6"/>
        <v>0.54715426472461415</v>
      </c>
      <c r="C436" s="10" t="s">
        <v>35</v>
      </c>
    </row>
    <row r="437" spans="1:3" x14ac:dyDescent="0.2">
      <c r="A437" s="10">
        <v>435</v>
      </c>
      <c r="B437" s="10">
        <f t="shared" ca="1" si="6"/>
        <v>0.66452762160068157</v>
      </c>
      <c r="C437" s="10" t="s">
        <v>34</v>
      </c>
    </row>
    <row r="438" spans="1:3" x14ac:dyDescent="0.2">
      <c r="A438" s="10">
        <v>436</v>
      </c>
      <c r="B438" s="10">
        <f t="shared" ca="1" si="6"/>
        <v>0.86189188597877608</v>
      </c>
      <c r="C438" s="10" t="s">
        <v>34</v>
      </c>
    </row>
    <row r="439" spans="1:3" x14ac:dyDescent="0.2">
      <c r="A439" s="10">
        <v>437</v>
      </c>
      <c r="B439" s="10">
        <f t="shared" ca="1" si="6"/>
        <v>0.53421890942963801</v>
      </c>
      <c r="C439" s="10" t="s">
        <v>35</v>
      </c>
    </row>
    <row r="440" spans="1:3" x14ac:dyDescent="0.2">
      <c r="A440" s="10">
        <v>438</v>
      </c>
      <c r="B440" s="10">
        <f t="shared" ca="1" si="6"/>
        <v>0.71834177171494407</v>
      </c>
      <c r="C440" s="10" t="s">
        <v>34</v>
      </c>
    </row>
    <row r="441" spans="1:3" x14ac:dyDescent="0.2">
      <c r="A441" s="10">
        <v>439</v>
      </c>
      <c r="B441" s="10">
        <f t="shared" ca="1" si="6"/>
        <v>0.71157105968875922</v>
      </c>
      <c r="C441" s="10" t="s">
        <v>34</v>
      </c>
    </row>
    <row r="442" spans="1:3" x14ac:dyDescent="0.2">
      <c r="A442" s="10">
        <v>440</v>
      </c>
      <c r="B442" s="10">
        <f t="shared" ca="1" si="6"/>
        <v>0.68808175997977161</v>
      </c>
      <c r="C442" s="10" t="s">
        <v>34</v>
      </c>
    </row>
    <row r="443" spans="1:3" x14ac:dyDescent="0.2">
      <c r="A443" s="10">
        <v>441</v>
      </c>
      <c r="B443" s="10">
        <f t="shared" ca="1" si="6"/>
        <v>0.70802915104165887</v>
      </c>
      <c r="C443" s="10" t="s">
        <v>34</v>
      </c>
    </row>
    <row r="444" spans="1:3" x14ac:dyDescent="0.2">
      <c r="A444" s="10">
        <v>442</v>
      </c>
      <c r="B444" s="10">
        <f t="shared" ca="1" si="6"/>
        <v>0.68334050189595363</v>
      </c>
      <c r="C444" s="10" t="s">
        <v>34</v>
      </c>
    </row>
    <row r="445" spans="1:3" x14ac:dyDescent="0.2">
      <c r="A445" s="10">
        <v>443</v>
      </c>
      <c r="B445" s="10">
        <f t="shared" ca="1" si="6"/>
        <v>0.88349207304519639</v>
      </c>
      <c r="C445" s="10" t="s">
        <v>34</v>
      </c>
    </row>
    <row r="446" spans="1:3" x14ac:dyDescent="0.2">
      <c r="A446" s="10">
        <v>444</v>
      </c>
      <c r="B446" s="10">
        <f t="shared" ca="1" si="6"/>
        <v>0.66254071549513116</v>
      </c>
      <c r="C446" s="10" t="s">
        <v>35</v>
      </c>
    </row>
    <row r="447" spans="1:3" x14ac:dyDescent="0.2">
      <c r="A447" s="10">
        <v>445</v>
      </c>
      <c r="B447" s="10">
        <f t="shared" ca="1" si="6"/>
        <v>0.48487395016296619</v>
      </c>
      <c r="C447" s="10" t="s">
        <v>35</v>
      </c>
    </row>
    <row r="448" spans="1:3" x14ac:dyDescent="0.2">
      <c r="A448" s="10">
        <v>446</v>
      </c>
      <c r="B448" s="10">
        <f t="shared" ca="1" si="6"/>
        <v>0.719676347004501</v>
      </c>
      <c r="C448" s="10" t="s">
        <v>34</v>
      </c>
    </row>
    <row r="449" spans="1:3" x14ac:dyDescent="0.2">
      <c r="A449" s="10">
        <v>447</v>
      </c>
      <c r="B449" s="10">
        <f t="shared" ca="1" si="6"/>
        <v>0.47874671630194499</v>
      </c>
      <c r="C449" s="10" t="s">
        <v>35</v>
      </c>
    </row>
    <row r="450" spans="1:3" x14ac:dyDescent="0.2">
      <c r="A450" s="10">
        <v>448</v>
      </c>
      <c r="B450" s="10">
        <f t="shared" ca="1" si="6"/>
        <v>0.73824002331378324</v>
      </c>
      <c r="C450" s="10" t="s">
        <v>34</v>
      </c>
    </row>
    <row r="451" spans="1:3" x14ac:dyDescent="0.2">
      <c r="A451" s="10">
        <v>449</v>
      </c>
      <c r="B451" s="10">
        <f t="shared" ca="1" si="6"/>
        <v>0.80127931523837015</v>
      </c>
      <c r="C451" s="10" t="s">
        <v>34</v>
      </c>
    </row>
    <row r="452" spans="1:3" x14ac:dyDescent="0.2">
      <c r="A452" s="10">
        <v>450</v>
      </c>
      <c r="B452" s="10">
        <f t="shared" ref="B452:B515" ca="1" si="7">IF(C452="Bomb",_xlfn.NORM.INV(RAND(),0.7,0.1),_xlfn.NORM.INV(RAND(),0.6,0.15))</f>
        <v>0.94213073653952373</v>
      </c>
      <c r="C452" s="10" t="s">
        <v>35</v>
      </c>
    </row>
    <row r="453" spans="1:3" x14ac:dyDescent="0.2">
      <c r="A453" s="10">
        <v>451</v>
      </c>
      <c r="B453" s="10">
        <f t="shared" ca="1" si="7"/>
        <v>0.63975615077251913</v>
      </c>
      <c r="C453" s="10" t="s">
        <v>34</v>
      </c>
    </row>
    <row r="454" spans="1:3" x14ac:dyDescent="0.2">
      <c r="A454" s="10">
        <v>452</v>
      </c>
      <c r="B454" s="10">
        <f t="shared" ca="1" si="7"/>
        <v>0.71552819239628673</v>
      </c>
      <c r="C454" s="10" t="s">
        <v>34</v>
      </c>
    </row>
    <row r="455" spans="1:3" x14ac:dyDescent="0.2">
      <c r="A455" s="10">
        <v>453</v>
      </c>
      <c r="B455" s="10">
        <f t="shared" ca="1" si="7"/>
        <v>0.60734006872805013</v>
      </c>
      <c r="C455" s="10" t="s">
        <v>35</v>
      </c>
    </row>
    <row r="456" spans="1:3" x14ac:dyDescent="0.2">
      <c r="A456" s="10">
        <v>454</v>
      </c>
      <c r="B456" s="10">
        <f t="shared" ca="1" si="7"/>
        <v>0.72252147635463304</v>
      </c>
      <c r="C456" s="10" t="s">
        <v>34</v>
      </c>
    </row>
    <row r="457" spans="1:3" x14ac:dyDescent="0.2">
      <c r="A457" s="10">
        <v>455</v>
      </c>
      <c r="B457" s="10">
        <f t="shared" ca="1" si="7"/>
        <v>0.45075359985690333</v>
      </c>
      <c r="C457" s="10" t="s">
        <v>35</v>
      </c>
    </row>
    <row r="458" spans="1:3" x14ac:dyDescent="0.2">
      <c r="A458" s="10">
        <v>456</v>
      </c>
      <c r="B458" s="10">
        <f t="shared" ca="1" si="7"/>
        <v>0.40667823554519855</v>
      </c>
      <c r="C458" s="10" t="s">
        <v>35</v>
      </c>
    </row>
    <row r="459" spans="1:3" x14ac:dyDescent="0.2">
      <c r="A459" s="10">
        <v>457</v>
      </c>
      <c r="B459" s="10">
        <f t="shared" ca="1" si="7"/>
        <v>0.75436393468389995</v>
      </c>
      <c r="C459" s="10" t="s">
        <v>35</v>
      </c>
    </row>
    <row r="460" spans="1:3" x14ac:dyDescent="0.2">
      <c r="A460" s="10">
        <v>458</v>
      </c>
      <c r="B460" s="10">
        <f t="shared" ca="1" si="7"/>
        <v>0.68948055020642263</v>
      </c>
      <c r="C460" s="10" t="s">
        <v>35</v>
      </c>
    </row>
    <row r="461" spans="1:3" x14ac:dyDescent="0.2">
      <c r="A461" s="10">
        <v>459</v>
      </c>
      <c r="B461" s="10">
        <f t="shared" ca="1" si="7"/>
        <v>0.83118637246219662</v>
      </c>
      <c r="C461" s="10" t="s">
        <v>34</v>
      </c>
    </row>
    <row r="462" spans="1:3" x14ac:dyDescent="0.2">
      <c r="A462" s="10">
        <v>460</v>
      </c>
      <c r="B462" s="10">
        <f t="shared" ca="1" si="7"/>
        <v>0.65633776375979203</v>
      </c>
      <c r="C462" s="10" t="s">
        <v>34</v>
      </c>
    </row>
    <row r="463" spans="1:3" x14ac:dyDescent="0.2">
      <c r="A463" s="10">
        <v>461</v>
      </c>
      <c r="B463" s="10">
        <f t="shared" ca="1" si="7"/>
        <v>0.50232919167785162</v>
      </c>
      <c r="C463" s="10" t="s">
        <v>35</v>
      </c>
    </row>
    <row r="464" spans="1:3" x14ac:dyDescent="0.2">
      <c r="A464" s="10">
        <v>462</v>
      </c>
      <c r="B464" s="10">
        <f t="shared" ca="1" si="7"/>
        <v>0.62647434352474218</v>
      </c>
      <c r="C464" s="10" t="s">
        <v>34</v>
      </c>
    </row>
    <row r="465" spans="1:3" x14ac:dyDescent="0.2">
      <c r="A465" s="10">
        <v>463</v>
      </c>
      <c r="B465" s="10">
        <f t="shared" ca="1" si="7"/>
        <v>0.65362415323300938</v>
      </c>
      <c r="C465" s="10" t="s">
        <v>34</v>
      </c>
    </row>
    <row r="466" spans="1:3" x14ac:dyDescent="0.2">
      <c r="A466" s="10">
        <v>464</v>
      </c>
      <c r="B466" s="10">
        <f t="shared" ca="1" si="7"/>
        <v>0.83251063645318557</v>
      </c>
      <c r="C466" s="10" t="s">
        <v>34</v>
      </c>
    </row>
    <row r="467" spans="1:3" x14ac:dyDescent="0.2">
      <c r="A467" s="10">
        <v>465</v>
      </c>
      <c r="B467" s="10">
        <f t="shared" ca="1" si="7"/>
        <v>0.78442354418363747</v>
      </c>
      <c r="C467" s="10" t="s">
        <v>34</v>
      </c>
    </row>
    <row r="468" spans="1:3" x14ac:dyDescent="0.2">
      <c r="A468" s="10">
        <v>466</v>
      </c>
      <c r="B468" s="10">
        <f t="shared" ca="1" si="7"/>
        <v>0.81982574945748221</v>
      </c>
      <c r="C468" s="10" t="s">
        <v>35</v>
      </c>
    </row>
    <row r="469" spans="1:3" x14ac:dyDescent="0.2">
      <c r="A469" s="10">
        <v>467</v>
      </c>
      <c r="B469" s="10">
        <f t="shared" ca="1" si="7"/>
        <v>0.68948729562310251</v>
      </c>
      <c r="C469" s="10" t="s">
        <v>35</v>
      </c>
    </row>
    <row r="470" spans="1:3" x14ac:dyDescent="0.2">
      <c r="A470" s="10">
        <v>468</v>
      </c>
      <c r="B470" s="10">
        <f t="shared" ca="1" si="7"/>
        <v>0.555313272482863</v>
      </c>
      <c r="C470" s="10" t="s">
        <v>35</v>
      </c>
    </row>
    <row r="471" spans="1:3" x14ac:dyDescent="0.2">
      <c r="A471" s="10">
        <v>469</v>
      </c>
      <c r="B471" s="10">
        <f t="shared" ca="1" si="7"/>
        <v>0.69471552338897058</v>
      </c>
      <c r="C471" s="10" t="s">
        <v>34</v>
      </c>
    </row>
    <row r="472" spans="1:3" x14ac:dyDescent="0.2">
      <c r="A472" s="10">
        <v>470</v>
      </c>
      <c r="B472" s="10">
        <f t="shared" ca="1" si="7"/>
        <v>0.43307850371095025</v>
      </c>
      <c r="C472" s="10" t="s">
        <v>35</v>
      </c>
    </row>
    <row r="473" spans="1:3" x14ac:dyDescent="0.2">
      <c r="A473" s="10">
        <v>471</v>
      </c>
      <c r="B473" s="10">
        <f t="shared" ca="1" si="7"/>
        <v>0.50275286230980276</v>
      </c>
      <c r="C473" s="10" t="s">
        <v>34</v>
      </c>
    </row>
    <row r="474" spans="1:3" x14ac:dyDescent="0.2">
      <c r="A474" s="10">
        <v>472</v>
      </c>
      <c r="B474" s="10">
        <f t="shared" ca="1" si="7"/>
        <v>0.53380112776603261</v>
      </c>
      <c r="C474" s="10" t="s">
        <v>34</v>
      </c>
    </row>
    <row r="475" spans="1:3" x14ac:dyDescent="0.2">
      <c r="A475" s="10">
        <v>473</v>
      </c>
      <c r="B475" s="10">
        <f t="shared" ca="1" si="7"/>
        <v>0.53468622526770271</v>
      </c>
      <c r="C475" s="10" t="s">
        <v>34</v>
      </c>
    </row>
    <row r="476" spans="1:3" x14ac:dyDescent="0.2">
      <c r="A476" s="10">
        <v>474</v>
      </c>
      <c r="B476" s="10">
        <f t="shared" ca="1" si="7"/>
        <v>0.66465713607068466</v>
      </c>
      <c r="C476" s="10" t="s">
        <v>35</v>
      </c>
    </row>
    <row r="477" spans="1:3" x14ac:dyDescent="0.2">
      <c r="A477" s="10">
        <v>475</v>
      </c>
      <c r="B477" s="10">
        <f t="shared" ca="1" si="7"/>
        <v>0.8293145215189256</v>
      </c>
      <c r="C477" s="10" t="s">
        <v>34</v>
      </c>
    </row>
    <row r="478" spans="1:3" x14ac:dyDescent="0.2">
      <c r="A478" s="10">
        <v>476</v>
      </c>
      <c r="B478" s="10">
        <f t="shared" ca="1" si="7"/>
        <v>0.63808202830251004</v>
      </c>
      <c r="C478" s="10" t="s">
        <v>34</v>
      </c>
    </row>
    <row r="479" spans="1:3" x14ac:dyDescent="0.2">
      <c r="A479" s="10">
        <v>477</v>
      </c>
      <c r="B479" s="10">
        <f t="shared" ca="1" si="7"/>
        <v>0.7673235018043294</v>
      </c>
      <c r="C479" s="10" t="s">
        <v>35</v>
      </c>
    </row>
    <row r="480" spans="1:3" x14ac:dyDescent="0.2">
      <c r="A480" s="10">
        <v>478</v>
      </c>
      <c r="B480" s="10">
        <f t="shared" ca="1" si="7"/>
        <v>0.36257232281060259</v>
      </c>
      <c r="C480" s="10" t="s">
        <v>35</v>
      </c>
    </row>
    <row r="481" spans="1:3" x14ac:dyDescent="0.2">
      <c r="A481" s="10">
        <v>479</v>
      </c>
      <c r="B481" s="10">
        <f t="shared" ca="1" si="7"/>
        <v>0.67965311641401371</v>
      </c>
      <c r="C481" s="10" t="s">
        <v>34</v>
      </c>
    </row>
    <row r="482" spans="1:3" x14ac:dyDescent="0.2">
      <c r="A482" s="10">
        <v>480</v>
      </c>
      <c r="B482" s="10">
        <f t="shared" ca="1" si="7"/>
        <v>0.72030316920501469</v>
      </c>
      <c r="C482" s="10" t="s">
        <v>34</v>
      </c>
    </row>
    <row r="483" spans="1:3" x14ac:dyDescent="0.2">
      <c r="A483" s="10">
        <v>481</v>
      </c>
      <c r="B483" s="10">
        <f t="shared" ca="1" si="7"/>
        <v>0.5543150186553184</v>
      </c>
      <c r="C483" s="10" t="s">
        <v>35</v>
      </c>
    </row>
    <row r="484" spans="1:3" x14ac:dyDescent="0.2">
      <c r="A484" s="10">
        <v>482</v>
      </c>
      <c r="B484" s="10">
        <f t="shared" ca="1" si="7"/>
        <v>0.45766241891663062</v>
      </c>
      <c r="C484" s="10" t="s">
        <v>35</v>
      </c>
    </row>
    <row r="485" spans="1:3" x14ac:dyDescent="0.2">
      <c r="A485" s="10">
        <v>483</v>
      </c>
      <c r="B485" s="10">
        <f t="shared" ca="1" si="7"/>
        <v>0.79379659975496875</v>
      </c>
      <c r="C485" s="10" t="s">
        <v>34</v>
      </c>
    </row>
    <row r="486" spans="1:3" x14ac:dyDescent="0.2">
      <c r="A486" s="10">
        <v>484</v>
      </c>
      <c r="B486" s="10">
        <f t="shared" ca="1" si="7"/>
        <v>0.6146375697758576</v>
      </c>
      <c r="C486" s="10" t="s">
        <v>34</v>
      </c>
    </row>
    <row r="487" spans="1:3" x14ac:dyDescent="0.2">
      <c r="A487" s="10">
        <v>485</v>
      </c>
      <c r="B487" s="10">
        <f t="shared" ca="1" si="7"/>
        <v>0.63869040608920846</v>
      </c>
      <c r="C487" s="10" t="s">
        <v>34</v>
      </c>
    </row>
    <row r="488" spans="1:3" x14ac:dyDescent="0.2">
      <c r="A488" s="10">
        <v>486</v>
      </c>
      <c r="B488" s="10">
        <f t="shared" ca="1" si="7"/>
        <v>0.80629832566187321</v>
      </c>
      <c r="C488" s="10" t="s">
        <v>35</v>
      </c>
    </row>
    <row r="489" spans="1:3" x14ac:dyDescent="0.2">
      <c r="A489" s="10">
        <v>487</v>
      </c>
      <c r="B489" s="10">
        <f t="shared" ca="1" si="7"/>
        <v>0.89667250764052031</v>
      </c>
      <c r="C489" s="10" t="s">
        <v>34</v>
      </c>
    </row>
    <row r="490" spans="1:3" x14ac:dyDescent="0.2">
      <c r="A490" s="10">
        <v>488</v>
      </c>
      <c r="B490" s="10">
        <f t="shared" ca="1" si="7"/>
        <v>0.53173659289601449</v>
      </c>
      <c r="C490" s="10" t="s">
        <v>35</v>
      </c>
    </row>
    <row r="491" spans="1:3" x14ac:dyDescent="0.2">
      <c r="A491" s="10">
        <v>489</v>
      </c>
      <c r="B491" s="10">
        <f t="shared" ca="1" si="7"/>
        <v>0.59315385433322909</v>
      </c>
      <c r="C491" s="10" t="s">
        <v>35</v>
      </c>
    </row>
    <row r="492" spans="1:3" x14ac:dyDescent="0.2">
      <c r="A492" s="10">
        <v>490</v>
      </c>
      <c r="B492" s="10">
        <f t="shared" ca="1" si="7"/>
        <v>0.63318359835113569</v>
      </c>
      <c r="C492" s="10" t="s">
        <v>34</v>
      </c>
    </row>
    <row r="493" spans="1:3" x14ac:dyDescent="0.2">
      <c r="A493" s="10">
        <v>491</v>
      </c>
      <c r="B493" s="10">
        <f t="shared" ca="1" si="7"/>
        <v>0.26738992703929865</v>
      </c>
      <c r="C493" s="10" t="s">
        <v>35</v>
      </c>
    </row>
    <row r="494" spans="1:3" x14ac:dyDescent="0.2">
      <c r="A494" s="10">
        <v>492</v>
      </c>
      <c r="B494" s="10">
        <f t="shared" ca="1" si="7"/>
        <v>0.81522503545504177</v>
      </c>
      <c r="C494" s="10" t="s">
        <v>34</v>
      </c>
    </row>
    <row r="495" spans="1:3" x14ac:dyDescent="0.2">
      <c r="A495" s="10">
        <v>493</v>
      </c>
      <c r="B495" s="10">
        <f t="shared" ca="1" si="7"/>
        <v>0.50133876363783636</v>
      </c>
      <c r="C495" s="10" t="s">
        <v>35</v>
      </c>
    </row>
    <row r="496" spans="1:3" x14ac:dyDescent="0.2">
      <c r="A496" s="10">
        <v>494</v>
      </c>
      <c r="B496" s="10">
        <f t="shared" ca="1" si="7"/>
        <v>0.35064552942558574</v>
      </c>
      <c r="C496" s="10" t="s">
        <v>35</v>
      </c>
    </row>
    <row r="497" spans="1:3" x14ac:dyDescent="0.2">
      <c r="A497" s="10">
        <v>495</v>
      </c>
      <c r="B497" s="10">
        <f t="shared" ca="1" si="7"/>
        <v>0.47459407794008268</v>
      </c>
      <c r="C497" s="10" t="s">
        <v>34</v>
      </c>
    </row>
    <row r="498" spans="1:3" x14ac:dyDescent="0.2">
      <c r="A498" s="10">
        <v>496</v>
      </c>
      <c r="B498" s="10">
        <f t="shared" ca="1" si="7"/>
        <v>0.67094489714944872</v>
      </c>
      <c r="C498" s="10" t="s">
        <v>34</v>
      </c>
    </row>
    <row r="499" spans="1:3" x14ac:dyDescent="0.2">
      <c r="A499" s="10">
        <v>497</v>
      </c>
      <c r="B499" s="10">
        <f t="shared" ca="1" si="7"/>
        <v>0.6779272555774194</v>
      </c>
      <c r="C499" s="10" t="s">
        <v>34</v>
      </c>
    </row>
    <row r="500" spans="1:3" x14ac:dyDescent="0.2">
      <c r="A500" s="10">
        <v>498</v>
      </c>
      <c r="B500" s="10">
        <f t="shared" ca="1" si="7"/>
        <v>0.24312805823677497</v>
      </c>
      <c r="C500" s="10" t="s">
        <v>35</v>
      </c>
    </row>
    <row r="501" spans="1:3" x14ac:dyDescent="0.2">
      <c r="A501" s="10">
        <v>499</v>
      </c>
      <c r="B501" s="10">
        <f t="shared" ca="1" si="7"/>
        <v>0.64595621046973439</v>
      </c>
      <c r="C501" s="10" t="s">
        <v>34</v>
      </c>
    </row>
    <row r="502" spans="1:3" x14ac:dyDescent="0.2">
      <c r="A502" s="10">
        <v>500</v>
      </c>
      <c r="B502" s="10">
        <f t="shared" ca="1" si="7"/>
        <v>0.81390328248778676</v>
      </c>
      <c r="C502" s="10" t="s">
        <v>34</v>
      </c>
    </row>
    <row r="503" spans="1:3" x14ac:dyDescent="0.2">
      <c r="A503" s="10">
        <v>501</v>
      </c>
      <c r="B503" s="10">
        <f t="shared" ca="1" si="7"/>
        <v>0.63875802716391006</v>
      </c>
      <c r="C503" s="10" t="s">
        <v>35</v>
      </c>
    </row>
    <row r="504" spans="1:3" x14ac:dyDescent="0.2">
      <c r="A504" s="10">
        <v>502</v>
      </c>
      <c r="B504" s="10">
        <f t="shared" ca="1" si="7"/>
        <v>0.69188827443688272</v>
      </c>
      <c r="C504" s="10" t="s">
        <v>35</v>
      </c>
    </row>
    <row r="505" spans="1:3" x14ac:dyDescent="0.2">
      <c r="A505" s="10">
        <v>503</v>
      </c>
      <c r="B505" s="10">
        <f t="shared" ca="1" si="7"/>
        <v>0.57368004937813599</v>
      </c>
      <c r="C505" s="10" t="s">
        <v>35</v>
      </c>
    </row>
    <row r="506" spans="1:3" x14ac:dyDescent="0.2">
      <c r="A506" s="10">
        <v>504</v>
      </c>
      <c r="B506" s="10">
        <f t="shared" ca="1" si="7"/>
        <v>0.79176606750335021</v>
      </c>
      <c r="C506" s="10" t="s">
        <v>35</v>
      </c>
    </row>
    <row r="507" spans="1:3" x14ac:dyDescent="0.2">
      <c r="A507" s="10">
        <v>505</v>
      </c>
      <c r="B507" s="10">
        <f t="shared" ca="1" si="7"/>
        <v>0.6719288407749483</v>
      </c>
      <c r="C507" s="10" t="s">
        <v>34</v>
      </c>
    </row>
    <row r="508" spans="1:3" x14ac:dyDescent="0.2">
      <c r="A508" s="10">
        <v>506</v>
      </c>
      <c r="B508" s="10">
        <f t="shared" ca="1" si="7"/>
        <v>0.68825487967468024</v>
      </c>
      <c r="C508" s="10" t="s">
        <v>34</v>
      </c>
    </row>
    <row r="509" spans="1:3" x14ac:dyDescent="0.2">
      <c r="A509" s="10">
        <v>507</v>
      </c>
      <c r="B509" s="10">
        <f t="shared" ca="1" si="7"/>
        <v>0.77140114594935139</v>
      </c>
      <c r="C509" s="10" t="s">
        <v>34</v>
      </c>
    </row>
    <row r="510" spans="1:3" x14ac:dyDescent="0.2">
      <c r="A510" s="10">
        <v>508</v>
      </c>
      <c r="B510" s="10">
        <f t="shared" ca="1" si="7"/>
        <v>0.6814541960864412</v>
      </c>
      <c r="C510" s="10" t="s">
        <v>35</v>
      </c>
    </row>
    <row r="511" spans="1:3" x14ac:dyDescent="0.2">
      <c r="A511" s="10">
        <v>509</v>
      </c>
      <c r="B511" s="10">
        <f t="shared" ca="1" si="7"/>
        <v>0.76932064261667465</v>
      </c>
      <c r="C511" s="10" t="s">
        <v>34</v>
      </c>
    </row>
    <row r="512" spans="1:3" x14ac:dyDescent="0.2">
      <c r="A512" s="10">
        <v>510</v>
      </c>
      <c r="B512" s="10">
        <f t="shared" ca="1" si="7"/>
        <v>0.66039038402994388</v>
      </c>
      <c r="C512" s="10" t="s">
        <v>34</v>
      </c>
    </row>
    <row r="513" spans="1:3" x14ac:dyDescent="0.2">
      <c r="A513" s="10">
        <v>511</v>
      </c>
      <c r="B513" s="10">
        <f t="shared" ca="1" si="7"/>
        <v>0.71613222509441687</v>
      </c>
      <c r="C513" s="10" t="s">
        <v>34</v>
      </c>
    </row>
    <row r="514" spans="1:3" x14ac:dyDescent="0.2">
      <c r="A514" s="10">
        <v>512</v>
      </c>
      <c r="B514" s="10">
        <f t="shared" ca="1" si="7"/>
        <v>0.62240908109696447</v>
      </c>
      <c r="C514" s="10" t="s">
        <v>34</v>
      </c>
    </row>
    <row r="515" spans="1:3" x14ac:dyDescent="0.2">
      <c r="A515" s="10">
        <v>513</v>
      </c>
      <c r="B515" s="10">
        <f t="shared" ca="1" si="7"/>
        <v>0.90024353510674626</v>
      </c>
      <c r="C515" s="10" t="s">
        <v>34</v>
      </c>
    </row>
    <row r="516" spans="1:3" x14ac:dyDescent="0.2">
      <c r="A516" s="10">
        <v>514</v>
      </c>
      <c r="B516" s="10">
        <f t="shared" ref="B516:B579" ca="1" si="8">IF(C516="Bomb",_xlfn.NORM.INV(RAND(),0.7,0.1),_xlfn.NORM.INV(RAND(),0.6,0.15))</f>
        <v>0.73405295419675454</v>
      </c>
      <c r="C516" s="10" t="s">
        <v>35</v>
      </c>
    </row>
    <row r="517" spans="1:3" x14ac:dyDescent="0.2">
      <c r="A517" s="10">
        <v>515</v>
      </c>
      <c r="B517" s="10">
        <f t="shared" ca="1" si="8"/>
        <v>0.77218746588269815</v>
      </c>
      <c r="C517" s="10" t="s">
        <v>34</v>
      </c>
    </row>
    <row r="518" spans="1:3" x14ac:dyDescent="0.2">
      <c r="A518" s="10">
        <v>516</v>
      </c>
      <c r="B518" s="10">
        <f t="shared" ca="1" si="8"/>
        <v>0.621780891312536</v>
      </c>
      <c r="C518" s="10" t="s">
        <v>34</v>
      </c>
    </row>
    <row r="519" spans="1:3" x14ac:dyDescent="0.2">
      <c r="A519" s="10">
        <v>517</v>
      </c>
      <c r="B519" s="10">
        <f t="shared" ca="1" si="8"/>
        <v>0.7452530512990363</v>
      </c>
      <c r="C519" s="10" t="s">
        <v>34</v>
      </c>
    </row>
    <row r="520" spans="1:3" x14ac:dyDescent="0.2">
      <c r="A520" s="10">
        <v>518</v>
      </c>
      <c r="B520" s="10">
        <f t="shared" ca="1" si="8"/>
        <v>0.48905521965716298</v>
      </c>
      <c r="C520" s="10" t="s">
        <v>35</v>
      </c>
    </row>
    <row r="521" spans="1:3" x14ac:dyDescent="0.2">
      <c r="A521" s="10">
        <v>519</v>
      </c>
      <c r="B521" s="10">
        <f t="shared" ca="1" si="8"/>
        <v>0.81266732899464644</v>
      </c>
      <c r="C521" s="10" t="s">
        <v>34</v>
      </c>
    </row>
    <row r="522" spans="1:3" x14ac:dyDescent="0.2">
      <c r="A522" s="10">
        <v>520</v>
      </c>
      <c r="B522" s="10">
        <f t="shared" ca="1" si="8"/>
        <v>0.50120271841262665</v>
      </c>
      <c r="C522" s="10" t="s">
        <v>35</v>
      </c>
    </row>
    <row r="523" spans="1:3" x14ac:dyDescent="0.2">
      <c r="A523" s="10">
        <v>521</v>
      </c>
      <c r="B523" s="10">
        <f t="shared" ca="1" si="8"/>
        <v>0.4752366337915282</v>
      </c>
      <c r="C523" s="10" t="s">
        <v>35</v>
      </c>
    </row>
    <row r="524" spans="1:3" x14ac:dyDescent="0.2">
      <c r="A524" s="10">
        <v>522</v>
      </c>
      <c r="B524" s="10">
        <f t="shared" ca="1" si="8"/>
        <v>0.82850760246792643</v>
      </c>
      <c r="C524" s="10" t="s">
        <v>34</v>
      </c>
    </row>
    <row r="525" spans="1:3" x14ac:dyDescent="0.2">
      <c r="A525" s="10">
        <v>523</v>
      </c>
      <c r="B525" s="10">
        <f t="shared" ca="1" si="8"/>
        <v>0.78365897486839209</v>
      </c>
      <c r="C525" s="10" t="s">
        <v>34</v>
      </c>
    </row>
    <row r="526" spans="1:3" x14ac:dyDescent="0.2">
      <c r="A526" s="10">
        <v>524</v>
      </c>
      <c r="B526" s="10">
        <f t="shared" ca="1" si="8"/>
        <v>0.61731513353283063</v>
      </c>
      <c r="C526" s="10" t="s">
        <v>35</v>
      </c>
    </row>
    <row r="527" spans="1:3" x14ac:dyDescent="0.2">
      <c r="A527" s="10">
        <v>525</v>
      </c>
      <c r="B527" s="10">
        <f t="shared" ca="1" si="8"/>
        <v>0.74251671152479914</v>
      </c>
      <c r="C527" s="10" t="s">
        <v>34</v>
      </c>
    </row>
    <row r="528" spans="1:3" x14ac:dyDescent="0.2">
      <c r="A528" s="10">
        <v>526</v>
      </c>
      <c r="B528" s="10">
        <f t="shared" ca="1" si="8"/>
        <v>0.49483486646522878</v>
      </c>
      <c r="C528" s="10" t="s">
        <v>35</v>
      </c>
    </row>
    <row r="529" spans="1:3" x14ac:dyDescent="0.2">
      <c r="A529" s="10">
        <v>527</v>
      </c>
      <c r="B529" s="10">
        <f t="shared" ca="1" si="8"/>
        <v>0.47017732529686396</v>
      </c>
      <c r="C529" s="10" t="s">
        <v>35</v>
      </c>
    </row>
    <row r="530" spans="1:3" x14ac:dyDescent="0.2">
      <c r="A530" s="10">
        <v>528</v>
      </c>
      <c r="B530" s="10">
        <f t="shared" ca="1" si="8"/>
        <v>0.5835859299618551</v>
      </c>
      <c r="C530" s="10" t="s">
        <v>34</v>
      </c>
    </row>
    <row r="531" spans="1:3" x14ac:dyDescent="0.2">
      <c r="A531" s="10">
        <v>529</v>
      </c>
      <c r="B531" s="10">
        <f t="shared" ca="1" si="8"/>
        <v>0.80390446205926847</v>
      </c>
      <c r="C531" s="10" t="s">
        <v>34</v>
      </c>
    </row>
    <row r="532" spans="1:3" x14ac:dyDescent="0.2">
      <c r="A532" s="10">
        <v>530</v>
      </c>
      <c r="B532" s="10">
        <f t="shared" ca="1" si="8"/>
        <v>0.58502272644763176</v>
      </c>
      <c r="C532" s="10" t="s">
        <v>35</v>
      </c>
    </row>
    <row r="533" spans="1:3" x14ac:dyDescent="0.2">
      <c r="A533" s="10">
        <v>531</v>
      </c>
      <c r="B533" s="10">
        <f t="shared" ca="1" si="8"/>
        <v>0.73755044999247343</v>
      </c>
      <c r="C533" s="10" t="s">
        <v>34</v>
      </c>
    </row>
    <row r="534" spans="1:3" x14ac:dyDescent="0.2">
      <c r="A534" s="10">
        <v>532</v>
      </c>
      <c r="B534" s="10">
        <f t="shared" ca="1" si="8"/>
        <v>0.57979063018008747</v>
      </c>
      <c r="C534" s="10" t="s">
        <v>35</v>
      </c>
    </row>
    <row r="535" spans="1:3" x14ac:dyDescent="0.2">
      <c r="A535" s="10">
        <v>533</v>
      </c>
      <c r="B535" s="10">
        <f t="shared" ca="1" si="8"/>
        <v>0.58639703914789543</v>
      </c>
      <c r="C535" s="10" t="s">
        <v>35</v>
      </c>
    </row>
    <row r="536" spans="1:3" x14ac:dyDescent="0.2">
      <c r="A536" s="10">
        <v>534</v>
      </c>
      <c r="B536" s="10">
        <f t="shared" ca="1" si="8"/>
        <v>0.66933656695380261</v>
      </c>
      <c r="C536" s="10" t="s">
        <v>34</v>
      </c>
    </row>
    <row r="537" spans="1:3" x14ac:dyDescent="0.2">
      <c r="A537" s="10">
        <v>535</v>
      </c>
      <c r="B537" s="10">
        <f t="shared" ca="1" si="8"/>
        <v>0.57258356772010854</v>
      </c>
      <c r="C537" s="10" t="s">
        <v>35</v>
      </c>
    </row>
    <row r="538" spans="1:3" x14ac:dyDescent="0.2">
      <c r="A538" s="10">
        <v>536</v>
      </c>
      <c r="B538" s="10">
        <f t="shared" ca="1" si="8"/>
        <v>0.64616063394632273</v>
      </c>
      <c r="C538" s="10" t="s">
        <v>35</v>
      </c>
    </row>
    <row r="539" spans="1:3" x14ac:dyDescent="0.2">
      <c r="A539" s="10">
        <v>537</v>
      </c>
      <c r="B539" s="10">
        <f t="shared" ca="1" si="8"/>
        <v>0.3076921858478483</v>
      </c>
      <c r="C539" s="10" t="s">
        <v>35</v>
      </c>
    </row>
    <row r="540" spans="1:3" x14ac:dyDescent="0.2">
      <c r="A540" s="10">
        <v>538</v>
      </c>
      <c r="B540" s="10">
        <f t="shared" ca="1" si="8"/>
        <v>0.71956678536648477</v>
      </c>
      <c r="C540" s="10" t="s">
        <v>34</v>
      </c>
    </row>
    <row r="541" spans="1:3" x14ac:dyDescent="0.2">
      <c r="A541" s="10">
        <v>539</v>
      </c>
      <c r="B541" s="10">
        <f t="shared" ca="1" si="8"/>
        <v>0.60446797192227242</v>
      </c>
      <c r="C541" s="10" t="s">
        <v>35</v>
      </c>
    </row>
    <row r="542" spans="1:3" x14ac:dyDescent="0.2">
      <c r="A542" s="10">
        <v>540</v>
      </c>
      <c r="B542" s="10">
        <f t="shared" ca="1" si="8"/>
        <v>0.71729244268544279</v>
      </c>
      <c r="C542" s="10" t="s">
        <v>35</v>
      </c>
    </row>
    <row r="543" spans="1:3" x14ac:dyDescent="0.2">
      <c r="A543" s="10">
        <v>541</v>
      </c>
      <c r="B543" s="10">
        <f t="shared" ca="1" si="8"/>
        <v>0.47794335236561386</v>
      </c>
      <c r="C543" s="10" t="s">
        <v>35</v>
      </c>
    </row>
    <row r="544" spans="1:3" x14ac:dyDescent="0.2">
      <c r="A544" s="10">
        <v>542</v>
      </c>
      <c r="B544" s="10">
        <f t="shared" ca="1" si="8"/>
        <v>0.83456766172131247</v>
      </c>
      <c r="C544" s="10" t="s">
        <v>34</v>
      </c>
    </row>
    <row r="545" spans="1:3" x14ac:dyDescent="0.2">
      <c r="A545" s="10">
        <v>543</v>
      </c>
      <c r="B545" s="10">
        <f t="shared" ca="1" si="8"/>
        <v>0.61242186374397445</v>
      </c>
      <c r="C545" s="10" t="s">
        <v>34</v>
      </c>
    </row>
    <row r="546" spans="1:3" x14ac:dyDescent="0.2">
      <c r="A546" s="10">
        <v>544</v>
      </c>
      <c r="B546" s="10">
        <f t="shared" ca="1" si="8"/>
        <v>0.71210429182889856</v>
      </c>
      <c r="C546" s="10" t="s">
        <v>34</v>
      </c>
    </row>
    <row r="547" spans="1:3" x14ac:dyDescent="0.2">
      <c r="A547" s="10">
        <v>545</v>
      </c>
      <c r="B547" s="10">
        <f t="shared" ca="1" si="8"/>
        <v>0.71231356451885874</v>
      </c>
      <c r="C547" s="10" t="s">
        <v>35</v>
      </c>
    </row>
    <row r="548" spans="1:3" x14ac:dyDescent="0.2">
      <c r="A548" s="10">
        <v>546</v>
      </c>
      <c r="B548" s="10">
        <f t="shared" ca="1" si="8"/>
        <v>0.63423834018449987</v>
      </c>
      <c r="C548" s="10" t="s">
        <v>35</v>
      </c>
    </row>
    <row r="549" spans="1:3" x14ac:dyDescent="0.2">
      <c r="A549" s="10">
        <v>547</v>
      </c>
      <c r="B549" s="10">
        <f t="shared" ca="1" si="8"/>
        <v>0.85704900054560551</v>
      </c>
      <c r="C549" s="10" t="s">
        <v>34</v>
      </c>
    </row>
    <row r="550" spans="1:3" x14ac:dyDescent="0.2">
      <c r="A550" s="10">
        <v>548</v>
      </c>
      <c r="B550" s="10">
        <f t="shared" ca="1" si="8"/>
        <v>0.89244662344938697</v>
      </c>
      <c r="C550" s="10" t="s">
        <v>34</v>
      </c>
    </row>
    <row r="551" spans="1:3" x14ac:dyDescent="0.2">
      <c r="A551" s="10">
        <v>549</v>
      </c>
      <c r="B551" s="10">
        <f t="shared" ca="1" si="8"/>
        <v>0.67021980162737338</v>
      </c>
      <c r="C551" s="10" t="s">
        <v>35</v>
      </c>
    </row>
    <row r="552" spans="1:3" x14ac:dyDescent="0.2">
      <c r="A552" s="10">
        <v>550</v>
      </c>
      <c r="B552" s="10">
        <f t="shared" ca="1" si="8"/>
        <v>0.80462746485216396</v>
      </c>
      <c r="C552" s="10" t="s">
        <v>34</v>
      </c>
    </row>
    <row r="553" spans="1:3" x14ac:dyDescent="0.2">
      <c r="A553" s="10">
        <v>551</v>
      </c>
      <c r="B553" s="10">
        <f t="shared" ca="1" si="8"/>
        <v>0.23813922968314388</v>
      </c>
      <c r="C553" s="10" t="s">
        <v>35</v>
      </c>
    </row>
    <row r="554" spans="1:3" x14ac:dyDescent="0.2">
      <c r="A554" s="10">
        <v>552</v>
      </c>
      <c r="B554" s="10">
        <f t="shared" ca="1" si="8"/>
        <v>0.5421039566350847</v>
      </c>
      <c r="C554" s="10" t="s">
        <v>35</v>
      </c>
    </row>
    <row r="555" spans="1:3" x14ac:dyDescent="0.2">
      <c r="A555" s="10">
        <v>553</v>
      </c>
      <c r="B555" s="10">
        <f t="shared" ca="1" si="8"/>
        <v>0.64593279566793915</v>
      </c>
      <c r="C555" s="10" t="s">
        <v>35</v>
      </c>
    </row>
    <row r="556" spans="1:3" x14ac:dyDescent="0.2">
      <c r="A556" s="10">
        <v>554</v>
      </c>
      <c r="B556" s="10">
        <f t="shared" ca="1" si="8"/>
        <v>0.69986618919155152</v>
      </c>
      <c r="C556" s="10" t="s">
        <v>34</v>
      </c>
    </row>
    <row r="557" spans="1:3" x14ac:dyDescent="0.2">
      <c r="A557" s="10">
        <v>555</v>
      </c>
      <c r="B557" s="10">
        <f t="shared" ca="1" si="8"/>
        <v>0.4474612461558079</v>
      </c>
      <c r="C557" s="10" t="s">
        <v>35</v>
      </c>
    </row>
    <row r="558" spans="1:3" x14ac:dyDescent="0.2">
      <c r="A558" s="10">
        <v>556</v>
      </c>
      <c r="B558" s="10">
        <f t="shared" ca="1" si="8"/>
        <v>0.73472293591266769</v>
      </c>
      <c r="C558" s="10" t="s">
        <v>34</v>
      </c>
    </row>
    <row r="559" spans="1:3" x14ac:dyDescent="0.2">
      <c r="A559" s="10">
        <v>557</v>
      </c>
      <c r="B559" s="10">
        <f t="shared" ca="1" si="8"/>
        <v>0.77657889118010059</v>
      </c>
      <c r="C559" s="10" t="s">
        <v>34</v>
      </c>
    </row>
    <row r="560" spans="1:3" x14ac:dyDescent="0.2">
      <c r="A560" s="10">
        <v>558</v>
      </c>
      <c r="B560" s="10">
        <f t="shared" ca="1" si="8"/>
        <v>0.66323786751872615</v>
      </c>
      <c r="C560" s="10" t="s">
        <v>35</v>
      </c>
    </row>
    <row r="561" spans="1:3" x14ac:dyDescent="0.2">
      <c r="A561" s="10">
        <v>559</v>
      </c>
      <c r="B561" s="10">
        <f t="shared" ca="1" si="8"/>
        <v>0.74322418377260413</v>
      </c>
      <c r="C561" s="10" t="s">
        <v>34</v>
      </c>
    </row>
    <row r="562" spans="1:3" x14ac:dyDescent="0.2">
      <c r="A562" s="10">
        <v>560</v>
      </c>
      <c r="B562" s="10">
        <f t="shared" ca="1" si="8"/>
        <v>0.3855993938934042</v>
      </c>
      <c r="C562" s="10" t="s">
        <v>35</v>
      </c>
    </row>
    <row r="563" spans="1:3" x14ac:dyDescent="0.2">
      <c r="A563" s="10">
        <v>561</v>
      </c>
      <c r="B563" s="10">
        <f t="shared" ca="1" si="8"/>
        <v>0.72305754534796596</v>
      </c>
      <c r="C563" s="10" t="s">
        <v>35</v>
      </c>
    </row>
    <row r="564" spans="1:3" x14ac:dyDescent="0.2">
      <c r="A564" s="10">
        <v>562</v>
      </c>
      <c r="B564" s="10">
        <f t="shared" ca="1" si="8"/>
        <v>0.79839715082715679</v>
      </c>
      <c r="C564" s="10" t="s">
        <v>35</v>
      </c>
    </row>
    <row r="565" spans="1:3" x14ac:dyDescent="0.2">
      <c r="A565" s="10">
        <v>563</v>
      </c>
      <c r="B565" s="10">
        <f t="shared" ca="1" si="8"/>
        <v>0.91006325219855999</v>
      </c>
      <c r="C565" s="10" t="s">
        <v>35</v>
      </c>
    </row>
    <row r="566" spans="1:3" x14ac:dyDescent="0.2">
      <c r="A566" s="10">
        <v>564</v>
      </c>
      <c r="B566" s="10">
        <f t="shared" ca="1" si="8"/>
        <v>0.46676383208588074</v>
      </c>
      <c r="C566" s="10" t="s">
        <v>35</v>
      </c>
    </row>
    <row r="567" spans="1:3" x14ac:dyDescent="0.2">
      <c r="A567" s="10">
        <v>565</v>
      </c>
      <c r="B567" s="10">
        <f t="shared" ca="1" si="8"/>
        <v>0.63570360586724706</v>
      </c>
      <c r="C567" s="10" t="s">
        <v>35</v>
      </c>
    </row>
    <row r="568" spans="1:3" x14ac:dyDescent="0.2">
      <c r="A568" s="10">
        <v>566</v>
      </c>
      <c r="B568" s="10">
        <f t="shared" ca="1" si="8"/>
        <v>0.51185823801229335</v>
      </c>
      <c r="C568" s="10" t="s">
        <v>34</v>
      </c>
    </row>
    <row r="569" spans="1:3" x14ac:dyDescent="0.2">
      <c r="A569" s="10">
        <v>567</v>
      </c>
      <c r="B569" s="10">
        <f t="shared" ca="1" si="8"/>
        <v>0.65326035058250997</v>
      </c>
      <c r="C569" s="10" t="s">
        <v>34</v>
      </c>
    </row>
    <row r="570" spans="1:3" x14ac:dyDescent="0.2">
      <c r="A570" s="10">
        <v>568</v>
      </c>
      <c r="B570" s="10">
        <f t="shared" ca="1" si="8"/>
        <v>0.8689817681682237</v>
      </c>
      <c r="C570" s="10" t="s">
        <v>34</v>
      </c>
    </row>
    <row r="571" spans="1:3" x14ac:dyDescent="0.2">
      <c r="A571" s="10">
        <v>569</v>
      </c>
      <c r="B571" s="10">
        <f t="shared" ca="1" si="8"/>
        <v>0.63270843814242528</v>
      </c>
      <c r="C571" s="10" t="s">
        <v>35</v>
      </c>
    </row>
    <row r="572" spans="1:3" x14ac:dyDescent="0.2">
      <c r="A572" s="10">
        <v>570</v>
      </c>
      <c r="B572" s="10">
        <f t="shared" ca="1" si="8"/>
        <v>0.6071089202728035</v>
      </c>
      <c r="C572" s="10" t="s">
        <v>34</v>
      </c>
    </row>
    <row r="573" spans="1:3" x14ac:dyDescent="0.2">
      <c r="A573" s="10">
        <v>571</v>
      </c>
      <c r="B573" s="10">
        <f t="shared" ca="1" si="8"/>
        <v>0.80900129817375976</v>
      </c>
      <c r="C573" s="10" t="s">
        <v>35</v>
      </c>
    </row>
    <row r="574" spans="1:3" x14ac:dyDescent="0.2">
      <c r="A574" s="10">
        <v>572</v>
      </c>
      <c r="B574" s="10">
        <f t="shared" ca="1" si="8"/>
        <v>0.59996808832498738</v>
      </c>
      <c r="C574" s="10" t="s">
        <v>34</v>
      </c>
    </row>
    <row r="575" spans="1:3" x14ac:dyDescent="0.2">
      <c r="A575" s="10">
        <v>573</v>
      </c>
      <c r="B575" s="10">
        <f t="shared" ca="1" si="8"/>
        <v>0.56588470347310349</v>
      </c>
      <c r="C575" s="10" t="s">
        <v>34</v>
      </c>
    </row>
    <row r="576" spans="1:3" x14ac:dyDescent="0.2">
      <c r="A576" s="10">
        <v>574</v>
      </c>
      <c r="B576" s="10">
        <f t="shared" ca="1" si="8"/>
        <v>0.61401659519830742</v>
      </c>
      <c r="C576" s="10" t="s">
        <v>34</v>
      </c>
    </row>
    <row r="577" spans="1:3" x14ac:dyDescent="0.2">
      <c r="A577" s="10">
        <v>575</v>
      </c>
      <c r="B577" s="10">
        <f t="shared" ca="1" si="8"/>
        <v>0.51206376555435829</v>
      </c>
      <c r="C577" s="10" t="s">
        <v>35</v>
      </c>
    </row>
    <row r="578" spans="1:3" x14ac:dyDescent="0.2">
      <c r="A578" s="10">
        <v>576</v>
      </c>
      <c r="B578" s="10">
        <f t="shared" ca="1" si="8"/>
        <v>0.80914656702659482</v>
      </c>
      <c r="C578" s="10" t="s">
        <v>35</v>
      </c>
    </row>
    <row r="579" spans="1:3" x14ac:dyDescent="0.2">
      <c r="A579" s="10">
        <v>577</v>
      </c>
      <c r="B579" s="10">
        <f t="shared" ca="1" si="8"/>
        <v>0.65173375581049675</v>
      </c>
      <c r="C579" s="10" t="s">
        <v>35</v>
      </c>
    </row>
    <row r="580" spans="1:3" x14ac:dyDescent="0.2">
      <c r="A580" s="10">
        <v>578</v>
      </c>
      <c r="B580" s="10">
        <f t="shared" ref="B580:B643" ca="1" si="9">IF(C580="Bomb",_xlfn.NORM.INV(RAND(),0.7,0.1),_xlfn.NORM.INV(RAND(),0.6,0.15))</f>
        <v>0.64280048705868142</v>
      </c>
      <c r="C580" s="10" t="s">
        <v>34</v>
      </c>
    </row>
    <row r="581" spans="1:3" x14ac:dyDescent="0.2">
      <c r="A581" s="10">
        <v>579</v>
      </c>
      <c r="B581" s="10">
        <f t="shared" ca="1" si="9"/>
        <v>0.71558230619573837</v>
      </c>
      <c r="C581" s="10" t="s">
        <v>34</v>
      </c>
    </row>
    <row r="582" spans="1:3" x14ac:dyDescent="0.2">
      <c r="A582" s="10">
        <v>580</v>
      </c>
      <c r="B582" s="10">
        <f t="shared" ca="1" si="9"/>
        <v>0.8067402826374892</v>
      </c>
      <c r="C582" s="10" t="s">
        <v>34</v>
      </c>
    </row>
    <row r="583" spans="1:3" x14ac:dyDescent="0.2">
      <c r="A583" s="10">
        <v>581</v>
      </c>
      <c r="B583" s="10">
        <f t="shared" ca="1" si="9"/>
        <v>0.53139857125412138</v>
      </c>
      <c r="C583" s="10" t="s">
        <v>35</v>
      </c>
    </row>
    <row r="584" spans="1:3" x14ac:dyDescent="0.2">
      <c r="A584" s="10">
        <v>582</v>
      </c>
      <c r="B584" s="10">
        <f t="shared" ca="1" si="9"/>
        <v>0.95175003539489311</v>
      </c>
      <c r="C584" s="10" t="s">
        <v>34</v>
      </c>
    </row>
    <row r="585" spans="1:3" x14ac:dyDescent="0.2">
      <c r="A585" s="10">
        <v>583</v>
      </c>
      <c r="B585" s="10">
        <f t="shared" ca="1" si="9"/>
        <v>0.57816072943139862</v>
      </c>
      <c r="C585" s="10" t="s">
        <v>35</v>
      </c>
    </row>
    <row r="586" spans="1:3" x14ac:dyDescent="0.2">
      <c r="A586" s="10">
        <v>584</v>
      </c>
      <c r="B586" s="10">
        <f t="shared" ca="1" si="9"/>
        <v>0.88447059107082515</v>
      </c>
      <c r="C586" s="10" t="s">
        <v>34</v>
      </c>
    </row>
    <row r="587" spans="1:3" x14ac:dyDescent="0.2">
      <c r="A587" s="10">
        <v>585</v>
      </c>
      <c r="B587" s="10">
        <f t="shared" ca="1" si="9"/>
        <v>0.61210075823112264</v>
      </c>
      <c r="C587" s="10" t="s">
        <v>35</v>
      </c>
    </row>
    <row r="588" spans="1:3" x14ac:dyDescent="0.2">
      <c r="A588" s="10">
        <v>586</v>
      </c>
      <c r="B588" s="10">
        <f t="shared" ca="1" si="9"/>
        <v>0.72687663897197052</v>
      </c>
      <c r="C588" s="10" t="s">
        <v>35</v>
      </c>
    </row>
    <row r="589" spans="1:3" x14ac:dyDescent="0.2">
      <c r="A589" s="10">
        <v>587</v>
      </c>
      <c r="B589" s="10">
        <f t="shared" ca="1" si="9"/>
        <v>0.66749249183784531</v>
      </c>
      <c r="C589" s="10" t="s">
        <v>34</v>
      </c>
    </row>
    <row r="590" spans="1:3" x14ac:dyDescent="0.2">
      <c r="A590" s="10">
        <v>588</v>
      </c>
      <c r="B590" s="10">
        <f t="shared" ca="1" si="9"/>
        <v>0.96602562554120697</v>
      </c>
      <c r="C590" s="10" t="s">
        <v>35</v>
      </c>
    </row>
    <row r="591" spans="1:3" x14ac:dyDescent="0.2">
      <c r="A591" s="10">
        <v>589</v>
      </c>
      <c r="B591" s="10">
        <f t="shared" ca="1" si="9"/>
        <v>0.61894029989140942</v>
      </c>
      <c r="C591" s="10" t="s">
        <v>35</v>
      </c>
    </row>
    <row r="592" spans="1:3" x14ac:dyDescent="0.2">
      <c r="A592" s="10">
        <v>590</v>
      </c>
      <c r="B592" s="10">
        <f t="shared" ca="1" si="9"/>
        <v>0.65236202998777204</v>
      </c>
      <c r="C592" s="10" t="s">
        <v>34</v>
      </c>
    </row>
    <row r="593" spans="1:3" x14ac:dyDescent="0.2">
      <c r="A593" s="10">
        <v>591</v>
      </c>
      <c r="B593" s="10">
        <f t="shared" ca="1" si="9"/>
        <v>0.3534459853115649</v>
      </c>
      <c r="C593" s="10" t="s">
        <v>35</v>
      </c>
    </row>
    <row r="594" spans="1:3" x14ac:dyDescent="0.2">
      <c r="A594" s="10">
        <v>592</v>
      </c>
      <c r="B594" s="10">
        <f t="shared" ca="1" si="9"/>
        <v>0.59267632833041117</v>
      </c>
      <c r="C594" s="10" t="s">
        <v>34</v>
      </c>
    </row>
    <row r="595" spans="1:3" x14ac:dyDescent="0.2">
      <c r="A595" s="10">
        <v>593</v>
      </c>
      <c r="B595" s="10">
        <f t="shared" ca="1" si="9"/>
        <v>0.56821745297409954</v>
      </c>
      <c r="C595" s="10" t="s">
        <v>35</v>
      </c>
    </row>
    <row r="596" spans="1:3" x14ac:dyDescent="0.2">
      <c r="A596" s="10">
        <v>594</v>
      </c>
      <c r="B596" s="10">
        <f t="shared" ca="1" si="9"/>
        <v>0.53534750073211912</v>
      </c>
      <c r="C596" s="10" t="s">
        <v>34</v>
      </c>
    </row>
    <row r="597" spans="1:3" x14ac:dyDescent="0.2">
      <c r="A597" s="10">
        <v>595</v>
      </c>
      <c r="B597" s="10">
        <f t="shared" ca="1" si="9"/>
        <v>0.73369932121218284</v>
      </c>
      <c r="C597" s="10" t="s">
        <v>34</v>
      </c>
    </row>
    <row r="598" spans="1:3" x14ac:dyDescent="0.2">
      <c r="A598" s="10">
        <v>596</v>
      </c>
      <c r="B598" s="10">
        <f t="shared" ca="1" si="9"/>
        <v>0.81449914081472441</v>
      </c>
      <c r="C598" s="10" t="s">
        <v>34</v>
      </c>
    </row>
    <row r="599" spans="1:3" x14ac:dyDescent="0.2">
      <c r="A599" s="10">
        <v>597</v>
      </c>
      <c r="B599" s="10">
        <f t="shared" ca="1" si="9"/>
        <v>0.56112797135834536</v>
      </c>
      <c r="C599" s="10" t="s">
        <v>34</v>
      </c>
    </row>
    <row r="600" spans="1:3" x14ac:dyDescent="0.2">
      <c r="A600" s="10">
        <v>598</v>
      </c>
      <c r="B600" s="10">
        <f t="shared" ca="1" si="9"/>
        <v>0.40730467210177834</v>
      </c>
      <c r="C600" s="10" t="s">
        <v>35</v>
      </c>
    </row>
    <row r="601" spans="1:3" x14ac:dyDescent="0.2">
      <c r="A601" s="10">
        <v>599</v>
      </c>
      <c r="B601" s="10">
        <f t="shared" ca="1" si="9"/>
        <v>0.65488973508306514</v>
      </c>
      <c r="C601" s="10" t="s">
        <v>34</v>
      </c>
    </row>
    <row r="602" spans="1:3" x14ac:dyDescent="0.2">
      <c r="A602" s="10">
        <v>600</v>
      </c>
      <c r="B602" s="10">
        <f t="shared" ca="1" si="9"/>
        <v>0.60578986950962777</v>
      </c>
      <c r="C602" s="10" t="s">
        <v>34</v>
      </c>
    </row>
    <row r="603" spans="1:3" x14ac:dyDescent="0.2">
      <c r="A603" s="10">
        <v>601</v>
      </c>
      <c r="B603" s="10">
        <f t="shared" ca="1" si="9"/>
        <v>0.73254157131556752</v>
      </c>
      <c r="C603" s="10" t="s">
        <v>35</v>
      </c>
    </row>
    <row r="604" spans="1:3" x14ac:dyDescent="0.2">
      <c r="A604" s="10">
        <v>602</v>
      </c>
      <c r="B604" s="10">
        <f t="shared" ca="1" si="9"/>
        <v>0.42472557596175231</v>
      </c>
      <c r="C604" s="10" t="s">
        <v>35</v>
      </c>
    </row>
    <row r="605" spans="1:3" x14ac:dyDescent="0.2">
      <c r="A605" s="10">
        <v>603</v>
      </c>
      <c r="B605" s="10">
        <f t="shared" ca="1" si="9"/>
        <v>0.67350144109112076</v>
      </c>
      <c r="C605" s="10" t="s">
        <v>35</v>
      </c>
    </row>
    <row r="606" spans="1:3" x14ac:dyDescent="0.2">
      <c r="A606" s="10">
        <v>604</v>
      </c>
      <c r="B606" s="10">
        <f t="shared" ca="1" si="9"/>
        <v>0.74101984648109531</v>
      </c>
      <c r="C606" s="10" t="s">
        <v>34</v>
      </c>
    </row>
    <row r="607" spans="1:3" x14ac:dyDescent="0.2">
      <c r="A607" s="10">
        <v>605</v>
      </c>
      <c r="B607" s="10">
        <f t="shared" ca="1" si="9"/>
        <v>0.65610364624266904</v>
      </c>
      <c r="C607" s="10" t="s">
        <v>35</v>
      </c>
    </row>
    <row r="608" spans="1:3" x14ac:dyDescent="0.2">
      <c r="A608" s="10">
        <v>606</v>
      </c>
      <c r="B608" s="10">
        <f t="shared" ca="1" si="9"/>
        <v>0.69517258341548216</v>
      </c>
      <c r="C608" s="10" t="s">
        <v>34</v>
      </c>
    </row>
    <row r="609" spans="1:3" x14ac:dyDescent="0.2">
      <c r="A609" s="10">
        <v>607</v>
      </c>
      <c r="B609" s="10">
        <f t="shared" ca="1" si="9"/>
        <v>0.58049894696195892</v>
      </c>
      <c r="C609" s="10" t="s">
        <v>35</v>
      </c>
    </row>
    <row r="610" spans="1:3" x14ac:dyDescent="0.2">
      <c r="A610" s="10">
        <v>608</v>
      </c>
      <c r="B610" s="10">
        <f t="shared" ca="1" si="9"/>
        <v>0.75701971585786942</v>
      </c>
      <c r="C610" s="10" t="s">
        <v>34</v>
      </c>
    </row>
    <row r="611" spans="1:3" x14ac:dyDescent="0.2">
      <c r="A611" s="10">
        <v>609</v>
      </c>
      <c r="B611" s="10">
        <f t="shared" ca="1" si="9"/>
        <v>0.52174697661274216</v>
      </c>
      <c r="C611" s="10" t="s">
        <v>35</v>
      </c>
    </row>
    <row r="612" spans="1:3" x14ac:dyDescent="0.2">
      <c r="A612" s="10">
        <v>610</v>
      </c>
      <c r="B612" s="10">
        <f t="shared" ca="1" si="9"/>
        <v>0.65187736760480064</v>
      </c>
      <c r="C612" s="10" t="s">
        <v>35</v>
      </c>
    </row>
    <row r="613" spans="1:3" x14ac:dyDescent="0.2">
      <c r="A613" s="10">
        <v>611</v>
      </c>
      <c r="B613" s="10">
        <f t="shared" ca="1" si="9"/>
        <v>0.72396448526803914</v>
      </c>
      <c r="C613" s="10" t="s">
        <v>34</v>
      </c>
    </row>
    <row r="614" spans="1:3" x14ac:dyDescent="0.2">
      <c r="A614" s="10">
        <v>612</v>
      </c>
      <c r="B614" s="10">
        <f t="shared" ca="1" si="9"/>
        <v>0.82641727801848386</v>
      </c>
      <c r="C614" s="10" t="s">
        <v>34</v>
      </c>
    </row>
    <row r="615" spans="1:3" x14ac:dyDescent="0.2">
      <c r="A615" s="10">
        <v>613</v>
      </c>
      <c r="B615" s="10">
        <f t="shared" ca="1" si="9"/>
        <v>0.61459156473786591</v>
      </c>
      <c r="C615" s="10" t="s">
        <v>35</v>
      </c>
    </row>
    <row r="616" spans="1:3" x14ac:dyDescent="0.2">
      <c r="A616" s="10">
        <v>614</v>
      </c>
      <c r="B616" s="10">
        <f t="shared" ca="1" si="9"/>
        <v>0.65329727511317903</v>
      </c>
      <c r="C616" s="10" t="s">
        <v>35</v>
      </c>
    </row>
    <row r="617" spans="1:3" x14ac:dyDescent="0.2">
      <c r="A617" s="10">
        <v>615</v>
      </c>
      <c r="B617" s="10">
        <f t="shared" ca="1" si="9"/>
        <v>0.50560690412573694</v>
      </c>
      <c r="C617" s="10" t="s">
        <v>35</v>
      </c>
    </row>
    <row r="618" spans="1:3" x14ac:dyDescent="0.2">
      <c r="A618" s="10">
        <v>616</v>
      </c>
      <c r="B618" s="10">
        <f t="shared" ca="1" si="9"/>
        <v>0.55416145297472941</v>
      </c>
      <c r="C618" s="10" t="s">
        <v>34</v>
      </c>
    </row>
    <row r="619" spans="1:3" x14ac:dyDescent="0.2">
      <c r="A619" s="10">
        <v>617</v>
      </c>
      <c r="B619" s="10">
        <f t="shared" ca="1" si="9"/>
        <v>0.61886570702292354</v>
      </c>
      <c r="C619" s="10" t="s">
        <v>34</v>
      </c>
    </row>
    <row r="620" spans="1:3" x14ac:dyDescent="0.2">
      <c r="A620" s="10">
        <v>618</v>
      </c>
      <c r="B620" s="10">
        <f t="shared" ca="1" si="9"/>
        <v>0.78853543932110615</v>
      </c>
      <c r="C620" s="10" t="s">
        <v>34</v>
      </c>
    </row>
    <row r="621" spans="1:3" x14ac:dyDescent="0.2">
      <c r="A621" s="10">
        <v>619</v>
      </c>
      <c r="B621" s="10">
        <f t="shared" ca="1" si="9"/>
        <v>0.85699747226726797</v>
      </c>
      <c r="C621" s="10" t="s">
        <v>35</v>
      </c>
    </row>
    <row r="622" spans="1:3" x14ac:dyDescent="0.2">
      <c r="A622" s="10">
        <v>620</v>
      </c>
      <c r="B622" s="10">
        <f t="shared" ca="1" si="9"/>
        <v>0.6577337730057079</v>
      </c>
      <c r="C622" s="10" t="s">
        <v>35</v>
      </c>
    </row>
    <row r="623" spans="1:3" x14ac:dyDescent="0.2">
      <c r="A623" s="10">
        <v>621</v>
      </c>
      <c r="B623" s="10">
        <f t="shared" ca="1" si="9"/>
        <v>0.63316572648418434</v>
      </c>
      <c r="C623" s="10" t="s">
        <v>34</v>
      </c>
    </row>
    <row r="624" spans="1:3" x14ac:dyDescent="0.2">
      <c r="A624" s="10">
        <v>622</v>
      </c>
      <c r="B624" s="10">
        <f t="shared" ca="1" si="9"/>
        <v>0.59155768136627906</v>
      </c>
      <c r="C624" s="10" t="s">
        <v>34</v>
      </c>
    </row>
    <row r="625" spans="1:3" x14ac:dyDescent="0.2">
      <c r="A625" s="10">
        <v>623</v>
      </c>
      <c r="B625" s="10">
        <f t="shared" ca="1" si="9"/>
        <v>0.78734888538068049</v>
      </c>
      <c r="C625" s="10" t="s">
        <v>34</v>
      </c>
    </row>
    <row r="626" spans="1:3" x14ac:dyDescent="0.2">
      <c r="A626" s="10">
        <v>624</v>
      </c>
      <c r="B626" s="10">
        <f t="shared" ca="1" si="9"/>
        <v>0.4982160055387006</v>
      </c>
      <c r="C626" s="10" t="s">
        <v>35</v>
      </c>
    </row>
    <row r="627" spans="1:3" x14ac:dyDescent="0.2">
      <c r="A627" s="10">
        <v>625</v>
      </c>
      <c r="B627" s="10">
        <f t="shared" ca="1" si="9"/>
        <v>0.63980549093938999</v>
      </c>
      <c r="C627" s="10" t="s">
        <v>34</v>
      </c>
    </row>
    <row r="628" spans="1:3" x14ac:dyDescent="0.2">
      <c r="A628" s="10">
        <v>626</v>
      </c>
      <c r="B628" s="10">
        <f t="shared" ca="1" si="9"/>
        <v>0.73602398458677731</v>
      </c>
      <c r="C628" s="10" t="s">
        <v>35</v>
      </c>
    </row>
    <row r="629" spans="1:3" x14ac:dyDescent="0.2">
      <c r="A629" s="10">
        <v>627</v>
      </c>
      <c r="B629" s="10">
        <f t="shared" ca="1" si="9"/>
        <v>0.47300260172695907</v>
      </c>
      <c r="C629" s="10" t="s">
        <v>35</v>
      </c>
    </row>
    <row r="630" spans="1:3" x14ac:dyDescent="0.2">
      <c r="A630" s="10">
        <v>628</v>
      </c>
      <c r="B630" s="10">
        <f t="shared" ca="1" si="9"/>
        <v>0.70823135096400636</v>
      </c>
      <c r="C630" s="10" t="s">
        <v>35</v>
      </c>
    </row>
    <row r="631" spans="1:3" x14ac:dyDescent="0.2">
      <c r="A631" s="10">
        <v>629</v>
      </c>
      <c r="B631" s="10">
        <f t="shared" ca="1" si="9"/>
        <v>0.66493488668470457</v>
      </c>
      <c r="C631" s="10" t="s">
        <v>35</v>
      </c>
    </row>
    <row r="632" spans="1:3" x14ac:dyDescent="0.2">
      <c r="A632" s="10">
        <v>630</v>
      </c>
      <c r="B632" s="10">
        <f t="shared" ca="1" si="9"/>
        <v>0.76168733281355239</v>
      </c>
      <c r="C632" s="10" t="s">
        <v>34</v>
      </c>
    </row>
    <row r="633" spans="1:3" x14ac:dyDescent="0.2">
      <c r="A633" s="10">
        <v>631</v>
      </c>
      <c r="B633" s="10">
        <f t="shared" ca="1" si="9"/>
        <v>0.71549038785723418</v>
      </c>
      <c r="C633" s="10" t="s">
        <v>34</v>
      </c>
    </row>
    <row r="634" spans="1:3" x14ac:dyDescent="0.2">
      <c r="A634" s="10">
        <v>632</v>
      </c>
      <c r="B634" s="10">
        <f t="shared" ca="1" si="9"/>
        <v>0.40777880932740262</v>
      </c>
      <c r="C634" s="10" t="s">
        <v>35</v>
      </c>
    </row>
    <row r="635" spans="1:3" x14ac:dyDescent="0.2">
      <c r="A635" s="10">
        <v>633</v>
      </c>
      <c r="B635" s="10">
        <f t="shared" ca="1" si="9"/>
        <v>0.66780508662778149</v>
      </c>
      <c r="C635" s="10" t="s">
        <v>34</v>
      </c>
    </row>
    <row r="636" spans="1:3" x14ac:dyDescent="0.2">
      <c r="A636" s="10">
        <v>634</v>
      </c>
      <c r="B636" s="10">
        <f t="shared" ca="1" si="9"/>
        <v>0.75321449975070376</v>
      </c>
      <c r="C636" s="10" t="s">
        <v>34</v>
      </c>
    </row>
    <row r="637" spans="1:3" x14ac:dyDescent="0.2">
      <c r="A637" s="10">
        <v>635</v>
      </c>
      <c r="B637" s="10">
        <f t="shared" ca="1" si="9"/>
        <v>0.56788258552786763</v>
      </c>
      <c r="C637" s="10" t="s">
        <v>34</v>
      </c>
    </row>
    <row r="638" spans="1:3" x14ac:dyDescent="0.2">
      <c r="A638" s="10">
        <v>636</v>
      </c>
      <c r="B638" s="10">
        <f t="shared" ca="1" si="9"/>
        <v>0.72984063661070686</v>
      </c>
      <c r="C638" s="10" t="s">
        <v>35</v>
      </c>
    </row>
    <row r="639" spans="1:3" x14ac:dyDescent="0.2">
      <c r="A639" s="10">
        <v>637</v>
      </c>
      <c r="B639" s="10">
        <f t="shared" ca="1" si="9"/>
        <v>0.55485272861086432</v>
      </c>
      <c r="C639" s="10" t="s">
        <v>35</v>
      </c>
    </row>
    <row r="640" spans="1:3" x14ac:dyDescent="0.2">
      <c r="A640" s="10">
        <v>638</v>
      </c>
      <c r="B640" s="10">
        <f t="shared" ca="1" si="9"/>
        <v>0.57802648648417054</v>
      </c>
      <c r="C640" s="10" t="s">
        <v>34</v>
      </c>
    </row>
    <row r="641" spans="1:3" x14ac:dyDescent="0.2">
      <c r="A641" s="10">
        <v>639</v>
      </c>
      <c r="B641" s="10">
        <f t="shared" ca="1" si="9"/>
        <v>0.47161252654837288</v>
      </c>
      <c r="C641" s="10" t="s">
        <v>35</v>
      </c>
    </row>
    <row r="642" spans="1:3" x14ac:dyDescent="0.2">
      <c r="A642" s="10">
        <v>640</v>
      </c>
      <c r="B642" s="10">
        <f t="shared" ca="1" si="9"/>
        <v>0.6810250255797563</v>
      </c>
      <c r="C642" s="10" t="s">
        <v>34</v>
      </c>
    </row>
    <row r="643" spans="1:3" x14ac:dyDescent="0.2">
      <c r="A643" s="10">
        <v>641</v>
      </c>
      <c r="B643" s="10">
        <f t="shared" ca="1" si="9"/>
        <v>0.47653714549909854</v>
      </c>
      <c r="C643" s="10" t="s">
        <v>34</v>
      </c>
    </row>
    <row r="644" spans="1:3" x14ac:dyDescent="0.2">
      <c r="A644" s="10">
        <v>642</v>
      </c>
      <c r="B644" s="10">
        <f t="shared" ref="B644:B707" ca="1" si="10">IF(C644="Bomb",_xlfn.NORM.INV(RAND(),0.7,0.1),_xlfn.NORM.INV(RAND(),0.6,0.15))</f>
        <v>0.468338206444887</v>
      </c>
      <c r="C644" s="10" t="s">
        <v>35</v>
      </c>
    </row>
    <row r="645" spans="1:3" x14ac:dyDescent="0.2">
      <c r="A645" s="10">
        <v>643</v>
      </c>
      <c r="B645" s="10">
        <f t="shared" ca="1" si="10"/>
        <v>0.81900561519027004</v>
      </c>
      <c r="C645" s="10" t="s">
        <v>34</v>
      </c>
    </row>
    <row r="646" spans="1:3" x14ac:dyDescent="0.2">
      <c r="A646" s="10">
        <v>644</v>
      </c>
      <c r="B646" s="10">
        <f t="shared" ca="1" si="10"/>
        <v>0.72079726191160443</v>
      </c>
      <c r="C646" s="10" t="s">
        <v>35</v>
      </c>
    </row>
    <row r="647" spans="1:3" x14ac:dyDescent="0.2">
      <c r="A647" s="10">
        <v>645</v>
      </c>
      <c r="B647" s="10">
        <f t="shared" ca="1" si="10"/>
        <v>0.65829438485371916</v>
      </c>
      <c r="C647" s="10" t="s">
        <v>35</v>
      </c>
    </row>
    <row r="648" spans="1:3" x14ac:dyDescent="0.2">
      <c r="A648" s="10">
        <v>646</v>
      </c>
      <c r="B648" s="10">
        <f t="shared" ca="1" si="10"/>
        <v>0.67845888437767921</v>
      </c>
      <c r="C648" s="10" t="s">
        <v>35</v>
      </c>
    </row>
    <row r="649" spans="1:3" x14ac:dyDescent="0.2">
      <c r="A649" s="10">
        <v>647</v>
      </c>
      <c r="B649" s="10">
        <f t="shared" ca="1" si="10"/>
        <v>0.79112334710405507</v>
      </c>
      <c r="C649" s="10" t="s">
        <v>34</v>
      </c>
    </row>
    <row r="650" spans="1:3" x14ac:dyDescent="0.2">
      <c r="A650" s="10">
        <v>648</v>
      </c>
      <c r="B650" s="10">
        <f t="shared" ca="1" si="10"/>
        <v>0.59439941139460828</v>
      </c>
      <c r="C650" s="10" t="s">
        <v>34</v>
      </c>
    </row>
    <row r="651" spans="1:3" x14ac:dyDescent="0.2">
      <c r="A651" s="10">
        <v>649</v>
      </c>
      <c r="B651" s="10">
        <f t="shared" ca="1" si="10"/>
        <v>0.68549390805476995</v>
      </c>
      <c r="C651" s="10" t="s">
        <v>34</v>
      </c>
    </row>
    <row r="652" spans="1:3" x14ac:dyDescent="0.2">
      <c r="A652" s="10">
        <v>650</v>
      </c>
      <c r="B652" s="10">
        <f t="shared" ca="1" si="10"/>
        <v>0.65101637323419426</v>
      </c>
      <c r="C652" s="10" t="s">
        <v>34</v>
      </c>
    </row>
    <row r="653" spans="1:3" x14ac:dyDescent="0.2">
      <c r="A653" s="10">
        <v>651</v>
      </c>
      <c r="B653" s="10">
        <f t="shared" ca="1" si="10"/>
        <v>0.81060468876191283</v>
      </c>
      <c r="C653" s="10" t="s">
        <v>35</v>
      </c>
    </row>
    <row r="654" spans="1:3" x14ac:dyDescent="0.2">
      <c r="A654" s="10">
        <v>652</v>
      </c>
      <c r="B654" s="10">
        <f t="shared" ca="1" si="10"/>
        <v>0.58101144809989236</v>
      </c>
      <c r="C654" s="10" t="s">
        <v>35</v>
      </c>
    </row>
    <row r="655" spans="1:3" x14ac:dyDescent="0.2">
      <c r="A655" s="10">
        <v>653</v>
      </c>
      <c r="B655" s="10">
        <f t="shared" ca="1" si="10"/>
        <v>0.67356516358308027</v>
      </c>
      <c r="C655" s="10" t="s">
        <v>35</v>
      </c>
    </row>
    <row r="656" spans="1:3" x14ac:dyDescent="0.2">
      <c r="A656" s="10">
        <v>654</v>
      </c>
      <c r="B656" s="10">
        <f t="shared" ca="1" si="10"/>
        <v>0.48408744464480458</v>
      </c>
      <c r="C656" s="10" t="s">
        <v>35</v>
      </c>
    </row>
    <row r="657" spans="1:3" x14ac:dyDescent="0.2">
      <c r="A657" s="10">
        <v>655</v>
      </c>
      <c r="B657" s="10">
        <f t="shared" ca="1" si="10"/>
        <v>0.80911795931731423</v>
      </c>
      <c r="C657" s="10" t="s">
        <v>35</v>
      </c>
    </row>
    <row r="658" spans="1:3" x14ac:dyDescent="0.2">
      <c r="A658" s="10">
        <v>656</v>
      </c>
      <c r="B658" s="10">
        <f t="shared" ca="1" si="10"/>
        <v>0.35264811358695591</v>
      </c>
      <c r="C658" s="10" t="s">
        <v>35</v>
      </c>
    </row>
    <row r="659" spans="1:3" x14ac:dyDescent="0.2">
      <c r="A659" s="10">
        <v>657</v>
      </c>
      <c r="B659" s="10">
        <f t="shared" ca="1" si="10"/>
        <v>0.67092130910359815</v>
      </c>
      <c r="C659" s="10" t="s">
        <v>34</v>
      </c>
    </row>
    <row r="660" spans="1:3" x14ac:dyDescent="0.2">
      <c r="A660" s="10">
        <v>658</v>
      </c>
      <c r="B660" s="10">
        <f t="shared" ca="1" si="10"/>
        <v>0.71844317644133449</v>
      </c>
      <c r="C660" s="10" t="s">
        <v>35</v>
      </c>
    </row>
    <row r="661" spans="1:3" x14ac:dyDescent="0.2">
      <c r="A661" s="10">
        <v>659</v>
      </c>
      <c r="B661" s="10">
        <f t="shared" ca="1" si="10"/>
        <v>0.57826896017282292</v>
      </c>
      <c r="C661" s="10" t="s">
        <v>34</v>
      </c>
    </row>
    <row r="662" spans="1:3" x14ac:dyDescent="0.2">
      <c r="A662" s="10">
        <v>660</v>
      </c>
      <c r="B662" s="10">
        <f t="shared" ca="1" si="10"/>
        <v>0.65384402891369187</v>
      </c>
      <c r="C662" s="10" t="s">
        <v>35</v>
      </c>
    </row>
    <row r="663" spans="1:3" x14ac:dyDescent="0.2">
      <c r="A663" s="10">
        <v>661</v>
      </c>
      <c r="B663" s="10">
        <f t="shared" ca="1" si="10"/>
        <v>0.80246264706057713</v>
      </c>
      <c r="C663" s="10" t="s">
        <v>34</v>
      </c>
    </row>
    <row r="664" spans="1:3" x14ac:dyDescent="0.2">
      <c r="A664" s="10">
        <v>662</v>
      </c>
      <c r="B664" s="10">
        <f t="shared" ca="1" si="10"/>
        <v>0.55937702809771594</v>
      </c>
      <c r="C664" s="10" t="s">
        <v>35</v>
      </c>
    </row>
    <row r="665" spans="1:3" x14ac:dyDescent="0.2">
      <c r="A665" s="10">
        <v>663</v>
      </c>
      <c r="B665" s="10">
        <f t="shared" ca="1" si="10"/>
        <v>0.49708412584853923</v>
      </c>
      <c r="C665" s="10" t="s">
        <v>35</v>
      </c>
    </row>
    <row r="666" spans="1:3" x14ac:dyDescent="0.2">
      <c r="A666" s="10">
        <v>664</v>
      </c>
      <c r="B666" s="10">
        <f t="shared" ca="1" si="10"/>
        <v>0.7810122690313771</v>
      </c>
      <c r="C666" s="10" t="s">
        <v>34</v>
      </c>
    </row>
    <row r="667" spans="1:3" x14ac:dyDescent="0.2">
      <c r="A667" s="10">
        <v>665</v>
      </c>
      <c r="B667" s="10">
        <f t="shared" ca="1" si="10"/>
        <v>0.64459377902282633</v>
      </c>
      <c r="C667" s="10" t="s">
        <v>35</v>
      </c>
    </row>
    <row r="668" spans="1:3" x14ac:dyDescent="0.2">
      <c r="A668" s="10">
        <v>666</v>
      </c>
      <c r="B668" s="10">
        <f t="shared" ca="1" si="10"/>
        <v>0.48770883406015048</v>
      </c>
      <c r="C668" s="10" t="s">
        <v>35</v>
      </c>
    </row>
    <row r="669" spans="1:3" x14ac:dyDescent="0.2">
      <c r="A669" s="10">
        <v>667</v>
      </c>
      <c r="B669" s="10">
        <f t="shared" ca="1" si="10"/>
        <v>0.70090280867421606</v>
      </c>
      <c r="C669" s="10" t="s">
        <v>34</v>
      </c>
    </row>
    <row r="670" spans="1:3" x14ac:dyDescent="0.2">
      <c r="A670" s="10">
        <v>668</v>
      </c>
      <c r="B670" s="10">
        <f t="shared" ca="1" si="10"/>
        <v>0.72838402614714792</v>
      </c>
      <c r="C670" s="10" t="s">
        <v>35</v>
      </c>
    </row>
    <row r="671" spans="1:3" x14ac:dyDescent="0.2">
      <c r="A671" s="10">
        <v>669</v>
      </c>
      <c r="B671" s="10">
        <f t="shared" ca="1" si="10"/>
        <v>0.46163215826434401</v>
      </c>
      <c r="C671" s="10" t="s">
        <v>35</v>
      </c>
    </row>
    <row r="672" spans="1:3" x14ac:dyDescent="0.2">
      <c r="A672" s="10">
        <v>670</v>
      </c>
      <c r="B672" s="10">
        <f t="shared" ca="1" si="10"/>
        <v>0.60222315496371015</v>
      </c>
      <c r="C672" s="10" t="s">
        <v>35</v>
      </c>
    </row>
    <row r="673" spans="1:3" x14ac:dyDescent="0.2">
      <c r="A673" s="10">
        <v>671</v>
      </c>
      <c r="B673" s="10">
        <f t="shared" ca="1" si="10"/>
        <v>0.52588712872035304</v>
      </c>
      <c r="C673" s="10" t="s">
        <v>35</v>
      </c>
    </row>
    <row r="674" spans="1:3" x14ac:dyDescent="0.2">
      <c r="A674" s="10">
        <v>672</v>
      </c>
      <c r="B674" s="10">
        <f t="shared" ca="1" si="10"/>
        <v>0.46965483608712033</v>
      </c>
      <c r="C674" s="10" t="s">
        <v>35</v>
      </c>
    </row>
    <row r="675" spans="1:3" x14ac:dyDescent="0.2">
      <c r="A675" s="10">
        <v>673</v>
      </c>
      <c r="B675" s="10">
        <f t="shared" ca="1" si="10"/>
        <v>0.68957493479983478</v>
      </c>
      <c r="C675" s="10" t="s">
        <v>35</v>
      </c>
    </row>
    <row r="676" spans="1:3" x14ac:dyDescent="0.2">
      <c r="A676" s="10">
        <v>674</v>
      </c>
      <c r="B676" s="10">
        <f t="shared" ca="1" si="10"/>
        <v>0.56877322072784953</v>
      </c>
      <c r="C676" s="10" t="s">
        <v>34</v>
      </c>
    </row>
    <row r="677" spans="1:3" x14ac:dyDescent="0.2">
      <c r="A677" s="10">
        <v>675</v>
      </c>
      <c r="B677" s="10">
        <f t="shared" ca="1" si="10"/>
        <v>0.50309227787961974</v>
      </c>
      <c r="C677" s="10" t="s">
        <v>35</v>
      </c>
    </row>
    <row r="678" spans="1:3" x14ac:dyDescent="0.2">
      <c r="A678" s="10">
        <v>676</v>
      </c>
      <c r="B678" s="10">
        <f t="shared" ca="1" si="10"/>
        <v>0.74958040637504197</v>
      </c>
      <c r="C678" s="10" t="s">
        <v>34</v>
      </c>
    </row>
    <row r="679" spans="1:3" x14ac:dyDescent="0.2">
      <c r="A679" s="10">
        <v>677</v>
      </c>
      <c r="B679" s="10">
        <f t="shared" ca="1" si="10"/>
        <v>0.81118425751848855</v>
      </c>
      <c r="C679" s="10" t="s">
        <v>35</v>
      </c>
    </row>
    <row r="680" spans="1:3" x14ac:dyDescent="0.2">
      <c r="A680" s="10">
        <v>678</v>
      </c>
      <c r="B680" s="10">
        <f t="shared" ca="1" si="10"/>
        <v>0.844889568174783</v>
      </c>
      <c r="C680" s="10" t="s">
        <v>34</v>
      </c>
    </row>
    <row r="681" spans="1:3" x14ac:dyDescent="0.2">
      <c r="A681" s="10">
        <v>679</v>
      </c>
      <c r="B681" s="10">
        <f t="shared" ca="1" si="10"/>
        <v>0.84896690060017777</v>
      </c>
      <c r="C681" s="10" t="s">
        <v>35</v>
      </c>
    </row>
    <row r="682" spans="1:3" x14ac:dyDescent="0.2">
      <c r="A682" s="10">
        <v>680</v>
      </c>
      <c r="B682" s="10">
        <f t="shared" ca="1" si="10"/>
        <v>0.30647793390730649</v>
      </c>
      <c r="C682" s="10" t="s">
        <v>35</v>
      </c>
    </row>
    <row r="683" spans="1:3" x14ac:dyDescent="0.2">
      <c r="A683" s="10">
        <v>681</v>
      </c>
      <c r="B683" s="10">
        <f t="shared" ca="1" si="10"/>
        <v>1.1058652850594832</v>
      </c>
      <c r="C683" s="10" t="s">
        <v>35</v>
      </c>
    </row>
    <row r="684" spans="1:3" x14ac:dyDescent="0.2">
      <c r="A684" s="10">
        <v>682</v>
      </c>
      <c r="B684" s="10">
        <f t="shared" ca="1" si="10"/>
        <v>0.45223703581211416</v>
      </c>
      <c r="C684" s="10" t="s">
        <v>35</v>
      </c>
    </row>
    <row r="685" spans="1:3" x14ac:dyDescent="0.2">
      <c r="A685" s="10">
        <v>683</v>
      </c>
      <c r="B685" s="10">
        <f t="shared" ca="1" si="10"/>
        <v>0.36850513366386412</v>
      </c>
      <c r="C685" s="10" t="s">
        <v>35</v>
      </c>
    </row>
    <row r="686" spans="1:3" x14ac:dyDescent="0.2">
      <c r="A686" s="10">
        <v>684</v>
      </c>
      <c r="B686" s="10">
        <f t="shared" ca="1" si="10"/>
        <v>0.64561904042820373</v>
      </c>
      <c r="C686" s="10" t="s">
        <v>35</v>
      </c>
    </row>
    <row r="687" spans="1:3" x14ac:dyDescent="0.2">
      <c r="A687" s="10">
        <v>685</v>
      </c>
      <c r="B687" s="10">
        <f t="shared" ca="1" si="10"/>
        <v>0.69883618916002455</v>
      </c>
      <c r="C687" s="10" t="s">
        <v>34</v>
      </c>
    </row>
    <row r="688" spans="1:3" x14ac:dyDescent="0.2">
      <c r="A688" s="10">
        <v>686</v>
      </c>
      <c r="B688" s="10">
        <f t="shared" ca="1" si="10"/>
        <v>0.59318906498085111</v>
      </c>
      <c r="C688" s="10" t="s">
        <v>35</v>
      </c>
    </row>
    <row r="689" spans="1:3" x14ac:dyDescent="0.2">
      <c r="A689" s="10">
        <v>687</v>
      </c>
      <c r="B689" s="10">
        <f t="shared" ca="1" si="10"/>
        <v>0.54770971601462537</v>
      </c>
      <c r="C689" s="10" t="s">
        <v>35</v>
      </c>
    </row>
    <row r="690" spans="1:3" x14ac:dyDescent="0.2">
      <c r="A690" s="10">
        <v>688</v>
      </c>
      <c r="B690" s="10">
        <f t="shared" ca="1" si="10"/>
        <v>0.53165761938395906</v>
      </c>
      <c r="C690" s="10" t="s">
        <v>35</v>
      </c>
    </row>
    <row r="691" spans="1:3" x14ac:dyDescent="0.2">
      <c r="A691" s="10">
        <v>689</v>
      </c>
      <c r="B691" s="10">
        <f t="shared" ca="1" si="10"/>
        <v>0.68101022202190531</v>
      </c>
      <c r="C691" s="10" t="s">
        <v>35</v>
      </c>
    </row>
    <row r="692" spans="1:3" x14ac:dyDescent="0.2">
      <c r="A692" s="10">
        <v>690</v>
      </c>
      <c r="B692" s="10">
        <f t="shared" ca="1" si="10"/>
        <v>0.67878891059736857</v>
      </c>
      <c r="C692" s="10" t="s">
        <v>34</v>
      </c>
    </row>
    <row r="693" spans="1:3" x14ac:dyDescent="0.2">
      <c r="A693" s="10">
        <v>691</v>
      </c>
      <c r="B693" s="10">
        <f t="shared" ca="1" si="10"/>
        <v>0.82185701991798221</v>
      </c>
      <c r="C693" s="10" t="s">
        <v>34</v>
      </c>
    </row>
    <row r="694" spans="1:3" x14ac:dyDescent="0.2">
      <c r="A694" s="10">
        <v>692</v>
      </c>
      <c r="B694" s="10">
        <f t="shared" ca="1" si="10"/>
        <v>0.62713081735732212</v>
      </c>
      <c r="C694" s="10" t="s">
        <v>34</v>
      </c>
    </row>
    <row r="695" spans="1:3" x14ac:dyDescent="0.2">
      <c r="A695" s="10">
        <v>693</v>
      </c>
      <c r="B695" s="10">
        <f t="shared" ca="1" si="10"/>
        <v>0.60152658336891418</v>
      </c>
      <c r="C695" s="10" t="s">
        <v>34</v>
      </c>
    </row>
    <row r="696" spans="1:3" x14ac:dyDescent="0.2">
      <c r="A696" s="10">
        <v>694</v>
      </c>
      <c r="B696" s="10">
        <f t="shared" ca="1" si="10"/>
        <v>0.65709969180777617</v>
      </c>
      <c r="C696" s="10" t="s">
        <v>35</v>
      </c>
    </row>
    <row r="697" spans="1:3" x14ac:dyDescent="0.2">
      <c r="A697" s="10">
        <v>695</v>
      </c>
      <c r="B697" s="10">
        <f t="shared" ca="1" si="10"/>
        <v>0.47645224510159523</v>
      </c>
      <c r="C697" s="10" t="s">
        <v>35</v>
      </c>
    </row>
    <row r="698" spans="1:3" x14ac:dyDescent="0.2">
      <c r="A698" s="10">
        <v>696</v>
      </c>
      <c r="B698" s="10">
        <f t="shared" ca="1" si="10"/>
        <v>0.77046541398696888</v>
      </c>
      <c r="C698" s="10" t="s">
        <v>35</v>
      </c>
    </row>
    <row r="699" spans="1:3" x14ac:dyDescent="0.2">
      <c r="A699" s="10">
        <v>697</v>
      </c>
      <c r="B699" s="10">
        <f t="shared" ca="1" si="10"/>
        <v>0.99851601142648938</v>
      </c>
      <c r="C699" s="10" t="s">
        <v>35</v>
      </c>
    </row>
    <row r="700" spans="1:3" x14ac:dyDescent="0.2">
      <c r="A700" s="10">
        <v>698</v>
      </c>
      <c r="B700" s="10">
        <f t="shared" ca="1" si="10"/>
        <v>0.70039876834619319</v>
      </c>
      <c r="C700" s="10" t="s">
        <v>34</v>
      </c>
    </row>
    <row r="701" spans="1:3" x14ac:dyDescent="0.2">
      <c r="A701" s="10">
        <v>699</v>
      </c>
      <c r="B701" s="10">
        <f t="shared" ca="1" si="10"/>
        <v>0.83565854391914118</v>
      </c>
      <c r="C701" s="10" t="s">
        <v>35</v>
      </c>
    </row>
    <row r="702" spans="1:3" x14ac:dyDescent="0.2">
      <c r="A702" s="10">
        <v>700</v>
      </c>
      <c r="B702" s="10">
        <f t="shared" ca="1" si="10"/>
        <v>0.5063752901573253</v>
      </c>
      <c r="C702" s="10" t="s">
        <v>35</v>
      </c>
    </row>
    <row r="703" spans="1:3" x14ac:dyDescent="0.2">
      <c r="A703" s="10">
        <v>701</v>
      </c>
      <c r="B703" s="10">
        <f t="shared" ca="1" si="10"/>
        <v>0.52378064409257474</v>
      </c>
      <c r="C703" s="10" t="s">
        <v>35</v>
      </c>
    </row>
    <row r="704" spans="1:3" x14ac:dyDescent="0.2">
      <c r="A704" s="10">
        <v>702</v>
      </c>
      <c r="B704" s="10">
        <f t="shared" ca="1" si="10"/>
        <v>0.56783122791247898</v>
      </c>
      <c r="C704" s="10" t="s">
        <v>35</v>
      </c>
    </row>
    <row r="705" spans="1:3" x14ac:dyDescent="0.2">
      <c r="A705" s="10">
        <v>703</v>
      </c>
      <c r="B705" s="10">
        <f t="shared" ca="1" si="10"/>
        <v>0.78746929066323779</v>
      </c>
      <c r="C705" s="10" t="s">
        <v>34</v>
      </c>
    </row>
    <row r="706" spans="1:3" x14ac:dyDescent="0.2">
      <c r="A706" s="10">
        <v>704</v>
      </c>
      <c r="B706" s="10">
        <f t="shared" ca="1" si="10"/>
        <v>0.61375703244500324</v>
      </c>
      <c r="C706" s="10" t="s">
        <v>34</v>
      </c>
    </row>
    <row r="707" spans="1:3" x14ac:dyDescent="0.2">
      <c r="A707" s="10">
        <v>705</v>
      </c>
      <c r="B707" s="10">
        <f t="shared" ca="1" si="10"/>
        <v>0.79757917643180865</v>
      </c>
      <c r="C707" s="10" t="s">
        <v>35</v>
      </c>
    </row>
    <row r="708" spans="1:3" x14ac:dyDescent="0.2">
      <c r="A708" s="10">
        <v>706</v>
      </c>
      <c r="B708" s="10">
        <f t="shared" ref="B708:B771" ca="1" si="11">IF(C708="Bomb",_xlfn.NORM.INV(RAND(),0.7,0.1),_xlfn.NORM.INV(RAND(),0.6,0.15))</f>
        <v>0.4899966295654401</v>
      </c>
      <c r="C708" s="10" t="s">
        <v>35</v>
      </c>
    </row>
    <row r="709" spans="1:3" x14ac:dyDescent="0.2">
      <c r="A709" s="10">
        <v>707</v>
      </c>
      <c r="B709" s="10">
        <f t="shared" ca="1" si="11"/>
        <v>0.46621141825403728</v>
      </c>
      <c r="C709" s="10" t="s">
        <v>35</v>
      </c>
    </row>
    <row r="710" spans="1:3" x14ac:dyDescent="0.2">
      <c r="A710" s="10">
        <v>708</v>
      </c>
      <c r="B710" s="10">
        <f t="shared" ca="1" si="11"/>
        <v>0.70631366495937475</v>
      </c>
      <c r="C710" s="10" t="s">
        <v>34</v>
      </c>
    </row>
    <row r="711" spans="1:3" x14ac:dyDescent="0.2">
      <c r="A711" s="10">
        <v>709</v>
      </c>
      <c r="B711" s="10">
        <f t="shared" ca="1" si="11"/>
        <v>0.79889293337388567</v>
      </c>
      <c r="C711" s="10" t="s">
        <v>34</v>
      </c>
    </row>
    <row r="712" spans="1:3" x14ac:dyDescent="0.2">
      <c r="A712" s="10">
        <v>710</v>
      </c>
      <c r="B712" s="10">
        <f t="shared" ca="1" si="11"/>
        <v>0.736638198726426</v>
      </c>
      <c r="C712" s="10" t="s">
        <v>34</v>
      </c>
    </row>
    <row r="713" spans="1:3" x14ac:dyDescent="0.2">
      <c r="A713" s="10">
        <v>711</v>
      </c>
      <c r="B713" s="10">
        <f t="shared" ca="1" si="11"/>
        <v>0.67050993402790748</v>
      </c>
      <c r="C713" s="10" t="s">
        <v>35</v>
      </c>
    </row>
    <row r="714" spans="1:3" x14ac:dyDescent="0.2">
      <c r="A714" s="10">
        <v>712</v>
      </c>
      <c r="B714" s="10">
        <f t="shared" ca="1" si="11"/>
        <v>0.79024487691550593</v>
      </c>
      <c r="C714" s="10" t="s">
        <v>34</v>
      </c>
    </row>
    <row r="715" spans="1:3" x14ac:dyDescent="0.2">
      <c r="A715" s="10">
        <v>713</v>
      </c>
      <c r="B715" s="10">
        <f t="shared" ca="1" si="11"/>
        <v>0.85589079803465218</v>
      </c>
      <c r="C715" s="10" t="s">
        <v>35</v>
      </c>
    </row>
    <row r="716" spans="1:3" x14ac:dyDescent="0.2">
      <c r="A716" s="10">
        <v>714</v>
      </c>
      <c r="B716" s="10">
        <f t="shared" ca="1" si="11"/>
        <v>0.63276333110868843</v>
      </c>
      <c r="C716" s="10" t="s">
        <v>35</v>
      </c>
    </row>
    <row r="717" spans="1:3" x14ac:dyDescent="0.2">
      <c r="A717" s="10">
        <v>715</v>
      </c>
      <c r="B717" s="10">
        <f t="shared" ca="1" si="11"/>
        <v>0.64439534259564046</v>
      </c>
      <c r="C717" s="10" t="s">
        <v>35</v>
      </c>
    </row>
    <row r="718" spans="1:3" x14ac:dyDescent="0.2">
      <c r="A718" s="10">
        <v>716</v>
      </c>
      <c r="B718" s="10">
        <f t="shared" ca="1" si="11"/>
        <v>0.71074326185292669</v>
      </c>
      <c r="C718" s="10" t="s">
        <v>34</v>
      </c>
    </row>
    <row r="719" spans="1:3" x14ac:dyDescent="0.2">
      <c r="A719" s="10">
        <v>717</v>
      </c>
      <c r="B719" s="10">
        <f t="shared" ca="1" si="11"/>
        <v>1.1061798152859179</v>
      </c>
      <c r="C719" s="10" t="s">
        <v>35</v>
      </c>
    </row>
    <row r="720" spans="1:3" x14ac:dyDescent="0.2">
      <c r="A720" s="10">
        <v>718</v>
      </c>
      <c r="B720" s="10">
        <f t="shared" ca="1" si="11"/>
        <v>0.71575031465384331</v>
      </c>
      <c r="C720" s="10" t="s">
        <v>35</v>
      </c>
    </row>
    <row r="721" spans="1:3" x14ac:dyDescent="0.2">
      <c r="A721" s="10">
        <v>719</v>
      </c>
      <c r="B721" s="10">
        <f t="shared" ca="1" si="11"/>
        <v>0.65210646270093875</v>
      </c>
      <c r="C721" s="10" t="s">
        <v>35</v>
      </c>
    </row>
    <row r="722" spans="1:3" x14ac:dyDescent="0.2">
      <c r="A722" s="10">
        <v>720</v>
      </c>
      <c r="B722" s="10">
        <f t="shared" ca="1" si="11"/>
        <v>0.70806610571261319</v>
      </c>
      <c r="C722" s="10" t="s">
        <v>35</v>
      </c>
    </row>
    <row r="723" spans="1:3" x14ac:dyDescent="0.2">
      <c r="A723" s="10">
        <v>721</v>
      </c>
      <c r="B723" s="10">
        <f t="shared" ca="1" si="11"/>
        <v>0.64833718226353498</v>
      </c>
      <c r="C723" s="10" t="s">
        <v>34</v>
      </c>
    </row>
    <row r="724" spans="1:3" x14ac:dyDescent="0.2">
      <c r="A724" s="10">
        <v>722</v>
      </c>
      <c r="B724" s="10">
        <f t="shared" ca="1" si="11"/>
        <v>0.502686968553687</v>
      </c>
      <c r="C724" s="10" t="s">
        <v>35</v>
      </c>
    </row>
    <row r="725" spans="1:3" x14ac:dyDescent="0.2">
      <c r="A725" s="10">
        <v>723</v>
      </c>
      <c r="B725" s="10">
        <f t="shared" ca="1" si="11"/>
        <v>0.70026931239212231</v>
      </c>
      <c r="C725" s="10" t="s">
        <v>34</v>
      </c>
    </row>
    <row r="726" spans="1:3" x14ac:dyDescent="0.2">
      <c r="A726" s="10">
        <v>724</v>
      </c>
      <c r="B726" s="10">
        <f t="shared" ca="1" si="11"/>
        <v>0.74262704974575422</v>
      </c>
      <c r="C726" s="10" t="s">
        <v>34</v>
      </c>
    </row>
    <row r="727" spans="1:3" x14ac:dyDescent="0.2">
      <c r="A727" s="10">
        <v>725</v>
      </c>
      <c r="B727" s="10">
        <f t="shared" ca="1" si="11"/>
        <v>0.62448744049338589</v>
      </c>
      <c r="C727" s="10" t="s">
        <v>35</v>
      </c>
    </row>
    <row r="728" spans="1:3" x14ac:dyDescent="0.2">
      <c r="A728" s="10">
        <v>726</v>
      </c>
      <c r="B728" s="10">
        <f t="shared" ca="1" si="11"/>
        <v>1.0066857778160268</v>
      </c>
      <c r="C728" s="10" t="s">
        <v>35</v>
      </c>
    </row>
    <row r="729" spans="1:3" x14ac:dyDescent="0.2">
      <c r="A729" s="10">
        <v>727</v>
      </c>
      <c r="B729" s="10">
        <f t="shared" ca="1" si="11"/>
        <v>0.66399212297077104</v>
      </c>
      <c r="C729" s="10" t="s">
        <v>34</v>
      </c>
    </row>
    <row r="730" spans="1:3" x14ac:dyDescent="0.2">
      <c r="A730" s="10">
        <v>728</v>
      </c>
      <c r="B730" s="10">
        <f t="shared" ca="1" si="11"/>
        <v>0.57044289029126916</v>
      </c>
      <c r="C730" s="10" t="s">
        <v>35</v>
      </c>
    </row>
    <row r="731" spans="1:3" x14ac:dyDescent="0.2">
      <c r="A731" s="10">
        <v>729</v>
      </c>
      <c r="B731" s="10">
        <f t="shared" ca="1" si="11"/>
        <v>0.74007303589852069</v>
      </c>
      <c r="C731" s="10" t="s">
        <v>34</v>
      </c>
    </row>
    <row r="732" spans="1:3" x14ac:dyDescent="0.2">
      <c r="A732" s="10">
        <v>730</v>
      </c>
      <c r="B732" s="10">
        <f t="shared" ca="1" si="11"/>
        <v>0.75042704907372415</v>
      </c>
      <c r="C732" s="10" t="s">
        <v>34</v>
      </c>
    </row>
    <row r="733" spans="1:3" x14ac:dyDescent="0.2">
      <c r="A733" s="10">
        <v>731</v>
      </c>
      <c r="B733" s="10">
        <f t="shared" ca="1" si="11"/>
        <v>0.65150401240914324</v>
      </c>
      <c r="C733" s="10" t="s">
        <v>34</v>
      </c>
    </row>
    <row r="734" spans="1:3" x14ac:dyDescent="0.2">
      <c r="A734" s="10">
        <v>732</v>
      </c>
      <c r="B734" s="10">
        <f t="shared" ca="1" si="11"/>
        <v>0.66567071638782083</v>
      </c>
      <c r="C734" s="10" t="s">
        <v>35</v>
      </c>
    </row>
    <row r="735" spans="1:3" x14ac:dyDescent="0.2">
      <c r="A735" s="10">
        <v>733</v>
      </c>
      <c r="B735" s="10">
        <f t="shared" ca="1" si="11"/>
        <v>0.84129039187037691</v>
      </c>
      <c r="C735" s="10" t="s">
        <v>35</v>
      </c>
    </row>
    <row r="736" spans="1:3" x14ac:dyDescent="0.2">
      <c r="A736" s="10">
        <v>734</v>
      </c>
      <c r="B736" s="10">
        <f t="shared" ca="1" si="11"/>
        <v>0.49270170087114679</v>
      </c>
      <c r="C736" s="10" t="s">
        <v>35</v>
      </c>
    </row>
    <row r="737" spans="1:3" x14ac:dyDescent="0.2">
      <c r="A737" s="10">
        <v>735</v>
      </c>
      <c r="B737" s="10">
        <f t="shared" ca="1" si="11"/>
        <v>0.54861995101703664</v>
      </c>
      <c r="C737" s="10" t="s">
        <v>34</v>
      </c>
    </row>
    <row r="738" spans="1:3" x14ac:dyDescent="0.2">
      <c r="A738" s="10">
        <v>736</v>
      </c>
      <c r="B738" s="10">
        <f t="shared" ca="1" si="11"/>
        <v>0.76103764102717308</v>
      </c>
      <c r="C738" s="10" t="s">
        <v>34</v>
      </c>
    </row>
    <row r="739" spans="1:3" x14ac:dyDescent="0.2">
      <c r="A739" s="10">
        <v>737</v>
      </c>
      <c r="B739" s="10">
        <f t="shared" ca="1" si="11"/>
        <v>0.77727932205514594</v>
      </c>
      <c r="C739" s="10" t="s">
        <v>35</v>
      </c>
    </row>
    <row r="740" spans="1:3" x14ac:dyDescent="0.2">
      <c r="A740" s="10">
        <v>738</v>
      </c>
      <c r="B740" s="10">
        <f t="shared" ca="1" si="11"/>
        <v>0.56388730991222769</v>
      </c>
      <c r="C740" s="10" t="s">
        <v>35</v>
      </c>
    </row>
    <row r="741" spans="1:3" x14ac:dyDescent="0.2">
      <c r="A741" s="10">
        <v>739</v>
      </c>
      <c r="B741" s="10">
        <f t="shared" ca="1" si="11"/>
        <v>0.66314034885032214</v>
      </c>
      <c r="C741" s="10" t="s">
        <v>34</v>
      </c>
    </row>
    <row r="742" spans="1:3" x14ac:dyDescent="0.2">
      <c r="A742" s="10">
        <v>740</v>
      </c>
      <c r="B742" s="10">
        <f t="shared" ca="1" si="11"/>
        <v>0.30265157578156104</v>
      </c>
      <c r="C742" s="10" t="s">
        <v>35</v>
      </c>
    </row>
    <row r="743" spans="1:3" x14ac:dyDescent="0.2">
      <c r="A743" s="10">
        <v>741</v>
      </c>
      <c r="B743" s="10">
        <f t="shared" ca="1" si="11"/>
        <v>0.66260553133084965</v>
      </c>
      <c r="C743" s="10" t="s">
        <v>35</v>
      </c>
    </row>
    <row r="744" spans="1:3" x14ac:dyDescent="0.2">
      <c r="A744" s="10">
        <v>742</v>
      </c>
      <c r="B744" s="10">
        <f t="shared" ca="1" si="11"/>
        <v>0.5040312230031293</v>
      </c>
      <c r="C744" s="10" t="s">
        <v>35</v>
      </c>
    </row>
    <row r="745" spans="1:3" x14ac:dyDescent="0.2">
      <c r="A745" s="10">
        <v>743</v>
      </c>
      <c r="B745" s="10">
        <f t="shared" ca="1" si="11"/>
        <v>0.57763503968006868</v>
      </c>
      <c r="C745" s="10" t="s">
        <v>35</v>
      </c>
    </row>
    <row r="746" spans="1:3" x14ac:dyDescent="0.2">
      <c r="A746" s="10">
        <v>744</v>
      </c>
      <c r="B746" s="10">
        <f t="shared" ca="1" si="11"/>
        <v>0.60083347427445521</v>
      </c>
      <c r="C746" s="10" t="s">
        <v>35</v>
      </c>
    </row>
    <row r="747" spans="1:3" x14ac:dyDescent="0.2">
      <c r="A747" s="10">
        <v>745</v>
      </c>
      <c r="B747" s="10">
        <f t="shared" ca="1" si="11"/>
        <v>0.58470004355418004</v>
      </c>
      <c r="C747" s="10" t="s">
        <v>35</v>
      </c>
    </row>
    <row r="748" spans="1:3" x14ac:dyDescent="0.2">
      <c r="A748" s="10">
        <v>746</v>
      </c>
      <c r="B748" s="10">
        <f t="shared" ca="1" si="11"/>
        <v>0.64860442920053685</v>
      </c>
      <c r="C748" s="10" t="s">
        <v>34</v>
      </c>
    </row>
    <row r="749" spans="1:3" x14ac:dyDescent="0.2">
      <c r="A749" s="10">
        <v>747</v>
      </c>
      <c r="B749" s="10">
        <f t="shared" ca="1" si="11"/>
        <v>0.80871668020511678</v>
      </c>
      <c r="C749" s="10" t="s">
        <v>34</v>
      </c>
    </row>
    <row r="750" spans="1:3" x14ac:dyDescent="0.2">
      <c r="A750" s="10">
        <v>748</v>
      </c>
      <c r="B750" s="10">
        <f t="shared" ca="1" si="11"/>
        <v>0.41252257850285645</v>
      </c>
      <c r="C750" s="10" t="s">
        <v>35</v>
      </c>
    </row>
    <row r="751" spans="1:3" x14ac:dyDescent="0.2">
      <c r="A751" s="10">
        <v>749</v>
      </c>
      <c r="B751" s="10">
        <f t="shared" ca="1" si="11"/>
        <v>0.53932391983405981</v>
      </c>
      <c r="C751" s="10" t="s">
        <v>34</v>
      </c>
    </row>
    <row r="752" spans="1:3" x14ac:dyDescent="0.2">
      <c r="A752" s="10">
        <v>750</v>
      </c>
      <c r="B752" s="10">
        <f t="shared" ca="1" si="11"/>
        <v>0.55920616034303183</v>
      </c>
      <c r="C752" s="10" t="s">
        <v>35</v>
      </c>
    </row>
    <row r="753" spans="1:3" x14ac:dyDescent="0.2">
      <c r="A753" s="10">
        <v>751</v>
      </c>
      <c r="B753" s="10">
        <f t="shared" ca="1" si="11"/>
        <v>0.76108104514084618</v>
      </c>
      <c r="C753" s="10" t="s">
        <v>34</v>
      </c>
    </row>
    <row r="754" spans="1:3" x14ac:dyDescent="0.2">
      <c r="A754" s="10">
        <v>752</v>
      </c>
      <c r="B754" s="10">
        <f t="shared" ca="1" si="11"/>
        <v>0.72816694949016125</v>
      </c>
      <c r="C754" s="10" t="s">
        <v>34</v>
      </c>
    </row>
    <row r="755" spans="1:3" x14ac:dyDescent="0.2">
      <c r="A755" s="10">
        <v>753</v>
      </c>
      <c r="B755" s="10">
        <f t="shared" ca="1" si="11"/>
        <v>0.83804863505202309</v>
      </c>
      <c r="C755" s="10" t="s">
        <v>34</v>
      </c>
    </row>
    <row r="756" spans="1:3" x14ac:dyDescent="0.2">
      <c r="A756" s="10">
        <v>754</v>
      </c>
      <c r="B756" s="10">
        <f t="shared" ca="1" si="11"/>
        <v>0.65281365854167472</v>
      </c>
      <c r="C756" s="10" t="s">
        <v>34</v>
      </c>
    </row>
    <row r="757" spans="1:3" x14ac:dyDescent="0.2">
      <c r="A757" s="10">
        <v>755</v>
      </c>
      <c r="B757" s="10">
        <f t="shared" ca="1" si="11"/>
        <v>0.58698193745148675</v>
      </c>
      <c r="C757" s="10" t="s">
        <v>35</v>
      </c>
    </row>
    <row r="758" spans="1:3" x14ac:dyDescent="0.2">
      <c r="A758" s="10">
        <v>756</v>
      </c>
      <c r="B758" s="10">
        <f t="shared" ca="1" si="11"/>
        <v>0.56060895775612263</v>
      </c>
      <c r="C758" s="10" t="s">
        <v>34</v>
      </c>
    </row>
    <row r="759" spans="1:3" x14ac:dyDescent="0.2">
      <c r="A759" s="10">
        <v>757</v>
      </c>
      <c r="B759" s="10">
        <f t="shared" ca="1" si="11"/>
        <v>0.77297891635854488</v>
      </c>
      <c r="C759" s="10" t="s">
        <v>34</v>
      </c>
    </row>
    <row r="760" spans="1:3" x14ac:dyDescent="0.2">
      <c r="A760" s="10">
        <v>758</v>
      </c>
      <c r="B760" s="10">
        <f t="shared" ca="1" si="11"/>
        <v>0.78264318523608856</v>
      </c>
      <c r="C760" s="10" t="s">
        <v>34</v>
      </c>
    </row>
    <row r="761" spans="1:3" x14ac:dyDescent="0.2">
      <c r="A761" s="10">
        <v>759</v>
      </c>
      <c r="B761" s="10">
        <f t="shared" ca="1" si="11"/>
        <v>0.3685811343407</v>
      </c>
      <c r="C761" s="10" t="s">
        <v>35</v>
      </c>
    </row>
    <row r="762" spans="1:3" x14ac:dyDescent="0.2">
      <c r="A762" s="10">
        <v>760</v>
      </c>
      <c r="B762" s="10">
        <f t="shared" ca="1" si="11"/>
        <v>0.58481682154386538</v>
      </c>
      <c r="C762" s="10" t="s">
        <v>34</v>
      </c>
    </row>
    <row r="763" spans="1:3" x14ac:dyDescent="0.2">
      <c r="A763" s="10">
        <v>761</v>
      </c>
      <c r="B763" s="10">
        <f t="shared" ca="1" si="11"/>
        <v>0.47730022179880743</v>
      </c>
      <c r="C763" s="10" t="s">
        <v>35</v>
      </c>
    </row>
    <row r="764" spans="1:3" x14ac:dyDescent="0.2">
      <c r="A764" s="10">
        <v>762</v>
      </c>
      <c r="B764" s="10">
        <f t="shared" ca="1" si="11"/>
        <v>0.69016612229114438</v>
      </c>
      <c r="C764" s="10" t="s">
        <v>35</v>
      </c>
    </row>
    <row r="765" spans="1:3" x14ac:dyDescent="0.2">
      <c r="A765" s="10">
        <v>763</v>
      </c>
      <c r="B765" s="10">
        <f t="shared" ca="1" si="11"/>
        <v>0.49064350444224042</v>
      </c>
      <c r="C765" s="10" t="s">
        <v>35</v>
      </c>
    </row>
    <row r="766" spans="1:3" x14ac:dyDescent="0.2">
      <c r="A766" s="10">
        <v>764</v>
      </c>
      <c r="B766" s="10">
        <f t="shared" ca="1" si="11"/>
        <v>0.76308210464442439</v>
      </c>
      <c r="C766" s="10" t="s">
        <v>35</v>
      </c>
    </row>
    <row r="767" spans="1:3" x14ac:dyDescent="0.2">
      <c r="A767" s="10">
        <v>765</v>
      </c>
      <c r="B767" s="10">
        <f t="shared" ca="1" si="11"/>
        <v>0.84153162078439048</v>
      </c>
      <c r="C767" s="10" t="s">
        <v>35</v>
      </c>
    </row>
    <row r="768" spans="1:3" x14ac:dyDescent="0.2">
      <c r="A768" s="10">
        <v>766</v>
      </c>
      <c r="B768" s="10">
        <f t="shared" ca="1" si="11"/>
        <v>0.56623132965438572</v>
      </c>
      <c r="C768" s="10" t="s">
        <v>35</v>
      </c>
    </row>
    <row r="769" spans="1:3" x14ac:dyDescent="0.2">
      <c r="A769" s="10">
        <v>767</v>
      </c>
      <c r="B769" s="10">
        <f t="shared" ca="1" si="11"/>
        <v>0.55690816305613655</v>
      </c>
      <c r="C769" s="10" t="s">
        <v>34</v>
      </c>
    </row>
    <row r="770" spans="1:3" x14ac:dyDescent="0.2">
      <c r="A770" s="10">
        <v>768</v>
      </c>
      <c r="B770" s="10">
        <f t="shared" ca="1" si="11"/>
        <v>0.72837178360388288</v>
      </c>
      <c r="C770" s="10" t="s">
        <v>34</v>
      </c>
    </row>
    <row r="771" spans="1:3" x14ac:dyDescent="0.2">
      <c r="A771" s="10">
        <v>769</v>
      </c>
      <c r="B771" s="10">
        <f t="shared" ca="1" si="11"/>
        <v>0.4917155933631035</v>
      </c>
      <c r="C771" s="10" t="s">
        <v>35</v>
      </c>
    </row>
    <row r="772" spans="1:3" x14ac:dyDescent="0.2">
      <c r="A772" s="10">
        <v>770</v>
      </c>
      <c r="B772" s="10">
        <f t="shared" ref="B772:B835" ca="1" si="12">IF(C772="Bomb",_xlfn.NORM.INV(RAND(),0.7,0.1),_xlfn.NORM.INV(RAND(),0.6,0.15))</f>
        <v>0.5911775743903166</v>
      </c>
      <c r="C772" s="10" t="s">
        <v>34</v>
      </c>
    </row>
    <row r="773" spans="1:3" x14ac:dyDescent="0.2">
      <c r="A773" s="10">
        <v>771</v>
      </c>
      <c r="B773" s="10">
        <f t="shared" ca="1" si="12"/>
        <v>0.48567973030804656</v>
      </c>
      <c r="C773" s="10" t="s">
        <v>35</v>
      </c>
    </row>
    <row r="774" spans="1:3" x14ac:dyDescent="0.2">
      <c r="A774" s="10">
        <v>772</v>
      </c>
      <c r="B774" s="10">
        <f t="shared" ca="1" si="12"/>
        <v>0.52852174854134892</v>
      </c>
      <c r="C774" s="10" t="s">
        <v>35</v>
      </c>
    </row>
    <row r="775" spans="1:3" x14ac:dyDescent="0.2">
      <c r="A775" s="10">
        <v>773</v>
      </c>
      <c r="B775" s="10">
        <f t="shared" ca="1" si="12"/>
        <v>0.67106937034694714</v>
      </c>
      <c r="C775" s="10" t="s">
        <v>35</v>
      </c>
    </row>
    <row r="776" spans="1:3" x14ac:dyDescent="0.2">
      <c r="A776" s="10">
        <v>774</v>
      </c>
      <c r="B776" s="10">
        <f t="shared" ca="1" si="12"/>
        <v>0.30330079625465295</v>
      </c>
      <c r="C776" s="10" t="s">
        <v>35</v>
      </c>
    </row>
    <row r="777" spans="1:3" x14ac:dyDescent="0.2">
      <c r="A777" s="10">
        <v>775</v>
      </c>
      <c r="B777" s="10">
        <f t="shared" ca="1" si="12"/>
        <v>0.7777782242902701</v>
      </c>
      <c r="C777" s="10" t="s">
        <v>34</v>
      </c>
    </row>
    <row r="778" spans="1:3" x14ac:dyDescent="0.2">
      <c r="A778" s="10">
        <v>776</v>
      </c>
      <c r="B778" s="10">
        <f t="shared" ca="1" si="12"/>
        <v>0.62831898931002383</v>
      </c>
      <c r="C778" s="10" t="s">
        <v>35</v>
      </c>
    </row>
    <row r="779" spans="1:3" x14ac:dyDescent="0.2">
      <c r="A779" s="10">
        <v>777</v>
      </c>
      <c r="B779" s="10">
        <f t="shared" ca="1" si="12"/>
        <v>0.58436315719204668</v>
      </c>
      <c r="C779" s="10" t="s">
        <v>34</v>
      </c>
    </row>
    <row r="780" spans="1:3" x14ac:dyDescent="0.2">
      <c r="A780" s="10">
        <v>778</v>
      </c>
      <c r="B780" s="10">
        <f t="shared" ca="1" si="12"/>
        <v>0.5821459403538487</v>
      </c>
      <c r="C780" s="10" t="s">
        <v>34</v>
      </c>
    </row>
    <row r="781" spans="1:3" x14ac:dyDescent="0.2">
      <c r="A781" s="10">
        <v>779</v>
      </c>
      <c r="B781" s="10">
        <f t="shared" ca="1" si="12"/>
        <v>0.71149403654519605</v>
      </c>
      <c r="C781" s="10" t="s">
        <v>34</v>
      </c>
    </row>
    <row r="782" spans="1:3" x14ac:dyDescent="0.2">
      <c r="A782" s="10">
        <v>780</v>
      </c>
      <c r="B782" s="10">
        <f t="shared" ca="1" si="12"/>
        <v>0.86165300617893115</v>
      </c>
      <c r="C782" s="10" t="s">
        <v>34</v>
      </c>
    </row>
    <row r="783" spans="1:3" x14ac:dyDescent="0.2">
      <c r="A783" s="10">
        <v>781</v>
      </c>
      <c r="B783" s="10">
        <f t="shared" ca="1" si="12"/>
        <v>0.6702496708789335</v>
      </c>
      <c r="C783" s="10" t="s">
        <v>34</v>
      </c>
    </row>
    <row r="784" spans="1:3" x14ac:dyDescent="0.2">
      <c r="A784" s="10">
        <v>782</v>
      </c>
      <c r="B784" s="10">
        <f t="shared" ca="1" si="12"/>
        <v>0.67980471703288381</v>
      </c>
      <c r="C784" s="10" t="s">
        <v>34</v>
      </c>
    </row>
    <row r="785" spans="1:3" x14ac:dyDescent="0.2">
      <c r="A785" s="10">
        <v>783</v>
      </c>
      <c r="B785" s="10">
        <f t="shared" ca="1" si="12"/>
        <v>0.54296560605180488</v>
      </c>
      <c r="C785" s="10" t="s">
        <v>34</v>
      </c>
    </row>
    <row r="786" spans="1:3" x14ac:dyDescent="0.2">
      <c r="A786" s="10">
        <v>784</v>
      </c>
      <c r="B786" s="10">
        <f t="shared" ca="1" si="12"/>
        <v>0.61400695098436031</v>
      </c>
      <c r="C786" s="10" t="s">
        <v>35</v>
      </c>
    </row>
    <row r="787" spans="1:3" x14ac:dyDescent="0.2">
      <c r="A787" s="10">
        <v>785</v>
      </c>
      <c r="B787" s="10">
        <f t="shared" ca="1" si="12"/>
        <v>0.63428605368868096</v>
      </c>
      <c r="C787" s="10" t="s">
        <v>35</v>
      </c>
    </row>
    <row r="788" spans="1:3" x14ac:dyDescent="0.2">
      <c r="A788" s="10">
        <v>786</v>
      </c>
      <c r="B788" s="10">
        <f t="shared" ca="1" si="12"/>
        <v>0.5542254638908567</v>
      </c>
      <c r="C788" s="10" t="s">
        <v>35</v>
      </c>
    </row>
    <row r="789" spans="1:3" x14ac:dyDescent="0.2">
      <c r="A789" s="10">
        <v>787</v>
      </c>
      <c r="B789" s="10">
        <f t="shared" ca="1" si="12"/>
        <v>0.68585029021534627</v>
      </c>
      <c r="C789" s="10" t="s">
        <v>34</v>
      </c>
    </row>
    <row r="790" spans="1:3" x14ac:dyDescent="0.2">
      <c r="A790" s="10">
        <v>788</v>
      </c>
      <c r="B790" s="10">
        <f t="shared" ca="1" si="12"/>
        <v>0.81010591922200348</v>
      </c>
      <c r="C790" s="10" t="s">
        <v>35</v>
      </c>
    </row>
    <row r="791" spans="1:3" x14ac:dyDescent="0.2">
      <c r="A791" s="10">
        <v>789</v>
      </c>
      <c r="B791" s="10">
        <f t="shared" ca="1" si="12"/>
        <v>0.63680460719048115</v>
      </c>
      <c r="C791" s="10" t="s">
        <v>34</v>
      </c>
    </row>
    <row r="792" spans="1:3" x14ac:dyDescent="0.2">
      <c r="A792" s="10">
        <v>790</v>
      </c>
      <c r="B792" s="10">
        <f t="shared" ca="1" si="12"/>
        <v>0.69413326781155482</v>
      </c>
      <c r="C792" s="10" t="s">
        <v>34</v>
      </c>
    </row>
    <row r="793" spans="1:3" x14ac:dyDescent="0.2">
      <c r="A793" s="10">
        <v>791</v>
      </c>
      <c r="B793" s="10">
        <f t="shared" ca="1" si="12"/>
        <v>0.71903817079464005</v>
      </c>
      <c r="C793" s="10" t="s">
        <v>35</v>
      </c>
    </row>
    <row r="794" spans="1:3" x14ac:dyDescent="0.2">
      <c r="A794" s="10">
        <v>792</v>
      </c>
      <c r="B794" s="10">
        <f t="shared" ca="1" si="12"/>
        <v>0.5246163230691443</v>
      </c>
      <c r="C794" s="10" t="s">
        <v>35</v>
      </c>
    </row>
    <row r="795" spans="1:3" x14ac:dyDescent="0.2">
      <c r="A795" s="10">
        <v>793</v>
      </c>
      <c r="B795" s="10">
        <f t="shared" ca="1" si="12"/>
        <v>0.62724038267205151</v>
      </c>
      <c r="C795" s="10" t="s">
        <v>34</v>
      </c>
    </row>
    <row r="796" spans="1:3" x14ac:dyDescent="0.2">
      <c r="A796" s="10">
        <v>794</v>
      </c>
      <c r="B796" s="10">
        <f t="shared" ca="1" si="12"/>
        <v>0.68981762984642936</v>
      </c>
      <c r="C796" s="10" t="s">
        <v>35</v>
      </c>
    </row>
    <row r="797" spans="1:3" x14ac:dyDescent="0.2">
      <c r="A797" s="10">
        <v>795</v>
      </c>
      <c r="B797" s="10">
        <f t="shared" ca="1" si="12"/>
        <v>0.75264222670520831</v>
      </c>
      <c r="C797" s="10" t="s">
        <v>35</v>
      </c>
    </row>
    <row r="798" spans="1:3" x14ac:dyDescent="0.2">
      <c r="A798" s="10">
        <v>796</v>
      </c>
      <c r="B798" s="10">
        <f t="shared" ca="1" si="12"/>
        <v>0.51673257700236819</v>
      </c>
      <c r="C798" s="10" t="s">
        <v>35</v>
      </c>
    </row>
    <row r="799" spans="1:3" x14ac:dyDescent="0.2">
      <c r="A799" s="10">
        <v>797</v>
      </c>
      <c r="B799" s="10">
        <f t="shared" ca="1" si="12"/>
        <v>0.71991677325055647</v>
      </c>
      <c r="C799" s="10" t="s">
        <v>35</v>
      </c>
    </row>
    <row r="800" spans="1:3" x14ac:dyDescent="0.2">
      <c r="A800" s="10">
        <v>798</v>
      </c>
      <c r="B800" s="10">
        <f t="shared" ca="1" si="12"/>
        <v>0.72360361483306623</v>
      </c>
      <c r="C800" s="10" t="s">
        <v>34</v>
      </c>
    </row>
    <row r="801" spans="1:3" x14ac:dyDescent="0.2">
      <c r="A801" s="10">
        <v>799</v>
      </c>
      <c r="B801" s="10">
        <f t="shared" ca="1" si="12"/>
        <v>0.52622038665287696</v>
      </c>
      <c r="C801" s="10" t="s">
        <v>35</v>
      </c>
    </row>
    <row r="802" spans="1:3" x14ac:dyDescent="0.2">
      <c r="A802" s="10">
        <v>800</v>
      </c>
      <c r="B802" s="10">
        <f t="shared" ca="1" si="12"/>
        <v>0.8143152384605753</v>
      </c>
      <c r="C802" s="10" t="s">
        <v>35</v>
      </c>
    </row>
    <row r="803" spans="1:3" x14ac:dyDescent="0.2">
      <c r="A803" s="10">
        <v>801</v>
      </c>
      <c r="B803" s="10">
        <f t="shared" ca="1" si="12"/>
        <v>0.81815757801837985</v>
      </c>
      <c r="C803" s="10" t="s">
        <v>35</v>
      </c>
    </row>
    <row r="804" spans="1:3" x14ac:dyDescent="0.2">
      <c r="A804" s="10">
        <v>802</v>
      </c>
      <c r="B804" s="10">
        <f t="shared" ca="1" si="12"/>
        <v>0.62580828791593224</v>
      </c>
      <c r="C804" s="10" t="s">
        <v>35</v>
      </c>
    </row>
    <row r="805" spans="1:3" x14ac:dyDescent="0.2">
      <c r="A805" s="10">
        <v>803</v>
      </c>
      <c r="B805" s="10">
        <f t="shared" ca="1" si="12"/>
        <v>0.75436092854616976</v>
      </c>
      <c r="C805" s="10" t="s">
        <v>34</v>
      </c>
    </row>
    <row r="806" spans="1:3" x14ac:dyDescent="0.2">
      <c r="A806" s="10">
        <v>804</v>
      </c>
      <c r="B806" s="10">
        <f t="shared" ca="1" si="12"/>
        <v>0.59167510078631325</v>
      </c>
      <c r="C806" s="10" t="s">
        <v>35</v>
      </c>
    </row>
    <row r="807" spans="1:3" x14ac:dyDescent="0.2">
      <c r="A807" s="10">
        <v>805</v>
      </c>
      <c r="B807" s="10">
        <f t="shared" ca="1" si="12"/>
        <v>0.70410965741707621</v>
      </c>
      <c r="C807" s="10" t="s">
        <v>34</v>
      </c>
    </row>
    <row r="808" spans="1:3" x14ac:dyDescent="0.2">
      <c r="A808" s="10">
        <v>806</v>
      </c>
      <c r="B808" s="10">
        <f t="shared" ca="1" si="12"/>
        <v>0.54785310368861795</v>
      </c>
      <c r="C808" s="10" t="s">
        <v>35</v>
      </c>
    </row>
    <row r="809" spans="1:3" x14ac:dyDescent="0.2">
      <c r="A809" s="10">
        <v>807</v>
      </c>
      <c r="B809" s="10">
        <f t="shared" ca="1" si="12"/>
        <v>0.62927498562502482</v>
      </c>
      <c r="C809" s="10" t="s">
        <v>34</v>
      </c>
    </row>
    <row r="810" spans="1:3" x14ac:dyDescent="0.2">
      <c r="A810" s="10">
        <v>808</v>
      </c>
      <c r="B810" s="10">
        <f t="shared" ca="1" si="12"/>
        <v>0.57947479590036832</v>
      </c>
      <c r="C810" s="10" t="s">
        <v>34</v>
      </c>
    </row>
    <row r="811" spans="1:3" x14ac:dyDescent="0.2">
      <c r="A811" s="10">
        <v>809</v>
      </c>
      <c r="B811" s="10">
        <f t="shared" ca="1" si="12"/>
        <v>0.90308707063320148</v>
      </c>
      <c r="C811" s="10" t="s">
        <v>34</v>
      </c>
    </row>
    <row r="812" spans="1:3" x14ac:dyDescent="0.2">
      <c r="A812" s="10">
        <v>810</v>
      </c>
      <c r="B812" s="10">
        <f t="shared" ca="1" si="12"/>
        <v>0.81698207006142742</v>
      </c>
      <c r="C812" s="10" t="s">
        <v>34</v>
      </c>
    </row>
    <row r="813" spans="1:3" x14ac:dyDescent="0.2">
      <c r="A813" s="10">
        <v>811</v>
      </c>
      <c r="B813" s="10">
        <f t="shared" ca="1" si="12"/>
        <v>0.96145689249039745</v>
      </c>
      <c r="C813" s="10" t="s">
        <v>35</v>
      </c>
    </row>
    <row r="814" spans="1:3" x14ac:dyDescent="0.2">
      <c r="A814" s="10">
        <v>812</v>
      </c>
      <c r="B814" s="10">
        <f t="shared" ca="1" si="12"/>
        <v>0.8351683855600287</v>
      </c>
      <c r="C814" s="10" t="s">
        <v>34</v>
      </c>
    </row>
    <row r="815" spans="1:3" x14ac:dyDescent="0.2">
      <c r="A815" s="10">
        <v>813</v>
      </c>
      <c r="B815" s="10">
        <f t="shared" ca="1" si="12"/>
        <v>0.64905804376519727</v>
      </c>
      <c r="C815" s="10" t="s">
        <v>34</v>
      </c>
    </row>
    <row r="816" spans="1:3" x14ac:dyDescent="0.2">
      <c r="A816" s="10">
        <v>814</v>
      </c>
      <c r="B816" s="10">
        <f t="shared" ca="1" si="12"/>
        <v>0.47937883261108638</v>
      </c>
      <c r="C816" s="10" t="s">
        <v>35</v>
      </c>
    </row>
    <row r="817" spans="1:3" x14ac:dyDescent="0.2">
      <c r="A817" s="10">
        <v>815</v>
      </c>
      <c r="B817" s="10">
        <f t="shared" ca="1" si="12"/>
        <v>0.48027892934777655</v>
      </c>
      <c r="C817" s="10" t="s">
        <v>35</v>
      </c>
    </row>
    <row r="818" spans="1:3" x14ac:dyDescent="0.2">
      <c r="A818" s="10">
        <v>816</v>
      </c>
      <c r="B818" s="10">
        <f t="shared" ca="1" si="12"/>
        <v>0.80291703155808025</v>
      </c>
      <c r="C818" s="10" t="s">
        <v>35</v>
      </c>
    </row>
    <row r="819" spans="1:3" x14ac:dyDescent="0.2">
      <c r="A819" s="10">
        <v>817</v>
      </c>
      <c r="B819" s="10">
        <f t="shared" ca="1" si="12"/>
        <v>0.8147495115327904</v>
      </c>
      <c r="C819" s="10" t="s">
        <v>35</v>
      </c>
    </row>
    <row r="820" spans="1:3" x14ac:dyDescent="0.2">
      <c r="A820" s="10">
        <v>818</v>
      </c>
      <c r="B820" s="10">
        <f t="shared" ca="1" si="12"/>
        <v>0.56594754547817405</v>
      </c>
      <c r="C820" s="10" t="s">
        <v>35</v>
      </c>
    </row>
    <row r="821" spans="1:3" x14ac:dyDescent="0.2">
      <c r="A821" s="10">
        <v>819</v>
      </c>
      <c r="B821" s="10">
        <f t="shared" ca="1" si="12"/>
        <v>0.68579623719532656</v>
      </c>
      <c r="C821" s="10" t="s">
        <v>35</v>
      </c>
    </row>
    <row r="822" spans="1:3" x14ac:dyDescent="0.2">
      <c r="A822" s="10">
        <v>820</v>
      </c>
      <c r="B822" s="10">
        <f t="shared" ca="1" si="12"/>
        <v>0.73894915135966666</v>
      </c>
      <c r="C822" s="10" t="s">
        <v>35</v>
      </c>
    </row>
    <row r="823" spans="1:3" x14ac:dyDescent="0.2">
      <c r="A823" s="10">
        <v>821</v>
      </c>
      <c r="B823" s="10">
        <f t="shared" ca="1" si="12"/>
        <v>0.7015667533561758</v>
      </c>
      <c r="C823" s="10" t="s">
        <v>34</v>
      </c>
    </row>
    <row r="824" spans="1:3" x14ac:dyDescent="0.2">
      <c r="A824" s="10">
        <v>822</v>
      </c>
      <c r="B824" s="10">
        <f t="shared" ca="1" si="12"/>
        <v>0.58889329125321987</v>
      </c>
      <c r="C824" s="10" t="s">
        <v>35</v>
      </c>
    </row>
    <row r="825" spans="1:3" x14ac:dyDescent="0.2">
      <c r="A825" s="10">
        <v>823</v>
      </c>
      <c r="B825" s="10">
        <f t="shared" ca="1" si="12"/>
        <v>0.65566906505506806</v>
      </c>
      <c r="C825" s="10" t="s">
        <v>34</v>
      </c>
    </row>
    <row r="826" spans="1:3" x14ac:dyDescent="0.2">
      <c r="A826" s="10">
        <v>824</v>
      </c>
      <c r="B826" s="10">
        <f t="shared" ca="1" si="12"/>
        <v>0.71994672191313758</v>
      </c>
      <c r="C826" s="10" t="s">
        <v>34</v>
      </c>
    </row>
    <row r="827" spans="1:3" x14ac:dyDescent="0.2">
      <c r="A827" s="10">
        <v>825</v>
      </c>
      <c r="B827" s="10">
        <f t="shared" ca="1" si="12"/>
        <v>0.77879297624239419</v>
      </c>
      <c r="C827" s="10" t="s">
        <v>34</v>
      </c>
    </row>
    <row r="828" spans="1:3" x14ac:dyDescent="0.2">
      <c r="A828" s="10">
        <v>826</v>
      </c>
      <c r="B828" s="10">
        <f t="shared" ca="1" si="12"/>
        <v>0.33569801816712436</v>
      </c>
      <c r="C828" s="10" t="s">
        <v>35</v>
      </c>
    </row>
    <row r="829" spans="1:3" x14ac:dyDescent="0.2">
      <c r="A829" s="10">
        <v>827</v>
      </c>
      <c r="B829" s="10">
        <f t="shared" ca="1" si="12"/>
        <v>0.52369407200194584</v>
      </c>
      <c r="C829" s="10" t="s">
        <v>35</v>
      </c>
    </row>
    <row r="830" spans="1:3" x14ac:dyDescent="0.2">
      <c r="A830" s="10">
        <v>828</v>
      </c>
      <c r="B830" s="10">
        <f t="shared" ca="1" si="12"/>
        <v>0.59664833854767807</v>
      </c>
      <c r="C830" s="10" t="s">
        <v>35</v>
      </c>
    </row>
    <row r="831" spans="1:3" x14ac:dyDescent="0.2">
      <c r="A831" s="10">
        <v>829</v>
      </c>
      <c r="B831" s="10">
        <f t="shared" ca="1" si="12"/>
        <v>0.81408497703365146</v>
      </c>
      <c r="C831" s="10" t="s">
        <v>34</v>
      </c>
    </row>
    <row r="832" spans="1:3" x14ac:dyDescent="0.2">
      <c r="A832" s="10">
        <v>830</v>
      </c>
      <c r="B832" s="10">
        <f t="shared" ca="1" si="12"/>
        <v>0.95557486405751413</v>
      </c>
      <c r="C832" s="10" t="s">
        <v>35</v>
      </c>
    </row>
    <row r="833" spans="1:3" x14ac:dyDescent="0.2">
      <c r="A833" s="10">
        <v>831</v>
      </c>
      <c r="B833" s="10">
        <f t="shared" ca="1" si="12"/>
        <v>0.64284612494842497</v>
      </c>
      <c r="C833" s="10" t="s">
        <v>35</v>
      </c>
    </row>
    <row r="834" spans="1:3" x14ac:dyDescent="0.2">
      <c r="A834" s="10">
        <v>832</v>
      </c>
      <c r="B834" s="10">
        <f t="shared" ca="1" si="12"/>
        <v>0.51241714768024793</v>
      </c>
      <c r="C834" s="10" t="s">
        <v>35</v>
      </c>
    </row>
    <row r="835" spans="1:3" x14ac:dyDescent="0.2">
      <c r="A835" s="10">
        <v>833</v>
      </c>
      <c r="B835" s="10">
        <f t="shared" ca="1" si="12"/>
        <v>0.82173837005487738</v>
      </c>
      <c r="C835" s="10" t="s">
        <v>34</v>
      </c>
    </row>
    <row r="836" spans="1:3" x14ac:dyDescent="0.2">
      <c r="A836" s="10">
        <v>834</v>
      </c>
      <c r="B836" s="10">
        <f t="shared" ref="B836:B899" ca="1" si="13">IF(C836="Bomb",_xlfn.NORM.INV(RAND(),0.7,0.1),_xlfn.NORM.INV(RAND(),0.6,0.15))</f>
        <v>0.75582564319737466</v>
      </c>
      <c r="C836" s="10" t="s">
        <v>35</v>
      </c>
    </row>
    <row r="837" spans="1:3" x14ac:dyDescent="0.2">
      <c r="A837" s="10">
        <v>835</v>
      </c>
      <c r="B837" s="10">
        <f t="shared" ca="1" si="13"/>
        <v>0.74647339656098999</v>
      </c>
      <c r="C837" s="10" t="s">
        <v>34</v>
      </c>
    </row>
    <row r="838" spans="1:3" x14ac:dyDescent="0.2">
      <c r="A838" s="10">
        <v>836</v>
      </c>
      <c r="B838" s="10">
        <f t="shared" ca="1" si="13"/>
        <v>0.6511199267484109</v>
      </c>
      <c r="C838" s="10" t="s">
        <v>35</v>
      </c>
    </row>
    <row r="839" spans="1:3" x14ac:dyDescent="0.2">
      <c r="A839" s="10">
        <v>837</v>
      </c>
      <c r="B839" s="10">
        <f t="shared" ca="1" si="13"/>
        <v>0.70592258415713427</v>
      </c>
      <c r="C839" s="10" t="s">
        <v>34</v>
      </c>
    </row>
    <row r="840" spans="1:3" x14ac:dyDescent="0.2">
      <c r="A840" s="10">
        <v>838</v>
      </c>
      <c r="B840" s="10">
        <f t="shared" ca="1" si="13"/>
        <v>0.69236322702611264</v>
      </c>
      <c r="C840" s="10" t="s">
        <v>35</v>
      </c>
    </row>
    <row r="841" spans="1:3" x14ac:dyDescent="0.2">
      <c r="A841" s="10">
        <v>839</v>
      </c>
      <c r="B841" s="10">
        <f t="shared" ca="1" si="13"/>
        <v>0.6775361544004086</v>
      </c>
      <c r="C841" s="10" t="s">
        <v>34</v>
      </c>
    </row>
    <row r="842" spans="1:3" x14ac:dyDescent="0.2">
      <c r="A842" s="10">
        <v>840</v>
      </c>
      <c r="B842" s="10">
        <f t="shared" ca="1" si="13"/>
        <v>0.53723534483284252</v>
      </c>
      <c r="C842" s="10" t="s">
        <v>34</v>
      </c>
    </row>
    <row r="843" spans="1:3" x14ac:dyDescent="0.2">
      <c r="A843" s="10">
        <v>841</v>
      </c>
      <c r="B843" s="10">
        <f t="shared" ca="1" si="13"/>
        <v>0.64726605084976063</v>
      </c>
      <c r="C843" s="10" t="s">
        <v>34</v>
      </c>
    </row>
    <row r="844" spans="1:3" x14ac:dyDescent="0.2">
      <c r="A844" s="10">
        <v>842</v>
      </c>
      <c r="B844" s="10">
        <f t="shared" ca="1" si="13"/>
        <v>0.40431798726900148</v>
      </c>
      <c r="C844" s="10" t="s">
        <v>35</v>
      </c>
    </row>
    <row r="845" spans="1:3" x14ac:dyDescent="0.2">
      <c r="A845" s="10">
        <v>843</v>
      </c>
      <c r="B845" s="10">
        <f t="shared" ca="1" si="13"/>
        <v>0.30807174802955606</v>
      </c>
      <c r="C845" s="10" t="s">
        <v>35</v>
      </c>
    </row>
    <row r="846" spans="1:3" x14ac:dyDescent="0.2">
      <c r="A846" s="10">
        <v>844</v>
      </c>
      <c r="B846" s="10">
        <f t="shared" ca="1" si="13"/>
        <v>0.68675511028511926</v>
      </c>
      <c r="C846" s="10" t="s">
        <v>35</v>
      </c>
    </row>
    <row r="847" spans="1:3" x14ac:dyDescent="0.2">
      <c r="A847" s="10">
        <v>845</v>
      </c>
      <c r="B847" s="10">
        <f t="shared" ca="1" si="13"/>
        <v>0.73994249133384482</v>
      </c>
      <c r="C847" s="10" t="s">
        <v>35</v>
      </c>
    </row>
    <row r="848" spans="1:3" x14ac:dyDescent="0.2">
      <c r="A848" s="10">
        <v>846</v>
      </c>
      <c r="B848" s="10">
        <f t="shared" ca="1" si="13"/>
        <v>0.66903999796515323</v>
      </c>
      <c r="C848" s="10" t="s">
        <v>35</v>
      </c>
    </row>
    <row r="849" spans="1:3" x14ac:dyDescent="0.2">
      <c r="A849" s="10">
        <v>847</v>
      </c>
      <c r="B849" s="10">
        <f t="shared" ca="1" si="13"/>
        <v>0.74376626201794027</v>
      </c>
      <c r="C849" s="10" t="s">
        <v>34</v>
      </c>
    </row>
    <row r="850" spans="1:3" x14ac:dyDescent="0.2">
      <c r="A850" s="10">
        <v>848</v>
      </c>
      <c r="B850" s="10">
        <f t="shared" ca="1" si="13"/>
        <v>0.79811585023853582</v>
      </c>
      <c r="C850" s="10" t="s">
        <v>35</v>
      </c>
    </row>
    <row r="851" spans="1:3" x14ac:dyDescent="0.2">
      <c r="A851" s="10">
        <v>849</v>
      </c>
      <c r="B851" s="10">
        <f t="shared" ca="1" si="13"/>
        <v>0.73279870818751147</v>
      </c>
      <c r="C851" s="10" t="s">
        <v>34</v>
      </c>
    </row>
    <row r="852" spans="1:3" x14ac:dyDescent="0.2">
      <c r="A852" s="10">
        <v>850</v>
      </c>
      <c r="B852" s="10">
        <f t="shared" ca="1" si="13"/>
        <v>0.624350477195737</v>
      </c>
      <c r="C852" s="10" t="s">
        <v>35</v>
      </c>
    </row>
    <row r="853" spans="1:3" x14ac:dyDescent="0.2">
      <c r="A853" s="10">
        <v>851</v>
      </c>
      <c r="B853" s="10">
        <f t="shared" ca="1" si="13"/>
        <v>0.63762772426743863</v>
      </c>
      <c r="C853" s="10" t="s">
        <v>35</v>
      </c>
    </row>
    <row r="854" spans="1:3" x14ac:dyDescent="0.2">
      <c r="A854" s="10">
        <v>852</v>
      </c>
      <c r="B854" s="10">
        <f t="shared" ca="1" si="13"/>
        <v>0.37520659616831131</v>
      </c>
      <c r="C854" s="10" t="s">
        <v>35</v>
      </c>
    </row>
    <row r="855" spans="1:3" x14ac:dyDescent="0.2">
      <c r="A855" s="10">
        <v>853</v>
      </c>
      <c r="B855" s="10">
        <f t="shared" ca="1" si="13"/>
        <v>0.58488239188936753</v>
      </c>
      <c r="C855" s="10" t="s">
        <v>35</v>
      </c>
    </row>
    <row r="856" spans="1:3" x14ac:dyDescent="0.2">
      <c r="A856" s="10">
        <v>854</v>
      </c>
      <c r="B856" s="10">
        <f t="shared" ca="1" si="13"/>
        <v>0.50826899970980588</v>
      </c>
      <c r="C856" s="10" t="s">
        <v>35</v>
      </c>
    </row>
    <row r="857" spans="1:3" x14ac:dyDescent="0.2">
      <c r="A857" s="10">
        <v>855</v>
      </c>
      <c r="B857" s="10">
        <f t="shared" ca="1" si="13"/>
        <v>0.68002109362115282</v>
      </c>
      <c r="C857" s="10" t="s">
        <v>34</v>
      </c>
    </row>
    <row r="858" spans="1:3" x14ac:dyDescent="0.2">
      <c r="A858" s="10">
        <v>856</v>
      </c>
      <c r="B858" s="10">
        <f t="shared" ca="1" si="13"/>
        <v>0.77161733734335736</v>
      </c>
      <c r="C858" s="10" t="s">
        <v>34</v>
      </c>
    </row>
    <row r="859" spans="1:3" x14ac:dyDescent="0.2">
      <c r="A859" s="10">
        <v>857</v>
      </c>
      <c r="B859" s="10">
        <f t="shared" ca="1" si="13"/>
        <v>0.62620426546581764</v>
      </c>
      <c r="C859" s="10" t="s">
        <v>35</v>
      </c>
    </row>
    <row r="860" spans="1:3" x14ac:dyDescent="0.2">
      <c r="A860" s="10">
        <v>858</v>
      </c>
      <c r="B860" s="10">
        <f t="shared" ca="1" si="13"/>
        <v>0.51744925780604101</v>
      </c>
      <c r="C860" s="10" t="s">
        <v>35</v>
      </c>
    </row>
    <row r="861" spans="1:3" x14ac:dyDescent="0.2">
      <c r="A861" s="10">
        <v>859</v>
      </c>
      <c r="B861" s="10">
        <f t="shared" ca="1" si="13"/>
        <v>0.60421710385489624</v>
      </c>
      <c r="C861" s="10" t="s">
        <v>35</v>
      </c>
    </row>
    <row r="862" spans="1:3" x14ac:dyDescent="0.2">
      <c r="A862" s="10">
        <v>860</v>
      </c>
      <c r="B862" s="10">
        <f t="shared" ca="1" si="13"/>
        <v>0.55907731198647626</v>
      </c>
      <c r="C862" s="10" t="s">
        <v>35</v>
      </c>
    </row>
    <row r="863" spans="1:3" x14ac:dyDescent="0.2">
      <c r="A863" s="10">
        <v>861</v>
      </c>
      <c r="B863" s="10">
        <f t="shared" ca="1" si="13"/>
        <v>0.87659252633339202</v>
      </c>
      <c r="C863" s="10" t="s">
        <v>34</v>
      </c>
    </row>
    <row r="864" spans="1:3" x14ac:dyDescent="0.2">
      <c r="A864" s="10">
        <v>862</v>
      </c>
      <c r="B864" s="10">
        <f t="shared" ca="1" si="13"/>
        <v>0.52710395277280719</v>
      </c>
      <c r="C864" s="10" t="s">
        <v>35</v>
      </c>
    </row>
    <row r="865" spans="1:3" x14ac:dyDescent="0.2">
      <c r="A865" s="10">
        <v>863</v>
      </c>
      <c r="B865" s="10">
        <f t="shared" ca="1" si="13"/>
        <v>0.17362603823077616</v>
      </c>
      <c r="C865" s="10" t="s">
        <v>35</v>
      </c>
    </row>
    <row r="866" spans="1:3" x14ac:dyDescent="0.2">
      <c r="A866" s="10">
        <v>864</v>
      </c>
      <c r="B866" s="10">
        <f t="shared" ca="1" si="13"/>
        <v>0.4761579257242573</v>
      </c>
      <c r="C866" s="10" t="s">
        <v>35</v>
      </c>
    </row>
    <row r="867" spans="1:3" x14ac:dyDescent="0.2">
      <c r="A867" s="10">
        <v>865</v>
      </c>
      <c r="B867" s="10">
        <f t="shared" ca="1" si="13"/>
        <v>0.75807933944153982</v>
      </c>
      <c r="C867" s="10" t="s">
        <v>35</v>
      </c>
    </row>
    <row r="868" spans="1:3" x14ac:dyDescent="0.2">
      <c r="A868" s="10">
        <v>866</v>
      </c>
      <c r="B868" s="10">
        <f t="shared" ca="1" si="13"/>
        <v>0.81777065551456618</v>
      </c>
      <c r="C868" s="10" t="s">
        <v>35</v>
      </c>
    </row>
    <row r="869" spans="1:3" x14ac:dyDescent="0.2">
      <c r="A869" s="10">
        <v>867</v>
      </c>
      <c r="B869" s="10">
        <f t="shared" ca="1" si="13"/>
        <v>0.60062554744356289</v>
      </c>
      <c r="C869" s="10" t="s">
        <v>35</v>
      </c>
    </row>
    <row r="870" spans="1:3" x14ac:dyDescent="0.2">
      <c r="A870" s="10">
        <v>868</v>
      </c>
      <c r="B870" s="10">
        <f t="shared" ca="1" si="13"/>
        <v>0.43323419094515614</v>
      </c>
      <c r="C870" s="10" t="s">
        <v>35</v>
      </c>
    </row>
    <row r="871" spans="1:3" x14ac:dyDescent="0.2">
      <c r="A871" s="10">
        <v>869</v>
      </c>
      <c r="B871" s="10">
        <f t="shared" ca="1" si="13"/>
        <v>0.50762651177683671</v>
      </c>
      <c r="C871" s="10" t="s">
        <v>35</v>
      </c>
    </row>
    <row r="872" spans="1:3" x14ac:dyDescent="0.2">
      <c r="A872" s="10">
        <v>870</v>
      </c>
      <c r="B872" s="10">
        <f t="shared" ca="1" si="13"/>
        <v>0.38881386049738509</v>
      </c>
      <c r="C872" s="10" t="s">
        <v>35</v>
      </c>
    </row>
    <row r="873" spans="1:3" x14ac:dyDescent="0.2">
      <c r="A873" s="10">
        <v>871</v>
      </c>
      <c r="B873" s="10">
        <f t="shared" ca="1" si="13"/>
        <v>0.70393568636699932</v>
      </c>
      <c r="C873" s="10" t="s">
        <v>34</v>
      </c>
    </row>
    <row r="874" spans="1:3" x14ac:dyDescent="0.2">
      <c r="A874" s="10">
        <v>872</v>
      </c>
      <c r="B874" s="10">
        <f t="shared" ca="1" si="13"/>
        <v>0.51604710093900297</v>
      </c>
      <c r="C874" s="10" t="s">
        <v>34</v>
      </c>
    </row>
    <row r="875" spans="1:3" x14ac:dyDescent="0.2">
      <c r="A875" s="10">
        <v>873</v>
      </c>
      <c r="B875" s="10">
        <f t="shared" ca="1" si="13"/>
        <v>0.66725387715062179</v>
      </c>
      <c r="C875" s="10" t="s">
        <v>34</v>
      </c>
    </row>
    <row r="876" spans="1:3" x14ac:dyDescent="0.2">
      <c r="A876" s="10">
        <v>874</v>
      </c>
      <c r="B876" s="10">
        <f t="shared" ca="1" si="13"/>
        <v>0.60523986087668191</v>
      </c>
      <c r="C876" s="10" t="s">
        <v>35</v>
      </c>
    </row>
    <row r="877" spans="1:3" x14ac:dyDescent="0.2">
      <c r="A877" s="10">
        <v>875</v>
      </c>
      <c r="B877" s="10">
        <f t="shared" ca="1" si="13"/>
        <v>0.44984434655796679</v>
      </c>
      <c r="C877" s="10" t="s">
        <v>35</v>
      </c>
    </row>
    <row r="878" spans="1:3" x14ac:dyDescent="0.2">
      <c r="A878" s="10">
        <v>876</v>
      </c>
      <c r="B878" s="10">
        <f t="shared" ca="1" si="13"/>
        <v>0.75632864540765021</v>
      </c>
      <c r="C878" s="10" t="s">
        <v>34</v>
      </c>
    </row>
    <row r="879" spans="1:3" x14ac:dyDescent="0.2">
      <c r="A879" s="10">
        <v>877</v>
      </c>
      <c r="B879" s="10">
        <f t="shared" ca="1" si="13"/>
        <v>0.45357032574497247</v>
      </c>
      <c r="C879" s="10" t="s">
        <v>35</v>
      </c>
    </row>
    <row r="880" spans="1:3" x14ac:dyDescent="0.2">
      <c r="A880" s="10">
        <v>878</v>
      </c>
      <c r="B880" s="10">
        <f t="shared" ca="1" si="13"/>
        <v>0.26948318793930831</v>
      </c>
      <c r="C880" s="10" t="s">
        <v>35</v>
      </c>
    </row>
    <row r="881" spans="1:3" x14ac:dyDescent="0.2">
      <c r="A881" s="10">
        <v>879</v>
      </c>
      <c r="B881" s="10">
        <f t="shared" ca="1" si="13"/>
        <v>0.60693604894223685</v>
      </c>
      <c r="C881" s="10" t="s">
        <v>34</v>
      </c>
    </row>
    <row r="882" spans="1:3" x14ac:dyDescent="0.2">
      <c r="A882" s="10">
        <v>880</v>
      </c>
      <c r="B882" s="10">
        <f t="shared" ca="1" si="13"/>
        <v>0.70374928067196252</v>
      </c>
      <c r="C882" s="10" t="s">
        <v>34</v>
      </c>
    </row>
    <row r="883" spans="1:3" x14ac:dyDescent="0.2">
      <c r="A883" s="10">
        <v>881</v>
      </c>
      <c r="B883" s="10">
        <f t="shared" ca="1" si="13"/>
        <v>0.81873941347702683</v>
      </c>
      <c r="C883" s="10" t="s">
        <v>34</v>
      </c>
    </row>
    <row r="884" spans="1:3" x14ac:dyDescent="0.2">
      <c r="A884" s="10">
        <v>882</v>
      </c>
      <c r="B884" s="10">
        <f t="shared" ca="1" si="13"/>
        <v>0.56201570281718016</v>
      </c>
      <c r="C884" s="10" t="s">
        <v>34</v>
      </c>
    </row>
    <row r="885" spans="1:3" x14ac:dyDescent="0.2">
      <c r="A885" s="10">
        <v>883</v>
      </c>
      <c r="B885" s="10">
        <f t="shared" ca="1" si="13"/>
        <v>0.82196762795809897</v>
      </c>
      <c r="C885" s="10" t="s">
        <v>35</v>
      </c>
    </row>
    <row r="886" spans="1:3" x14ac:dyDescent="0.2">
      <c r="A886" s="10">
        <v>884</v>
      </c>
      <c r="B886" s="10">
        <f t="shared" ca="1" si="13"/>
        <v>0.52299388811245839</v>
      </c>
      <c r="C886" s="10" t="s">
        <v>35</v>
      </c>
    </row>
    <row r="887" spans="1:3" x14ac:dyDescent="0.2">
      <c r="A887" s="10">
        <v>885</v>
      </c>
      <c r="B887" s="10">
        <f t="shared" ca="1" si="13"/>
        <v>0.3144546568738123</v>
      </c>
      <c r="C887" s="10" t="s">
        <v>35</v>
      </c>
    </row>
    <row r="888" spans="1:3" x14ac:dyDescent="0.2">
      <c r="A888" s="10">
        <v>886</v>
      </c>
      <c r="B888" s="10">
        <f t="shared" ca="1" si="13"/>
        <v>0.6638545338077998</v>
      </c>
      <c r="C888" s="10" t="s">
        <v>34</v>
      </c>
    </row>
    <row r="889" spans="1:3" x14ac:dyDescent="0.2">
      <c r="A889" s="10">
        <v>887</v>
      </c>
      <c r="B889" s="10">
        <f t="shared" ca="1" si="13"/>
        <v>0.65324007466617584</v>
      </c>
      <c r="C889" s="10" t="s">
        <v>34</v>
      </c>
    </row>
    <row r="890" spans="1:3" x14ac:dyDescent="0.2">
      <c r="A890" s="10">
        <v>888</v>
      </c>
      <c r="B890" s="10">
        <f t="shared" ca="1" si="13"/>
        <v>0.69866147391401567</v>
      </c>
      <c r="C890" s="10" t="s">
        <v>34</v>
      </c>
    </row>
    <row r="891" spans="1:3" x14ac:dyDescent="0.2">
      <c r="A891" s="10">
        <v>889</v>
      </c>
      <c r="B891" s="10">
        <f t="shared" ca="1" si="13"/>
        <v>0.68867919675289435</v>
      </c>
      <c r="C891" s="10" t="s">
        <v>35</v>
      </c>
    </row>
    <row r="892" spans="1:3" x14ac:dyDescent="0.2">
      <c r="A892" s="10">
        <v>890</v>
      </c>
      <c r="B892" s="10">
        <f t="shared" ca="1" si="13"/>
        <v>0.60273574375900663</v>
      </c>
      <c r="C892" s="10" t="s">
        <v>35</v>
      </c>
    </row>
    <row r="893" spans="1:3" x14ac:dyDescent="0.2">
      <c r="A893" s="10">
        <v>891</v>
      </c>
      <c r="B893" s="10">
        <f t="shared" ca="1" si="13"/>
        <v>0.14345645709464672</v>
      </c>
      <c r="C893" s="10" t="s">
        <v>35</v>
      </c>
    </row>
    <row r="894" spans="1:3" x14ac:dyDescent="0.2">
      <c r="A894" s="10">
        <v>892</v>
      </c>
      <c r="B894" s="10">
        <f t="shared" ca="1" si="13"/>
        <v>0.77762964347456753</v>
      </c>
      <c r="C894" s="10" t="s">
        <v>34</v>
      </c>
    </row>
    <row r="895" spans="1:3" x14ac:dyDescent="0.2">
      <c r="A895" s="10">
        <v>893</v>
      </c>
      <c r="B895" s="10">
        <f t="shared" ca="1" si="13"/>
        <v>0.63020413916432949</v>
      </c>
      <c r="C895" s="10" t="s">
        <v>35</v>
      </c>
    </row>
    <row r="896" spans="1:3" x14ac:dyDescent="0.2">
      <c r="A896" s="10">
        <v>894</v>
      </c>
      <c r="B896" s="10">
        <f t="shared" ca="1" si="13"/>
        <v>0.76835083292466244</v>
      </c>
      <c r="C896" s="10" t="s">
        <v>34</v>
      </c>
    </row>
    <row r="897" spans="1:3" x14ac:dyDescent="0.2">
      <c r="A897" s="10">
        <v>895</v>
      </c>
      <c r="B897" s="10">
        <f t="shared" ca="1" si="13"/>
        <v>0.57970863590673483</v>
      </c>
      <c r="C897" s="10" t="s">
        <v>35</v>
      </c>
    </row>
    <row r="898" spans="1:3" x14ac:dyDescent="0.2">
      <c r="A898" s="10">
        <v>896</v>
      </c>
      <c r="B898" s="10">
        <f t="shared" ca="1" si="13"/>
        <v>0.80767428564077892</v>
      </c>
      <c r="C898" s="10" t="s">
        <v>34</v>
      </c>
    </row>
    <row r="899" spans="1:3" x14ac:dyDescent="0.2">
      <c r="A899" s="10">
        <v>897</v>
      </c>
      <c r="B899" s="10">
        <f t="shared" ca="1" si="13"/>
        <v>0.62258190530423718</v>
      </c>
      <c r="C899" s="10" t="s">
        <v>34</v>
      </c>
    </row>
    <row r="900" spans="1:3" x14ac:dyDescent="0.2">
      <c r="A900" s="10">
        <v>898</v>
      </c>
      <c r="B900" s="10">
        <f t="shared" ref="B900:B963" ca="1" si="14">IF(C900="Bomb",_xlfn.NORM.INV(RAND(),0.7,0.1),_xlfn.NORM.INV(RAND(),0.6,0.15))</f>
        <v>0.61363803752149404</v>
      </c>
      <c r="C900" s="10" t="s">
        <v>34</v>
      </c>
    </row>
    <row r="901" spans="1:3" x14ac:dyDescent="0.2">
      <c r="A901" s="10">
        <v>899</v>
      </c>
      <c r="B901" s="10">
        <f t="shared" ca="1" si="14"/>
        <v>0.53403131260646253</v>
      </c>
      <c r="C901" s="10" t="s">
        <v>35</v>
      </c>
    </row>
    <row r="902" spans="1:3" x14ac:dyDescent="0.2">
      <c r="A902" s="10">
        <v>900</v>
      </c>
      <c r="B902" s="10">
        <f t="shared" ca="1" si="14"/>
        <v>0.87320523884424084</v>
      </c>
      <c r="C902" s="10" t="s">
        <v>34</v>
      </c>
    </row>
    <row r="903" spans="1:3" x14ac:dyDescent="0.2">
      <c r="A903" s="10">
        <v>901</v>
      </c>
      <c r="B903" s="10">
        <f t="shared" ca="1" si="14"/>
        <v>0.73435774499209439</v>
      </c>
      <c r="C903" s="10" t="s">
        <v>34</v>
      </c>
    </row>
    <row r="904" spans="1:3" x14ac:dyDescent="0.2">
      <c r="A904" s="10">
        <v>902</v>
      </c>
      <c r="B904" s="10">
        <f t="shared" ca="1" si="14"/>
        <v>0.70275643222119588</v>
      </c>
      <c r="C904" s="10" t="s">
        <v>34</v>
      </c>
    </row>
    <row r="905" spans="1:3" x14ac:dyDescent="0.2">
      <c r="A905" s="10">
        <v>903</v>
      </c>
      <c r="B905" s="10">
        <f t="shared" ca="1" si="14"/>
        <v>0.57202257825941738</v>
      </c>
      <c r="C905" s="10" t="s">
        <v>34</v>
      </c>
    </row>
    <row r="906" spans="1:3" x14ac:dyDescent="0.2">
      <c r="A906" s="10">
        <v>904</v>
      </c>
      <c r="B906" s="10">
        <f t="shared" ca="1" si="14"/>
        <v>0.72477852532838782</v>
      </c>
      <c r="C906" s="10" t="s">
        <v>34</v>
      </c>
    </row>
    <row r="907" spans="1:3" x14ac:dyDescent="0.2">
      <c r="A907" s="10">
        <v>905</v>
      </c>
      <c r="B907" s="10">
        <f t="shared" ca="1" si="14"/>
        <v>0.37370113799238847</v>
      </c>
      <c r="C907" s="10" t="s">
        <v>35</v>
      </c>
    </row>
    <row r="908" spans="1:3" x14ac:dyDescent="0.2">
      <c r="A908" s="10">
        <v>906</v>
      </c>
      <c r="B908" s="10">
        <f t="shared" ca="1" si="14"/>
        <v>0.40231798598266455</v>
      </c>
      <c r="C908" s="10" t="s">
        <v>35</v>
      </c>
    </row>
    <row r="909" spans="1:3" x14ac:dyDescent="0.2">
      <c r="A909" s="10">
        <v>907</v>
      </c>
      <c r="B909" s="10">
        <f t="shared" ca="1" si="14"/>
        <v>0.5204416406201352</v>
      </c>
      <c r="C909" s="10" t="s">
        <v>35</v>
      </c>
    </row>
    <row r="910" spans="1:3" x14ac:dyDescent="0.2">
      <c r="A910" s="10">
        <v>908</v>
      </c>
      <c r="B910" s="10">
        <f t="shared" ca="1" si="14"/>
        <v>0.50678915764715515</v>
      </c>
      <c r="C910" s="10" t="s">
        <v>35</v>
      </c>
    </row>
    <row r="911" spans="1:3" x14ac:dyDescent="0.2">
      <c r="A911" s="10">
        <v>909</v>
      </c>
      <c r="B911" s="10">
        <f t="shared" ca="1" si="14"/>
        <v>0.61679736367548055</v>
      </c>
      <c r="C911" s="10" t="s">
        <v>35</v>
      </c>
    </row>
    <row r="912" spans="1:3" x14ac:dyDescent="0.2">
      <c r="A912" s="10">
        <v>910</v>
      </c>
      <c r="B912" s="10">
        <f t="shared" ca="1" si="14"/>
        <v>0.67159535218598754</v>
      </c>
      <c r="C912" s="10" t="s">
        <v>34</v>
      </c>
    </row>
    <row r="913" spans="1:3" x14ac:dyDescent="0.2">
      <c r="A913" s="10">
        <v>911</v>
      </c>
      <c r="B913" s="10">
        <f t="shared" ca="1" si="14"/>
        <v>0.80708606023212692</v>
      </c>
      <c r="C913" s="10" t="s">
        <v>35</v>
      </c>
    </row>
    <row r="914" spans="1:3" x14ac:dyDescent="0.2">
      <c r="A914" s="10">
        <v>912</v>
      </c>
      <c r="B914" s="10">
        <f t="shared" ca="1" si="14"/>
        <v>0.78879303206408735</v>
      </c>
      <c r="C914" s="10" t="s">
        <v>35</v>
      </c>
    </row>
    <row r="915" spans="1:3" x14ac:dyDescent="0.2">
      <c r="A915" s="10">
        <v>913</v>
      </c>
      <c r="B915" s="10">
        <f t="shared" ca="1" si="14"/>
        <v>0.65106240196076004</v>
      </c>
      <c r="C915" s="10" t="s">
        <v>35</v>
      </c>
    </row>
    <row r="916" spans="1:3" x14ac:dyDescent="0.2">
      <c r="A916" s="10">
        <v>914</v>
      </c>
      <c r="B916" s="10">
        <f t="shared" ca="1" si="14"/>
        <v>0.71830874845883563</v>
      </c>
      <c r="C916" s="10" t="s">
        <v>34</v>
      </c>
    </row>
    <row r="917" spans="1:3" x14ac:dyDescent="0.2">
      <c r="A917" s="10">
        <v>915</v>
      </c>
      <c r="B917" s="10">
        <f t="shared" ca="1" si="14"/>
        <v>0.84125707531436367</v>
      </c>
      <c r="C917" s="10" t="s">
        <v>35</v>
      </c>
    </row>
    <row r="918" spans="1:3" x14ac:dyDescent="0.2">
      <c r="A918" s="10">
        <v>916</v>
      </c>
      <c r="B918" s="10">
        <f t="shared" ca="1" si="14"/>
        <v>0.91048849779216257</v>
      </c>
      <c r="C918" s="10" t="s">
        <v>34</v>
      </c>
    </row>
    <row r="919" spans="1:3" x14ac:dyDescent="0.2">
      <c r="A919" s="10">
        <v>917</v>
      </c>
      <c r="B919" s="10">
        <f t="shared" ca="1" si="14"/>
        <v>0.45220181824563127</v>
      </c>
      <c r="C919" s="10" t="s">
        <v>35</v>
      </c>
    </row>
    <row r="920" spans="1:3" x14ac:dyDescent="0.2">
      <c r="A920" s="10">
        <v>918</v>
      </c>
      <c r="B920" s="10">
        <f t="shared" ca="1" si="14"/>
        <v>0.74748186753343537</v>
      </c>
      <c r="C920" s="10" t="s">
        <v>34</v>
      </c>
    </row>
    <row r="921" spans="1:3" x14ac:dyDescent="0.2">
      <c r="A921" s="10">
        <v>919</v>
      </c>
      <c r="B921" s="10">
        <f t="shared" ca="1" si="14"/>
        <v>0.70645893867504861</v>
      </c>
      <c r="C921" s="10" t="s">
        <v>35</v>
      </c>
    </row>
    <row r="922" spans="1:3" x14ac:dyDescent="0.2">
      <c r="A922" s="10">
        <v>920</v>
      </c>
      <c r="B922" s="10">
        <f t="shared" ca="1" si="14"/>
        <v>0.67401406437899014</v>
      </c>
      <c r="C922" s="10" t="s">
        <v>34</v>
      </c>
    </row>
    <row r="923" spans="1:3" x14ac:dyDescent="0.2">
      <c r="A923" s="10">
        <v>921</v>
      </c>
      <c r="B923" s="10">
        <f t="shared" ca="1" si="14"/>
        <v>0.73060049676388972</v>
      </c>
      <c r="C923" s="10" t="s">
        <v>34</v>
      </c>
    </row>
    <row r="924" spans="1:3" x14ac:dyDescent="0.2">
      <c r="A924" s="10">
        <v>922</v>
      </c>
      <c r="B924" s="10">
        <f t="shared" ca="1" si="14"/>
        <v>0.74259591748728893</v>
      </c>
      <c r="C924" s="10" t="s">
        <v>35</v>
      </c>
    </row>
    <row r="925" spans="1:3" x14ac:dyDescent="0.2">
      <c r="A925" s="10">
        <v>923</v>
      </c>
      <c r="B925" s="10">
        <f t="shared" ca="1" si="14"/>
        <v>0.31585873412614129</v>
      </c>
      <c r="C925" s="10" t="s">
        <v>35</v>
      </c>
    </row>
    <row r="926" spans="1:3" x14ac:dyDescent="0.2">
      <c r="A926" s="10">
        <v>924</v>
      </c>
      <c r="B926" s="10">
        <f t="shared" ca="1" si="14"/>
        <v>0.64544390913681393</v>
      </c>
      <c r="C926" s="10" t="s">
        <v>35</v>
      </c>
    </row>
    <row r="927" spans="1:3" x14ac:dyDescent="0.2">
      <c r="A927" s="10">
        <v>925</v>
      </c>
      <c r="B927" s="10">
        <f t="shared" ca="1" si="14"/>
        <v>0.74966638973167177</v>
      </c>
      <c r="C927" s="10" t="s">
        <v>34</v>
      </c>
    </row>
    <row r="928" spans="1:3" x14ac:dyDescent="0.2">
      <c r="A928" s="10">
        <v>926</v>
      </c>
      <c r="B928" s="10">
        <f t="shared" ca="1" si="14"/>
        <v>0.52424953689824161</v>
      </c>
      <c r="C928" s="10" t="s">
        <v>34</v>
      </c>
    </row>
    <row r="929" spans="1:3" x14ac:dyDescent="0.2">
      <c r="A929" s="10">
        <v>927</v>
      </c>
      <c r="B929" s="10">
        <f t="shared" ca="1" si="14"/>
        <v>0.56699183752244819</v>
      </c>
      <c r="C929" s="10" t="s">
        <v>34</v>
      </c>
    </row>
    <row r="930" spans="1:3" x14ac:dyDescent="0.2">
      <c r="A930" s="10">
        <v>928</v>
      </c>
      <c r="B930" s="10">
        <f t="shared" ca="1" si="14"/>
        <v>0.70449286025208546</v>
      </c>
      <c r="C930" s="10" t="s">
        <v>34</v>
      </c>
    </row>
    <row r="931" spans="1:3" x14ac:dyDescent="0.2">
      <c r="A931" s="10">
        <v>929</v>
      </c>
      <c r="B931" s="10">
        <f t="shared" ca="1" si="14"/>
        <v>0.60732872148667838</v>
      </c>
      <c r="C931" s="10" t="s">
        <v>34</v>
      </c>
    </row>
    <row r="932" spans="1:3" x14ac:dyDescent="0.2">
      <c r="A932" s="10">
        <v>930</v>
      </c>
      <c r="B932" s="10">
        <f t="shared" ca="1" si="14"/>
        <v>0.66988297012399156</v>
      </c>
      <c r="C932" s="10" t="s">
        <v>34</v>
      </c>
    </row>
    <row r="933" spans="1:3" x14ac:dyDescent="0.2">
      <c r="A933" s="10">
        <v>931</v>
      </c>
      <c r="B933" s="10">
        <f t="shared" ca="1" si="14"/>
        <v>0.36118929794865451</v>
      </c>
      <c r="C933" s="10" t="s">
        <v>35</v>
      </c>
    </row>
    <row r="934" spans="1:3" x14ac:dyDescent="0.2">
      <c r="A934" s="10">
        <v>932</v>
      </c>
      <c r="B934" s="10">
        <f t="shared" ca="1" si="14"/>
        <v>0.75919094002818888</v>
      </c>
      <c r="C934" s="10" t="s">
        <v>34</v>
      </c>
    </row>
    <row r="935" spans="1:3" x14ac:dyDescent="0.2">
      <c r="A935" s="10">
        <v>933</v>
      </c>
      <c r="B935" s="10">
        <f t="shared" ca="1" si="14"/>
        <v>0.83280702756370206</v>
      </c>
      <c r="C935" s="10" t="s">
        <v>35</v>
      </c>
    </row>
    <row r="936" spans="1:3" x14ac:dyDescent="0.2">
      <c r="A936" s="10">
        <v>934</v>
      </c>
      <c r="B936" s="10">
        <f t="shared" ca="1" si="14"/>
        <v>0.72908821167186566</v>
      </c>
      <c r="C936" s="10" t="s">
        <v>34</v>
      </c>
    </row>
    <row r="937" spans="1:3" x14ac:dyDescent="0.2">
      <c r="A937" s="10">
        <v>935</v>
      </c>
      <c r="B937" s="10">
        <f t="shared" ca="1" si="14"/>
        <v>0.78276647691427437</v>
      </c>
      <c r="C937" s="10" t="s">
        <v>34</v>
      </c>
    </row>
    <row r="938" spans="1:3" x14ac:dyDescent="0.2">
      <c r="A938" s="10">
        <v>936</v>
      </c>
      <c r="B938" s="10">
        <f t="shared" ca="1" si="14"/>
        <v>0.505838466111042</v>
      </c>
      <c r="C938" s="10" t="s">
        <v>35</v>
      </c>
    </row>
    <row r="939" spans="1:3" x14ac:dyDescent="0.2">
      <c r="A939" s="10">
        <v>937</v>
      </c>
      <c r="B939" s="10">
        <f t="shared" ca="1" si="14"/>
        <v>0.40244189686794807</v>
      </c>
      <c r="C939" s="10" t="s">
        <v>35</v>
      </c>
    </row>
    <row r="940" spans="1:3" x14ac:dyDescent="0.2">
      <c r="A940" s="10">
        <v>938</v>
      </c>
      <c r="B940" s="10">
        <f t="shared" ca="1" si="14"/>
        <v>0.73363667010729761</v>
      </c>
      <c r="C940" s="10" t="s">
        <v>34</v>
      </c>
    </row>
    <row r="941" spans="1:3" x14ac:dyDescent="0.2">
      <c r="A941" s="10">
        <v>939</v>
      </c>
      <c r="B941" s="10">
        <f t="shared" ca="1" si="14"/>
        <v>0.62796841597133846</v>
      </c>
      <c r="C941" s="10" t="s">
        <v>34</v>
      </c>
    </row>
    <row r="942" spans="1:3" x14ac:dyDescent="0.2">
      <c r="A942" s="10">
        <v>940</v>
      </c>
      <c r="B942" s="10">
        <f t="shared" ca="1" si="14"/>
        <v>0.62575101982093628</v>
      </c>
      <c r="C942" s="10" t="s">
        <v>35</v>
      </c>
    </row>
    <row r="943" spans="1:3" x14ac:dyDescent="0.2">
      <c r="A943" s="10">
        <v>941</v>
      </c>
      <c r="B943" s="10">
        <f t="shared" ca="1" si="14"/>
        <v>0.59713528982993613</v>
      </c>
      <c r="C943" s="10" t="s">
        <v>35</v>
      </c>
    </row>
    <row r="944" spans="1:3" x14ac:dyDescent="0.2">
      <c r="A944" s="10">
        <v>942</v>
      </c>
      <c r="B944" s="10">
        <f t="shared" ca="1" si="14"/>
        <v>0.7207044500921046</v>
      </c>
      <c r="C944" s="10" t="s">
        <v>35</v>
      </c>
    </row>
    <row r="945" spans="1:3" x14ac:dyDescent="0.2">
      <c r="A945" s="10">
        <v>943</v>
      </c>
      <c r="B945" s="10">
        <f t="shared" ca="1" si="14"/>
        <v>0.62496053980165012</v>
      </c>
      <c r="C945" s="10" t="s">
        <v>35</v>
      </c>
    </row>
    <row r="946" spans="1:3" x14ac:dyDescent="0.2">
      <c r="A946" s="10">
        <v>944</v>
      </c>
      <c r="B946" s="10">
        <f t="shared" ca="1" si="14"/>
        <v>0.71064904165891229</v>
      </c>
      <c r="C946" s="10" t="s">
        <v>35</v>
      </c>
    </row>
    <row r="947" spans="1:3" x14ac:dyDescent="0.2">
      <c r="A947" s="10">
        <v>945</v>
      </c>
      <c r="B947" s="10">
        <f t="shared" ca="1" si="14"/>
        <v>0.76421205529726999</v>
      </c>
      <c r="C947" s="10" t="s">
        <v>34</v>
      </c>
    </row>
    <row r="948" spans="1:3" x14ac:dyDescent="0.2">
      <c r="A948" s="10">
        <v>946</v>
      </c>
      <c r="B948" s="10">
        <f t="shared" ca="1" si="14"/>
        <v>0.39709328050780002</v>
      </c>
      <c r="C948" s="10" t="s">
        <v>35</v>
      </c>
    </row>
    <row r="949" spans="1:3" x14ac:dyDescent="0.2">
      <c r="A949" s="10">
        <v>947</v>
      </c>
      <c r="B949" s="10">
        <f t="shared" ca="1" si="14"/>
        <v>0.77127141908088737</v>
      </c>
      <c r="C949" s="10" t="s">
        <v>34</v>
      </c>
    </row>
    <row r="950" spans="1:3" x14ac:dyDescent="0.2">
      <c r="A950" s="10">
        <v>948</v>
      </c>
      <c r="B950" s="10">
        <f t="shared" ca="1" si="14"/>
        <v>0.5532413851754221</v>
      </c>
      <c r="C950" s="10" t="s">
        <v>35</v>
      </c>
    </row>
    <row r="951" spans="1:3" x14ac:dyDescent="0.2">
      <c r="A951" s="10">
        <v>949</v>
      </c>
      <c r="B951" s="10">
        <f t="shared" ca="1" si="14"/>
        <v>0.70531173126825075</v>
      </c>
      <c r="C951" s="10" t="s">
        <v>34</v>
      </c>
    </row>
    <row r="952" spans="1:3" x14ac:dyDescent="0.2">
      <c r="A952" s="10">
        <v>950</v>
      </c>
      <c r="B952" s="10">
        <f t="shared" ca="1" si="14"/>
        <v>0.7654262439268994</v>
      </c>
      <c r="C952" s="10" t="s">
        <v>34</v>
      </c>
    </row>
    <row r="953" spans="1:3" x14ac:dyDescent="0.2">
      <c r="A953" s="10">
        <v>951</v>
      </c>
      <c r="B953" s="10">
        <f t="shared" ca="1" si="14"/>
        <v>0.63148301470710411</v>
      </c>
      <c r="C953" s="10" t="s">
        <v>35</v>
      </c>
    </row>
    <row r="954" spans="1:3" x14ac:dyDescent="0.2">
      <c r="A954" s="10">
        <v>952</v>
      </c>
      <c r="B954" s="10">
        <f t="shared" ca="1" si="14"/>
        <v>0.54463702216504239</v>
      </c>
      <c r="C954" s="10" t="s">
        <v>35</v>
      </c>
    </row>
    <row r="955" spans="1:3" x14ac:dyDescent="0.2">
      <c r="A955" s="10">
        <v>953</v>
      </c>
      <c r="B955" s="10">
        <f t="shared" ca="1" si="14"/>
        <v>0.78717695057119697</v>
      </c>
      <c r="C955" s="10" t="s">
        <v>34</v>
      </c>
    </row>
    <row r="956" spans="1:3" x14ac:dyDescent="0.2">
      <c r="A956" s="10">
        <v>954</v>
      </c>
      <c r="B956" s="10">
        <f t="shared" ca="1" si="14"/>
        <v>0.67611592071409621</v>
      </c>
      <c r="C956" s="10" t="s">
        <v>35</v>
      </c>
    </row>
    <row r="957" spans="1:3" x14ac:dyDescent="0.2">
      <c r="A957" s="10">
        <v>955</v>
      </c>
      <c r="B957" s="10">
        <f t="shared" ca="1" si="14"/>
        <v>0.72837455105827542</v>
      </c>
      <c r="C957" s="10" t="s">
        <v>34</v>
      </c>
    </row>
    <row r="958" spans="1:3" x14ac:dyDescent="0.2">
      <c r="A958" s="10">
        <v>956</v>
      </c>
      <c r="B958" s="10">
        <f t="shared" ca="1" si="14"/>
        <v>0.62930156107078139</v>
      </c>
      <c r="C958" s="10" t="s">
        <v>34</v>
      </c>
    </row>
    <row r="959" spans="1:3" x14ac:dyDescent="0.2">
      <c r="A959" s="10">
        <v>957</v>
      </c>
      <c r="B959" s="10">
        <f t="shared" ca="1" si="14"/>
        <v>0.29738975392855133</v>
      </c>
      <c r="C959" s="10" t="s">
        <v>35</v>
      </c>
    </row>
    <row r="960" spans="1:3" x14ac:dyDescent="0.2">
      <c r="A960" s="10">
        <v>958</v>
      </c>
      <c r="B960" s="10">
        <f t="shared" ca="1" si="14"/>
        <v>0.79889577004735801</v>
      </c>
      <c r="C960" s="10" t="s">
        <v>34</v>
      </c>
    </row>
    <row r="961" spans="1:3" x14ac:dyDescent="0.2">
      <c r="A961" s="10">
        <v>959</v>
      </c>
      <c r="B961" s="10">
        <f t="shared" ca="1" si="14"/>
        <v>0.45730912524004597</v>
      </c>
      <c r="C961" s="10" t="s">
        <v>35</v>
      </c>
    </row>
    <row r="962" spans="1:3" x14ac:dyDescent="0.2">
      <c r="A962" s="10">
        <v>960</v>
      </c>
      <c r="B962" s="10">
        <f t="shared" ca="1" si="14"/>
        <v>0.52843489833363333</v>
      </c>
      <c r="C962" s="10" t="s">
        <v>35</v>
      </c>
    </row>
    <row r="963" spans="1:3" x14ac:dyDescent="0.2">
      <c r="A963" s="10">
        <v>961</v>
      </c>
      <c r="B963" s="10">
        <f t="shared" ca="1" si="14"/>
        <v>0.79932071028098706</v>
      </c>
      <c r="C963" s="10" t="s">
        <v>34</v>
      </c>
    </row>
    <row r="964" spans="1:3" x14ac:dyDescent="0.2">
      <c r="A964" s="10">
        <v>962</v>
      </c>
      <c r="B964" s="10">
        <f t="shared" ref="B964:B1002" ca="1" si="15">IF(C964="Bomb",_xlfn.NORM.INV(RAND(),0.7,0.1),_xlfn.NORM.INV(RAND(),0.6,0.15))</f>
        <v>0.84526444267483469</v>
      </c>
      <c r="C964" s="10" t="s">
        <v>34</v>
      </c>
    </row>
    <row r="965" spans="1:3" x14ac:dyDescent="0.2">
      <c r="A965" s="10">
        <v>963</v>
      </c>
      <c r="B965" s="10">
        <f t="shared" ca="1" si="15"/>
        <v>0.57431697761557432</v>
      </c>
      <c r="C965" s="10" t="s">
        <v>34</v>
      </c>
    </row>
    <row r="966" spans="1:3" x14ac:dyDescent="0.2">
      <c r="A966" s="10">
        <v>964</v>
      </c>
      <c r="B966" s="10">
        <f t="shared" ca="1" si="15"/>
        <v>0.70163204429561232</v>
      </c>
      <c r="C966" s="10" t="s">
        <v>34</v>
      </c>
    </row>
    <row r="967" spans="1:3" x14ac:dyDescent="0.2">
      <c r="A967" s="10">
        <v>965</v>
      </c>
      <c r="B967" s="10">
        <f t="shared" ca="1" si="15"/>
        <v>0.6414584775972052</v>
      </c>
      <c r="C967" s="10" t="s">
        <v>34</v>
      </c>
    </row>
    <row r="968" spans="1:3" x14ac:dyDescent="0.2">
      <c r="A968" s="10">
        <v>966</v>
      </c>
      <c r="B968" s="10">
        <f t="shared" ca="1" si="15"/>
        <v>0.58548764179615986</v>
      </c>
      <c r="C968" s="10" t="s">
        <v>34</v>
      </c>
    </row>
    <row r="969" spans="1:3" x14ac:dyDescent="0.2">
      <c r="A969" s="10">
        <v>967</v>
      </c>
      <c r="B969" s="10">
        <f t="shared" ca="1" si="15"/>
        <v>0.73731052077780002</v>
      </c>
      <c r="C969" s="10" t="s">
        <v>34</v>
      </c>
    </row>
    <row r="970" spans="1:3" x14ac:dyDescent="0.2">
      <c r="A970" s="10">
        <v>968</v>
      </c>
      <c r="B970" s="10">
        <f t="shared" ca="1" si="15"/>
        <v>0.73862758309700149</v>
      </c>
      <c r="C970" s="10" t="s">
        <v>34</v>
      </c>
    </row>
    <row r="971" spans="1:3" x14ac:dyDescent="0.2">
      <c r="A971" s="10">
        <v>969</v>
      </c>
      <c r="B971" s="10">
        <f t="shared" ca="1" si="15"/>
        <v>0.25275486756216087</v>
      </c>
      <c r="C971" s="10" t="s">
        <v>35</v>
      </c>
    </row>
    <row r="972" spans="1:3" x14ac:dyDescent="0.2">
      <c r="A972" s="10">
        <v>970</v>
      </c>
      <c r="B972" s="10">
        <f t="shared" ca="1" si="15"/>
        <v>0.72029053393148113</v>
      </c>
      <c r="C972" s="10" t="s">
        <v>35</v>
      </c>
    </row>
    <row r="973" spans="1:3" x14ac:dyDescent="0.2">
      <c r="A973" s="10">
        <v>971</v>
      </c>
      <c r="B973" s="10">
        <f t="shared" ca="1" si="15"/>
        <v>0.62212415010569533</v>
      </c>
      <c r="C973" s="10" t="s">
        <v>34</v>
      </c>
    </row>
    <row r="974" spans="1:3" x14ac:dyDescent="0.2">
      <c r="A974" s="10">
        <v>972</v>
      </c>
      <c r="B974" s="10">
        <f t="shared" ca="1" si="15"/>
        <v>0.76119387721597065</v>
      </c>
      <c r="C974" s="10" t="s">
        <v>35</v>
      </c>
    </row>
    <row r="975" spans="1:3" x14ac:dyDescent="0.2">
      <c r="A975" s="10">
        <v>973</v>
      </c>
      <c r="B975" s="10">
        <f t="shared" ca="1" si="15"/>
        <v>0.77086283909226549</v>
      </c>
      <c r="C975" s="10" t="s">
        <v>34</v>
      </c>
    </row>
    <row r="976" spans="1:3" x14ac:dyDescent="0.2">
      <c r="A976" s="10">
        <v>974</v>
      </c>
      <c r="B976" s="10">
        <f t="shared" ca="1" si="15"/>
        <v>0.57000697056526772</v>
      </c>
      <c r="C976" s="10" t="s">
        <v>34</v>
      </c>
    </row>
    <row r="977" spans="1:3" x14ac:dyDescent="0.2">
      <c r="A977" s="10">
        <v>975</v>
      </c>
      <c r="B977" s="10">
        <f t="shared" ca="1" si="15"/>
        <v>0.729228915520442</v>
      </c>
      <c r="C977" s="10" t="s">
        <v>34</v>
      </c>
    </row>
    <row r="978" spans="1:3" x14ac:dyDescent="0.2">
      <c r="A978" s="10">
        <v>976</v>
      </c>
      <c r="B978" s="10">
        <f t="shared" ca="1" si="15"/>
        <v>0.65321528880479451</v>
      </c>
      <c r="C978" s="10" t="s">
        <v>34</v>
      </c>
    </row>
    <row r="979" spans="1:3" x14ac:dyDescent="0.2">
      <c r="A979" s="10">
        <v>977</v>
      </c>
      <c r="B979" s="10">
        <f t="shared" ca="1" si="15"/>
        <v>0.69838656652539211</v>
      </c>
      <c r="C979" s="10" t="s">
        <v>34</v>
      </c>
    </row>
    <row r="980" spans="1:3" x14ac:dyDescent="0.2">
      <c r="A980" s="10">
        <v>978</v>
      </c>
      <c r="B980" s="10">
        <f t="shared" ca="1" si="15"/>
        <v>0.55449253402521581</v>
      </c>
      <c r="C980" s="10" t="s">
        <v>34</v>
      </c>
    </row>
    <row r="981" spans="1:3" x14ac:dyDescent="0.2">
      <c r="A981" s="10">
        <v>979</v>
      </c>
      <c r="B981" s="10">
        <f t="shared" ca="1" si="15"/>
        <v>0.72091739536629496</v>
      </c>
      <c r="C981" s="10" t="s">
        <v>34</v>
      </c>
    </row>
    <row r="982" spans="1:3" x14ac:dyDescent="0.2">
      <c r="A982" s="10">
        <v>980</v>
      </c>
      <c r="B982" s="10">
        <f t="shared" ca="1" si="15"/>
        <v>0.67492358586627521</v>
      </c>
      <c r="C982" s="10" t="s">
        <v>35</v>
      </c>
    </row>
    <row r="983" spans="1:3" x14ac:dyDescent="0.2">
      <c r="A983" s="10">
        <v>981</v>
      </c>
      <c r="B983" s="10">
        <f t="shared" ca="1" si="15"/>
        <v>0.7415175949407804</v>
      </c>
      <c r="C983" s="10" t="s">
        <v>35</v>
      </c>
    </row>
    <row r="984" spans="1:3" x14ac:dyDescent="0.2">
      <c r="A984" s="10">
        <v>982</v>
      </c>
      <c r="B984" s="10">
        <f t="shared" ca="1" si="15"/>
        <v>0.65155973349645646</v>
      </c>
      <c r="C984" s="10" t="s">
        <v>34</v>
      </c>
    </row>
    <row r="985" spans="1:3" x14ac:dyDescent="0.2">
      <c r="A985" s="10">
        <v>983</v>
      </c>
      <c r="B985" s="10">
        <f t="shared" ca="1" si="15"/>
        <v>0.63652320412291319</v>
      </c>
      <c r="C985" s="10" t="s">
        <v>34</v>
      </c>
    </row>
    <row r="986" spans="1:3" x14ac:dyDescent="0.2">
      <c r="A986" s="10">
        <v>984</v>
      </c>
      <c r="B986" s="10">
        <f t="shared" ca="1" si="15"/>
        <v>0.86091950922824778</v>
      </c>
      <c r="C986" s="10" t="s">
        <v>35</v>
      </c>
    </row>
    <row r="987" spans="1:3" x14ac:dyDescent="0.2">
      <c r="A987" s="10">
        <v>985</v>
      </c>
      <c r="B987" s="10">
        <f t="shared" ca="1" si="15"/>
        <v>0.77160717091619035</v>
      </c>
      <c r="C987" s="10" t="s">
        <v>35</v>
      </c>
    </row>
    <row r="988" spans="1:3" x14ac:dyDescent="0.2">
      <c r="A988" s="10">
        <v>986</v>
      </c>
      <c r="B988" s="10">
        <f t="shared" ca="1" si="15"/>
        <v>0.65610175843844654</v>
      </c>
      <c r="C988" s="10" t="s">
        <v>34</v>
      </c>
    </row>
    <row r="989" spans="1:3" x14ac:dyDescent="0.2">
      <c r="A989" s="10">
        <v>987</v>
      </c>
      <c r="B989" s="10">
        <f t="shared" ca="1" si="15"/>
        <v>0.38460190836792163</v>
      </c>
      <c r="C989" s="10" t="s">
        <v>35</v>
      </c>
    </row>
    <row r="990" spans="1:3" x14ac:dyDescent="0.2">
      <c r="A990" s="10">
        <v>988</v>
      </c>
      <c r="B990" s="10">
        <f t="shared" ca="1" si="15"/>
        <v>0.69176527734232551</v>
      </c>
      <c r="C990" s="10" t="s">
        <v>35</v>
      </c>
    </row>
    <row r="991" spans="1:3" x14ac:dyDescent="0.2">
      <c r="A991" s="10">
        <v>989</v>
      </c>
      <c r="B991" s="10">
        <f t="shared" ca="1" si="15"/>
        <v>0.82152038503660485</v>
      </c>
      <c r="C991" s="10" t="s">
        <v>34</v>
      </c>
    </row>
    <row r="992" spans="1:3" x14ac:dyDescent="0.2">
      <c r="A992" s="10">
        <v>990</v>
      </c>
      <c r="B992" s="10">
        <f t="shared" ca="1" si="15"/>
        <v>0.52110447611063837</v>
      </c>
      <c r="C992" s="10" t="s">
        <v>35</v>
      </c>
    </row>
    <row r="993" spans="1:3" x14ac:dyDescent="0.2">
      <c r="A993" s="10">
        <v>991</v>
      </c>
      <c r="B993" s="10">
        <f t="shared" ca="1" si="15"/>
        <v>0.71840505175488867</v>
      </c>
      <c r="C993" s="10" t="s">
        <v>34</v>
      </c>
    </row>
    <row r="994" spans="1:3" x14ac:dyDescent="0.2">
      <c r="A994" s="10">
        <v>992</v>
      </c>
      <c r="B994" s="10">
        <f t="shared" ca="1" si="15"/>
        <v>0.55443686201151177</v>
      </c>
      <c r="C994" s="10" t="s">
        <v>35</v>
      </c>
    </row>
    <row r="995" spans="1:3" x14ac:dyDescent="0.2">
      <c r="A995" s="10">
        <v>993</v>
      </c>
      <c r="B995" s="10">
        <f t="shared" ca="1" si="15"/>
        <v>0.6804475544577655</v>
      </c>
      <c r="C995" s="10" t="s">
        <v>34</v>
      </c>
    </row>
    <row r="996" spans="1:3" x14ac:dyDescent="0.2">
      <c r="A996" s="10">
        <v>994</v>
      </c>
      <c r="B996" s="10">
        <f t="shared" ca="1" si="15"/>
        <v>0.7727464311994845</v>
      </c>
      <c r="C996" s="10" t="s">
        <v>34</v>
      </c>
    </row>
    <row r="997" spans="1:3" x14ac:dyDescent="0.2">
      <c r="A997" s="10">
        <v>995</v>
      </c>
      <c r="B997" s="10">
        <f t="shared" ca="1" si="15"/>
        <v>0.61814146875709708</v>
      </c>
      <c r="C997" s="10" t="s">
        <v>35</v>
      </c>
    </row>
    <row r="998" spans="1:3" x14ac:dyDescent="0.2">
      <c r="A998" s="10">
        <v>996</v>
      </c>
      <c r="B998" s="10">
        <f t="shared" ca="1" si="15"/>
        <v>0.68402542049829895</v>
      </c>
      <c r="C998" s="10" t="s">
        <v>34</v>
      </c>
    </row>
    <row r="999" spans="1:3" x14ac:dyDescent="0.2">
      <c r="A999" s="10">
        <v>997</v>
      </c>
      <c r="B999" s="10">
        <f t="shared" ca="1" si="15"/>
        <v>0.5979254518456848</v>
      </c>
      <c r="C999" s="10" t="s">
        <v>35</v>
      </c>
    </row>
    <row r="1000" spans="1:3" x14ac:dyDescent="0.2">
      <c r="A1000" s="10">
        <v>998</v>
      </c>
      <c r="B1000" s="10">
        <f t="shared" ca="1" si="15"/>
        <v>0.65912079020246583</v>
      </c>
      <c r="C1000" s="10" t="s">
        <v>35</v>
      </c>
    </row>
    <row r="1001" spans="1:3" x14ac:dyDescent="0.2">
      <c r="A1001" s="10">
        <v>999</v>
      </c>
      <c r="B1001" s="10">
        <f t="shared" ca="1" si="15"/>
        <v>0.38263384618291929</v>
      </c>
      <c r="C1001" s="10" t="s">
        <v>35</v>
      </c>
    </row>
    <row r="1002" spans="1:3" x14ac:dyDescent="0.2">
      <c r="A1002" s="10">
        <v>1000</v>
      </c>
      <c r="B1002" s="10">
        <f t="shared" ca="1" si="15"/>
        <v>0.49005884905162539</v>
      </c>
      <c r="C1002" s="10" t="s">
        <v>35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74702-53B1-B742-8347-22637D5A7AAD}">
  <sheetPr codeName="Sheet3">
    <tabColor rgb="FFFF0000"/>
  </sheetPr>
  <dimension ref="A2:K1002"/>
  <sheetViews>
    <sheetView workbookViewId="0">
      <selection activeCell="J3" sqref="J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36</v>
      </c>
      <c r="C2" s="6" t="s">
        <v>11</v>
      </c>
      <c r="J2" s="9" t="s">
        <v>39</v>
      </c>
      <c r="K2" s="9" t="s">
        <v>37</v>
      </c>
    </row>
    <row r="3" spans="1:11" x14ac:dyDescent="0.2">
      <c r="A3" s="6">
        <v>1</v>
      </c>
      <c r="B3" s="6">
        <f ca="1">IF(C3="Bomb",_xlfn.NORM.INV(RAND(),0.7,0.1),_xlfn.NORM.INV(RAND(),0.6,0.15))</f>
        <v>0.94326184385250045</v>
      </c>
      <c r="C3" s="6" t="str">
        <f ca="1">IF(RAND()&lt;0.5,"Bomb","Bird")</f>
        <v>Bomb</v>
      </c>
      <c r="E3" s="6" t="s">
        <v>38</v>
      </c>
      <c r="J3" s="8">
        <f ca="1">F7</f>
        <v>0</v>
      </c>
      <c r="K3" s="8">
        <f ca="1">E7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0.53248347136722463</v>
      </c>
      <c r="C4" s="6" t="s">
        <v>34</v>
      </c>
      <c r="E4" s="8">
        <v>0.03</v>
      </c>
      <c r="I4" s="8">
        <v>0.03</v>
      </c>
      <c r="J4" s="7">
        <f t="dataTable" ref="J4:K36" dt2D="0" dtr="0" r1="E4" ca="1"/>
        <v>0</v>
      </c>
      <c r="K4" s="7">
        <v>1</v>
      </c>
    </row>
    <row r="5" spans="1:11" x14ac:dyDescent="0.2">
      <c r="A5" s="6">
        <v>3</v>
      </c>
      <c r="B5" s="6">
        <f t="shared" ca="1" si="0"/>
        <v>0.79268874110102072</v>
      </c>
      <c r="C5" s="6" t="s">
        <v>35</v>
      </c>
      <c r="I5" s="8">
        <v>0.06</v>
      </c>
      <c r="J5" s="7">
        <v>0</v>
      </c>
      <c r="K5" s="7">
        <v>1</v>
      </c>
    </row>
    <row r="6" spans="1:11" x14ac:dyDescent="0.2">
      <c r="A6" s="6">
        <v>4</v>
      </c>
      <c r="B6" s="6">
        <f t="shared" ca="1" si="0"/>
        <v>0.70390109633079245</v>
      </c>
      <c r="C6" s="6" t="s">
        <v>34</v>
      </c>
      <c r="E6" s="9" t="s">
        <v>37</v>
      </c>
      <c r="F6" s="9" t="s">
        <v>39</v>
      </c>
      <c r="I6" s="8">
        <v>0.09</v>
      </c>
      <c r="J6" s="7">
        <v>0</v>
      </c>
      <c r="K6" s="7">
        <v>1</v>
      </c>
    </row>
    <row r="7" spans="1:11" x14ac:dyDescent="0.2">
      <c r="A7" s="6">
        <v>5</v>
      </c>
      <c r="B7" s="6">
        <f t="shared" ca="1" si="0"/>
        <v>0.68021887977463191</v>
      </c>
      <c r="C7" s="6" t="s">
        <v>34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8">
        <v>0.12</v>
      </c>
      <c r="J7" s="7">
        <v>0</v>
      </c>
      <c r="K7" s="7">
        <v>1</v>
      </c>
    </row>
    <row r="8" spans="1:11" x14ac:dyDescent="0.2">
      <c r="A8" s="6">
        <v>6</v>
      </c>
      <c r="B8" s="6">
        <f t="shared" ca="1" si="0"/>
        <v>0.67626607799443672</v>
      </c>
      <c r="C8" s="6" t="s">
        <v>34</v>
      </c>
      <c r="I8" s="8">
        <v>0.15</v>
      </c>
      <c r="J8" s="7">
        <v>3.8986354775828458E-3</v>
      </c>
      <c r="K8" s="7">
        <v>1</v>
      </c>
    </row>
    <row r="9" spans="1:11" x14ac:dyDescent="0.2">
      <c r="A9" s="6">
        <v>7</v>
      </c>
      <c r="B9" s="6">
        <f t="shared" ca="1" si="0"/>
        <v>0.76111673826590998</v>
      </c>
      <c r="C9" s="6" t="s">
        <v>34</v>
      </c>
      <c r="I9" s="8">
        <v>0.18</v>
      </c>
      <c r="J9" s="7">
        <v>3.8910505836575876E-3</v>
      </c>
      <c r="K9" s="7">
        <v>1</v>
      </c>
    </row>
    <row r="10" spans="1:11" x14ac:dyDescent="0.2">
      <c r="A10" s="6">
        <v>8</v>
      </c>
      <c r="B10" s="6">
        <f t="shared" ca="1" si="0"/>
        <v>0.39927797438525281</v>
      </c>
      <c r="C10" s="6" t="s">
        <v>35</v>
      </c>
      <c r="I10" s="8">
        <v>0.21</v>
      </c>
      <c r="J10" s="7">
        <v>3.8986354775828458E-3</v>
      </c>
      <c r="K10" s="7">
        <v>1</v>
      </c>
    </row>
    <row r="11" spans="1:11" x14ac:dyDescent="0.2">
      <c r="A11" s="6">
        <v>9</v>
      </c>
      <c r="B11" s="6">
        <f t="shared" ca="1" si="0"/>
        <v>0.50265328009573107</v>
      </c>
      <c r="C11" s="6" t="s">
        <v>35</v>
      </c>
      <c r="I11" s="8">
        <v>0.24</v>
      </c>
      <c r="J11" s="7">
        <v>1.9455252918287938E-3</v>
      </c>
      <c r="K11" s="7">
        <v>1</v>
      </c>
    </row>
    <row r="12" spans="1:11" x14ac:dyDescent="0.2">
      <c r="A12" s="6">
        <v>10</v>
      </c>
      <c r="B12" s="6">
        <f t="shared" ca="1" si="0"/>
        <v>0.39411306806057056</v>
      </c>
      <c r="C12" s="6" t="s">
        <v>35</v>
      </c>
      <c r="I12" s="8">
        <v>0.27</v>
      </c>
      <c r="J12" s="7">
        <v>7.7972709551656916E-3</v>
      </c>
      <c r="K12" s="7">
        <v>1</v>
      </c>
    </row>
    <row r="13" spans="1:11" x14ac:dyDescent="0.2">
      <c r="A13" s="6">
        <v>11</v>
      </c>
      <c r="B13" s="6">
        <f t="shared" ca="1" si="0"/>
        <v>0.68017962726860037</v>
      </c>
      <c r="C13" s="6" t="s">
        <v>35</v>
      </c>
      <c r="I13" s="8">
        <v>0.3</v>
      </c>
      <c r="J13" s="7">
        <v>1.3618677042801557E-2</v>
      </c>
      <c r="K13" s="7">
        <v>1</v>
      </c>
    </row>
    <row r="14" spans="1:11" x14ac:dyDescent="0.2">
      <c r="A14" s="6">
        <v>12</v>
      </c>
      <c r="B14" s="6">
        <f t="shared" ca="1" si="0"/>
        <v>0.5354761109653744</v>
      </c>
      <c r="C14" s="6" t="s">
        <v>35</v>
      </c>
      <c r="I14" s="8">
        <v>0.33</v>
      </c>
      <c r="J14" s="7">
        <v>5.0583657587548639E-2</v>
      </c>
      <c r="K14" s="7">
        <v>1</v>
      </c>
    </row>
    <row r="15" spans="1:11" x14ac:dyDescent="0.2">
      <c r="A15" s="6">
        <v>13</v>
      </c>
      <c r="B15" s="6">
        <f t="shared" ca="1" si="0"/>
        <v>0.78661268839224663</v>
      </c>
      <c r="C15" s="6" t="s">
        <v>34</v>
      </c>
      <c r="I15" s="8">
        <v>0.36</v>
      </c>
      <c r="J15" s="7">
        <v>4.8732943469785572E-2</v>
      </c>
      <c r="K15" s="7">
        <v>1</v>
      </c>
    </row>
    <row r="16" spans="1:11" x14ac:dyDescent="0.2">
      <c r="A16" s="6">
        <v>14</v>
      </c>
      <c r="B16" s="6">
        <f t="shared" ca="1" si="0"/>
        <v>0.74509477568796312</v>
      </c>
      <c r="C16" s="6" t="s">
        <v>34</v>
      </c>
      <c r="I16" s="8">
        <v>0.39</v>
      </c>
      <c r="J16" s="7">
        <v>6.4202334630350189E-2</v>
      </c>
      <c r="K16" s="7">
        <v>1</v>
      </c>
    </row>
    <row r="17" spans="1:11" x14ac:dyDescent="0.2">
      <c r="A17" s="6">
        <v>15</v>
      </c>
      <c r="B17" s="6">
        <f t="shared" ca="1" si="0"/>
        <v>0.62044203946626486</v>
      </c>
      <c r="C17" s="6" t="s">
        <v>34</v>
      </c>
      <c r="I17" s="8">
        <v>0.42</v>
      </c>
      <c r="J17" s="7">
        <v>0.11306042884990253</v>
      </c>
      <c r="K17" s="7">
        <v>0.99794661190965095</v>
      </c>
    </row>
    <row r="18" spans="1:11" x14ac:dyDescent="0.2">
      <c r="A18" s="6">
        <v>16</v>
      </c>
      <c r="B18" s="6">
        <f t="shared" ca="1" si="0"/>
        <v>0.3807472453142402</v>
      </c>
      <c r="C18" s="6" t="s">
        <v>35</v>
      </c>
      <c r="I18" s="8">
        <v>0.45</v>
      </c>
      <c r="J18" s="7">
        <v>0.15399610136452241</v>
      </c>
      <c r="K18" s="7">
        <v>0.99794661190965095</v>
      </c>
    </row>
    <row r="19" spans="1:11" x14ac:dyDescent="0.2">
      <c r="A19" s="6">
        <v>17</v>
      </c>
      <c r="B19" s="6">
        <f t="shared" ca="1" si="0"/>
        <v>0.85239602183950347</v>
      </c>
      <c r="C19" s="6" t="s">
        <v>34</v>
      </c>
      <c r="I19" s="8">
        <v>0.48</v>
      </c>
      <c r="J19" s="7">
        <v>0.22417153996101363</v>
      </c>
      <c r="K19" s="7">
        <v>0.97946611909650927</v>
      </c>
    </row>
    <row r="20" spans="1:11" x14ac:dyDescent="0.2">
      <c r="A20" s="6">
        <v>18</v>
      </c>
      <c r="B20" s="6">
        <f t="shared" ca="1" si="0"/>
        <v>0.6878987159459613</v>
      </c>
      <c r="C20" s="6" t="s">
        <v>35</v>
      </c>
      <c r="I20" s="8">
        <v>0.51</v>
      </c>
      <c r="J20" s="7">
        <v>0.25291828793774318</v>
      </c>
      <c r="K20" s="7">
        <v>0.96090534979423869</v>
      </c>
    </row>
    <row r="21" spans="1:11" x14ac:dyDescent="0.2">
      <c r="A21" s="6">
        <v>19</v>
      </c>
      <c r="B21" s="6">
        <f t="shared" ca="1" si="0"/>
        <v>0.68691601257749668</v>
      </c>
      <c r="C21" s="6" t="s">
        <v>34</v>
      </c>
      <c r="I21" s="8">
        <v>0.54</v>
      </c>
      <c r="J21" s="7">
        <v>0.35477582846003897</v>
      </c>
      <c r="K21" s="7">
        <v>0.95687885010266938</v>
      </c>
    </row>
    <row r="22" spans="1:11" x14ac:dyDescent="0.2">
      <c r="A22" s="6">
        <v>20</v>
      </c>
      <c r="B22" s="6">
        <f t="shared" ca="1" si="0"/>
        <v>0.81018588418507753</v>
      </c>
      <c r="C22" s="6" t="s">
        <v>34</v>
      </c>
      <c r="I22" s="8">
        <v>0.56999999999999995</v>
      </c>
      <c r="J22" s="7">
        <v>0.41828793774319067</v>
      </c>
      <c r="K22" s="7">
        <v>0.87860082304526754</v>
      </c>
    </row>
    <row r="23" spans="1:11" x14ac:dyDescent="0.2">
      <c r="A23" s="6">
        <v>21</v>
      </c>
      <c r="B23" s="6">
        <f t="shared" ca="1" si="0"/>
        <v>0.61165794096740722</v>
      </c>
      <c r="C23" s="6" t="s">
        <v>34</v>
      </c>
      <c r="I23" s="8">
        <v>0.6</v>
      </c>
      <c r="J23" s="7">
        <v>0.50194552529182879</v>
      </c>
      <c r="K23" s="7">
        <v>0.80864197530864201</v>
      </c>
    </row>
    <row r="24" spans="1:11" x14ac:dyDescent="0.2">
      <c r="A24" s="6">
        <v>22</v>
      </c>
      <c r="B24" s="6">
        <f t="shared" ca="1" si="0"/>
        <v>0.85678116879015542</v>
      </c>
      <c r="C24" s="6" t="s">
        <v>35</v>
      </c>
      <c r="I24" s="8">
        <v>0.63</v>
      </c>
      <c r="J24" s="7">
        <v>0.60623781676413258</v>
      </c>
      <c r="K24" s="7">
        <v>0.76796714579055436</v>
      </c>
    </row>
    <row r="25" spans="1:11" x14ac:dyDescent="0.2">
      <c r="A25" s="6">
        <v>23</v>
      </c>
      <c r="B25" s="6">
        <f t="shared" ca="1" si="0"/>
        <v>0.60310781716382089</v>
      </c>
      <c r="C25" s="6" t="s">
        <v>34</v>
      </c>
      <c r="I25" s="8">
        <v>0.66</v>
      </c>
      <c r="J25" s="7">
        <v>0.67509727626459148</v>
      </c>
      <c r="K25" s="7">
        <v>0.6728395061728395</v>
      </c>
    </row>
    <row r="26" spans="1:11" x14ac:dyDescent="0.2">
      <c r="A26" s="6">
        <v>24</v>
      </c>
      <c r="B26" s="6">
        <f t="shared" ca="1" si="0"/>
        <v>0.53933131165930193</v>
      </c>
      <c r="C26" s="6" t="s">
        <v>34</v>
      </c>
      <c r="I26" s="8">
        <v>0.69</v>
      </c>
      <c r="J26" s="7">
        <v>0.71400778210116733</v>
      </c>
      <c r="K26" s="7">
        <v>0.55349794238683125</v>
      </c>
    </row>
    <row r="27" spans="1:11" x14ac:dyDescent="0.2">
      <c r="A27" s="6">
        <v>25</v>
      </c>
      <c r="B27" s="6">
        <f t="shared" ca="1" si="0"/>
        <v>0.67252319385646486</v>
      </c>
      <c r="C27" s="6" t="s">
        <v>34</v>
      </c>
      <c r="I27" s="8">
        <v>0.72</v>
      </c>
      <c r="J27" s="7">
        <v>0.77821011673151752</v>
      </c>
      <c r="K27" s="7">
        <v>0.46502057613168724</v>
      </c>
    </row>
    <row r="28" spans="1:11" x14ac:dyDescent="0.2">
      <c r="A28" s="6">
        <v>26</v>
      </c>
      <c r="B28" s="6">
        <f t="shared" ca="1" si="0"/>
        <v>0.67414894014310833</v>
      </c>
      <c r="C28" s="6" t="s">
        <v>34</v>
      </c>
      <c r="I28" s="8">
        <v>0.75</v>
      </c>
      <c r="J28" s="7">
        <v>0.85408560311284043</v>
      </c>
      <c r="K28" s="7">
        <v>0.30246913580246915</v>
      </c>
    </row>
    <row r="29" spans="1:11" x14ac:dyDescent="0.2">
      <c r="A29" s="6">
        <v>27</v>
      </c>
      <c r="B29" s="6">
        <f t="shared" ca="1" si="0"/>
        <v>0.8197761867668002</v>
      </c>
      <c r="C29" s="6" t="s">
        <v>35</v>
      </c>
      <c r="I29" s="8">
        <v>0.78</v>
      </c>
      <c r="J29" s="7">
        <v>0.90272373540856032</v>
      </c>
      <c r="K29" s="7">
        <v>0.17695473251028807</v>
      </c>
    </row>
    <row r="30" spans="1:11" x14ac:dyDescent="0.2">
      <c r="A30" s="6">
        <v>28</v>
      </c>
      <c r="B30" s="6">
        <f t="shared" ca="1" si="0"/>
        <v>0.59901563567432259</v>
      </c>
      <c r="C30" s="6" t="s">
        <v>34</v>
      </c>
      <c r="I30" s="8">
        <v>0.81</v>
      </c>
      <c r="J30" s="7">
        <v>0.93762183235867447</v>
      </c>
      <c r="K30" s="7">
        <v>0.12731006160164271</v>
      </c>
    </row>
    <row r="31" spans="1:11" x14ac:dyDescent="0.2">
      <c r="A31" s="6">
        <v>29</v>
      </c>
      <c r="B31" s="6">
        <f t="shared" ca="1" si="0"/>
        <v>0.73261526414847322</v>
      </c>
      <c r="C31" s="6" t="s">
        <v>35</v>
      </c>
      <c r="I31" s="8">
        <v>0.84</v>
      </c>
      <c r="J31" s="7">
        <v>0.94152046783625731</v>
      </c>
      <c r="K31" s="7">
        <v>9.2402464065708415E-2</v>
      </c>
    </row>
    <row r="32" spans="1:11" x14ac:dyDescent="0.2">
      <c r="A32" s="6">
        <v>30</v>
      </c>
      <c r="B32" s="6">
        <f t="shared" ca="1" si="0"/>
        <v>0.8697340556187757</v>
      </c>
      <c r="C32" s="6" t="s">
        <v>34</v>
      </c>
      <c r="I32" s="8">
        <v>0.87</v>
      </c>
      <c r="J32" s="7">
        <v>0.96296296296296291</v>
      </c>
      <c r="K32" s="7">
        <v>5.1334702258726897E-2</v>
      </c>
    </row>
    <row r="33" spans="1:11" x14ac:dyDescent="0.2">
      <c r="A33" s="6">
        <v>31</v>
      </c>
      <c r="B33" s="6">
        <f t="shared" ca="1" si="0"/>
        <v>0.70758148604162963</v>
      </c>
      <c r="C33" s="6" t="s">
        <v>34</v>
      </c>
      <c r="I33" s="8">
        <v>0.9</v>
      </c>
      <c r="J33" s="7">
        <v>0.98832684824902728</v>
      </c>
      <c r="K33" s="7">
        <v>3.0864197530864196E-2</v>
      </c>
    </row>
    <row r="34" spans="1:11" x14ac:dyDescent="0.2">
      <c r="A34" s="6">
        <v>32</v>
      </c>
      <c r="B34" s="6">
        <f t="shared" ca="1" si="0"/>
        <v>0.65473198524019105</v>
      </c>
      <c r="C34" s="6" t="s">
        <v>35</v>
      </c>
      <c r="I34" s="8">
        <v>0.93</v>
      </c>
      <c r="J34" s="7">
        <v>0.98050682261208577</v>
      </c>
      <c r="K34" s="7">
        <v>6.1601642710472282E-3</v>
      </c>
    </row>
    <row r="35" spans="1:11" x14ac:dyDescent="0.2">
      <c r="A35" s="6">
        <v>33</v>
      </c>
      <c r="B35" s="6">
        <f t="shared" ca="1" si="0"/>
        <v>0.5332645386924546</v>
      </c>
      <c r="C35" s="6" t="s">
        <v>35</v>
      </c>
      <c r="I35" s="8">
        <v>0.96</v>
      </c>
      <c r="J35" s="7">
        <v>0.98635477582845998</v>
      </c>
      <c r="K35" s="7">
        <v>0</v>
      </c>
    </row>
    <row r="36" spans="1:11" x14ac:dyDescent="0.2">
      <c r="A36" s="6">
        <v>34</v>
      </c>
      <c r="B36" s="6">
        <f t="shared" ca="1" si="0"/>
        <v>0.51948479265292613</v>
      </c>
      <c r="C36" s="6" t="s">
        <v>35</v>
      </c>
      <c r="I36" s="8">
        <v>0.99</v>
      </c>
      <c r="J36" s="7">
        <v>0.99610136452241715</v>
      </c>
      <c r="K36" s="7">
        <v>2.0533880903490761E-3</v>
      </c>
    </row>
    <row r="37" spans="1:11" x14ac:dyDescent="0.2">
      <c r="A37" s="6">
        <v>35</v>
      </c>
      <c r="B37" s="6">
        <f t="shared" ca="1" si="0"/>
        <v>0.75100959300755221</v>
      </c>
      <c r="C37" s="6" t="s">
        <v>34</v>
      </c>
      <c r="I37" s="8"/>
    </row>
    <row r="38" spans="1:11" x14ac:dyDescent="0.2">
      <c r="A38" s="6">
        <v>36</v>
      </c>
      <c r="B38" s="6">
        <f t="shared" ca="1" si="0"/>
        <v>0.54294842440369373</v>
      </c>
      <c r="C38" s="6" t="s">
        <v>35</v>
      </c>
    </row>
    <row r="39" spans="1:11" x14ac:dyDescent="0.2">
      <c r="A39" s="6">
        <v>37</v>
      </c>
      <c r="B39" s="6">
        <f t="shared" ca="1" si="0"/>
        <v>0.56576219199400968</v>
      </c>
      <c r="C39" s="6" t="s">
        <v>35</v>
      </c>
    </row>
    <row r="40" spans="1:11" x14ac:dyDescent="0.2">
      <c r="A40" s="6">
        <v>38</v>
      </c>
      <c r="B40" s="6">
        <f t="shared" ca="1" si="0"/>
        <v>0.76434511208320666</v>
      </c>
      <c r="C40" s="6" t="s">
        <v>34</v>
      </c>
    </row>
    <row r="41" spans="1:11" x14ac:dyDescent="0.2">
      <c r="A41" s="6">
        <v>39</v>
      </c>
      <c r="B41" s="6">
        <f t="shared" ca="1" si="0"/>
        <v>0.65209239246456208</v>
      </c>
      <c r="C41" s="6" t="s">
        <v>35</v>
      </c>
    </row>
    <row r="42" spans="1:11" x14ac:dyDescent="0.2">
      <c r="A42" s="6">
        <v>40</v>
      </c>
      <c r="B42" s="6">
        <f t="shared" ca="1" si="0"/>
        <v>0.58847843344466455</v>
      </c>
      <c r="C42" s="6" t="s">
        <v>34</v>
      </c>
    </row>
    <row r="43" spans="1:11" x14ac:dyDescent="0.2">
      <c r="A43" s="6">
        <v>41</v>
      </c>
      <c r="B43" s="6">
        <f t="shared" ca="1" si="0"/>
        <v>0.5365422060270022</v>
      </c>
      <c r="C43" s="6" t="s">
        <v>35</v>
      </c>
    </row>
    <row r="44" spans="1:11" x14ac:dyDescent="0.2">
      <c r="A44" s="6">
        <v>42</v>
      </c>
      <c r="B44" s="6">
        <f t="shared" ca="1" si="0"/>
        <v>0.55832820398728289</v>
      </c>
      <c r="C44" s="6" t="s">
        <v>35</v>
      </c>
    </row>
    <row r="45" spans="1:11" x14ac:dyDescent="0.2">
      <c r="A45" s="6">
        <v>43</v>
      </c>
      <c r="B45" s="6">
        <f t="shared" ca="1" si="0"/>
        <v>0.4283714610441075</v>
      </c>
      <c r="C45" s="6" t="s">
        <v>35</v>
      </c>
    </row>
    <row r="46" spans="1:11" x14ac:dyDescent="0.2">
      <c r="A46" s="6">
        <v>44</v>
      </c>
      <c r="B46" s="6">
        <f t="shared" ca="1" si="0"/>
        <v>0.68553900282134728</v>
      </c>
      <c r="C46" s="6" t="s">
        <v>35</v>
      </c>
    </row>
    <row r="47" spans="1:11" x14ac:dyDescent="0.2">
      <c r="A47" s="6">
        <v>45</v>
      </c>
      <c r="B47" s="6">
        <f t="shared" ca="1" si="0"/>
        <v>0.64906267088623171</v>
      </c>
      <c r="C47" s="6" t="s">
        <v>35</v>
      </c>
    </row>
    <row r="48" spans="1:11" x14ac:dyDescent="0.2">
      <c r="A48" s="6">
        <v>46</v>
      </c>
      <c r="B48" s="6">
        <f t="shared" ca="1" si="0"/>
        <v>0.81412043726864214</v>
      </c>
      <c r="C48" s="6" t="s">
        <v>34</v>
      </c>
    </row>
    <row r="49" spans="1:3" x14ac:dyDescent="0.2">
      <c r="A49" s="6">
        <v>47</v>
      </c>
      <c r="B49" s="6">
        <f t="shared" ca="1" si="0"/>
        <v>0.59778222520716262</v>
      </c>
      <c r="C49" s="6" t="s">
        <v>34</v>
      </c>
    </row>
    <row r="50" spans="1:3" x14ac:dyDescent="0.2">
      <c r="A50" s="6">
        <v>48</v>
      </c>
      <c r="B50" s="6">
        <f t="shared" ca="1" si="0"/>
        <v>0.50869084843275647</v>
      </c>
      <c r="C50" s="6" t="s">
        <v>35</v>
      </c>
    </row>
    <row r="51" spans="1:3" x14ac:dyDescent="0.2">
      <c r="A51" s="6">
        <v>49</v>
      </c>
      <c r="B51" s="6">
        <f t="shared" ca="1" si="0"/>
        <v>0.91126462457478574</v>
      </c>
      <c r="C51" s="6" t="s">
        <v>34</v>
      </c>
    </row>
    <row r="52" spans="1:3" x14ac:dyDescent="0.2">
      <c r="A52" s="6">
        <v>50</v>
      </c>
      <c r="B52" s="6">
        <f t="shared" ca="1" si="0"/>
        <v>0.69668339698110548</v>
      </c>
      <c r="C52" s="6" t="s">
        <v>34</v>
      </c>
    </row>
    <row r="53" spans="1:3" x14ac:dyDescent="0.2">
      <c r="A53" s="6">
        <v>51</v>
      </c>
      <c r="B53" s="6">
        <f t="shared" ca="1" si="0"/>
        <v>0.7499111061207332</v>
      </c>
      <c r="C53" s="6" t="s">
        <v>34</v>
      </c>
    </row>
    <row r="54" spans="1:3" x14ac:dyDescent="0.2">
      <c r="A54" s="6">
        <v>52</v>
      </c>
      <c r="B54" s="6">
        <f t="shared" ca="1" si="0"/>
        <v>0.49466493425301339</v>
      </c>
      <c r="C54" s="6" t="s">
        <v>35</v>
      </c>
    </row>
    <row r="55" spans="1:3" x14ac:dyDescent="0.2">
      <c r="A55" s="6">
        <v>53</v>
      </c>
      <c r="B55" s="6">
        <f t="shared" ca="1" si="0"/>
        <v>0.92735846884686846</v>
      </c>
      <c r="C55" s="6" t="s">
        <v>35</v>
      </c>
    </row>
    <row r="56" spans="1:3" x14ac:dyDescent="0.2">
      <c r="A56" s="6">
        <v>54</v>
      </c>
      <c r="B56" s="6">
        <f t="shared" ca="1" si="0"/>
        <v>0.50502255866664469</v>
      </c>
      <c r="C56" s="6" t="s">
        <v>34</v>
      </c>
    </row>
    <row r="57" spans="1:3" x14ac:dyDescent="0.2">
      <c r="A57" s="6">
        <v>55</v>
      </c>
      <c r="B57" s="6">
        <f t="shared" ca="1" si="0"/>
        <v>0.82797755811149898</v>
      </c>
      <c r="C57" s="6" t="s">
        <v>34</v>
      </c>
    </row>
    <row r="58" spans="1:3" x14ac:dyDescent="0.2">
      <c r="A58" s="6">
        <v>56</v>
      </c>
      <c r="B58" s="6">
        <f t="shared" ca="1" si="0"/>
        <v>0.77334010853180069</v>
      </c>
      <c r="C58" s="6" t="s">
        <v>34</v>
      </c>
    </row>
    <row r="59" spans="1:3" x14ac:dyDescent="0.2">
      <c r="A59" s="6">
        <v>57</v>
      </c>
      <c r="B59" s="6">
        <f t="shared" ca="1" si="0"/>
        <v>0.4309645722065199</v>
      </c>
      <c r="C59" s="6" t="s">
        <v>35</v>
      </c>
    </row>
    <row r="60" spans="1:3" x14ac:dyDescent="0.2">
      <c r="A60" s="6">
        <v>58</v>
      </c>
      <c r="B60" s="6">
        <f t="shared" ca="1" si="0"/>
        <v>0.54398988298694539</v>
      </c>
      <c r="C60" s="6" t="s">
        <v>34</v>
      </c>
    </row>
    <row r="61" spans="1:3" x14ac:dyDescent="0.2">
      <c r="A61" s="6">
        <v>59</v>
      </c>
      <c r="B61" s="6">
        <f t="shared" ca="1" si="0"/>
        <v>0.76079693553403882</v>
      </c>
      <c r="C61" s="6" t="s">
        <v>34</v>
      </c>
    </row>
    <row r="62" spans="1:3" x14ac:dyDescent="0.2">
      <c r="A62" s="6">
        <v>60</v>
      </c>
      <c r="B62" s="6">
        <f t="shared" ca="1" si="0"/>
        <v>0.61329342371577811</v>
      </c>
      <c r="C62" s="6" t="s">
        <v>35</v>
      </c>
    </row>
    <row r="63" spans="1:3" x14ac:dyDescent="0.2">
      <c r="A63" s="6">
        <v>61</v>
      </c>
      <c r="B63" s="6">
        <f t="shared" ca="1" si="0"/>
        <v>0.60095000586381353</v>
      </c>
      <c r="C63" s="6" t="s">
        <v>35</v>
      </c>
    </row>
    <row r="64" spans="1:3" x14ac:dyDescent="0.2">
      <c r="A64" s="6">
        <v>62</v>
      </c>
      <c r="B64" s="6">
        <f t="shared" ca="1" si="0"/>
        <v>0.73211147264703191</v>
      </c>
      <c r="C64" s="6" t="s">
        <v>35</v>
      </c>
    </row>
    <row r="65" spans="1:3" x14ac:dyDescent="0.2">
      <c r="A65" s="6">
        <v>63</v>
      </c>
      <c r="B65" s="6">
        <f t="shared" ca="1" si="0"/>
        <v>0.80380258724441545</v>
      </c>
      <c r="C65" s="6" t="s">
        <v>34</v>
      </c>
    </row>
    <row r="66" spans="1:3" x14ac:dyDescent="0.2">
      <c r="A66" s="6">
        <v>64</v>
      </c>
      <c r="B66" s="6">
        <f t="shared" ca="1" si="0"/>
        <v>0.70822052605956609</v>
      </c>
      <c r="C66" s="6" t="s">
        <v>34</v>
      </c>
    </row>
    <row r="67" spans="1:3" x14ac:dyDescent="0.2">
      <c r="A67" s="6">
        <v>65</v>
      </c>
      <c r="B67" s="6">
        <f t="shared" ca="1" si="0"/>
        <v>0.68103794471195411</v>
      </c>
      <c r="C67" s="6" t="s">
        <v>34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0.5839566205701936</v>
      </c>
      <c r="C68" s="6" t="s">
        <v>34</v>
      </c>
    </row>
    <row r="69" spans="1:3" x14ac:dyDescent="0.2">
      <c r="A69" s="6">
        <v>67</v>
      </c>
      <c r="B69" s="6">
        <f t="shared" ca="1" si="1"/>
        <v>0.79344674890536027</v>
      </c>
      <c r="C69" s="6" t="s">
        <v>34</v>
      </c>
    </row>
    <row r="70" spans="1:3" x14ac:dyDescent="0.2">
      <c r="A70" s="6">
        <v>68</v>
      </c>
      <c r="B70" s="6">
        <f t="shared" ca="1" si="1"/>
        <v>0.49252365459914488</v>
      </c>
      <c r="C70" s="6" t="s">
        <v>35</v>
      </c>
    </row>
    <row r="71" spans="1:3" x14ac:dyDescent="0.2">
      <c r="A71" s="6">
        <v>69</v>
      </c>
      <c r="B71" s="6">
        <f t="shared" ca="1" si="1"/>
        <v>0.39127970028347975</v>
      </c>
      <c r="C71" s="6" t="s">
        <v>35</v>
      </c>
    </row>
    <row r="72" spans="1:3" x14ac:dyDescent="0.2">
      <c r="A72" s="6">
        <v>70</v>
      </c>
      <c r="B72" s="6">
        <f t="shared" ca="1" si="1"/>
        <v>0.82840222238894734</v>
      </c>
      <c r="C72" s="6" t="s">
        <v>35</v>
      </c>
    </row>
    <row r="73" spans="1:3" x14ac:dyDescent="0.2">
      <c r="A73" s="6">
        <v>71</v>
      </c>
      <c r="B73" s="6">
        <f t="shared" ca="1" si="1"/>
        <v>0.70758179614789296</v>
      </c>
      <c r="C73" s="6" t="s">
        <v>35</v>
      </c>
    </row>
    <row r="74" spans="1:3" x14ac:dyDescent="0.2">
      <c r="A74" s="6">
        <v>72</v>
      </c>
      <c r="B74" s="6">
        <f t="shared" ca="1" si="1"/>
        <v>0.69569154387356802</v>
      </c>
      <c r="C74" s="6" t="s">
        <v>35</v>
      </c>
    </row>
    <row r="75" spans="1:3" x14ac:dyDescent="0.2">
      <c r="A75" s="6">
        <v>73</v>
      </c>
      <c r="B75" s="6">
        <f t="shared" ca="1" si="1"/>
        <v>0.7011175659792821</v>
      </c>
      <c r="C75" s="6" t="s">
        <v>34</v>
      </c>
    </row>
    <row r="76" spans="1:3" x14ac:dyDescent="0.2">
      <c r="A76" s="6">
        <v>74</v>
      </c>
      <c r="B76" s="6">
        <f t="shared" ca="1" si="1"/>
        <v>0.67273302867537066</v>
      </c>
      <c r="C76" s="6" t="s">
        <v>34</v>
      </c>
    </row>
    <row r="77" spans="1:3" x14ac:dyDescent="0.2">
      <c r="A77" s="6">
        <v>75</v>
      </c>
      <c r="B77" s="6">
        <f t="shared" ca="1" si="1"/>
        <v>0.75439931564100426</v>
      </c>
      <c r="C77" s="6" t="s">
        <v>34</v>
      </c>
    </row>
    <row r="78" spans="1:3" x14ac:dyDescent="0.2">
      <c r="A78" s="6">
        <v>76</v>
      </c>
      <c r="B78" s="6">
        <f t="shared" ca="1" si="1"/>
        <v>0.81834383097061947</v>
      </c>
      <c r="C78" s="6" t="s">
        <v>34</v>
      </c>
    </row>
    <row r="79" spans="1:3" x14ac:dyDescent="0.2">
      <c r="A79" s="6">
        <v>77</v>
      </c>
      <c r="B79" s="6">
        <f t="shared" ca="1" si="1"/>
        <v>0.59778020564132972</v>
      </c>
      <c r="C79" s="6" t="s">
        <v>35</v>
      </c>
    </row>
    <row r="80" spans="1:3" x14ac:dyDescent="0.2">
      <c r="A80" s="6">
        <v>78</v>
      </c>
      <c r="B80" s="6">
        <f t="shared" ca="1" si="1"/>
        <v>0.69329701421593071</v>
      </c>
      <c r="C80" s="6" t="s">
        <v>34</v>
      </c>
    </row>
    <row r="81" spans="1:3" x14ac:dyDescent="0.2">
      <c r="A81" s="6">
        <v>79</v>
      </c>
      <c r="B81" s="6">
        <f t="shared" ca="1" si="1"/>
        <v>0.68971422130324544</v>
      </c>
      <c r="C81" s="6" t="s">
        <v>35</v>
      </c>
    </row>
    <row r="82" spans="1:3" x14ac:dyDescent="0.2">
      <c r="A82" s="6">
        <v>80</v>
      </c>
      <c r="B82" s="6">
        <f t="shared" ca="1" si="1"/>
        <v>0.89947252390482058</v>
      </c>
      <c r="C82" s="6" t="s">
        <v>34</v>
      </c>
    </row>
    <row r="83" spans="1:3" x14ac:dyDescent="0.2">
      <c r="A83" s="6">
        <v>81</v>
      </c>
      <c r="B83" s="6">
        <f t="shared" ca="1" si="1"/>
        <v>0.71662919094706068</v>
      </c>
      <c r="C83" s="6" t="s">
        <v>34</v>
      </c>
    </row>
    <row r="84" spans="1:3" x14ac:dyDescent="0.2">
      <c r="A84" s="6">
        <v>82</v>
      </c>
      <c r="B84" s="6">
        <f t="shared" ca="1" si="1"/>
        <v>0.4899555543155274</v>
      </c>
      <c r="C84" s="6" t="s">
        <v>35</v>
      </c>
    </row>
    <row r="85" spans="1:3" x14ac:dyDescent="0.2">
      <c r="A85" s="6">
        <v>83</v>
      </c>
      <c r="B85" s="6">
        <f t="shared" ca="1" si="1"/>
        <v>0.5383683244948102</v>
      </c>
      <c r="C85" s="6" t="s">
        <v>34</v>
      </c>
    </row>
    <row r="86" spans="1:3" x14ac:dyDescent="0.2">
      <c r="A86" s="6">
        <v>84</v>
      </c>
      <c r="B86" s="6">
        <f t="shared" ca="1" si="1"/>
        <v>0.56268760936429096</v>
      </c>
      <c r="C86" s="6" t="s">
        <v>34</v>
      </c>
    </row>
    <row r="87" spans="1:3" x14ac:dyDescent="0.2">
      <c r="A87" s="6">
        <v>85</v>
      </c>
      <c r="B87" s="6">
        <f t="shared" ca="1" si="1"/>
        <v>0.45743241739478957</v>
      </c>
      <c r="C87" s="6" t="s">
        <v>35</v>
      </c>
    </row>
    <row r="88" spans="1:3" x14ac:dyDescent="0.2">
      <c r="A88" s="6">
        <v>86</v>
      </c>
      <c r="B88" s="6">
        <f t="shared" ca="1" si="1"/>
        <v>0.80715633088624739</v>
      </c>
      <c r="C88" s="6" t="s">
        <v>35</v>
      </c>
    </row>
    <row r="89" spans="1:3" x14ac:dyDescent="0.2">
      <c r="A89" s="6">
        <v>87</v>
      </c>
      <c r="B89" s="6">
        <f t="shared" ca="1" si="1"/>
        <v>0.48865112825329593</v>
      </c>
      <c r="C89" s="6" t="s">
        <v>35</v>
      </c>
    </row>
    <row r="90" spans="1:3" x14ac:dyDescent="0.2">
      <c r="A90" s="6">
        <v>88</v>
      </c>
      <c r="B90" s="6">
        <f t="shared" ca="1" si="1"/>
        <v>0.59967649597080119</v>
      </c>
      <c r="C90" s="6" t="s">
        <v>35</v>
      </c>
    </row>
    <row r="91" spans="1:3" x14ac:dyDescent="0.2">
      <c r="A91" s="6">
        <v>89</v>
      </c>
      <c r="B91" s="6">
        <f t="shared" ca="1" si="1"/>
        <v>0.80894355861993217</v>
      </c>
      <c r="C91" s="6" t="s">
        <v>35</v>
      </c>
    </row>
    <row r="92" spans="1:3" x14ac:dyDescent="0.2">
      <c r="A92" s="6">
        <v>90</v>
      </c>
      <c r="B92" s="6">
        <f t="shared" ca="1" si="1"/>
        <v>0.58743924976821726</v>
      </c>
      <c r="C92" s="6" t="s">
        <v>34</v>
      </c>
    </row>
    <row r="93" spans="1:3" x14ac:dyDescent="0.2">
      <c r="A93" s="6">
        <v>91</v>
      </c>
      <c r="B93" s="6">
        <f t="shared" ca="1" si="1"/>
        <v>0.64839160826981757</v>
      </c>
      <c r="C93" s="6" t="s">
        <v>34</v>
      </c>
    </row>
    <row r="94" spans="1:3" x14ac:dyDescent="0.2">
      <c r="A94" s="6">
        <v>92</v>
      </c>
      <c r="B94" s="6">
        <f t="shared" ca="1" si="1"/>
        <v>0.70117630750519477</v>
      </c>
      <c r="C94" s="6" t="s">
        <v>35</v>
      </c>
    </row>
    <row r="95" spans="1:3" x14ac:dyDescent="0.2">
      <c r="A95" s="6">
        <v>93</v>
      </c>
      <c r="B95" s="6">
        <f t="shared" ca="1" si="1"/>
        <v>0.74081542129648226</v>
      </c>
      <c r="C95" s="6" t="s">
        <v>34</v>
      </c>
    </row>
    <row r="96" spans="1:3" x14ac:dyDescent="0.2">
      <c r="A96" s="6">
        <v>94</v>
      </c>
      <c r="B96" s="6">
        <f t="shared" ca="1" si="1"/>
        <v>0.8228438145146364</v>
      </c>
      <c r="C96" s="6" t="s">
        <v>34</v>
      </c>
    </row>
    <row r="97" spans="1:3" x14ac:dyDescent="0.2">
      <c r="A97" s="6">
        <v>95</v>
      </c>
      <c r="B97" s="6">
        <f t="shared" ca="1" si="1"/>
        <v>0.21798777577523071</v>
      </c>
      <c r="C97" s="6" t="s">
        <v>35</v>
      </c>
    </row>
    <row r="98" spans="1:3" x14ac:dyDescent="0.2">
      <c r="A98" s="6">
        <v>96</v>
      </c>
      <c r="B98" s="6">
        <f t="shared" ca="1" si="1"/>
        <v>0.42082292578540026</v>
      </c>
      <c r="C98" s="6" t="s">
        <v>35</v>
      </c>
    </row>
    <row r="99" spans="1:3" x14ac:dyDescent="0.2">
      <c r="A99" s="6">
        <v>97</v>
      </c>
      <c r="B99" s="6">
        <f t="shared" ca="1" si="1"/>
        <v>0.82511077629634788</v>
      </c>
      <c r="C99" s="6" t="s">
        <v>34</v>
      </c>
    </row>
    <row r="100" spans="1:3" x14ac:dyDescent="0.2">
      <c r="A100" s="6">
        <v>98</v>
      </c>
      <c r="B100" s="6">
        <f t="shared" ca="1" si="1"/>
        <v>0.83899580329610823</v>
      </c>
      <c r="C100" s="6" t="s">
        <v>34</v>
      </c>
    </row>
    <row r="101" spans="1:3" x14ac:dyDescent="0.2">
      <c r="A101" s="6">
        <v>99</v>
      </c>
      <c r="B101" s="6">
        <f t="shared" ca="1" si="1"/>
        <v>0.73886202489076713</v>
      </c>
      <c r="C101" s="6" t="s">
        <v>34</v>
      </c>
    </row>
    <row r="102" spans="1:3" x14ac:dyDescent="0.2">
      <c r="A102" s="6">
        <v>100</v>
      </c>
      <c r="B102" s="6">
        <f t="shared" ca="1" si="1"/>
        <v>0.95063073593410929</v>
      </c>
      <c r="C102" s="6" t="s">
        <v>35</v>
      </c>
    </row>
    <row r="103" spans="1:3" x14ac:dyDescent="0.2">
      <c r="A103" s="6">
        <v>101</v>
      </c>
      <c r="B103" s="6">
        <f t="shared" ca="1" si="1"/>
        <v>0.81963328516002854</v>
      </c>
      <c r="C103" s="6" t="s">
        <v>34</v>
      </c>
    </row>
    <row r="104" spans="1:3" x14ac:dyDescent="0.2">
      <c r="A104" s="6">
        <v>102</v>
      </c>
      <c r="B104" s="6">
        <f t="shared" ca="1" si="1"/>
        <v>0.55137003292596309</v>
      </c>
      <c r="C104" s="6" t="s">
        <v>35</v>
      </c>
    </row>
    <row r="105" spans="1:3" x14ac:dyDescent="0.2">
      <c r="A105" s="6">
        <v>103</v>
      </c>
      <c r="B105" s="6">
        <f t="shared" ca="1" si="1"/>
        <v>0.67887204850959937</v>
      </c>
      <c r="C105" s="6" t="s">
        <v>35</v>
      </c>
    </row>
    <row r="106" spans="1:3" x14ac:dyDescent="0.2">
      <c r="A106" s="6">
        <v>104</v>
      </c>
      <c r="B106" s="6">
        <f t="shared" ca="1" si="1"/>
        <v>0.25319070269094207</v>
      </c>
      <c r="C106" s="6" t="s">
        <v>35</v>
      </c>
    </row>
    <row r="107" spans="1:3" x14ac:dyDescent="0.2">
      <c r="A107" s="6">
        <v>105</v>
      </c>
      <c r="B107" s="6">
        <f t="shared" ca="1" si="1"/>
        <v>0.82210517007184347</v>
      </c>
      <c r="C107" s="6" t="s">
        <v>34</v>
      </c>
    </row>
    <row r="108" spans="1:3" x14ac:dyDescent="0.2">
      <c r="A108" s="6">
        <v>106</v>
      </c>
      <c r="B108" s="6">
        <f t="shared" ca="1" si="1"/>
        <v>0.72342250161572774</v>
      </c>
      <c r="C108" s="6" t="s">
        <v>35</v>
      </c>
    </row>
    <row r="109" spans="1:3" x14ac:dyDescent="0.2">
      <c r="A109" s="6">
        <v>107</v>
      </c>
      <c r="B109" s="6">
        <f t="shared" ca="1" si="1"/>
        <v>0.61655124198060174</v>
      </c>
      <c r="C109" s="6" t="s">
        <v>35</v>
      </c>
    </row>
    <row r="110" spans="1:3" x14ac:dyDescent="0.2">
      <c r="A110" s="6">
        <v>108</v>
      </c>
      <c r="B110" s="6">
        <f t="shared" ca="1" si="1"/>
        <v>0.44838299191453462</v>
      </c>
      <c r="C110" s="6" t="s">
        <v>35</v>
      </c>
    </row>
    <row r="111" spans="1:3" x14ac:dyDescent="0.2">
      <c r="A111" s="6">
        <v>109</v>
      </c>
      <c r="B111" s="6">
        <f t="shared" ca="1" si="1"/>
        <v>0.65629604784323858</v>
      </c>
      <c r="C111" s="6" t="s">
        <v>35</v>
      </c>
    </row>
    <row r="112" spans="1:3" x14ac:dyDescent="0.2">
      <c r="A112" s="6">
        <v>110</v>
      </c>
      <c r="B112" s="6">
        <f t="shared" ca="1" si="1"/>
        <v>0.62596075604971946</v>
      </c>
      <c r="C112" s="6" t="s">
        <v>35</v>
      </c>
    </row>
    <row r="113" spans="1:3" x14ac:dyDescent="0.2">
      <c r="A113" s="6">
        <v>111</v>
      </c>
      <c r="B113" s="6">
        <f t="shared" ca="1" si="1"/>
        <v>0.72486128688306717</v>
      </c>
      <c r="C113" s="6" t="s">
        <v>34</v>
      </c>
    </row>
    <row r="114" spans="1:3" x14ac:dyDescent="0.2">
      <c r="A114" s="6">
        <v>112</v>
      </c>
      <c r="B114" s="6">
        <f t="shared" ca="1" si="1"/>
        <v>0.72836285034563564</v>
      </c>
      <c r="C114" s="6" t="s">
        <v>35</v>
      </c>
    </row>
    <row r="115" spans="1:3" x14ac:dyDescent="0.2">
      <c r="A115" s="6">
        <v>113</v>
      </c>
      <c r="B115" s="6">
        <f t="shared" ca="1" si="1"/>
        <v>0.35877374112349203</v>
      </c>
      <c r="C115" s="6" t="s">
        <v>35</v>
      </c>
    </row>
    <row r="116" spans="1:3" x14ac:dyDescent="0.2">
      <c r="A116" s="6">
        <v>114</v>
      </c>
      <c r="B116" s="6">
        <f t="shared" ca="1" si="1"/>
        <v>0.72875920609631595</v>
      </c>
      <c r="C116" s="6" t="s">
        <v>35</v>
      </c>
    </row>
    <row r="117" spans="1:3" x14ac:dyDescent="0.2">
      <c r="A117" s="6">
        <v>115</v>
      </c>
      <c r="B117" s="6">
        <f t="shared" ca="1" si="1"/>
        <v>0.5854236695663837</v>
      </c>
      <c r="C117" s="6" t="s">
        <v>35</v>
      </c>
    </row>
    <row r="118" spans="1:3" x14ac:dyDescent="0.2">
      <c r="A118" s="6">
        <v>116</v>
      </c>
      <c r="B118" s="6">
        <f t="shared" ca="1" si="1"/>
        <v>0.48987279902155317</v>
      </c>
      <c r="C118" s="6" t="s">
        <v>35</v>
      </c>
    </row>
    <row r="119" spans="1:3" x14ac:dyDescent="0.2">
      <c r="A119" s="6">
        <v>117</v>
      </c>
      <c r="B119" s="6">
        <f t="shared" ca="1" si="1"/>
        <v>0.46272268511873949</v>
      </c>
      <c r="C119" s="6" t="s">
        <v>35</v>
      </c>
    </row>
    <row r="120" spans="1:3" x14ac:dyDescent="0.2">
      <c r="A120" s="6">
        <v>118</v>
      </c>
      <c r="B120" s="6">
        <f t="shared" ca="1" si="1"/>
        <v>0.39185485496828687</v>
      </c>
      <c r="C120" s="6" t="s">
        <v>35</v>
      </c>
    </row>
    <row r="121" spans="1:3" x14ac:dyDescent="0.2">
      <c r="A121" s="6">
        <v>119</v>
      </c>
      <c r="B121" s="6">
        <f t="shared" ca="1" si="1"/>
        <v>0.70850234418668634</v>
      </c>
      <c r="C121" s="6" t="s">
        <v>35</v>
      </c>
    </row>
    <row r="122" spans="1:3" x14ac:dyDescent="0.2">
      <c r="A122" s="6">
        <v>120</v>
      </c>
      <c r="B122" s="6">
        <f t="shared" ca="1" si="1"/>
        <v>0.6433381272812233</v>
      </c>
      <c r="C122" s="6" t="s">
        <v>34</v>
      </c>
    </row>
    <row r="123" spans="1:3" x14ac:dyDescent="0.2">
      <c r="A123" s="6">
        <v>121</v>
      </c>
      <c r="B123" s="6">
        <f t="shared" ca="1" si="1"/>
        <v>0.51030793147233189</v>
      </c>
      <c r="C123" s="6" t="s">
        <v>34</v>
      </c>
    </row>
    <row r="124" spans="1:3" x14ac:dyDescent="0.2">
      <c r="A124" s="6">
        <v>122</v>
      </c>
      <c r="B124" s="6">
        <f t="shared" ca="1" si="1"/>
        <v>0.4747435837264089</v>
      </c>
      <c r="C124" s="6" t="s">
        <v>35</v>
      </c>
    </row>
    <row r="125" spans="1:3" x14ac:dyDescent="0.2">
      <c r="A125" s="6">
        <v>123</v>
      </c>
      <c r="B125" s="6">
        <f t="shared" ca="1" si="1"/>
        <v>0.81265416231840393</v>
      </c>
      <c r="C125" s="6" t="s">
        <v>34</v>
      </c>
    </row>
    <row r="126" spans="1:3" x14ac:dyDescent="0.2">
      <c r="A126" s="6">
        <v>124</v>
      </c>
      <c r="B126" s="6">
        <f t="shared" ca="1" si="1"/>
        <v>0.68966267532399306</v>
      </c>
      <c r="C126" s="6" t="s">
        <v>34</v>
      </c>
    </row>
    <row r="127" spans="1:3" x14ac:dyDescent="0.2">
      <c r="A127" s="6">
        <v>125</v>
      </c>
      <c r="B127" s="6">
        <f t="shared" ca="1" si="1"/>
        <v>0.59100490465783195</v>
      </c>
      <c r="C127" s="6" t="s">
        <v>35</v>
      </c>
    </row>
    <row r="128" spans="1:3" x14ac:dyDescent="0.2">
      <c r="A128" s="6">
        <v>126</v>
      </c>
      <c r="B128" s="6">
        <f t="shared" ca="1" si="1"/>
        <v>0.96024436155343429</v>
      </c>
      <c r="C128" s="6" t="s">
        <v>35</v>
      </c>
    </row>
    <row r="129" spans="1:3" x14ac:dyDescent="0.2">
      <c r="A129" s="6">
        <v>127</v>
      </c>
      <c r="B129" s="6">
        <f t="shared" ca="1" si="1"/>
        <v>0.84171364126493653</v>
      </c>
      <c r="C129" s="6" t="s">
        <v>35</v>
      </c>
    </row>
    <row r="130" spans="1:3" x14ac:dyDescent="0.2">
      <c r="A130" s="6">
        <v>128</v>
      </c>
      <c r="B130" s="6">
        <f t="shared" ca="1" si="1"/>
        <v>0.44244947411642049</v>
      </c>
      <c r="C130" s="6" t="s">
        <v>35</v>
      </c>
    </row>
    <row r="131" spans="1:3" x14ac:dyDescent="0.2">
      <c r="A131" s="6">
        <v>129</v>
      </c>
      <c r="B131" s="6">
        <f t="shared" ca="1" si="1"/>
        <v>0.54023400334730531</v>
      </c>
      <c r="C131" s="6" t="s">
        <v>35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0.74455634791640724</v>
      </c>
      <c r="C132" s="6" t="s">
        <v>34</v>
      </c>
    </row>
    <row r="133" spans="1:3" x14ac:dyDescent="0.2">
      <c r="A133" s="6">
        <v>131</v>
      </c>
      <c r="B133" s="6">
        <f t="shared" ca="1" si="2"/>
        <v>0.79542634121086697</v>
      </c>
      <c r="C133" s="6" t="s">
        <v>34</v>
      </c>
    </row>
    <row r="134" spans="1:3" x14ac:dyDescent="0.2">
      <c r="A134" s="6">
        <v>132</v>
      </c>
      <c r="B134" s="6">
        <f t="shared" ca="1" si="2"/>
        <v>0.787902329019461</v>
      </c>
      <c r="C134" s="6" t="s">
        <v>34</v>
      </c>
    </row>
    <row r="135" spans="1:3" x14ac:dyDescent="0.2">
      <c r="A135" s="6">
        <v>133</v>
      </c>
      <c r="B135" s="6">
        <f t="shared" ca="1" si="2"/>
        <v>0.71132723074616222</v>
      </c>
      <c r="C135" s="6" t="s">
        <v>34</v>
      </c>
    </row>
    <row r="136" spans="1:3" x14ac:dyDescent="0.2">
      <c r="A136" s="6">
        <v>134</v>
      </c>
      <c r="B136" s="6">
        <f t="shared" ca="1" si="2"/>
        <v>0.43395005273740123</v>
      </c>
      <c r="C136" s="6" t="s">
        <v>35</v>
      </c>
    </row>
    <row r="137" spans="1:3" x14ac:dyDescent="0.2">
      <c r="A137" s="6">
        <v>135</v>
      </c>
      <c r="B137" s="6">
        <f t="shared" ca="1" si="2"/>
        <v>0.88450056000723309</v>
      </c>
      <c r="C137" s="6" t="s">
        <v>34</v>
      </c>
    </row>
    <row r="138" spans="1:3" x14ac:dyDescent="0.2">
      <c r="A138" s="6">
        <v>136</v>
      </c>
      <c r="B138" s="6">
        <f t="shared" ca="1" si="2"/>
        <v>0.82784302399170318</v>
      </c>
      <c r="C138" s="6" t="s">
        <v>34</v>
      </c>
    </row>
    <row r="139" spans="1:3" x14ac:dyDescent="0.2">
      <c r="A139" s="6">
        <v>137</v>
      </c>
      <c r="B139" s="6">
        <f t="shared" ca="1" si="2"/>
        <v>0.5617358178174533</v>
      </c>
      <c r="C139" s="6" t="s">
        <v>35</v>
      </c>
    </row>
    <row r="140" spans="1:3" x14ac:dyDescent="0.2">
      <c r="A140" s="6">
        <v>138</v>
      </c>
      <c r="B140" s="6">
        <f t="shared" ca="1" si="2"/>
        <v>0.73160181752427189</v>
      </c>
      <c r="C140" s="6" t="s">
        <v>34</v>
      </c>
    </row>
    <row r="141" spans="1:3" x14ac:dyDescent="0.2">
      <c r="A141" s="6">
        <v>139</v>
      </c>
      <c r="B141" s="6">
        <f t="shared" ca="1" si="2"/>
        <v>0.36941568751426423</v>
      </c>
      <c r="C141" s="6" t="s">
        <v>35</v>
      </c>
    </row>
    <row r="142" spans="1:3" x14ac:dyDescent="0.2">
      <c r="A142" s="6">
        <v>140</v>
      </c>
      <c r="B142" s="6">
        <f t="shared" ca="1" si="2"/>
        <v>0.64906727361861183</v>
      </c>
      <c r="C142" s="6" t="s">
        <v>35</v>
      </c>
    </row>
    <row r="143" spans="1:3" x14ac:dyDescent="0.2">
      <c r="A143" s="6">
        <v>141</v>
      </c>
      <c r="B143" s="6">
        <f t="shared" ca="1" si="2"/>
        <v>0.68249199266347693</v>
      </c>
      <c r="C143" s="6" t="s">
        <v>35</v>
      </c>
    </row>
    <row r="144" spans="1:3" x14ac:dyDescent="0.2">
      <c r="A144" s="6">
        <v>142</v>
      </c>
      <c r="B144" s="6">
        <f t="shared" ca="1" si="2"/>
        <v>0.60511036023338782</v>
      </c>
      <c r="C144" s="6" t="s">
        <v>34</v>
      </c>
    </row>
    <row r="145" spans="1:3" x14ac:dyDescent="0.2">
      <c r="A145" s="6">
        <v>143</v>
      </c>
      <c r="B145" s="6">
        <f t="shared" ca="1" si="2"/>
        <v>0.66532763687761065</v>
      </c>
      <c r="C145" s="6" t="s">
        <v>35</v>
      </c>
    </row>
    <row r="146" spans="1:3" x14ac:dyDescent="0.2">
      <c r="A146" s="6">
        <v>144</v>
      </c>
      <c r="B146" s="6">
        <f t="shared" ca="1" si="2"/>
        <v>0.82652806173111959</v>
      </c>
      <c r="C146" s="6" t="s">
        <v>34</v>
      </c>
    </row>
    <row r="147" spans="1:3" x14ac:dyDescent="0.2">
      <c r="A147" s="6">
        <v>145</v>
      </c>
      <c r="B147" s="6">
        <f t="shared" ca="1" si="2"/>
        <v>0.6012449102921712</v>
      </c>
      <c r="C147" s="6" t="s">
        <v>35</v>
      </c>
    </row>
    <row r="148" spans="1:3" x14ac:dyDescent="0.2">
      <c r="A148" s="6">
        <v>146</v>
      </c>
      <c r="B148" s="6">
        <f t="shared" ca="1" si="2"/>
        <v>0.52152816449332384</v>
      </c>
      <c r="C148" s="6" t="s">
        <v>35</v>
      </c>
    </row>
    <row r="149" spans="1:3" x14ac:dyDescent="0.2">
      <c r="A149" s="6">
        <v>147</v>
      </c>
      <c r="B149" s="6">
        <f t="shared" ca="1" si="2"/>
        <v>0.77738133094642847</v>
      </c>
      <c r="C149" s="6" t="s">
        <v>34</v>
      </c>
    </row>
    <row r="150" spans="1:3" x14ac:dyDescent="0.2">
      <c r="A150" s="6">
        <v>148</v>
      </c>
      <c r="B150" s="6">
        <f t="shared" ca="1" si="2"/>
        <v>0.60172490541421131</v>
      </c>
      <c r="C150" s="6" t="s">
        <v>35</v>
      </c>
    </row>
    <row r="151" spans="1:3" x14ac:dyDescent="0.2">
      <c r="A151" s="6">
        <v>149</v>
      </c>
      <c r="B151" s="6">
        <f t="shared" ca="1" si="2"/>
        <v>0.79775190629712645</v>
      </c>
      <c r="C151" s="6" t="s">
        <v>35</v>
      </c>
    </row>
    <row r="152" spans="1:3" x14ac:dyDescent="0.2">
      <c r="A152" s="6">
        <v>150</v>
      </c>
      <c r="B152" s="6">
        <f t="shared" ca="1" si="2"/>
        <v>0.39164974362226201</v>
      </c>
      <c r="C152" s="6" t="s">
        <v>35</v>
      </c>
    </row>
    <row r="153" spans="1:3" x14ac:dyDescent="0.2">
      <c r="A153" s="6">
        <v>151</v>
      </c>
      <c r="B153" s="6">
        <f t="shared" ca="1" si="2"/>
        <v>0.89358895587507559</v>
      </c>
      <c r="C153" s="6" t="s">
        <v>34</v>
      </c>
    </row>
    <row r="154" spans="1:3" x14ac:dyDescent="0.2">
      <c r="A154" s="6">
        <v>152</v>
      </c>
      <c r="B154" s="6">
        <f t="shared" ca="1" si="2"/>
        <v>0.69313633627349125</v>
      </c>
      <c r="C154" s="6" t="s">
        <v>34</v>
      </c>
    </row>
    <row r="155" spans="1:3" x14ac:dyDescent="0.2">
      <c r="A155" s="6">
        <v>153</v>
      </c>
      <c r="B155" s="6">
        <f t="shared" ca="1" si="2"/>
        <v>0.5538312143907792</v>
      </c>
      <c r="C155" s="6" t="s">
        <v>34</v>
      </c>
    </row>
    <row r="156" spans="1:3" x14ac:dyDescent="0.2">
      <c r="A156" s="6">
        <v>154</v>
      </c>
      <c r="B156" s="6">
        <f t="shared" ca="1" si="2"/>
        <v>0.92673327509327352</v>
      </c>
      <c r="C156" s="6" t="s">
        <v>35</v>
      </c>
    </row>
    <row r="157" spans="1:3" x14ac:dyDescent="0.2">
      <c r="A157" s="6">
        <v>155</v>
      </c>
      <c r="B157" s="6">
        <f t="shared" ca="1" si="2"/>
        <v>0.68323604356601531</v>
      </c>
      <c r="C157" s="6" t="s">
        <v>34</v>
      </c>
    </row>
    <row r="158" spans="1:3" x14ac:dyDescent="0.2">
      <c r="A158" s="6">
        <v>156</v>
      </c>
      <c r="B158" s="6">
        <f t="shared" ca="1" si="2"/>
        <v>0.54865246760820752</v>
      </c>
      <c r="C158" s="6" t="s">
        <v>34</v>
      </c>
    </row>
    <row r="159" spans="1:3" x14ac:dyDescent="0.2">
      <c r="A159" s="6">
        <v>157</v>
      </c>
      <c r="B159" s="6">
        <f t="shared" ca="1" si="2"/>
        <v>0.85691792830004487</v>
      </c>
      <c r="C159" s="6" t="s">
        <v>35</v>
      </c>
    </row>
    <row r="160" spans="1:3" x14ac:dyDescent="0.2">
      <c r="A160" s="6">
        <v>158</v>
      </c>
      <c r="B160" s="6">
        <f t="shared" ca="1" si="2"/>
        <v>0.41457483383677735</v>
      </c>
      <c r="C160" s="6" t="s">
        <v>35</v>
      </c>
    </row>
    <row r="161" spans="1:3" x14ac:dyDescent="0.2">
      <c r="A161" s="6">
        <v>159</v>
      </c>
      <c r="B161" s="6">
        <f t="shared" ca="1" si="2"/>
        <v>0.69673290175432701</v>
      </c>
      <c r="C161" s="6" t="s">
        <v>34</v>
      </c>
    </row>
    <row r="162" spans="1:3" x14ac:dyDescent="0.2">
      <c r="A162" s="6">
        <v>160</v>
      </c>
      <c r="B162" s="6">
        <f t="shared" ca="1" si="2"/>
        <v>0.60760133212148881</v>
      </c>
      <c r="C162" s="6" t="s">
        <v>34</v>
      </c>
    </row>
    <row r="163" spans="1:3" x14ac:dyDescent="0.2">
      <c r="A163" s="6">
        <v>161</v>
      </c>
      <c r="B163" s="6">
        <f t="shared" ca="1" si="2"/>
        <v>0.70786182621244598</v>
      </c>
      <c r="C163" s="6" t="s">
        <v>34</v>
      </c>
    </row>
    <row r="164" spans="1:3" x14ac:dyDescent="0.2">
      <c r="A164" s="6">
        <v>162</v>
      </c>
      <c r="B164" s="6">
        <f t="shared" ca="1" si="2"/>
        <v>0.53415335167720945</v>
      </c>
      <c r="C164" s="6" t="s">
        <v>35</v>
      </c>
    </row>
    <row r="165" spans="1:3" x14ac:dyDescent="0.2">
      <c r="A165" s="6">
        <v>163</v>
      </c>
      <c r="B165" s="6">
        <f t="shared" ca="1" si="2"/>
        <v>0.81832912644691613</v>
      </c>
      <c r="C165" s="6" t="s">
        <v>35</v>
      </c>
    </row>
    <row r="166" spans="1:3" x14ac:dyDescent="0.2">
      <c r="A166" s="6">
        <v>164</v>
      </c>
      <c r="B166" s="6">
        <f t="shared" ca="1" si="2"/>
        <v>0.33598091393213669</v>
      </c>
      <c r="C166" s="6" t="s">
        <v>35</v>
      </c>
    </row>
    <row r="167" spans="1:3" x14ac:dyDescent="0.2">
      <c r="A167" s="6">
        <v>165</v>
      </c>
      <c r="B167" s="6">
        <f t="shared" ca="1" si="2"/>
        <v>0.63236854218636984</v>
      </c>
      <c r="C167" s="6" t="s">
        <v>35</v>
      </c>
    </row>
    <row r="168" spans="1:3" x14ac:dyDescent="0.2">
      <c r="A168" s="6">
        <v>166</v>
      </c>
      <c r="B168" s="6">
        <f t="shared" ca="1" si="2"/>
        <v>0.7011400379630458</v>
      </c>
      <c r="C168" s="6" t="s">
        <v>34</v>
      </c>
    </row>
    <row r="169" spans="1:3" x14ac:dyDescent="0.2">
      <c r="A169" s="6">
        <v>167</v>
      </c>
      <c r="B169" s="6">
        <f t="shared" ca="1" si="2"/>
        <v>0.71820971397711753</v>
      </c>
      <c r="C169" s="6" t="s">
        <v>34</v>
      </c>
    </row>
    <row r="170" spans="1:3" x14ac:dyDescent="0.2">
      <c r="A170" s="6">
        <v>168</v>
      </c>
      <c r="B170" s="6">
        <f t="shared" ca="1" si="2"/>
        <v>0.67997322020072282</v>
      </c>
      <c r="C170" s="6" t="s">
        <v>34</v>
      </c>
    </row>
    <row r="171" spans="1:3" x14ac:dyDescent="0.2">
      <c r="A171" s="6">
        <v>169</v>
      </c>
      <c r="B171" s="6">
        <f t="shared" ca="1" si="2"/>
        <v>0.74375678004349899</v>
      </c>
      <c r="C171" s="6" t="s">
        <v>35</v>
      </c>
    </row>
    <row r="172" spans="1:3" x14ac:dyDescent="0.2">
      <c r="A172" s="6">
        <v>170</v>
      </c>
      <c r="B172" s="6">
        <f t="shared" ca="1" si="2"/>
        <v>0.81788985908532386</v>
      </c>
      <c r="C172" s="6" t="s">
        <v>35</v>
      </c>
    </row>
    <row r="173" spans="1:3" x14ac:dyDescent="0.2">
      <c r="A173" s="6">
        <v>171</v>
      </c>
      <c r="B173" s="6">
        <f t="shared" ca="1" si="2"/>
        <v>0.65332015228001239</v>
      </c>
      <c r="C173" s="6" t="s">
        <v>34</v>
      </c>
    </row>
    <row r="174" spans="1:3" x14ac:dyDescent="0.2">
      <c r="A174" s="6">
        <v>172</v>
      </c>
      <c r="B174" s="6">
        <f t="shared" ca="1" si="2"/>
        <v>0.63814041993478354</v>
      </c>
      <c r="C174" s="6" t="s">
        <v>34</v>
      </c>
    </row>
    <row r="175" spans="1:3" x14ac:dyDescent="0.2">
      <c r="A175" s="6">
        <v>173</v>
      </c>
      <c r="B175" s="6">
        <f t="shared" ca="1" si="2"/>
        <v>0.65547842026744818</v>
      </c>
      <c r="C175" s="6" t="s">
        <v>34</v>
      </c>
    </row>
    <row r="176" spans="1:3" x14ac:dyDescent="0.2">
      <c r="A176" s="6">
        <v>174</v>
      </c>
      <c r="B176" s="6">
        <f t="shared" ca="1" si="2"/>
        <v>0.45356780576631239</v>
      </c>
      <c r="C176" s="6" t="s">
        <v>35</v>
      </c>
    </row>
    <row r="177" spans="1:3" x14ac:dyDescent="0.2">
      <c r="A177" s="6">
        <v>175</v>
      </c>
      <c r="B177" s="6">
        <f t="shared" ca="1" si="2"/>
        <v>0.82175757316478149</v>
      </c>
      <c r="C177" s="6" t="s">
        <v>34</v>
      </c>
    </row>
    <row r="178" spans="1:3" x14ac:dyDescent="0.2">
      <c r="A178" s="6">
        <v>176</v>
      </c>
      <c r="B178" s="6">
        <f t="shared" ca="1" si="2"/>
        <v>0.65691910660329988</v>
      </c>
      <c r="C178" s="6" t="s">
        <v>34</v>
      </c>
    </row>
    <row r="179" spans="1:3" x14ac:dyDescent="0.2">
      <c r="A179" s="6">
        <v>177</v>
      </c>
      <c r="B179" s="6">
        <f t="shared" ca="1" si="2"/>
        <v>0.48959826885662378</v>
      </c>
      <c r="C179" s="6" t="s">
        <v>35</v>
      </c>
    </row>
    <row r="180" spans="1:3" x14ac:dyDescent="0.2">
      <c r="A180" s="6">
        <v>178</v>
      </c>
      <c r="B180" s="6">
        <f t="shared" ca="1" si="2"/>
        <v>0.76497731252984558</v>
      </c>
      <c r="C180" s="6" t="s">
        <v>35</v>
      </c>
    </row>
    <row r="181" spans="1:3" x14ac:dyDescent="0.2">
      <c r="A181" s="6">
        <v>179</v>
      </c>
      <c r="B181" s="6">
        <f t="shared" ca="1" si="2"/>
        <v>0.8978932016375164</v>
      </c>
      <c r="C181" s="6" t="s">
        <v>34</v>
      </c>
    </row>
    <row r="182" spans="1:3" x14ac:dyDescent="0.2">
      <c r="A182" s="6">
        <v>180</v>
      </c>
      <c r="B182" s="6">
        <f t="shared" ca="1" si="2"/>
        <v>0.68398023156834742</v>
      </c>
      <c r="C182" s="6" t="s">
        <v>34</v>
      </c>
    </row>
    <row r="183" spans="1:3" x14ac:dyDescent="0.2">
      <c r="A183" s="6">
        <v>181</v>
      </c>
      <c r="B183" s="6">
        <f t="shared" ca="1" si="2"/>
        <v>0.76793331424784173</v>
      </c>
      <c r="C183" s="6" t="s">
        <v>34</v>
      </c>
    </row>
    <row r="184" spans="1:3" x14ac:dyDescent="0.2">
      <c r="A184" s="6">
        <v>182</v>
      </c>
      <c r="B184" s="6">
        <f t="shared" ca="1" si="2"/>
        <v>0.63401880709971059</v>
      </c>
      <c r="C184" s="6" t="s">
        <v>34</v>
      </c>
    </row>
    <row r="185" spans="1:3" x14ac:dyDescent="0.2">
      <c r="A185" s="6">
        <v>183</v>
      </c>
      <c r="B185" s="6">
        <f t="shared" ca="1" si="2"/>
        <v>0.70054580883726969</v>
      </c>
      <c r="C185" s="6" t="s">
        <v>35</v>
      </c>
    </row>
    <row r="186" spans="1:3" x14ac:dyDescent="0.2">
      <c r="A186" s="6">
        <v>184</v>
      </c>
      <c r="B186" s="6">
        <f t="shared" ca="1" si="2"/>
        <v>0.82673717207840403</v>
      </c>
      <c r="C186" s="6" t="s">
        <v>34</v>
      </c>
    </row>
    <row r="187" spans="1:3" x14ac:dyDescent="0.2">
      <c r="A187" s="6">
        <v>185</v>
      </c>
      <c r="B187" s="6">
        <f t="shared" ca="1" si="2"/>
        <v>0.49677511949938657</v>
      </c>
      <c r="C187" s="6" t="s">
        <v>35</v>
      </c>
    </row>
    <row r="188" spans="1:3" x14ac:dyDescent="0.2">
      <c r="A188" s="6">
        <v>186</v>
      </c>
      <c r="B188" s="6">
        <f t="shared" ca="1" si="2"/>
        <v>0.66398919122992095</v>
      </c>
      <c r="C188" s="6" t="s">
        <v>34</v>
      </c>
    </row>
    <row r="189" spans="1:3" x14ac:dyDescent="0.2">
      <c r="A189" s="6">
        <v>187</v>
      </c>
      <c r="B189" s="6">
        <f t="shared" ca="1" si="2"/>
        <v>0.86246044493900409</v>
      </c>
      <c r="C189" s="6" t="s">
        <v>35</v>
      </c>
    </row>
    <row r="190" spans="1:3" x14ac:dyDescent="0.2">
      <c r="A190" s="6">
        <v>188</v>
      </c>
      <c r="B190" s="6">
        <f t="shared" ca="1" si="2"/>
        <v>0.7264709332827779</v>
      </c>
      <c r="C190" s="6" t="s">
        <v>34</v>
      </c>
    </row>
    <row r="191" spans="1:3" x14ac:dyDescent="0.2">
      <c r="A191" s="6">
        <v>189</v>
      </c>
      <c r="B191" s="6">
        <f t="shared" ca="1" si="2"/>
        <v>0.72397385771394307</v>
      </c>
      <c r="C191" s="6" t="s">
        <v>34</v>
      </c>
    </row>
    <row r="192" spans="1:3" x14ac:dyDescent="0.2">
      <c r="A192" s="6">
        <v>190</v>
      </c>
      <c r="B192" s="6">
        <f t="shared" ca="1" si="2"/>
        <v>0.90457814299461492</v>
      </c>
      <c r="C192" s="6" t="s">
        <v>35</v>
      </c>
    </row>
    <row r="193" spans="1:3" x14ac:dyDescent="0.2">
      <c r="A193" s="6">
        <v>191</v>
      </c>
      <c r="B193" s="6">
        <f t="shared" ca="1" si="2"/>
        <v>0.61940303455793755</v>
      </c>
      <c r="C193" s="6" t="s">
        <v>34</v>
      </c>
    </row>
    <row r="194" spans="1:3" x14ac:dyDescent="0.2">
      <c r="A194" s="6">
        <v>192</v>
      </c>
      <c r="B194" s="6">
        <f t="shared" ca="1" si="2"/>
        <v>0.46496505008312383</v>
      </c>
      <c r="C194" s="6" t="s">
        <v>35</v>
      </c>
    </row>
    <row r="195" spans="1:3" x14ac:dyDescent="0.2">
      <c r="A195" s="6">
        <v>193</v>
      </c>
      <c r="B195" s="6">
        <f t="shared" ca="1" si="2"/>
        <v>0.68935182523605687</v>
      </c>
      <c r="C195" s="6" t="s">
        <v>34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0.26885450399061928</v>
      </c>
      <c r="C196" s="6" t="s">
        <v>35</v>
      </c>
    </row>
    <row r="197" spans="1:3" x14ac:dyDescent="0.2">
      <c r="A197" s="6">
        <v>195</v>
      </c>
      <c r="B197" s="6">
        <f t="shared" ca="1" si="3"/>
        <v>0.69093608150578023</v>
      </c>
      <c r="C197" s="6" t="s">
        <v>35</v>
      </c>
    </row>
    <row r="198" spans="1:3" x14ac:dyDescent="0.2">
      <c r="A198" s="6">
        <v>196</v>
      </c>
      <c r="B198" s="6">
        <f t="shared" ca="1" si="3"/>
        <v>0.59831255073781409</v>
      </c>
      <c r="C198" s="6" t="s">
        <v>34</v>
      </c>
    </row>
    <row r="199" spans="1:3" x14ac:dyDescent="0.2">
      <c r="A199" s="6">
        <v>197</v>
      </c>
      <c r="B199" s="6">
        <f t="shared" ca="1" si="3"/>
        <v>0.76224134511270369</v>
      </c>
      <c r="C199" s="6" t="s">
        <v>35</v>
      </c>
    </row>
    <row r="200" spans="1:3" x14ac:dyDescent="0.2">
      <c r="A200" s="6">
        <v>198</v>
      </c>
      <c r="B200" s="6">
        <f t="shared" ca="1" si="3"/>
        <v>0.75322412019010931</v>
      </c>
      <c r="C200" s="6" t="s">
        <v>34</v>
      </c>
    </row>
    <row r="201" spans="1:3" x14ac:dyDescent="0.2">
      <c r="A201" s="6">
        <v>199</v>
      </c>
      <c r="B201" s="6">
        <f t="shared" ca="1" si="3"/>
        <v>0.63339396383042379</v>
      </c>
      <c r="C201" s="6" t="s">
        <v>35</v>
      </c>
    </row>
    <row r="202" spans="1:3" x14ac:dyDescent="0.2">
      <c r="A202" s="6">
        <v>200</v>
      </c>
      <c r="B202" s="6">
        <f t="shared" ca="1" si="3"/>
        <v>0.67831519092569426</v>
      </c>
      <c r="C202" s="6" t="s">
        <v>34</v>
      </c>
    </row>
    <row r="203" spans="1:3" x14ac:dyDescent="0.2">
      <c r="A203" s="6">
        <v>201</v>
      </c>
      <c r="B203" s="6">
        <f t="shared" ca="1" si="3"/>
        <v>0.71662957935166627</v>
      </c>
      <c r="C203" s="6" t="s">
        <v>35</v>
      </c>
    </row>
    <row r="204" spans="1:3" x14ac:dyDescent="0.2">
      <c r="A204" s="6">
        <v>202</v>
      </c>
      <c r="B204" s="6">
        <f t="shared" ca="1" si="3"/>
        <v>0.70478491710062074</v>
      </c>
      <c r="C204" s="6" t="s">
        <v>34</v>
      </c>
    </row>
    <row r="205" spans="1:3" x14ac:dyDescent="0.2">
      <c r="A205" s="6">
        <v>203</v>
      </c>
      <c r="B205" s="6">
        <f t="shared" ca="1" si="3"/>
        <v>0.72593174754979328</v>
      </c>
      <c r="C205" s="6" t="s">
        <v>35</v>
      </c>
    </row>
    <row r="206" spans="1:3" x14ac:dyDescent="0.2">
      <c r="A206" s="6">
        <v>204</v>
      </c>
      <c r="B206" s="6">
        <f t="shared" ca="1" si="3"/>
        <v>0.56487337238741198</v>
      </c>
      <c r="C206" s="6" t="s">
        <v>35</v>
      </c>
    </row>
    <row r="207" spans="1:3" x14ac:dyDescent="0.2">
      <c r="A207" s="6">
        <v>205</v>
      </c>
      <c r="B207" s="6">
        <f t="shared" ca="1" si="3"/>
        <v>0.59223032306476475</v>
      </c>
      <c r="C207" s="6" t="s">
        <v>35</v>
      </c>
    </row>
    <row r="208" spans="1:3" x14ac:dyDescent="0.2">
      <c r="A208" s="6">
        <v>206</v>
      </c>
      <c r="B208" s="6">
        <f t="shared" ca="1" si="3"/>
        <v>0.88112868595039529</v>
      </c>
      <c r="C208" s="6" t="s">
        <v>34</v>
      </c>
    </row>
    <row r="209" spans="1:3" x14ac:dyDescent="0.2">
      <c r="A209" s="6">
        <v>207</v>
      </c>
      <c r="B209" s="6">
        <f t="shared" ca="1" si="3"/>
        <v>0.53014208322522671</v>
      </c>
      <c r="C209" s="6" t="s">
        <v>34</v>
      </c>
    </row>
    <row r="210" spans="1:3" x14ac:dyDescent="0.2">
      <c r="A210" s="6">
        <v>208</v>
      </c>
      <c r="B210" s="6">
        <f t="shared" ca="1" si="3"/>
        <v>0.88953826483167187</v>
      </c>
      <c r="C210" s="6" t="s">
        <v>34</v>
      </c>
    </row>
    <row r="211" spans="1:3" x14ac:dyDescent="0.2">
      <c r="A211" s="6">
        <v>209</v>
      </c>
      <c r="B211" s="6">
        <f t="shared" ca="1" si="3"/>
        <v>0.70255764660443709</v>
      </c>
      <c r="C211" s="6" t="s">
        <v>35</v>
      </c>
    </row>
    <row r="212" spans="1:3" x14ac:dyDescent="0.2">
      <c r="A212" s="6">
        <v>210</v>
      </c>
      <c r="B212" s="6">
        <f t="shared" ca="1" si="3"/>
        <v>0.72444294576205592</v>
      </c>
      <c r="C212" s="6" t="s">
        <v>35</v>
      </c>
    </row>
    <row r="213" spans="1:3" x14ac:dyDescent="0.2">
      <c r="A213" s="6">
        <v>211</v>
      </c>
      <c r="B213" s="6">
        <f t="shared" ca="1" si="3"/>
        <v>0.72274176048858085</v>
      </c>
      <c r="C213" s="6" t="s">
        <v>35</v>
      </c>
    </row>
    <row r="214" spans="1:3" x14ac:dyDescent="0.2">
      <c r="A214" s="6">
        <v>212</v>
      </c>
      <c r="B214" s="6">
        <f t="shared" ca="1" si="3"/>
        <v>0.70923903707753388</v>
      </c>
      <c r="C214" s="6" t="s">
        <v>35</v>
      </c>
    </row>
    <row r="215" spans="1:3" x14ac:dyDescent="0.2">
      <c r="A215" s="6">
        <v>213</v>
      </c>
      <c r="B215" s="6">
        <f t="shared" ca="1" si="3"/>
        <v>0.43146327448386801</v>
      </c>
      <c r="C215" s="6" t="s">
        <v>35</v>
      </c>
    </row>
    <row r="216" spans="1:3" x14ac:dyDescent="0.2">
      <c r="A216" s="6">
        <v>214</v>
      </c>
      <c r="B216" s="6">
        <f t="shared" ca="1" si="3"/>
        <v>0.73125194933382431</v>
      </c>
      <c r="C216" s="6" t="s">
        <v>35</v>
      </c>
    </row>
    <row r="217" spans="1:3" x14ac:dyDescent="0.2">
      <c r="A217" s="6">
        <v>215</v>
      </c>
      <c r="B217" s="6">
        <f t="shared" ca="1" si="3"/>
        <v>0.74239894993799527</v>
      </c>
      <c r="C217" s="6" t="s">
        <v>34</v>
      </c>
    </row>
    <row r="218" spans="1:3" x14ac:dyDescent="0.2">
      <c r="A218" s="6">
        <v>216</v>
      </c>
      <c r="B218" s="6">
        <f t="shared" ca="1" si="3"/>
        <v>0.58873395927430128</v>
      </c>
      <c r="C218" s="6" t="s">
        <v>34</v>
      </c>
    </row>
    <row r="219" spans="1:3" x14ac:dyDescent="0.2">
      <c r="A219" s="6">
        <v>217</v>
      </c>
      <c r="B219" s="6">
        <f t="shared" ca="1" si="3"/>
        <v>0.7530187516509097</v>
      </c>
      <c r="C219" s="6" t="s">
        <v>34</v>
      </c>
    </row>
    <row r="220" spans="1:3" x14ac:dyDescent="0.2">
      <c r="A220" s="6">
        <v>218</v>
      </c>
      <c r="B220" s="6">
        <f t="shared" ca="1" si="3"/>
        <v>0.60654034981093552</v>
      </c>
      <c r="C220" s="6" t="s">
        <v>35</v>
      </c>
    </row>
    <row r="221" spans="1:3" x14ac:dyDescent="0.2">
      <c r="A221" s="6">
        <v>219</v>
      </c>
      <c r="B221" s="6">
        <f t="shared" ca="1" si="3"/>
        <v>0.6414223126187617</v>
      </c>
      <c r="C221" s="6" t="s">
        <v>34</v>
      </c>
    </row>
    <row r="222" spans="1:3" x14ac:dyDescent="0.2">
      <c r="A222" s="6">
        <v>220</v>
      </c>
      <c r="B222" s="6">
        <f t="shared" ca="1" si="3"/>
        <v>0.52320887739345201</v>
      </c>
      <c r="C222" s="6" t="s">
        <v>35</v>
      </c>
    </row>
    <row r="223" spans="1:3" x14ac:dyDescent="0.2">
      <c r="A223" s="6">
        <v>221</v>
      </c>
      <c r="B223" s="6">
        <f t="shared" ca="1" si="3"/>
        <v>0.8204436216944897</v>
      </c>
      <c r="C223" s="6" t="s">
        <v>34</v>
      </c>
    </row>
    <row r="224" spans="1:3" x14ac:dyDescent="0.2">
      <c r="A224" s="6">
        <v>222</v>
      </c>
      <c r="B224" s="6">
        <f t="shared" ca="1" si="3"/>
        <v>0.65404620029546645</v>
      </c>
      <c r="C224" s="6" t="s">
        <v>34</v>
      </c>
    </row>
    <row r="225" spans="1:3" x14ac:dyDescent="0.2">
      <c r="A225" s="6">
        <v>223</v>
      </c>
      <c r="B225" s="6">
        <f t="shared" ca="1" si="3"/>
        <v>0.70125207280099144</v>
      </c>
      <c r="C225" s="6" t="s">
        <v>35</v>
      </c>
    </row>
    <row r="226" spans="1:3" x14ac:dyDescent="0.2">
      <c r="A226" s="6">
        <v>224</v>
      </c>
      <c r="B226" s="6">
        <f t="shared" ca="1" si="3"/>
        <v>0.90080718817923122</v>
      </c>
      <c r="C226" s="6" t="s">
        <v>35</v>
      </c>
    </row>
    <row r="227" spans="1:3" x14ac:dyDescent="0.2">
      <c r="A227" s="6">
        <v>225</v>
      </c>
      <c r="B227" s="6">
        <f t="shared" ca="1" si="3"/>
        <v>0.7884260970372815</v>
      </c>
      <c r="C227" s="6" t="s">
        <v>34</v>
      </c>
    </row>
    <row r="228" spans="1:3" x14ac:dyDescent="0.2">
      <c r="A228" s="6">
        <v>226</v>
      </c>
      <c r="B228" s="6">
        <f t="shared" ca="1" si="3"/>
        <v>0.75236663536516779</v>
      </c>
      <c r="C228" s="6" t="s">
        <v>35</v>
      </c>
    </row>
    <row r="229" spans="1:3" x14ac:dyDescent="0.2">
      <c r="A229" s="6">
        <v>227</v>
      </c>
      <c r="B229" s="6">
        <f t="shared" ca="1" si="3"/>
        <v>0.45602728858246189</v>
      </c>
      <c r="C229" s="6" t="s">
        <v>35</v>
      </c>
    </row>
    <row r="230" spans="1:3" x14ac:dyDescent="0.2">
      <c r="A230" s="6">
        <v>228</v>
      </c>
      <c r="B230" s="6">
        <f t="shared" ca="1" si="3"/>
        <v>0.66984191654135272</v>
      </c>
      <c r="C230" s="6" t="s">
        <v>35</v>
      </c>
    </row>
    <row r="231" spans="1:3" x14ac:dyDescent="0.2">
      <c r="A231" s="6">
        <v>229</v>
      </c>
      <c r="B231" s="6">
        <f t="shared" ca="1" si="3"/>
        <v>0.49648174859440042</v>
      </c>
      <c r="C231" s="6" t="s">
        <v>35</v>
      </c>
    </row>
    <row r="232" spans="1:3" x14ac:dyDescent="0.2">
      <c r="A232" s="6">
        <v>230</v>
      </c>
      <c r="B232" s="6">
        <f t="shared" ca="1" si="3"/>
        <v>0.7503670043533871</v>
      </c>
      <c r="C232" s="6" t="s">
        <v>34</v>
      </c>
    </row>
    <row r="233" spans="1:3" x14ac:dyDescent="0.2">
      <c r="A233" s="6">
        <v>231</v>
      </c>
      <c r="B233" s="6">
        <f t="shared" ca="1" si="3"/>
        <v>0.87187336371388402</v>
      </c>
      <c r="C233" s="6" t="s">
        <v>34</v>
      </c>
    </row>
    <row r="234" spans="1:3" x14ac:dyDescent="0.2">
      <c r="A234" s="6">
        <v>232</v>
      </c>
      <c r="B234" s="6">
        <f t="shared" ca="1" si="3"/>
        <v>0.66310289177981818</v>
      </c>
      <c r="C234" s="6" t="s">
        <v>35</v>
      </c>
    </row>
    <row r="235" spans="1:3" x14ac:dyDescent="0.2">
      <c r="A235" s="6">
        <v>233</v>
      </c>
      <c r="B235" s="6">
        <f t="shared" ca="1" si="3"/>
        <v>0.41489269045706201</v>
      </c>
      <c r="C235" s="6" t="s">
        <v>35</v>
      </c>
    </row>
    <row r="236" spans="1:3" x14ac:dyDescent="0.2">
      <c r="A236" s="6">
        <v>234</v>
      </c>
      <c r="B236" s="6">
        <f t="shared" ca="1" si="3"/>
        <v>0.58971880063954818</v>
      </c>
      <c r="C236" s="6" t="s">
        <v>34</v>
      </c>
    </row>
    <row r="237" spans="1:3" x14ac:dyDescent="0.2">
      <c r="A237" s="6">
        <v>235</v>
      </c>
      <c r="B237" s="6">
        <f t="shared" ca="1" si="3"/>
        <v>0.59054643011602037</v>
      </c>
      <c r="C237" s="6" t="s">
        <v>35</v>
      </c>
    </row>
    <row r="238" spans="1:3" x14ac:dyDescent="0.2">
      <c r="A238" s="6">
        <v>236</v>
      </c>
      <c r="B238" s="6">
        <f t="shared" ca="1" si="3"/>
        <v>0.63581837125168761</v>
      </c>
      <c r="C238" s="6" t="s">
        <v>34</v>
      </c>
    </row>
    <row r="239" spans="1:3" x14ac:dyDescent="0.2">
      <c r="A239" s="6">
        <v>237</v>
      </c>
      <c r="B239" s="6">
        <f t="shared" ca="1" si="3"/>
        <v>0.61428458222051974</v>
      </c>
      <c r="C239" s="6" t="s">
        <v>35</v>
      </c>
    </row>
    <row r="240" spans="1:3" x14ac:dyDescent="0.2">
      <c r="A240" s="6">
        <v>238</v>
      </c>
      <c r="B240" s="6">
        <f t="shared" ca="1" si="3"/>
        <v>0.67298001828837339</v>
      </c>
      <c r="C240" s="6" t="s">
        <v>34</v>
      </c>
    </row>
    <row r="241" spans="1:3" x14ac:dyDescent="0.2">
      <c r="A241" s="6">
        <v>239</v>
      </c>
      <c r="B241" s="6">
        <f t="shared" ca="1" si="3"/>
        <v>0.76709626981239265</v>
      </c>
      <c r="C241" s="6" t="s">
        <v>35</v>
      </c>
    </row>
    <row r="242" spans="1:3" x14ac:dyDescent="0.2">
      <c r="A242" s="6">
        <v>240</v>
      </c>
      <c r="B242" s="6">
        <f t="shared" ca="1" si="3"/>
        <v>0.55535771193029082</v>
      </c>
      <c r="C242" s="6" t="s">
        <v>35</v>
      </c>
    </row>
    <row r="243" spans="1:3" x14ac:dyDescent="0.2">
      <c r="A243" s="6">
        <v>241</v>
      </c>
      <c r="B243" s="6">
        <f t="shared" ca="1" si="3"/>
        <v>0.64759281357058152</v>
      </c>
      <c r="C243" s="6" t="s">
        <v>34</v>
      </c>
    </row>
    <row r="244" spans="1:3" x14ac:dyDescent="0.2">
      <c r="A244" s="6">
        <v>242</v>
      </c>
      <c r="B244" s="6">
        <f t="shared" ca="1" si="3"/>
        <v>0.60854529920267675</v>
      </c>
      <c r="C244" s="6" t="s">
        <v>34</v>
      </c>
    </row>
    <row r="245" spans="1:3" x14ac:dyDescent="0.2">
      <c r="A245" s="6">
        <v>243</v>
      </c>
      <c r="B245" s="6">
        <f t="shared" ca="1" si="3"/>
        <v>0.49094279915931294</v>
      </c>
      <c r="C245" s="6" t="s">
        <v>34</v>
      </c>
    </row>
    <row r="246" spans="1:3" x14ac:dyDescent="0.2">
      <c r="A246" s="6">
        <v>244</v>
      </c>
      <c r="B246" s="6">
        <f t="shared" ca="1" si="3"/>
        <v>0.54702055028197472</v>
      </c>
      <c r="C246" s="6" t="s">
        <v>35</v>
      </c>
    </row>
    <row r="247" spans="1:3" x14ac:dyDescent="0.2">
      <c r="A247" s="6">
        <v>245</v>
      </c>
      <c r="B247" s="6">
        <f t="shared" ca="1" si="3"/>
        <v>0.72427055231033599</v>
      </c>
      <c r="C247" s="6" t="s">
        <v>34</v>
      </c>
    </row>
    <row r="248" spans="1:3" x14ac:dyDescent="0.2">
      <c r="A248" s="6">
        <v>246</v>
      </c>
      <c r="B248" s="6">
        <f t="shared" ca="1" si="3"/>
        <v>0.82694758322533812</v>
      </c>
      <c r="C248" s="6" t="s">
        <v>34</v>
      </c>
    </row>
    <row r="249" spans="1:3" x14ac:dyDescent="0.2">
      <c r="A249" s="6">
        <v>247</v>
      </c>
      <c r="B249" s="6">
        <f t="shared" ca="1" si="3"/>
        <v>0.44964163121222511</v>
      </c>
      <c r="C249" s="6" t="s">
        <v>35</v>
      </c>
    </row>
    <row r="250" spans="1:3" x14ac:dyDescent="0.2">
      <c r="A250" s="6">
        <v>248</v>
      </c>
      <c r="B250" s="6">
        <f t="shared" ca="1" si="3"/>
        <v>0.83555381606580814</v>
      </c>
      <c r="C250" s="6" t="s">
        <v>34</v>
      </c>
    </row>
    <row r="251" spans="1:3" x14ac:dyDescent="0.2">
      <c r="A251" s="6">
        <v>249</v>
      </c>
      <c r="B251" s="6">
        <f t="shared" ca="1" si="3"/>
        <v>0.60572981346078425</v>
      </c>
      <c r="C251" s="6" t="s">
        <v>35</v>
      </c>
    </row>
    <row r="252" spans="1:3" x14ac:dyDescent="0.2">
      <c r="A252" s="6">
        <v>250</v>
      </c>
      <c r="B252" s="6">
        <f t="shared" ca="1" si="3"/>
        <v>0.74970564120779304</v>
      </c>
      <c r="C252" s="6" t="s">
        <v>34</v>
      </c>
    </row>
    <row r="253" spans="1:3" x14ac:dyDescent="0.2">
      <c r="A253" s="6">
        <v>251</v>
      </c>
      <c r="B253" s="6">
        <f t="shared" ca="1" si="3"/>
        <v>0.65442636522942921</v>
      </c>
      <c r="C253" s="6" t="s">
        <v>35</v>
      </c>
    </row>
    <row r="254" spans="1:3" x14ac:dyDescent="0.2">
      <c r="A254" s="6">
        <v>252</v>
      </c>
      <c r="B254" s="6">
        <f t="shared" ca="1" si="3"/>
        <v>0.70641691703143816</v>
      </c>
      <c r="C254" s="6" t="s">
        <v>34</v>
      </c>
    </row>
    <row r="255" spans="1:3" x14ac:dyDescent="0.2">
      <c r="A255" s="6">
        <v>253</v>
      </c>
      <c r="B255" s="6">
        <f t="shared" ca="1" si="3"/>
        <v>0.50932711899069671</v>
      </c>
      <c r="C255" s="6" t="s">
        <v>34</v>
      </c>
    </row>
    <row r="256" spans="1:3" x14ac:dyDescent="0.2">
      <c r="A256" s="6">
        <v>254</v>
      </c>
      <c r="B256" s="6">
        <f t="shared" ca="1" si="3"/>
        <v>0.67832403372177774</v>
      </c>
      <c r="C256" s="6" t="s">
        <v>34</v>
      </c>
    </row>
    <row r="257" spans="1:3" x14ac:dyDescent="0.2">
      <c r="A257" s="6">
        <v>255</v>
      </c>
      <c r="B257" s="6">
        <f t="shared" ca="1" si="3"/>
        <v>0.56984213392904792</v>
      </c>
      <c r="C257" s="6" t="s">
        <v>35</v>
      </c>
    </row>
    <row r="258" spans="1:3" x14ac:dyDescent="0.2">
      <c r="A258" s="6">
        <v>256</v>
      </c>
      <c r="B258" s="6">
        <f t="shared" ca="1" si="3"/>
        <v>0.47714128692571356</v>
      </c>
      <c r="C258" s="6" t="s">
        <v>35</v>
      </c>
    </row>
    <row r="259" spans="1:3" x14ac:dyDescent="0.2">
      <c r="A259" s="6">
        <v>257</v>
      </c>
      <c r="B259" s="6">
        <f t="shared" ca="1" si="3"/>
        <v>0.56715930257729552</v>
      </c>
      <c r="C259" s="6" t="s">
        <v>35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0.84824016225152965</v>
      </c>
      <c r="C260" s="6" t="s">
        <v>35</v>
      </c>
    </row>
    <row r="261" spans="1:3" x14ac:dyDescent="0.2">
      <c r="A261" s="6">
        <v>259</v>
      </c>
      <c r="B261" s="6">
        <f t="shared" ca="1" si="4"/>
        <v>0.44722815183766768</v>
      </c>
      <c r="C261" s="6" t="s">
        <v>35</v>
      </c>
    </row>
    <row r="262" spans="1:3" x14ac:dyDescent="0.2">
      <c r="A262" s="6">
        <v>260</v>
      </c>
      <c r="B262" s="6">
        <f t="shared" ca="1" si="4"/>
        <v>0.77256458258601834</v>
      </c>
      <c r="C262" s="6" t="s">
        <v>34</v>
      </c>
    </row>
    <row r="263" spans="1:3" x14ac:dyDescent="0.2">
      <c r="A263" s="6">
        <v>261</v>
      </c>
      <c r="B263" s="6">
        <f t="shared" ca="1" si="4"/>
        <v>0.60571200911924783</v>
      </c>
      <c r="C263" s="6" t="s">
        <v>34</v>
      </c>
    </row>
    <row r="264" spans="1:3" x14ac:dyDescent="0.2">
      <c r="A264" s="6">
        <v>262</v>
      </c>
      <c r="B264" s="6">
        <f t="shared" ca="1" si="4"/>
        <v>0.79509181073324975</v>
      </c>
      <c r="C264" s="6" t="s">
        <v>34</v>
      </c>
    </row>
    <row r="265" spans="1:3" x14ac:dyDescent="0.2">
      <c r="A265" s="6">
        <v>263</v>
      </c>
      <c r="B265" s="6">
        <f t="shared" ca="1" si="4"/>
        <v>0.72119724427379206</v>
      </c>
      <c r="C265" s="6" t="s">
        <v>34</v>
      </c>
    </row>
    <row r="266" spans="1:3" x14ac:dyDescent="0.2">
      <c r="A266" s="6">
        <v>264</v>
      </c>
      <c r="B266" s="6">
        <f t="shared" ca="1" si="4"/>
        <v>0.83727526071237968</v>
      </c>
      <c r="C266" s="6" t="s">
        <v>35</v>
      </c>
    </row>
    <row r="267" spans="1:3" x14ac:dyDescent="0.2">
      <c r="A267" s="6">
        <v>265</v>
      </c>
      <c r="B267" s="6">
        <f t="shared" ca="1" si="4"/>
        <v>0.55131875161777855</v>
      </c>
      <c r="C267" s="6" t="s">
        <v>34</v>
      </c>
    </row>
    <row r="268" spans="1:3" x14ac:dyDescent="0.2">
      <c r="A268" s="6">
        <v>266</v>
      </c>
      <c r="B268" s="6">
        <f t="shared" ca="1" si="4"/>
        <v>0.74580435406622059</v>
      </c>
      <c r="C268" s="6" t="s">
        <v>34</v>
      </c>
    </row>
    <row r="269" spans="1:3" x14ac:dyDescent="0.2">
      <c r="A269" s="6">
        <v>267</v>
      </c>
      <c r="B269" s="6">
        <f t="shared" ca="1" si="4"/>
        <v>0.74090166422320214</v>
      </c>
      <c r="C269" s="6" t="s">
        <v>35</v>
      </c>
    </row>
    <row r="270" spans="1:3" x14ac:dyDescent="0.2">
      <c r="A270" s="6">
        <v>268</v>
      </c>
      <c r="B270" s="6">
        <f t="shared" ca="1" si="4"/>
        <v>0.94709011457500158</v>
      </c>
      <c r="C270" s="6" t="s">
        <v>35</v>
      </c>
    </row>
    <row r="271" spans="1:3" x14ac:dyDescent="0.2">
      <c r="A271" s="6">
        <v>269</v>
      </c>
      <c r="B271" s="6">
        <f t="shared" ca="1" si="4"/>
        <v>0.68212104949349894</v>
      </c>
      <c r="C271" s="6" t="s">
        <v>34</v>
      </c>
    </row>
    <row r="272" spans="1:3" x14ac:dyDescent="0.2">
      <c r="A272" s="6">
        <v>270</v>
      </c>
      <c r="B272" s="6">
        <f t="shared" ca="1" si="4"/>
        <v>0.78617577911889003</v>
      </c>
      <c r="C272" s="6" t="s">
        <v>34</v>
      </c>
    </row>
    <row r="273" spans="1:3" x14ac:dyDescent="0.2">
      <c r="A273" s="6">
        <v>271</v>
      </c>
      <c r="B273" s="6">
        <f t="shared" ca="1" si="4"/>
        <v>0.67047448084754879</v>
      </c>
      <c r="C273" s="6" t="s">
        <v>35</v>
      </c>
    </row>
    <row r="274" spans="1:3" x14ac:dyDescent="0.2">
      <c r="A274" s="6">
        <v>272</v>
      </c>
      <c r="B274" s="6">
        <f t="shared" ca="1" si="4"/>
        <v>0.62417389481569818</v>
      </c>
      <c r="C274" s="6" t="s">
        <v>35</v>
      </c>
    </row>
    <row r="275" spans="1:3" x14ac:dyDescent="0.2">
      <c r="A275" s="6">
        <v>273</v>
      </c>
      <c r="B275" s="6">
        <f t="shared" ca="1" si="4"/>
        <v>0.91552424155442813</v>
      </c>
      <c r="C275" s="6" t="s">
        <v>34</v>
      </c>
    </row>
    <row r="276" spans="1:3" x14ac:dyDescent="0.2">
      <c r="A276" s="6">
        <v>274</v>
      </c>
      <c r="B276" s="6">
        <f t="shared" ca="1" si="4"/>
        <v>0.5550486030518279</v>
      </c>
      <c r="C276" s="6" t="s">
        <v>35</v>
      </c>
    </row>
    <row r="277" spans="1:3" x14ac:dyDescent="0.2">
      <c r="A277" s="6">
        <v>275</v>
      </c>
      <c r="B277" s="6">
        <f t="shared" ca="1" si="4"/>
        <v>0.71548576177061252</v>
      </c>
      <c r="C277" s="6" t="s">
        <v>35</v>
      </c>
    </row>
    <row r="278" spans="1:3" x14ac:dyDescent="0.2">
      <c r="A278" s="6">
        <v>276</v>
      </c>
      <c r="B278" s="6">
        <f t="shared" ca="1" si="4"/>
        <v>0.46572340186281069</v>
      </c>
      <c r="C278" s="6" t="s">
        <v>34</v>
      </c>
    </row>
    <row r="279" spans="1:3" x14ac:dyDescent="0.2">
      <c r="A279" s="6">
        <v>277</v>
      </c>
      <c r="B279" s="6">
        <f t="shared" ca="1" si="4"/>
        <v>0.72577553862073985</v>
      </c>
      <c r="C279" s="6" t="s">
        <v>34</v>
      </c>
    </row>
    <row r="280" spans="1:3" x14ac:dyDescent="0.2">
      <c r="A280" s="6">
        <v>278</v>
      </c>
      <c r="B280" s="6">
        <f t="shared" ca="1" si="4"/>
        <v>0.29917850811201913</v>
      </c>
      <c r="C280" s="6" t="s">
        <v>35</v>
      </c>
    </row>
    <row r="281" spans="1:3" x14ac:dyDescent="0.2">
      <c r="A281" s="6">
        <v>279</v>
      </c>
      <c r="B281" s="6">
        <f t="shared" ca="1" si="4"/>
        <v>0.61083016597877904</v>
      </c>
      <c r="C281" s="6" t="s">
        <v>35</v>
      </c>
    </row>
    <row r="282" spans="1:3" x14ac:dyDescent="0.2">
      <c r="A282" s="6">
        <v>280</v>
      </c>
      <c r="B282" s="6">
        <f t="shared" ca="1" si="4"/>
        <v>0.67727215236972349</v>
      </c>
      <c r="C282" s="6" t="s">
        <v>35</v>
      </c>
    </row>
    <row r="283" spans="1:3" x14ac:dyDescent="0.2">
      <c r="A283" s="6">
        <v>281</v>
      </c>
      <c r="B283" s="6">
        <f t="shared" ca="1" si="4"/>
        <v>0.46494099207148254</v>
      </c>
      <c r="C283" s="6" t="s">
        <v>35</v>
      </c>
    </row>
    <row r="284" spans="1:3" x14ac:dyDescent="0.2">
      <c r="A284" s="6">
        <v>282</v>
      </c>
      <c r="B284" s="6">
        <f t="shared" ca="1" si="4"/>
        <v>0.47756100212481023</v>
      </c>
      <c r="C284" s="6" t="s">
        <v>34</v>
      </c>
    </row>
    <row r="285" spans="1:3" x14ac:dyDescent="0.2">
      <c r="A285" s="6">
        <v>283</v>
      </c>
      <c r="B285" s="6">
        <f t="shared" ca="1" si="4"/>
        <v>0.67267041575116038</v>
      </c>
      <c r="C285" s="6" t="s">
        <v>34</v>
      </c>
    </row>
    <row r="286" spans="1:3" x14ac:dyDescent="0.2">
      <c r="A286" s="6">
        <v>284</v>
      </c>
      <c r="B286" s="6">
        <f t="shared" ca="1" si="4"/>
        <v>0.65990041199455562</v>
      </c>
      <c r="C286" s="6" t="s">
        <v>34</v>
      </c>
    </row>
    <row r="287" spans="1:3" x14ac:dyDescent="0.2">
      <c r="A287" s="6">
        <v>285</v>
      </c>
      <c r="B287" s="6">
        <f t="shared" ca="1" si="4"/>
        <v>0.73088994305291144</v>
      </c>
      <c r="C287" s="6" t="s">
        <v>35</v>
      </c>
    </row>
    <row r="288" spans="1:3" x14ac:dyDescent="0.2">
      <c r="A288" s="6">
        <v>286</v>
      </c>
      <c r="B288" s="6">
        <f t="shared" ca="1" si="4"/>
        <v>0.7393021577399882</v>
      </c>
      <c r="C288" s="6" t="s">
        <v>34</v>
      </c>
    </row>
    <row r="289" spans="1:3" x14ac:dyDescent="0.2">
      <c r="A289" s="6">
        <v>287</v>
      </c>
      <c r="B289" s="6">
        <f t="shared" ca="1" si="4"/>
        <v>0.62200912029075139</v>
      </c>
      <c r="C289" s="6" t="s">
        <v>34</v>
      </c>
    </row>
    <row r="290" spans="1:3" x14ac:dyDescent="0.2">
      <c r="A290" s="6">
        <v>288</v>
      </c>
      <c r="B290" s="6">
        <f t="shared" ca="1" si="4"/>
        <v>0.76278697641233673</v>
      </c>
      <c r="C290" s="6" t="s">
        <v>34</v>
      </c>
    </row>
    <row r="291" spans="1:3" x14ac:dyDescent="0.2">
      <c r="A291" s="6">
        <v>289</v>
      </c>
      <c r="B291" s="6">
        <f t="shared" ca="1" si="4"/>
        <v>0.70234325902362138</v>
      </c>
      <c r="C291" s="6" t="s">
        <v>34</v>
      </c>
    </row>
    <row r="292" spans="1:3" x14ac:dyDescent="0.2">
      <c r="A292" s="6">
        <v>290</v>
      </c>
      <c r="B292" s="6">
        <f t="shared" ca="1" si="4"/>
        <v>0.51110040117854427</v>
      </c>
      <c r="C292" s="6" t="s">
        <v>35</v>
      </c>
    </row>
    <row r="293" spans="1:3" x14ac:dyDescent="0.2">
      <c r="A293" s="6">
        <v>291</v>
      </c>
      <c r="B293" s="6">
        <f t="shared" ca="1" si="4"/>
        <v>0.61355502177384702</v>
      </c>
      <c r="C293" s="6" t="s">
        <v>34</v>
      </c>
    </row>
    <row r="294" spans="1:3" x14ac:dyDescent="0.2">
      <c r="A294" s="6">
        <v>292</v>
      </c>
      <c r="B294" s="6">
        <f t="shared" ca="1" si="4"/>
        <v>0.80913971606275237</v>
      </c>
      <c r="C294" s="6" t="s">
        <v>35</v>
      </c>
    </row>
    <row r="295" spans="1:3" x14ac:dyDescent="0.2">
      <c r="A295" s="6">
        <v>293</v>
      </c>
      <c r="B295" s="6">
        <f t="shared" ca="1" si="4"/>
        <v>0.59979501152073944</v>
      </c>
      <c r="C295" s="6" t="s">
        <v>34</v>
      </c>
    </row>
    <row r="296" spans="1:3" x14ac:dyDescent="0.2">
      <c r="A296" s="6">
        <v>294</v>
      </c>
      <c r="B296" s="6">
        <f t="shared" ca="1" si="4"/>
        <v>0.26712257609116236</v>
      </c>
      <c r="C296" s="6" t="s">
        <v>35</v>
      </c>
    </row>
    <row r="297" spans="1:3" x14ac:dyDescent="0.2">
      <c r="A297" s="6">
        <v>295</v>
      </c>
      <c r="B297" s="6">
        <f t="shared" ca="1" si="4"/>
        <v>0.78349019468677339</v>
      </c>
      <c r="C297" s="6" t="s">
        <v>35</v>
      </c>
    </row>
    <row r="298" spans="1:3" x14ac:dyDescent="0.2">
      <c r="A298" s="6">
        <v>296</v>
      </c>
      <c r="B298" s="6">
        <f t="shared" ca="1" si="4"/>
        <v>0.89584715629821632</v>
      </c>
      <c r="C298" s="6" t="s">
        <v>34</v>
      </c>
    </row>
    <row r="299" spans="1:3" x14ac:dyDescent="0.2">
      <c r="A299" s="6">
        <v>297</v>
      </c>
      <c r="B299" s="6">
        <f t="shared" ca="1" si="4"/>
        <v>0.67854758195696729</v>
      </c>
      <c r="C299" s="6" t="s">
        <v>34</v>
      </c>
    </row>
    <row r="300" spans="1:3" x14ac:dyDescent="0.2">
      <c r="A300" s="6">
        <v>298</v>
      </c>
      <c r="B300" s="6">
        <f t="shared" ca="1" si="4"/>
        <v>0.32201644656317557</v>
      </c>
      <c r="C300" s="6" t="s">
        <v>35</v>
      </c>
    </row>
    <row r="301" spans="1:3" x14ac:dyDescent="0.2">
      <c r="A301" s="6">
        <v>299</v>
      </c>
      <c r="B301" s="6">
        <f t="shared" ca="1" si="4"/>
        <v>0.66665637088186824</v>
      </c>
      <c r="C301" s="6" t="s">
        <v>34</v>
      </c>
    </row>
    <row r="302" spans="1:3" x14ac:dyDescent="0.2">
      <c r="A302" s="6">
        <v>300</v>
      </c>
      <c r="B302" s="6">
        <f t="shared" ca="1" si="4"/>
        <v>0.77803624021355655</v>
      </c>
      <c r="C302" s="6" t="s">
        <v>34</v>
      </c>
    </row>
    <row r="303" spans="1:3" x14ac:dyDescent="0.2">
      <c r="A303" s="6">
        <v>301</v>
      </c>
      <c r="B303" s="6">
        <f t="shared" ca="1" si="4"/>
        <v>0.73752678258769733</v>
      </c>
      <c r="C303" s="6" t="s">
        <v>34</v>
      </c>
    </row>
    <row r="304" spans="1:3" x14ac:dyDescent="0.2">
      <c r="A304" s="6">
        <v>302</v>
      </c>
      <c r="B304" s="6">
        <f t="shared" ca="1" si="4"/>
        <v>0.77189112080209088</v>
      </c>
      <c r="C304" s="6" t="s">
        <v>34</v>
      </c>
    </row>
    <row r="305" spans="1:3" x14ac:dyDescent="0.2">
      <c r="A305" s="6">
        <v>303</v>
      </c>
      <c r="B305" s="6">
        <f t="shared" ca="1" si="4"/>
        <v>0.68095189127338862</v>
      </c>
      <c r="C305" s="6" t="s">
        <v>34</v>
      </c>
    </row>
    <row r="306" spans="1:3" x14ac:dyDescent="0.2">
      <c r="A306" s="6">
        <v>304</v>
      </c>
      <c r="B306" s="6">
        <f t="shared" ca="1" si="4"/>
        <v>0.72929322104886674</v>
      </c>
      <c r="C306" s="6" t="s">
        <v>34</v>
      </c>
    </row>
    <row r="307" spans="1:3" x14ac:dyDescent="0.2">
      <c r="A307" s="6">
        <v>305</v>
      </c>
      <c r="B307" s="6">
        <f t="shared" ca="1" si="4"/>
        <v>0.84254393662891791</v>
      </c>
      <c r="C307" s="6" t="s">
        <v>35</v>
      </c>
    </row>
    <row r="308" spans="1:3" x14ac:dyDescent="0.2">
      <c r="A308" s="6">
        <v>306</v>
      </c>
      <c r="B308" s="6">
        <f t="shared" ca="1" si="4"/>
        <v>0.66241085534042543</v>
      </c>
      <c r="C308" s="6" t="s">
        <v>34</v>
      </c>
    </row>
    <row r="309" spans="1:3" x14ac:dyDescent="0.2">
      <c r="A309" s="6">
        <v>307</v>
      </c>
      <c r="B309" s="6">
        <f t="shared" ca="1" si="4"/>
        <v>0.52765396946751153</v>
      </c>
      <c r="C309" s="6" t="s">
        <v>35</v>
      </c>
    </row>
    <row r="310" spans="1:3" x14ac:dyDescent="0.2">
      <c r="A310" s="6">
        <v>308</v>
      </c>
      <c r="B310" s="6">
        <f t="shared" ca="1" si="4"/>
        <v>0.55959937173344998</v>
      </c>
      <c r="C310" s="6" t="s">
        <v>34</v>
      </c>
    </row>
    <row r="311" spans="1:3" x14ac:dyDescent="0.2">
      <c r="A311" s="6">
        <v>309</v>
      </c>
      <c r="B311" s="6">
        <f t="shared" ca="1" si="4"/>
        <v>0.63635488024971931</v>
      </c>
      <c r="C311" s="6" t="s">
        <v>34</v>
      </c>
    </row>
    <row r="312" spans="1:3" x14ac:dyDescent="0.2">
      <c r="A312" s="6">
        <v>310</v>
      </c>
      <c r="B312" s="6">
        <f t="shared" ca="1" si="4"/>
        <v>0.28743711978542624</v>
      </c>
      <c r="C312" s="6" t="s">
        <v>35</v>
      </c>
    </row>
    <row r="313" spans="1:3" x14ac:dyDescent="0.2">
      <c r="A313" s="6">
        <v>311</v>
      </c>
      <c r="B313" s="6">
        <f t="shared" ca="1" si="4"/>
        <v>0.50575933264672202</v>
      </c>
      <c r="C313" s="6" t="s">
        <v>34</v>
      </c>
    </row>
    <row r="314" spans="1:3" x14ac:dyDescent="0.2">
      <c r="A314" s="6">
        <v>312</v>
      </c>
      <c r="B314" s="6">
        <f t="shared" ca="1" si="4"/>
        <v>0.59109020250324629</v>
      </c>
      <c r="C314" s="6" t="s">
        <v>34</v>
      </c>
    </row>
    <row r="315" spans="1:3" x14ac:dyDescent="0.2">
      <c r="A315" s="6">
        <v>313</v>
      </c>
      <c r="B315" s="6">
        <f t="shared" ca="1" si="4"/>
        <v>0.54310134529258702</v>
      </c>
      <c r="C315" s="6" t="s">
        <v>35</v>
      </c>
    </row>
    <row r="316" spans="1:3" x14ac:dyDescent="0.2">
      <c r="A316" s="6">
        <v>314</v>
      </c>
      <c r="B316" s="6">
        <f t="shared" ca="1" si="4"/>
        <v>0.51436709592516627</v>
      </c>
      <c r="C316" s="6" t="s">
        <v>35</v>
      </c>
    </row>
    <row r="317" spans="1:3" x14ac:dyDescent="0.2">
      <c r="A317" s="6">
        <v>315</v>
      </c>
      <c r="B317" s="6">
        <f t="shared" ca="1" si="4"/>
        <v>0.74858553607394662</v>
      </c>
      <c r="C317" s="6" t="s">
        <v>34</v>
      </c>
    </row>
    <row r="318" spans="1:3" x14ac:dyDescent="0.2">
      <c r="A318" s="6">
        <v>316</v>
      </c>
      <c r="B318" s="6">
        <f t="shared" ca="1" si="4"/>
        <v>0.840500273890603</v>
      </c>
      <c r="C318" s="6" t="s">
        <v>34</v>
      </c>
    </row>
    <row r="319" spans="1:3" x14ac:dyDescent="0.2">
      <c r="A319" s="6">
        <v>317</v>
      </c>
      <c r="B319" s="6">
        <f t="shared" ca="1" si="4"/>
        <v>0.52667852348320532</v>
      </c>
      <c r="C319" s="6" t="s">
        <v>35</v>
      </c>
    </row>
    <row r="320" spans="1:3" x14ac:dyDescent="0.2">
      <c r="A320" s="6">
        <v>318</v>
      </c>
      <c r="B320" s="6">
        <f t="shared" ca="1" si="4"/>
        <v>0.79504370587514306</v>
      </c>
      <c r="C320" s="6" t="s">
        <v>34</v>
      </c>
    </row>
    <row r="321" spans="1:3" x14ac:dyDescent="0.2">
      <c r="A321" s="6">
        <v>319</v>
      </c>
      <c r="B321" s="6">
        <f t="shared" ca="1" si="4"/>
        <v>0.67856153284547671</v>
      </c>
      <c r="C321" s="6" t="s">
        <v>35</v>
      </c>
    </row>
    <row r="322" spans="1:3" x14ac:dyDescent="0.2">
      <c r="A322" s="6">
        <v>320</v>
      </c>
      <c r="B322" s="6">
        <f t="shared" ca="1" si="4"/>
        <v>0.34860096349399461</v>
      </c>
      <c r="C322" s="6" t="s">
        <v>35</v>
      </c>
    </row>
    <row r="323" spans="1:3" x14ac:dyDescent="0.2">
      <c r="A323" s="6">
        <v>321</v>
      </c>
      <c r="B323" s="6">
        <f t="shared" ca="1" si="4"/>
        <v>0.61579199784309424</v>
      </c>
      <c r="C323" s="6" t="s">
        <v>34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0.75507146373663303</v>
      </c>
      <c r="C324" s="6" t="s">
        <v>34</v>
      </c>
    </row>
    <row r="325" spans="1:3" x14ac:dyDescent="0.2">
      <c r="A325" s="6">
        <v>323</v>
      </c>
      <c r="B325" s="6">
        <f t="shared" ca="1" si="5"/>
        <v>0.57953341553655036</v>
      </c>
      <c r="C325" s="6" t="s">
        <v>34</v>
      </c>
    </row>
    <row r="326" spans="1:3" x14ac:dyDescent="0.2">
      <c r="A326" s="6">
        <v>324</v>
      </c>
      <c r="B326" s="6">
        <f t="shared" ca="1" si="5"/>
        <v>0.58038520868208676</v>
      </c>
      <c r="C326" s="6" t="s">
        <v>35</v>
      </c>
    </row>
    <row r="327" spans="1:3" x14ac:dyDescent="0.2">
      <c r="A327" s="6">
        <v>325</v>
      </c>
      <c r="B327" s="6">
        <f t="shared" ca="1" si="5"/>
        <v>0.65523675166018525</v>
      </c>
      <c r="C327" s="6" t="s">
        <v>35</v>
      </c>
    </row>
    <row r="328" spans="1:3" x14ac:dyDescent="0.2">
      <c r="A328" s="6">
        <v>326</v>
      </c>
      <c r="B328" s="6">
        <f t="shared" ca="1" si="5"/>
        <v>0.60588986227846231</v>
      </c>
      <c r="C328" s="6" t="s">
        <v>34</v>
      </c>
    </row>
    <row r="329" spans="1:3" x14ac:dyDescent="0.2">
      <c r="A329" s="6">
        <v>327</v>
      </c>
      <c r="B329" s="6">
        <f t="shared" ca="1" si="5"/>
        <v>0.53000778226724565</v>
      </c>
      <c r="C329" s="6" t="s">
        <v>35</v>
      </c>
    </row>
    <row r="330" spans="1:3" x14ac:dyDescent="0.2">
      <c r="A330" s="6">
        <v>328</v>
      </c>
      <c r="B330" s="6">
        <f t="shared" ca="1" si="5"/>
        <v>0.62788985080992943</v>
      </c>
      <c r="C330" s="6" t="s">
        <v>35</v>
      </c>
    </row>
    <row r="331" spans="1:3" x14ac:dyDescent="0.2">
      <c r="A331" s="6">
        <v>329</v>
      </c>
      <c r="B331" s="6">
        <f t="shared" ca="1" si="5"/>
        <v>0.65036473112301174</v>
      </c>
      <c r="C331" s="6" t="s">
        <v>34</v>
      </c>
    </row>
    <row r="332" spans="1:3" x14ac:dyDescent="0.2">
      <c r="A332" s="6">
        <v>330</v>
      </c>
      <c r="B332" s="6">
        <f t="shared" ca="1" si="5"/>
        <v>0.69696977229866586</v>
      </c>
      <c r="C332" s="6" t="s">
        <v>35</v>
      </c>
    </row>
    <row r="333" spans="1:3" x14ac:dyDescent="0.2">
      <c r="A333" s="6">
        <v>331</v>
      </c>
      <c r="B333" s="6">
        <f t="shared" ca="1" si="5"/>
        <v>0.54526509647351618</v>
      </c>
      <c r="C333" s="6" t="s">
        <v>35</v>
      </c>
    </row>
    <row r="334" spans="1:3" x14ac:dyDescent="0.2">
      <c r="A334" s="6">
        <v>332</v>
      </c>
      <c r="B334" s="6">
        <f t="shared" ca="1" si="5"/>
        <v>0.49188395300532495</v>
      </c>
      <c r="C334" s="6" t="s">
        <v>34</v>
      </c>
    </row>
    <row r="335" spans="1:3" x14ac:dyDescent="0.2">
      <c r="A335" s="6">
        <v>333</v>
      </c>
      <c r="B335" s="6">
        <f t="shared" ca="1" si="5"/>
        <v>0.4554915711959926</v>
      </c>
      <c r="C335" s="6" t="s">
        <v>35</v>
      </c>
    </row>
    <row r="336" spans="1:3" x14ac:dyDescent="0.2">
      <c r="A336" s="6">
        <v>334</v>
      </c>
      <c r="B336" s="6">
        <f t="shared" ca="1" si="5"/>
        <v>0.76165445173590252</v>
      </c>
      <c r="C336" s="6" t="s">
        <v>35</v>
      </c>
    </row>
    <row r="337" spans="1:3" x14ac:dyDescent="0.2">
      <c r="A337" s="6">
        <v>335</v>
      </c>
      <c r="B337" s="6">
        <f t="shared" ca="1" si="5"/>
        <v>0.50658969754743788</v>
      </c>
      <c r="C337" s="6" t="s">
        <v>35</v>
      </c>
    </row>
    <row r="338" spans="1:3" x14ac:dyDescent="0.2">
      <c r="A338" s="6">
        <v>336</v>
      </c>
      <c r="B338" s="6">
        <f t="shared" ca="1" si="5"/>
        <v>0.67606272837736048</v>
      </c>
      <c r="C338" s="6" t="s">
        <v>34</v>
      </c>
    </row>
    <row r="339" spans="1:3" x14ac:dyDescent="0.2">
      <c r="A339" s="6">
        <v>337</v>
      </c>
      <c r="B339" s="6">
        <f t="shared" ca="1" si="5"/>
        <v>0.85134677681853521</v>
      </c>
      <c r="C339" s="6" t="s">
        <v>34</v>
      </c>
    </row>
    <row r="340" spans="1:3" x14ac:dyDescent="0.2">
      <c r="A340" s="6">
        <v>338</v>
      </c>
      <c r="B340" s="6">
        <f t="shared" ca="1" si="5"/>
        <v>0.65100855119118595</v>
      </c>
      <c r="C340" s="6" t="s">
        <v>34</v>
      </c>
    </row>
    <row r="341" spans="1:3" x14ac:dyDescent="0.2">
      <c r="A341" s="6">
        <v>339</v>
      </c>
      <c r="B341" s="6">
        <f t="shared" ca="1" si="5"/>
        <v>0.66076798711838625</v>
      </c>
      <c r="C341" s="6" t="s">
        <v>35</v>
      </c>
    </row>
    <row r="342" spans="1:3" x14ac:dyDescent="0.2">
      <c r="A342" s="6">
        <v>340</v>
      </c>
      <c r="B342" s="6">
        <f t="shared" ca="1" si="5"/>
        <v>0.56790847216063955</v>
      </c>
      <c r="C342" s="6" t="s">
        <v>35</v>
      </c>
    </row>
    <row r="343" spans="1:3" x14ac:dyDescent="0.2">
      <c r="A343" s="6">
        <v>341</v>
      </c>
      <c r="B343" s="6">
        <f t="shared" ca="1" si="5"/>
        <v>0.56667616511126861</v>
      </c>
      <c r="C343" s="6" t="s">
        <v>35</v>
      </c>
    </row>
    <row r="344" spans="1:3" x14ac:dyDescent="0.2">
      <c r="A344" s="6">
        <v>342</v>
      </c>
      <c r="B344" s="6">
        <f t="shared" ca="1" si="5"/>
        <v>0.79256869549533293</v>
      </c>
      <c r="C344" s="6" t="s">
        <v>35</v>
      </c>
    </row>
    <row r="345" spans="1:3" x14ac:dyDescent="0.2">
      <c r="A345" s="6">
        <v>343</v>
      </c>
      <c r="B345" s="6">
        <f t="shared" ca="1" si="5"/>
        <v>0.75306229489220367</v>
      </c>
      <c r="C345" s="6" t="s">
        <v>34</v>
      </c>
    </row>
    <row r="346" spans="1:3" x14ac:dyDescent="0.2">
      <c r="A346" s="6">
        <v>344</v>
      </c>
      <c r="B346" s="6">
        <f t="shared" ca="1" si="5"/>
        <v>0.73343612193746066</v>
      </c>
      <c r="C346" s="6" t="s">
        <v>34</v>
      </c>
    </row>
    <row r="347" spans="1:3" x14ac:dyDescent="0.2">
      <c r="A347" s="6">
        <v>345</v>
      </c>
      <c r="B347" s="6">
        <f t="shared" ca="1" si="5"/>
        <v>0.34415043130365597</v>
      </c>
      <c r="C347" s="6" t="s">
        <v>35</v>
      </c>
    </row>
    <row r="348" spans="1:3" x14ac:dyDescent="0.2">
      <c r="A348" s="6">
        <v>346</v>
      </c>
      <c r="B348" s="6">
        <f t="shared" ca="1" si="5"/>
        <v>0.69753148273247645</v>
      </c>
      <c r="C348" s="6" t="s">
        <v>34</v>
      </c>
    </row>
    <row r="349" spans="1:3" x14ac:dyDescent="0.2">
      <c r="A349" s="6">
        <v>347</v>
      </c>
      <c r="B349" s="6">
        <f t="shared" ca="1" si="5"/>
        <v>0.59527770769700372</v>
      </c>
      <c r="C349" s="6" t="s">
        <v>35</v>
      </c>
    </row>
    <row r="350" spans="1:3" x14ac:dyDescent="0.2">
      <c r="A350" s="6">
        <v>348</v>
      </c>
      <c r="B350" s="6">
        <f t="shared" ca="1" si="5"/>
        <v>0.50775736527786286</v>
      </c>
      <c r="C350" s="6" t="s">
        <v>34</v>
      </c>
    </row>
    <row r="351" spans="1:3" x14ac:dyDescent="0.2">
      <c r="A351" s="6">
        <v>349</v>
      </c>
      <c r="B351" s="6">
        <f t="shared" ca="1" si="5"/>
        <v>0.77418471720445492</v>
      </c>
      <c r="C351" s="6" t="s">
        <v>34</v>
      </c>
    </row>
    <row r="352" spans="1:3" x14ac:dyDescent="0.2">
      <c r="A352" s="6">
        <v>350</v>
      </c>
      <c r="B352" s="6">
        <f t="shared" ca="1" si="5"/>
        <v>0.71431967075141811</v>
      </c>
      <c r="C352" s="6" t="s">
        <v>35</v>
      </c>
    </row>
    <row r="353" spans="1:3" x14ac:dyDescent="0.2">
      <c r="A353" s="6">
        <v>351</v>
      </c>
      <c r="B353" s="6">
        <f t="shared" ca="1" si="5"/>
        <v>0.86861569713095133</v>
      </c>
      <c r="C353" s="6" t="s">
        <v>35</v>
      </c>
    </row>
    <row r="354" spans="1:3" x14ac:dyDescent="0.2">
      <c r="A354" s="6">
        <v>352</v>
      </c>
      <c r="B354" s="6">
        <f t="shared" ca="1" si="5"/>
        <v>0.52054008132257723</v>
      </c>
      <c r="C354" s="6" t="s">
        <v>35</v>
      </c>
    </row>
    <row r="355" spans="1:3" x14ac:dyDescent="0.2">
      <c r="A355" s="6">
        <v>353</v>
      </c>
      <c r="B355" s="6">
        <f t="shared" ca="1" si="5"/>
        <v>0.67351348716908122</v>
      </c>
      <c r="C355" s="6" t="s">
        <v>34</v>
      </c>
    </row>
    <row r="356" spans="1:3" x14ac:dyDescent="0.2">
      <c r="A356" s="6">
        <v>354</v>
      </c>
      <c r="B356" s="6">
        <f t="shared" ca="1" si="5"/>
        <v>0.8052239515673375</v>
      </c>
      <c r="C356" s="6" t="s">
        <v>34</v>
      </c>
    </row>
    <row r="357" spans="1:3" x14ac:dyDescent="0.2">
      <c r="A357" s="6">
        <v>355</v>
      </c>
      <c r="B357" s="6">
        <f t="shared" ca="1" si="5"/>
        <v>0.8285400172234143</v>
      </c>
      <c r="C357" s="6" t="s">
        <v>34</v>
      </c>
    </row>
    <row r="358" spans="1:3" x14ac:dyDescent="0.2">
      <c r="A358" s="6">
        <v>356</v>
      </c>
      <c r="B358" s="6">
        <f t="shared" ca="1" si="5"/>
        <v>0.69832275069629668</v>
      </c>
      <c r="C358" s="6" t="s">
        <v>34</v>
      </c>
    </row>
    <row r="359" spans="1:3" x14ac:dyDescent="0.2">
      <c r="A359" s="6">
        <v>357</v>
      </c>
      <c r="B359" s="6">
        <f t="shared" ca="1" si="5"/>
        <v>0.66514492336913644</v>
      </c>
      <c r="C359" s="6" t="s">
        <v>35</v>
      </c>
    </row>
    <row r="360" spans="1:3" x14ac:dyDescent="0.2">
      <c r="A360" s="6">
        <v>358</v>
      </c>
      <c r="B360" s="6">
        <f t="shared" ca="1" si="5"/>
        <v>0.62854799333128808</v>
      </c>
      <c r="C360" s="6" t="s">
        <v>34</v>
      </c>
    </row>
    <row r="361" spans="1:3" x14ac:dyDescent="0.2">
      <c r="A361" s="6">
        <v>359</v>
      </c>
      <c r="B361" s="6">
        <f t="shared" ca="1" si="5"/>
        <v>0.73553720317301785</v>
      </c>
      <c r="C361" s="6" t="s">
        <v>35</v>
      </c>
    </row>
    <row r="362" spans="1:3" x14ac:dyDescent="0.2">
      <c r="A362" s="6">
        <v>360</v>
      </c>
      <c r="B362" s="6">
        <f t="shared" ca="1" si="5"/>
        <v>0.50315064490775963</v>
      </c>
      <c r="C362" s="6" t="s">
        <v>35</v>
      </c>
    </row>
    <row r="363" spans="1:3" x14ac:dyDescent="0.2">
      <c r="A363" s="6">
        <v>361</v>
      </c>
      <c r="B363" s="6">
        <f t="shared" ca="1" si="5"/>
        <v>0.7094037233615712</v>
      </c>
      <c r="C363" s="6" t="s">
        <v>34</v>
      </c>
    </row>
    <row r="364" spans="1:3" x14ac:dyDescent="0.2">
      <c r="A364" s="6">
        <v>362</v>
      </c>
      <c r="B364" s="6">
        <f t="shared" ca="1" si="5"/>
        <v>0.75831624304456124</v>
      </c>
      <c r="C364" s="6" t="s">
        <v>34</v>
      </c>
    </row>
    <row r="365" spans="1:3" x14ac:dyDescent="0.2">
      <c r="A365" s="6">
        <v>363</v>
      </c>
      <c r="B365" s="6">
        <f t="shared" ca="1" si="5"/>
        <v>0.8119230918103153</v>
      </c>
      <c r="C365" s="6" t="s">
        <v>35</v>
      </c>
    </row>
    <row r="366" spans="1:3" x14ac:dyDescent="0.2">
      <c r="A366" s="6">
        <v>364</v>
      </c>
      <c r="B366" s="6">
        <f t="shared" ca="1" si="5"/>
        <v>0.65014031018830887</v>
      </c>
      <c r="C366" s="6" t="s">
        <v>34</v>
      </c>
    </row>
    <row r="367" spans="1:3" x14ac:dyDescent="0.2">
      <c r="A367" s="6">
        <v>365</v>
      </c>
      <c r="B367" s="6">
        <f t="shared" ca="1" si="5"/>
        <v>0.40318332278966373</v>
      </c>
      <c r="C367" s="6" t="s">
        <v>35</v>
      </c>
    </row>
    <row r="368" spans="1:3" x14ac:dyDescent="0.2">
      <c r="A368" s="6">
        <v>366</v>
      </c>
      <c r="B368" s="6">
        <f t="shared" ca="1" si="5"/>
        <v>0.71869987129257773</v>
      </c>
      <c r="C368" s="6" t="s">
        <v>35</v>
      </c>
    </row>
    <row r="369" spans="1:3" x14ac:dyDescent="0.2">
      <c r="A369" s="6">
        <v>367</v>
      </c>
      <c r="B369" s="6">
        <f t="shared" ca="1" si="5"/>
        <v>0.99839675948179207</v>
      </c>
      <c r="C369" s="6" t="s">
        <v>34</v>
      </c>
    </row>
    <row r="370" spans="1:3" x14ac:dyDescent="0.2">
      <c r="A370" s="6">
        <v>368</v>
      </c>
      <c r="B370" s="6">
        <f t="shared" ca="1" si="5"/>
        <v>0.74941177997476283</v>
      </c>
      <c r="C370" s="6" t="s">
        <v>34</v>
      </c>
    </row>
    <row r="371" spans="1:3" x14ac:dyDescent="0.2">
      <c r="A371" s="6">
        <v>369</v>
      </c>
      <c r="B371" s="6">
        <f t="shared" ca="1" si="5"/>
        <v>0.68712533148315336</v>
      </c>
      <c r="C371" s="6" t="s">
        <v>35</v>
      </c>
    </row>
    <row r="372" spans="1:3" x14ac:dyDescent="0.2">
      <c r="A372" s="6">
        <v>370</v>
      </c>
      <c r="B372" s="6">
        <f t="shared" ca="1" si="5"/>
        <v>0.71621549383130034</v>
      </c>
      <c r="C372" s="6" t="s">
        <v>34</v>
      </c>
    </row>
    <row r="373" spans="1:3" x14ac:dyDescent="0.2">
      <c r="A373" s="6">
        <v>371</v>
      </c>
      <c r="B373" s="6">
        <f t="shared" ca="1" si="5"/>
        <v>0.75165630401772654</v>
      </c>
      <c r="C373" s="6" t="s">
        <v>34</v>
      </c>
    </row>
    <row r="374" spans="1:3" x14ac:dyDescent="0.2">
      <c r="A374" s="6">
        <v>372</v>
      </c>
      <c r="B374" s="6">
        <f t="shared" ca="1" si="5"/>
        <v>0.65685087461196268</v>
      </c>
      <c r="C374" s="6" t="s">
        <v>35</v>
      </c>
    </row>
    <row r="375" spans="1:3" x14ac:dyDescent="0.2">
      <c r="A375" s="6">
        <v>373</v>
      </c>
      <c r="B375" s="6">
        <f t="shared" ca="1" si="5"/>
        <v>0.70559239160090037</v>
      </c>
      <c r="C375" s="6" t="s">
        <v>34</v>
      </c>
    </row>
    <row r="376" spans="1:3" x14ac:dyDescent="0.2">
      <c r="A376" s="6">
        <v>374</v>
      </c>
      <c r="B376" s="6">
        <f t="shared" ca="1" si="5"/>
        <v>0.75814000029510942</v>
      </c>
      <c r="C376" s="6" t="s">
        <v>34</v>
      </c>
    </row>
    <row r="377" spans="1:3" x14ac:dyDescent="0.2">
      <c r="A377" s="6">
        <v>375</v>
      </c>
      <c r="B377" s="6">
        <f t="shared" ca="1" si="5"/>
        <v>1.0143363969858483</v>
      </c>
      <c r="C377" s="6" t="s">
        <v>35</v>
      </c>
    </row>
    <row r="378" spans="1:3" x14ac:dyDescent="0.2">
      <c r="A378" s="6">
        <v>376</v>
      </c>
      <c r="B378" s="6">
        <f t="shared" ca="1" si="5"/>
        <v>0.61398909080306474</v>
      </c>
      <c r="C378" s="6" t="s">
        <v>34</v>
      </c>
    </row>
    <row r="379" spans="1:3" x14ac:dyDescent="0.2">
      <c r="A379" s="6">
        <v>377</v>
      </c>
      <c r="B379" s="6">
        <f t="shared" ca="1" si="5"/>
        <v>0.64452640806993577</v>
      </c>
      <c r="C379" s="6" t="s">
        <v>34</v>
      </c>
    </row>
    <row r="380" spans="1:3" x14ac:dyDescent="0.2">
      <c r="A380" s="6">
        <v>378</v>
      </c>
      <c r="B380" s="6">
        <f t="shared" ca="1" si="5"/>
        <v>0.68316025747987374</v>
      </c>
      <c r="C380" s="6" t="s">
        <v>34</v>
      </c>
    </row>
    <row r="381" spans="1:3" x14ac:dyDescent="0.2">
      <c r="A381" s="6">
        <v>379</v>
      </c>
      <c r="B381" s="6">
        <f t="shared" ca="1" si="5"/>
        <v>0.78801383018344251</v>
      </c>
      <c r="C381" s="6" t="s">
        <v>34</v>
      </c>
    </row>
    <row r="382" spans="1:3" x14ac:dyDescent="0.2">
      <c r="A382" s="6">
        <v>380</v>
      </c>
      <c r="B382" s="6">
        <f t="shared" ca="1" si="5"/>
        <v>0.78175365300347943</v>
      </c>
      <c r="C382" s="6" t="s">
        <v>34</v>
      </c>
    </row>
    <row r="383" spans="1:3" x14ac:dyDescent="0.2">
      <c r="A383" s="6">
        <v>381</v>
      </c>
      <c r="B383" s="6">
        <f t="shared" ca="1" si="5"/>
        <v>0.80118412678193418</v>
      </c>
      <c r="C383" s="6" t="s">
        <v>34</v>
      </c>
    </row>
    <row r="384" spans="1:3" x14ac:dyDescent="0.2">
      <c r="A384" s="6">
        <v>382</v>
      </c>
      <c r="B384" s="6">
        <f t="shared" ca="1" si="5"/>
        <v>0.68269968519322033</v>
      </c>
      <c r="C384" s="6" t="s">
        <v>34</v>
      </c>
    </row>
    <row r="385" spans="1:3" x14ac:dyDescent="0.2">
      <c r="A385" s="6">
        <v>383</v>
      </c>
      <c r="B385" s="6">
        <f t="shared" ca="1" si="5"/>
        <v>0.52082948003716667</v>
      </c>
      <c r="C385" s="6" t="s">
        <v>35</v>
      </c>
    </row>
    <row r="386" spans="1:3" x14ac:dyDescent="0.2">
      <c r="A386" s="6">
        <v>384</v>
      </c>
      <c r="B386" s="6">
        <f t="shared" ca="1" si="5"/>
        <v>0.80670553084497398</v>
      </c>
      <c r="C386" s="6" t="s">
        <v>34</v>
      </c>
    </row>
    <row r="387" spans="1:3" x14ac:dyDescent="0.2">
      <c r="A387" s="6">
        <v>385</v>
      </c>
      <c r="B387" s="6">
        <f t="shared" ca="1" si="5"/>
        <v>0.52593644408642948</v>
      </c>
      <c r="C387" s="6" t="s">
        <v>35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0.68592626831936365</v>
      </c>
      <c r="C388" s="6" t="s">
        <v>35</v>
      </c>
    </row>
    <row r="389" spans="1:3" x14ac:dyDescent="0.2">
      <c r="A389" s="6">
        <v>387</v>
      </c>
      <c r="B389" s="6">
        <f t="shared" ca="1" si="6"/>
        <v>0.70286317496776329</v>
      </c>
      <c r="C389" s="6" t="s">
        <v>35</v>
      </c>
    </row>
    <row r="390" spans="1:3" x14ac:dyDescent="0.2">
      <c r="A390" s="6">
        <v>388</v>
      </c>
      <c r="B390" s="6">
        <f t="shared" ca="1" si="6"/>
        <v>0.56156660396909708</v>
      </c>
      <c r="C390" s="6" t="s">
        <v>35</v>
      </c>
    </row>
    <row r="391" spans="1:3" x14ac:dyDescent="0.2">
      <c r="A391" s="6">
        <v>389</v>
      </c>
      <c r="B391" s="6">
        <f t="shared" ca="1" si="6"/>
        <v>0.40220598911021366</v>
      </c>
      <c r="C391" s="6" t="s">
        <v>35</v>
      </c>
    </row>
    <row r="392" spans="1:3" x14ac:dyDescent="0.2">
      <c r="A392" s="6">
        <v>390</v>
      </c>
      <c r="B392" s="6">
        <f t="shared" ca="1" si="6"/>
        <v>0.6156481762825381</v>
      </c>
      <c r="C392" s="6" t="s">
        <v>34</v>
      </c>
    </row>
    <row r="393" spans="1:3" x14ac:dyDescent="0.2">
      <c r="A393" s="6">
        <v>391</v>
      </c>
      <c r="B393" s="6">
        <f t="shared" ca="1" si="6"/>
        <v>0.69279535246498125</v>
      </c>
      <c r="C393" s="6" t="s">
        <v>34</v>
      </c>
    </row>
    <row r="394" spans="1:3" x14ac:dyDescent="0.2">
      <c r="A394" s="6">
        <v>392</v>
      </c>
      <c r="B394" s="6">
        <f t="shared" ca="1" si="6"/>
        <v>0.61499976115427468</v>
      </c>
      <c r="C394" s="6" t="s">
        <v>35</v>
      </c>
    </row>
    <row r="395" spans="1:3" x14ac:dyDescent="0.2">
      <c r="A395" s="6">
        <v>393</v>
      </c>
      <c r="B395" s="6">
        <f t="shared" ca="1" si="6"/>
        <v>0.74433475294396123</v>
      </c>
      <c r="C395" s="6" t="s">
        <v>35</v>
      </c>
    </row>
    <row r="396" spans="1:3" x14ac:dyDescent="0.2">
      <c r="A396" s="6">
        <v>394</v>
      </c>
      <c r="B396" s="6">
        <f t="shared" ca="1" si="6"/>
        <v>0.5973134269810525</v>
      </c>
      <c r="C396" s="6" t="s">
        <v>35</v>
      </c>
    </row>
    <row r="397" spans="1:3" x14ac:dyDescent="0.2">
      <c r="A397" s="6">
        <v>395</v>
      </c>
      <c r="B397" s="6">
        <f t="shared" ca="1" si="6"/>
        <v>0.82154377481095797</v>
      </c>
      <c r="C397" s="6" t="s">
        <v>34</v>
      </c>
    </row>
    <row r="398" spans="1:3" x14ac:dyDescent="0.2">
      <c r="A398" s="6">
        <v>396</v>
      </c>
      <c r="B398" s="6">
        <f t="shared" ca="1" si="6"/>
        <v>0.57269130920429911</v>
      </c>
      <c r="C398" s="6" t="s">
        <v>34</v>
      </c>
    </row>
    <row r="399" spans="1:3" x14ac:dyDescent="0.2">
      <c r="A399" s="6">
        <v>397</v>
      </c>
      <c r="B399" s="6">
        <f t="shared" ca="1" si="6"/>
        <v>0.8389296180691399</v>
      </c>
      <c r="C399" s="6" t="s">
        <v>35</v>
      </c>
    </row>
    <row r="400" spans="1:3" x14ac:dyDescent="0.2">
      <c r="A400" s="6">
        <v>398</v>
      </c>
      <c r="B400" s="6">
        <f t="shared" ca="1" si="6"/>
        <v>0.90678500390019556</v>
      </c>
      <c r="C400" s="6" t="s">
        <v>34</v>
      </c>
    </row>
    <row r="401" spans="1:3" x14ac:dyDescent="0.2">
      <c r="A401" s="6">
        <v>399</v>
      </c>
      <c r="B401" s="6">
        <f t="shared" ca="1" si="6"/>
        <v>0.58138202036796194</v>
      </c>
      <c r="C401" s="6" t="s">
        <v>35</v>
      </c>
    </row>
    <row r="402" spans="1:3" x14ac:dyDescent="0.2">
      <c r="A402" s="6">
        <v>400</v>
      </c>
      <c r="B402" s="6">
        <f t="shared" ca="1" si="6"/>
        <v>1.0042711574687899</v>
      </c>
      <c r="C402" s="6" t="s">
        <v>34</v>
      </c>
    </row>
    <row r="403" spans="1:3" x14ac:dyDescent="0.2">
      <c r="A403" s="6">
        <v>401</v>
      </c>
      <c r="B403" s="6">
        <f t="shared" ca="1" si="6"/>
        <v>0.78925155560922722</v>
      </c>
      <c r="C403" s="6" t="s">
        <v>35</v>
      </c>
    </row>
    <row r="404" spans="1:3" x14ac:dyDescent="0.2">
      <c r="A404" s="6">
        <v>402</v>
      </c>
      <c r="B404" s="6">
        <f t="shared" ca="1" si="6"/>
        <v>0.30475956673377125</v>
      </c>
      <c r="C404" s="6" t="s">
        <v>35</v>
      </c>
    </row>
    <row r="405" spans="1:3" x14ac:dyDescent="0.2">
      <c r="A405" s="6">
        <v>403</v>
      </c>
      <c r="B405" s="6">
        <f t="shared" ca="1" si="6"/>
        <v>0.74891502673926358</v>
      </c>
      <c r="C405" s="6" t="s">
        <v>35</v>
      </c>
    </row>
    <row r="406" spans="1:3" x14ac:dyDescent="0.2">
      <c r="A406" s="6">
        <v>404</v>
      </c>
      <c r="B406" s="6">
        <f t="shared" ca="1" si="6"/>
        <v>0.66381309192362448</v>
      </c>
      <c r="C406" s="6" t="s">
        <v>34</v>
      </c>
    </row>
    <row r="407" spans="1:3" x14ac:dyDescent="0.2">
      <c r="A407" s="6">
        <v>405</v>
      </c>
      <c r="B407" s="6">
        <f t="shared" ca="1" si="6"/>
        <v>0.68164332769005442</v>
      </c>
      <c r="C407" s="6" t="s">
        <v>34</v>
      </c>
    </row>
    <row r="408" spans="1:3" x14ac:dyDescent="0.2">
      <c r="A408" s="6">
        <v>406</v>
      </c>
      <c r="B408" s="6">
        <f t="shared" ca="1" si="6"/>
        <v>0.5048805028203599</v>
      </c>
      <c r="C408" s="6" t="s">
        <v>35</v>
      </c>
    </row>
    <row r="409" spans="1:3" x14ac:dyDescent="0.2">
      <c r="A409" s="6">
        <v>407</v>
      </c>
      <c r="B409" s="6">
        <f t="shared" ca="1" si="6"/>
        <v>0.50948068366225452</v>
      </c>
      <c r="C409" s="6" t="s">
        <v>35</v>
      </c>
    </row>
    <row r="410" spans="1:3" x14ac:dyDescent="0.2">
      <c r="A410" s="6">
        <v>408</v>
      </c>
      <c r="B410" s="6">
        <f t="shared" ca="1" si="6"/>
        <v>0.71791579955669904</v>
      </c>
      <c r="C410" s="6" t="s">
        <v>34</v>
      </c>
    </row>
    <row r="411" spans="1:3" x14ac:dyDescent="0.2">
      <c r="A411" s="6">
        <v>409</v>
      </c>
      <c r="B411" s="6">
        <f t="shared" ca="1" si="6"/>
        <v>0.73514654897090315</v>
      </c>
      <c r="C411" s="6" t="s">
        <v>34</v>
      </c>
    </row>
    <row r="412" spans="1:3" x14ac:dyDescent="0.2">
      <c r="A412" s="6">
        <v>410</v>
      </c>
      <c r="B412" s="6">
        <f t="shared" ca="1" si="6"/>
        <v>0.5334591451827162</v>
      </c>
      <c r="C412" s="6" t="s">
        <v>34</v>
      </c>
    </row>
    <row r="413" spans="1:3" x14ac:dyDescent="0.2">
      <c r="A413" s="6">
        <v>411</v>
      </c>
      <c r="B413" s="6">
        <f t="shared" ca="1" si="6"/>
        <v>0.75935198992124386</v>
      </c>
      <c r="C413" s="6" t="s">
        <v>35</v>
      </c>
    </row>
    <row r="414" spans="1:3" x14ac:dyDescent="0.2">
      <c r="A414" s="6">
        <v>412</v>
      </c>
      <c r="B414" s="6">
        <f t="shared" ca="1" si="6"/>
        <v>0.90214464663254634</v>
      </c>
      <c r="C414" s="6" t="s">
        <v>35</v>
      </c>
    </row>
    <row r="415" spans="1:3" x14ac:dyDescent="0.2">
      <c r="A415" s="6">
        <v>413</v>
      </c>
      <c r="B415" s="6">
        <f t="shared" ca="1" si="6"/>
        <v>0.82951237088118823</v>
      </c>
      <c r="C415" s="6" t="s">
        <v>34</v>
      </c>
    </row>
    <row r="416" spans="1:3" x14ac:dyDescent="0.2">
      <c r="A416" s="6">
        <v>414</v>
      </c>
      <c r="B416" s="6">
        <f t="shared" ca="1" si="6"/>
        <v>0.54332622147298526</v>
      </c>
      <c r="C416" s="6" t="s">
        <v>34</v>
      </c>
    </row>
    <row r="417" spans="1:3" x14ac:dyDescent="0.2">
      <c r="A417" s="6">
        <v>415</v>
      </c>
      <c r="B417" s="6">
        <f t="shared" ca="1" si="6"/>
        <v>0.63193418604425566</v>
      </c>
      <c r="C417" s="6" t="s">
        <v>35</v>
      </c>
    </row>
    <row r="418" spans="1:3" x14ac:dyDescent="0.2">
      <c r="A418" s="6">
        <v>416</v>
      </c>
      <c r="B418" s="6">
        <f t="shared" ca="1" si="6"/>
        <v>0.77058620765302388</v>
      </c>
      <c r="C418" s="6" t="s">
        <v>34</v>
      </c>
    </row>
    <row r="419" spans="1:3" x14ac:dyDescent="0.2">
      <c r="A419" s="6">
        <v>417</v>
      </c>
      <c r="B419" s="6">
        <f t="shared" ca="1" si="6"/>
        <v>0.61288043893842292</v>
      </c>
      <c r="C419" s="6" t="s">
        <v>34</v>
      </c>
    </row>
    <row r="420" spans="1:3" x14ac:dyDescent="0.2">
      <c r="A420" s="6">
        <v>418</v>
      </c>
      <c r="B420" s="6">
        <f t="shared" ca="1" si="6"/>
        <v>0.75613589763840794</v>
      </c>
      <c r="C420" s="6" t="s">
        <v>35</v>
      </c>
    </row>
    <row r="421" spans="1:3" x14ac:dyDescent="0.2">
      <c r="A421" s="6">
        <v>419</v>
      </c>
      <c r="B421" s="6">
        <f t="shared" ca="1" si="6"/>
        <v>0.3008365625324016</v>
      </c>
      <c r="C421" s="6" t="s">
        <v>35</v>
      </c>
    </row>
    <row r="422" spans="1:3" x14ac:dyDescent="0.2">
      <c r="A422" s="6">
        <v>420</v>
      </c>
      <c r="B422" s="6">
        <f t="shared" ca="1" si="6"/>
        <v>0.70021502057873675</v>
      </c>
      <c r="C422" s="6" t="s">
        <v>34</v>
      </c>
    </row>
    <row r="423" spans="1:3" x14ac:dyDescent="0.2">
      <c r="A423" s="6">
        <v>421</v>
      </c>
      <c r="B423" s="6">
        <f t="shared" ca="1" si="6"/>
        <v>0.7911782891663337</v>
      </c>
      <c r="C423" s="6" t="s">
        <v>34</v>
      </c>
    </row>
    <row r="424" spans="1:3" x14ac:dyDescent="0.2">
      <c r="A424" s="6">
        <v>422</v>
      </c>
      <c r="B424" s="6">
        <f t="shared" ca="1" si="6"/>
        <v>0.74968254361366027</v>
      </c>
      <c r="C424" s="6" t="s">
        <v>35</v>
      </c>
    </row>
    <row r="425" spans="1:3" x14ac:dyDescent="0.2">
      <c r="A425" s="6">
        <v>423</v>
      </c>
      <c r="B425" s="6">
        <f t="shared" ca="1" si="6"/>
        <v>0.65686208795430412</v>
      </c>
      <c r="C425" s="6" t="s">
        <v>35</v>
      </c>
    </row>
    <row r="426" spans="1:3" x14ac:dyDescent="0.2">
      <c r="A426" s="6">
        <v>424</v>
      </c>
      <c r="B426" s="6">
        <f t="shared" ca="1" si="6"/>
        <v>0.58436538946253713</v>
      </c>
      <c r="C426" s="6" t="s">
        <v>35</v>
      </c>
    </row>
    <row r="427" spans="1:3" x14ac:dyDescent="0.2">
      <c r="A427" s="6">
        <v>425</v>
      </c>
      <c r="B427" s="6">
        <f t="shared" ca="1" si="6"/>
        <v>0.74555874201648475</v>
      </c>
      <c r="C427" s="6" t="s">
        <v>34</v>
      </c>
    </row>
    <row r="428" spans="1:3" x14ac:dyDescent="0.2">
      <c r="A428" s="6">
        <v>426</v>
      </c>
      <c r="B428" s="6">
        <f t="shared" ca="1" si="6"/>
        <v>0.58894801744625058</v>
      </c>
      <c r="C428" s="6" t="s">
        <v>35</v>
      </c>
    </row>
    <row r="429" spans="1:3" x14ac:dyDescent="0.2">
      <c r="A429" s="6">
        <v>427</v>
      </c>
      <c r="B429" s="6">
        <f t="shared" ca="1" si="6"/>
        <v>0.84626848231473839</v>
      </c>
      <c r="C429" s="6" t="s">
        <v>34</v>
      </c>
    </row>
    <row r="430" spans="1:3" x14ac:dyDescent="0.2">
      <c r="A430" s="6">
        <v>428</v>
      </c>
      <c r="B430" s="6">
        <f t="shared" ca="1" si="6"/>
        <v>0.69894380571073245</v>
      </c>
      <c r="C430" s="6" t="s">
        <v>35</v>
      </c>
    </row>
    <row r="431" spans="1:3" x14ac:dyDescent="0.2">
      <c r="A431" s="6">
        <v>429</v>
      </c>
      <c r="B431" s="6">
        <f t="shared" ca="1" si="6"/>
        <v>0.2596798732231424</v>
      </c>
      <c r="C431" s="6" t="s">
        <v>35</v>
      </c>
    </row>
    <row r="432" spans="1:3" x14ac:dyDescent="0.2">
      <c r="A432" s="6">
        <v>430</v>
      </c>
      <c r="B432" s="6">
        <f t="shared" ca="1" si="6"/>
        <v>0.59068022067873238</v>
      </c>
      <c r="C432" s="6" t="s">
        <v>34</v>
      </c>
    </row>
    <row r="433" spans="1:3" x14ac:dyDescent="0.2">
      <c r="A433" s="6">
        <v>431</v>
      </c>
      <c r="B433" s="6">
        <f t="shared" ca="1" si="6"/>
        <v>0.67138045485295994</v>
      </c>
      <c r="C433" s="6" t="s">
        <v>34</v>
      </c>
    </row>
    <row r="434" spans="1:3" x14ac:dyDescent="0.2">
      <c r="A434" s="6">
        <v>432</v>
      </c>
      <c r="B434" s="6">
        <f t="shared" ca="1" si="6"/>
        <v>0.56771973520121632</v>
      </c>
      <c r="C434" s="6" t="s">
        <v>35</v>
      </c>
    </row>
    <row r="435" spans="1:3" x14ac:dyDescent="0.2">
      <c r="A435" s="6">
        <v>433</v>
      </c>
      <c r="B435" s="6">
        <f t="shared" ca="1" si="6"/>
        <v>0.66980585505236612</v>
      </c>
      <c r="C435" s="6" t="s">
        <v>34</v>
      </c>
    </row>
    <row r="436" spans="1:3" x14ac:dyDescent="0.2">
      <c r="A436" s="6">
        <v>434</v>
      </c>
      <c r="B436" s="6">
        <f t="shared" ca="1" si="6"/>
        <v>0.63575833007138605</v>
      </c>
      <c r="C436" s="6" t="s">
        <v>35</v>
      </c>
    </row>
    <row r="437" spans="1:3" x14ac:dyDescent="0.2">
      <c r="A437" s="6">
        <v>435</v>
      </c>
      <c r="B437" s="6">
        <f t="shared" ca="1" si="6"/>
        <v>0.70393067297927348</v>
      </c>
      <c r="C437" s="6" t="s">
        <v>34</v>
      </c>
    </row>
    <row r="438" spans="1:3" x14ac:dyDescent="0.2">
      <c r="A438" s="6">
        <v>436</v>
      </c>
      <c r="B438" s="6">
        <f t="shared" ca="1" si="6"/>
        <v>0.7272559822696405</v>
      </c>
      <c r="C438" s="6" t="s">
        <v>34</v>
      </c>
    </row>
    <row r="439" spans="1:3" x14ac:dyDescent="0.2">
      <c r="A439" s="6">
        <v>437</v>
      </c>
      <c r="B439" s="6">
        <f t="shared" ca="1" si="6"/>
        <v>0.68651632359870318</v>
      </c>
      <c r="C439" s="6" t="s">
        <v>35</v>
      </c>
    </row>
    <row r="440" spans="1:3" x14ac:dyDescent="0.2">
      <c r="A440" s="6">
        <v>438</v>
      </c>
      <c r="B440" s="6">
        <f t="shared" ca="1" si="6"/>
        <v>0.7109598805176649</v>
      </c>
      <c r="C440" s="6" t="s">
        <v>34</v>
      </c>
    </row>
    <row r="441" spans="1:3" x14ac:dyDescent="0.2">
      <c r="A441" s="6">
        <v>439</v>
      </c>
      <c r="B441" s="6">
        <f t="shared" ca="1" si="6"/>
        <v>0.77527931765706837</v>
      </c>
      <c r="C441" s="6" t="s">
        <v>34</v>
      </c>
    </row>
    <row r="442" spans="1:3" x14ac:dyDescent="0.2">
      <c r="A442" s="6">
        <v>440</v>
      </c>
      <c r="B442" s="6">
        <f t="shared" ca="1" si="6"/>
        <v>0.86680020611163355</v>
      </c>
      <c r="C442" s="6" t="s">
        <v>34</v>
      </c>
    </row>
    <row r="443" spans="1:3" x14ac:dyDescent="0.2">
      <c r="A443" s="6">
        <v>441</v>
      </c>
      <c r="B443" s="6">
        <f t="shared" ca="1" si="6"/>
        <v>0.6121834259710448</v>
      </c>
      <c r="C443" s="6" t="s">
        <v>34</v>
      </c>
    </row>
    <row r="444" spans="1:3" x14ac:dyDescent="0.2">
      <c r="A444" s="6">
        <v>442</v>
      </c>
      <c r="B444" s="6">
        <f t="shared" ca="1" si="6"/>
        <v>0.75343734665917006</v>
      </c>
      <c r="C444" s="6" t="s">
        <v>34</v>
      </c>
    </row>
    <row r="445" spans="1:3" x14ac:dyDescent="0.2">
      <c r="A445" s="6">
        <v>443</v>
      </c>
      <c r="B445" s="6">
        <f t="shared" ca="1" si="6"/>
        <v>0.67049611307997259</v>
      </c>
      <c r="C445" s="6" t="s">
        <v>34</v>
      </c>
    </row>
    <row r="446" spans="1:3" x14ac:dyDescent="0.2">
      <c r="A446" s="6">
        <v>444</v>
      </c>
      <c r="B446" s="6">
        <f t="shared" ca="1" si="6"/>
        <v>0.79553569593907825</v>
      </c>
      <c r="C446" s="6" t="s">
        <v>35</v>
      </c>
    </row>
    <row r="447" spans="1:3" x14ac:dyDescent="0.2">
      <c r="A447" s="6">
        <v>445</v>
      </c>
      <c r="B447" s="6">
        <f t="shared" ca="1" si="6"/>
        <v>0.39432287881549244</v>
      </c>
      <c r="C447" s="6" t="s">
        <v>35</v>
      </c>
    </row>
    <row r="448" spans="1:3" x14ac:dyDescent="0.2">
      <c r="A448" s="6">
        <v>446</v>
      </c>
      <c r="B448" s="6">
        <f t="shared" ca="1" si="6"/>
        <v>0.73420981252803275</v>
      </c>
      <c r="C448" s="6" t="s">
        <v>34</v>
      </c>
    </row>
    <row r="449" spans="1:3" x14ac:dyDescent="0.2">
      <c r="A449" s="6">
        <v>447</v>
      </c>
      <c r="B449" s="6">
        <f t="shared" ca="1" si="6"/>
        <v>0.6567616649987027</v>
      </c>
      <c r="C449" s="6" t="s">
        <v>35</v>
      </c>
    </row>
    <row r="450" spans="1:3" x14ac:dyDescent="0.2">
      <c r="A450" s="6">
        <v>448</v>
      </c>
      <c r="B450" s="6">
        <f t="shared" ca="1" si="6"/>
        <v>0.64250605807485683</v>
      </c>
      <c r="C450" s="6" t="s">
        <v>34</v>
      </c>
    </row>
    <row r="451" spans="1:3" x14ac:dyDescent="0.2">
      <c r="A451" s="6">
        <v>449</v>
      </c>
      <c r="B451" s="6">
        <f t="shared" ca="1" si="6"/>
        <v>0.63261079743944304</v>
      </c>
      <c r="C451" s="6" t="s">
        <v>34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0.46355971138511953</v>
      </c>
      <c r="C452" s="6" t="s">
        <v>35</v>
      </c>
    </row>
    <row r="453" spans="1:3" x14ac:dyDescent="0.2">
      <c r="A453" s="6">
        <v>451</v>
      </c>
      <c r="B453" s="6">
        <f t="shared" ca="1" si="7"/>
        <v>0.7241473480942735</v>
      </c>
      <c r="C453" s="6" t="s">
        <v>34</v>
      </c>
    </row>
    <row r="454" spans="1:3" x14ac:dyDescent="0.2">
      <c r="A454" s="6">
        <v>452</v>
      </c>
      <c r="B454" s="6">
        <f t="shared" ca="1" si="7"/>
        <v>0.81640551764413427</v>
      </c>
      <c r="C454" s="6" t="s">
        <v>34</v>
      </c>
    </row>
    <row r="455" spans="1:3" x14ac:dyDescent="0.2">
      <c r="A455" s="6">
        <v>453</v>
      </c>
      <c r="B455" s="6">
        <f t="shared" ca="1" si="7"/>
        <v>0.56930215896166314</v>
      </c>
      <c r="C455" s="6" t="s">
        <v>35</v>
      </c>
    </row>
    <row r="456" spans="1:3" x14ac:dyDescent="0.2">
      <c r="A456" s="6">
        <v>454</v>
      </c>
      <c r="B456" s="6">
        <f t="shared" ca="1" si="7"/>
        <v>0.74455977440432819</v>
      </c>
      <c r="C456" s="6" t="s">
        <v>34</v>
      </c>
    </row>
    <row r="457" spans="1:3" x14ac:dyDescent="0.2">
      <c r="A457" s="6">
        <v>455</v>
      </c>
      <c r="B457" s="6">
        <f t="shared" ca="1" si="7"/>
        <v>0.59573897112805629</v>
      </c>
      <c r="C457" s="6" t="s">
        <v>35</v>
      </c>
    </row>
    <row r="458" spans="1:3" x14ac:dyDescent="0.2">
      <c r="A458" s="6">
        <v>456</v>
      </c>
      <c r="B458" s="6">
        <f t="shared" ca="1" si="7"/>
        <v>0.60526393416814583</v>
      </c>
      <c r="C458" s="6" t="s">
        <v>35</v>
      </c>
    </row>
    <row r="459" spans="1:3" x14ac:dyDescent="0.2">
      <c r="A459" s="6">
        <v>457</v>
      </c>
      <c r="B459" s="6">
        <f t="shared" ca="1" si="7"/>
        <v>0.73801846252209446</v>
      </c>
      <c r="C459" s="6" t="s">
        <v>35</v>
      </c>
    </row>
    <row r="460" spans="1:3" x14ac:dyDescent="0.2">
      <c r="A460" s="6">
        <v>458</v>
      </c>
      <c r="B460" s="6">
        <f t="shared" ca="1" si="7"/>
        <v>0.62048025411953489</v>
      </c>
      <c r="C460" s="6" t="s">
        <v>35</v>
      </c>
    </row>
    <row r="461" spans="1:3" x14ac:dyDescent="0.2">
      <c r="A461" s="6">
        <v>459</v>
      </c>
      <c r="B461" s="6">
        <f t="shared" ca="1" si="7"/>
        <v>0.79616783632826782</v>
      </c>
      <c r="C461" s="6" t="s">
        <v>34</v>
      </c>
    </row>
    <row r="462" spans="1:3" x14ac:dyDescent="0.2">
      <c r="A462" s="6">
        <v>460</v>
      </c>
      <c r="B462" s="6">
        <f t="shared" ca="1" si="7"/>
        <v>0.53326341135581923</v>
      </c>
      <c r="C462" s="6" t="s">
        <v>34</v>
      </c>
    </row>
    <row r="463" spans="1:3" x14ac:dyDescent="0.2">
      <c r="A463" s="6">
        <v>461</v>
      </c>
      <c r="B463" s="6">
        <f t="shared" ca="1" si="7"/>
        <v>0.34014286402147759</v>
      </c>
      <c r="C463" s="6" t="s">
        <v>35</v>
      </c>
    </row>
    <row r="464" spans="1:3" x14ac:dyDescent="0.2">
      <c r="A464" s="6">
        <v>462</v>
      </c>
      <c r="B464" s="6">
        <f t="shared" ca="1" si="7"/>
        <v>0.4642460303548045</v>
      </c>
      <c r="C464" s="6" t="s">
        <v>34</v>
      </c>
    </row>
    <row r="465" spans="1:3" x14ac:dyDescent="0.2">
      <c r="A465" s="6">
        <v>463</v>
      </c>
      <c r="B465" s="6">
        <f t="shared" ca="1" si="7"/>
        <v>0.71409788223498805</v>
      </c>
      <c r="C465" s="6" t="s">
        <v>34</v>
      </c>
    </row>
    <row r="466" spans="1:3" x14ac:dyDescent="0.2">
      <c r="A466" s="6">
        <v>464</v>
      </c>
      <c r="B466" s="6">
        <f t="shared" ca="1" si="7"/>
        <v>0.58431698654110154</v>
      </c>
      <c r="C466" s="6" t="s">
        <v>34</v>
      </c>
    </row>
    <row r="467" spans="1:3" x14ac:dyDescent="0.2">
      <c r="A467" s="6">
        <v>465</v>
      </c>
      <c r="B467" s="6">
        <f t="shared" ca="1" si="7"/>
        <v>0.66729362690980654</v>
      </c>
      <c r="C467" s="6" t="s">
        <v>34</v>
      </c>
    </row>
    <row r="468" spans="1:3" x14ac:dyDescent="0.2">
      <c r="A468" s="6">
        <v>466</v>
      </c>
      <c r="B468" s="6">
        <f t="shared" ca="1" si="7"/>
        <v>0.65464866391085985</v>
      </c>
      <c r="C468" s="6" t="s">
        <v>35</v>
      </c>
    </row>
    <row r="469" spans="1:3" x14ac:dyDescent="0.2">
      <c r="A469" s="6">
        <v>467</v>
      </c>
      <c r="B469" s="6">
        <f t="shared" ca="1" si="7"/>
        <v>0.39764003484631749</v>
      </c>
      <c r="C469" s="6" t="s">
        <v>35</v>
      </c>
    </row>
    <row r="470" spans="1:3" x14ac:dyDescent="0.2">
      <c r="A470" s="6">
        <v>468</v>
      </c>
      <c r="B470" s="6">
        <f t="shared" ca="1" si="7"/>
        <v>0.31112431214567937</v>
      </c>
      <c r="C470" s="6" t="s">
        <v>35</v>
      </c>
    </row>
    <row r="471" spans="1:3" x14ac:dyDescent="0.2">
      <c r="A471" s="6">
        <v>469</v>
      </c>
      <c r="B471" s="6">
        <f t="shared" ca="1" si="7"/>
        <v>0.59145197161101293</v>
      </c>
      <c r="C471" s="6" t="s">
        <v>34</v>
      </c>
    </row>
    <row r="472" spans="1:3" x14ac:dyDescent="0.2">
      <c r="A472" s="6">
        <v>470</v>
      </c>
      <c r="B472" s="6">
        <f t="shared" ca="1" si="7"/>
        <v>0.39268941582377281</v>
      </c>
      <c r="C472" s="6" t="s">
        <v>35</v>
      </c>
    </row>
    <row r="473" spans="1:3" x14ac:dyDescent="0.2">
      <c r="A473" s="6">
        <v>471</v>
      </c>
      <c r="B473" s="6">
        <f t="shared" ca="1" si="7"/>
        <v>0.72222816642088883</v>
      </c>
      <c r="C473" s="6" t="s">
        <v>34</v>
      </c>
    </row>
    <row r="474" spans="1:3" x14ac:dyDescent="0.2">
      <c r="A474" s="6">
        <v>472</v>
      </c>
      <c r="B474" s="6">
        <f t="shared" ca="1" si="7"/>
        <v>0.62564871025440483</v>
      </c>
      <c r="C474" s="6" t="s">
        <v>34</v>
      </c>
    </row>
    <row r="475" spans="1:3" x14ac:dyDescent="0.2">
      <c r="A475" s="6">
        <v>473</v>
      </c>
      <c r="B475" s="6">
        <f t="shared" ca="1" si="7"/>
        <v>0.83079103202334148</v>
      </c>
      <c r="C475" s="6" t="s">
        <v>34</v>
      </c>
    </row>
    <row r="476" spans="1:3" x14ac:dyDescent="0.2">
      <c r="A476" s="6">
        <v>474</v>
      </c>
      <c r="B476" s="6">
        <f t="shared" ca="1" si="7"/>
        <v>0.70175282494797731</v>
      </c>
      <c r="C476" s="6" t="s">
        <v>35</v>
      </c>
    </row>
    <row r="477" spans="1:3" x14ac:dyDescent="0.2">
      <c r="A477" s="6">
        <v>475</v>
      </c>
      <c r="B477" s="6">
        <f t="shared" ca="1" si="7"/>
        <v>0.71792218773775773</v>
      </c>
      <c r="C477" s="6" t="s">
        <v>34</v>
      </c>
    </row>
    <row r="478" spans="1:3" x14ac:dyDescent="0.2">
      <c r="A478" s="6">
        <v>476</v>
      </c>
      <c r="B478" s="6">
        <f t="shared" ca="1" si="7"/>
        <v>0.72925542748399652</v>
      </c>
      <c r="C478" s="6" t="s">
        <v>34</v>
      </c>
    </row>
    <row r="479" spans="1:3" x14ac:dyDescent="0.2">
      <c r="A479" s="6">
        <v>477</v>
      </c>
      <c r="B479" s="6">
        <f t="shared" ca="1" si="7"/>
        <v>0.63000945508278272</v>
      </c>
      <c r="C479" s="6" t="s">
        <v>35</v>
      </c>
    </row>
    <row r="480" spans="1:3" x14ac:dyDescent="0.2">
      <c r="A480" s="6">
        <v>478</v>
      </c>
      <c r="B480" s="6">
        <f t="shared" ca="1" si="7"/>
        <v>0.63677807970807798</v>
      </c>
      <c r="C480" s="6" t="s">
        <v>35</v>
      </c>
    </row>
    <row r="481" spans="1:3" x14ac:dyDescent="0.2">
      <c r="A481" s="6">
        <v>479</v>
      </c>
      <c r="B481" s="6">
        <f t="shared" ca="1" si="7"/>
        <v>0.80063157852817146</v>
      </c>
      <c r="C481" s="6" t="s">
        <v>34</v>
      </c>
    </row>
    <row r="482" spans="1:3" x14ac:dyDescent="0.2">
      <c r="A482" s="6">
        <v>480</v>
      </c>
      <c r="B482" s="6">
        <f t="shared" ca="1" si="7"/>
        <v>0.68760141123182139</v>
      </c>
      <c r="C482" s="6" t="s">
        <v>34</v>
      </c>
    </row>
    <row r="483" spans="1:3" x14ac:dyDescent="0.2">
      <c r="A483" s="6">
        <v>481</v>
      </c>
      <c r="B483" s="6">
        <f t="shared" ca="1" si="7"/>
        <v>0.72502962660891856</v>
      </c>
      <c r="C483" s="6" t="s">
        <v>35</v>
      </c>
    </row>
    <row r="484" spans="1:3" x14ac:dyDescent="0.2">
      <c r="A484" s="6">
        <v>482</v>
      </c>
      <c r="B484" s="6">
        <f t="shared" ca="1" si="7"/>
        <v>0.70246852154465012</v>
      </c>
      <c r="C484" s="6" t="s">
        <v>35</v>
      </c>
    </row>
    <row r="485" spans="1:3" x14ac:dyDescent="0.2">
      <c r="A485" s="6">
        <v>483</v>
      </c>
      <c r="B485" s="6">
        <f t="shared" ca="1" si="7"/>
        <v>0.74213899561138486</v>
      </c>
      <c r="C485" s="6" t="s">
        <v>34</v>
      </c>
    </row>
    <row r="486" spans="1:3" x14ac:dyDescent="0.2">
      <c r="A486" s="6">
        <v>484</v>
      </c>
      <c r="B486" s="6">
        <f t="shared" ca="1" si="7"/>
        <v>0.7313756343323945</v>
      </c>
      <c r="C486" s="6" t="s">
        <v>34</v>
      </c>
    </row>
    <row r="487" spans="1:3" x14ac:dyDescent="0.2">
      <c r="A487" s="6">
        <v>485</v>
      </c>
      <c r="B487" s="6">
        <f t="shared" ca="1" si="7"/>
        <v>0.68938355103128357</v>
      </c>
      <c r="C487" s="6" t="s">
        <v>34</v>
      </c>
    </row>
    <row r="488" spans="1:3" x14ac:dyDescent="0.2">
      <c r="A488" s="6">
        <v>486</v>
      </c>
      <c r="B488" s="6">
        <f t="shared" ca="1" si="7"/>
        <v>0.70874305211298583</v>
      </c>
      <c r="C488" s="6" t="s">
        <v>35</v>
      </c>
    </row>
    <row r="489" spans="1:3" x14ac:dyDescent="0.2">
      <c r="A489" s="6">
        <v>487</v>
      </c>
      <c r="B489" s="6">
        <f t="shared" ca="1" si="7"/>
        <v>0.89668203203210173</v>
      </c>
      <c r="C489" s="6" t="s">
        <v>34</v>
      </c>
    </row>
    <row r="490" spans="1:3" x14ac:dyDescent="0.2">
      <c r="A490" s="6">
        <v>488</v>
      </c>
      <c r="B490" s="6">
        <f t="shared" ca="1" si="7"/>
        <v>0.58838790173950273</v>
      </c>
      <c r="C490" s="6" t="s">
        <v>35</v>
      </c>
    </row>
    <row r="491" spans="1:3" x14ac:dyDescent="0.2">
      <c r="A491" s="6">
        <v>489</v>
      </c>
      <c r="B491" s="6">
        <f t="shared" ca="1" si="7"/>
        <v>0.74665819158965929</v>
      </c>
      <c r="C491" s="6" t="s">
        <v>35</v>
      </c>
    </row>
    <row r="492" spans="1:3" x14ac:dyDescent="0.2">
      <c r="A492" s="6">
        <v>490</v>
      </c>
      <c r="B492" s="6">
        <f t="shared" ca="1" si="7"/>
        <v>0.56781534512475418</v>
      </c>
      <c r="C492" s="6" t="s">
        <v>34</v>
      </c>
    </row>
    <row r="493" spans="1:3" x14ac:dyDescent="0.2">
      <c r="A493" s="6">
        <v>491</v>
      </c>
      <c r="B493" s="6">
        <f t="shared" ca="1" si="7"/>
        <v>0.57068056476456164</v>
      </c>
      <c r="C493" s="6" t="s">
        <v>35</v>
      </c>
    </row>
    <row r="494" spans="1:3" x14ac:dyDescent="0.2">
      <c r="A494" s="6">
        <v>492</v>
      </c>
      <c r="B494" s="6">
        <f t="shared" ca="1" si="7"/>
        <v>0.76156248679108318</v>
      </c>
      <c r="C494" s="6" t="s">
        <v>34</v>
      </c>
    </row>
    <row r="495" spans="1:3" x14ac:dyDescent="0.2">
      <c r="A495" s="6">
        <v>493</v>
      </c>
      <c r="B495" s="6">
        <f t="shared" ca="1" si="7"/>
        <v>0.68136184491069918</v>
      </c>
      <c r="C495" s="6" t="s">
        <v>35</v>
      </c>
    </row>
    <row r="496" spans="1:3" x14ac:dyDescent="0.2">
      <c r="A496" s="6">
        <v>494</v>
      </c>
      <c r="B496" s="6">
        <f t="shared" ca="1" si="7"/>
        <v>0.87592264441040046</v>
      </c>
      <c r="C496" s="6" t="s">
        <v>35</v>
      </c>
    </row>
    <row r="497" spans="1:3" x14ac:dyDescent="0.2">
      <c r="A497" s="6">
        <v>495</v>
      </c>
      <c r="B497" s="6">
        <f t="shared" ca="1" si="7"/>
        <v>0.69298796012613051</v>
      </c>
      <c r="C497" s="6" t="s">
        <v>34</v>
      </c>
    </row>
    <row r="498" spans="1:3" x14ac:dyDescent="0.2">
      <c r="A498" s="6">
        <v>496</v>
      </c>
      <c r="B498" s="6">
        <f t="shared" ca="1" si="7"/>
        <v>0.86323700095752232</v>
      </c>
      <c r="C498" s="6" t="s">
        <v>34</v>
      </c>
    </row>
    <row r="499" spans="1:3" x14ac:dyDescent="0.2">
      <c r="A499" s="6">
        <v>497</v>
      </c>
      <c r="B499" s="6">
        <f t="shared" ca="1" si="7"/>
        <v>0.84243188745513919</v>
      </c>
      <c r="C499" s="6" t="s">
        <v>34</v>
      </c>
    </row>
    <row r="500" spans="1:3" x14ac:dyDescent="0.2">
      <c r="A500" s="6">
        <v>498</v>
      </c>
      <c r="B500" s="6">
        <f t="shared" ca="1" si="7"/>
        <v>0.67774068720078862</v>
      </c>
      <c r="C500" s="6" t="s">
        <v>35</v>
      </c>
    </row>
    <row r="501" spans="1:3" x14ac:dyDescent="0.2">
      <c r="A501" s="6">
        <v>499</v>
      </c>
      <c r="B501" s="6">
        <f t="shared" ca="1" si="7"/>
        <v>0.78839579278028826</v>
      </c>
      <c r="C501" s="6" t="s">
        <v>34</v>
      </c>
    </row>
    <row r="502" spans="1:3" x14ac:dyDescent="0.2">
      <c r="A502" s="6">
        <v>500</v>
      </c>
      <c r="B502" s="6">
        <f t="shared" ca="1" si="7"/>
        <v>0.51907842597855047</v>
      </c>
      <c r="C502" s="6" t="s">
        <v>34</v>
      </c>
    </row>
    <row r="503" spans="1:3" x14ac:dyDescent="0.2">
      <c r="A503" s="6">
        <v>501</v>
      </c>
      <c r="B503" s="6">
        <f t="shared" ca="1" si="7"/>
        <v>0.74782420482522394</v>
      </c>
      <c r="C503" s="6" t="s">
        <v>35</v>
      </c>
    </row>
    <row r="504" spans="1:3" x14ac:dyDescent="0.2">
      <c r="A504" s="6">
        <v>502</v>
      </c>
      <c r="B504" s="6">
        <f t="shared" ca="1" si="7"/>
        <v>0.51108205044279909</v>
      </c>
      <c r="C504" s="6" t="s">
        <v>35</v>
      </c>
    </row>
    <row r="505" spans="1:3" x14ac:dyDescent="0.2">
      <c r="A505" s="6">
        <v>503</v>
      </c>
      <c r="B505" s="6">
        <f t="shared" ca="1" si="7"/>
        <v>0.70924558716741437</v>
      </c>
      <c r="C505" s="6" t="s">
        <v>35</v>
      </c>
    </row>
    <row r="506" spans="1:3" x14ac:dyDescent="0.2">
      <c r="A506" s="6">
        <v>504</v>
      </c>
      <c r="B506" s="6">
        <f t="shared" ca="1" si="7"/>
        <v>0.41166244449139378</v>
      </c>
      <c r="C506" s="6" t="s">
        <v>35</v>
      </c>
    </row>
    <row r="507" spans="1:3" x14ac:dyDescent="0.2">
      <c r="A507" s="6">
        <v>505</v>
      </c>
      <c r="B507" s="6">
        <f t="shared" ca="1" si="7"/>
        <v>0.55579073972809356</v>
      </c>
      <c r="C507" s="6" t="s">
        <v>34</v>
      </c>
    </row>
    <row r="508" spans="1:3" x14ac:dyDescent="0.2">
      <c r="A508" s="6">
        <v>506</v>
      </c>
      <c r="B508" s="6">
        <f t="shared" ca="1" si="7"/>
        <v>0.67546897364109937</v>
      </c>
      <c r="C508" s="6" t="s">
        <v>34</v>
      </c>
    </row>
    <row r="509" spans="1:3" x14ac:dyDescent="0.2">
      <c r="A509" s="6">
        <v>507</v>
      </c>
      <c r="B509" s="6">
        <f t="shared" ca="1" si="7"/>
        <v>0.56492143135316697</v>
      </c>
      <c r="C509" s="6" t="s">
        <v>34</v>
      </c>
    </row>
    <row r="510" spans="1:3" x14ac:dyDescent="0.2">
      <c r="A510" s="6">
        <v>508</v>
      </c>
      <c r="B510" s="6">
        <f t="shared" ca="1" si="7"/>
        <v>0.4888251512735009</v>
      </c>
      <c r="C510" s="6" t="s">
        <v>35</v>
      </c>
    </row>
    <row r="511" spans="1:3" x14ac:dyDescent="0.2">
      <c r="A511" s="6">
        <v>509</v>
      </c>
      <c r="B511" s="6">
        <f t="shared" ca="1" si="7"/>
        <v>0.58337758134707562</v>
      </c>
      <c r="C511" s="6" t="s">
        <v>34</v>
      </c>
    </row>
    <row r="512" spans="1:3" x14ac:dyDescent="0.2">
      <c r="A512" s="6">
        <v>510</v>
      </c>
      <c r="B512" s="6">
        <f t="shared" ca="1" si="7"/>
        <v>0.42438078404399043</v>
      </c>
      <c r="C512" s="6" t="s">
        <v>34</v>
      </c>
    </row>
    <row r="513" spans="1:3" x14ac:dyDescent="0.2">
      <c r="A513" s="6">
        <v>511</v>
      </c>
      <c r="B513" s="6">
        <f t="shared" ca="1" si="7"/>
        <v>0.51729038053582788</v>
      </c>
      <c r="C513" s="6" t="s">
        <v>34</v>
      </c>
    </row>
    <row r="514" spans="1:3" x14ac:dyDescent="0.2">
      <c r="A514" s="6">
        <v>512</v>
      </c>
      <c r="B514" s="6">
        <f t="shared" ca="1" si="7"/>
        <v>0.77579918880129062</v>
      </c>
      <c r="C514" s="6" t="s">
        <v>34</v>
      </c>
    </row>
    <row r="515" spans="1:3" x14ac:dyDescent="0.2">
      <c r="A515" s="6">
        <v>513</v>
      </c>
      <c r="B515" s="6">
        <f t="shared" ca="1" si="7"/>
        <v>0.70173330873563355</v>
      </c>
      <c r="C515" s="6" t="s">
        <v>34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0.45792919723332098</v>
      </c>
      <c r="C516" s="6" t="s">
        <v>35</v>
      </c>
    </row>
    <row r="517" spans="1:3" x14ac:dyDescent="0.2">
      <c r="A517" s="6">
        <v>515</v>
      </c>
      <c r="B517" s="6">
        <f t="shared" ca="1" si="8"/>
        <v>0.79707181782221626</v>
      </c>
      <c r="C517" s="6" t="s">
        <v>34</v>
      </c>
    </row>
    <row r="518" spans="1:3" x14ac:dyDescent="0.2">
      <c r="A518" s="6">
        <v>516</v>
      </c>
      <c r="B518" s="6">
        <f t="shared" ca="1" si="8"/>
        <v>0.71754103424423021</v>
      </c>
      <c r="C518" s="6" t="s">
        <v>34</v>
      </c>
    </row>
    <row r="519" spans="1:3" x14ac:dyDescent="0.2">
      <c r="A519" s="6">
        <v>517</v>
      </c>
      <c r="B519" s="6">
        <f t="shared" ca="1" si="8"/>
        <v>0.77737812391753169</v>
      </c>
      <c r="C519" s="6" t="s">
        <v>34</v>
      </c>
    </row>
    <row r="520" spans="1:3" x14ac:dyDescent="0.2">
      <c r="A520" s="6">
        <v>518</v>
      </c>
      <c r="B520" s="6">
        <f t="shared" ca="1" si="8"/>
        <v>0.60034451945358192</v>
      </c>
      <c r="C520" s="6" t="s">
        <v>35</v>
      </c>
    </row>
    <row r="521" spans="1:3" x14ac:dyDescent="0.2">
      <c r="A521" s="6">
        <v>519</v>
      </c>
      <c r="B521" s="6">
        <f t="shared" ca="1" si="8"/>
        <v>0.6311670155166873</v>
      </c>
      <c r="C521" s="6" t="s">
        <v>34</v>
      </c>
    </row>
    <row r="522" spans="1:3" x14ac:dyDescent="0.2">
      <c r="A522" s="6">
        <v>520</v>
      </c>
      <c r="B522" s="6">
        <f t="shared" ca="1" si="8"/>
        <v>0.38954189932732819</v>
      </c>
      <c r="C522" s="6" t="s">
        <v>35</v>
      </c>
    </row>
    <row r="523" spans="1:3" x14ac:dyDescent="0.2">
      <c r="A523" s="6">
        <v>521</v>
      </c>
      <c r="B523" s="6">
        <f t="shared" ca="1" si="8"/>
        <v>0.7975803236219936</v>
      </c>
      <c r="C523" s="6" t="s">
        <v>35</v>
      </c>
    </row>
    <row r="524" spans="1:3" x14ac:dyDescent="0.2">
      <c r="A524" s="6">
        <v>522</v>
      </c>
      <c r="B524" s="6">
        <f t="shared" ca="1" si="8"/>
        <v>0.81879662668699704</v>
      </c>
      <c r="C524" s="6" t="s">
        <v>34</v>
      </c>
    </row>
    <row r="525" spans="1:3" x14ac:dyDescent="0.2">
      <c r="A525" s="6">
        <v>523</v>
      </c>
      <c r="B525" s="6">
        <f t="shared" ca="1" si="8"/>
        <v>0.79719099911675895</v>
      </c>
      <c r="C525" s="6" t="s">
        <v>34</v>
      </c>
    </row>
    <row r="526" spans="1:3" x14ac:dyDescent="0.2">
      <c r="A526" s="6">
        <v>524</v>
      </c>
      <c r="B526" s="6">
        <f t="shared" ca="1" si="8"/>
        <v>0.74099523568551184</v>
      </c>
      <c r="C526" s="6" t="s">
        <v>35</v>
      </c>
    </row>
    <row r="527" spans="1:3" x14ac:dyDescent="0.2">
      <c r="A527" s="6">
        <v>525</v>
      </c>
      <c r="B527" s="6">
        <f t="shared" ca="1" si="8"/>
        <v>0.57499298962911227</v>
      </c>
      <c r="C527" s="6" t="s">
        <v>34</v>
      </c>
    </row>
    <row r="528" spans="1:3" x14ac:dyDescent="0.2">
      <c r="A528" s="6">
        <v>526</v>
      </c>
      <c r="B528" s="6">
        <f t="shared" ca="1" si="8"/>
        <v>0.47745942574529754</v>
      </c>
      <c r="C528" s="6" t="s">
        <v>35</v>
      </c>
    </row>
    <row r="529" spans="1:3" x14ac:dyDescent="0.2">
      <c r="A529" s="6">
        <v>527</v>
      </c>
      <c r="B529" s="6">
        <f t="shared" ca="1" si="8"/>
        <v>0.64697815350570242</v>
      </c>
      <c r="C529" s="6" t="s">
        <v>35</v>
      </c>
    </row>
    <row r="530" spans="1:3" x14ac:dyDescent="0.2">
      <c r="A530" s="6">
        <v>528</v>
      </c>
      <c r="B530" s="6">
        <f t="shared" ca="1" si="8"/>
        <v>0.83706842933383907</v>
      </c>
      <c r="C530" s="6" t="s">
        <v>34</v>
      </c>
    </row>
    <row r="531" spans="1:3" x14ac:dyDescent="0.2">
      <c r="A531" s="6">
        <v>529</v>
      </c>
      <c r="B531" s="6">
        <f t="shared" ca="1" si="8"/>
        <v>0.76347885620588773</v>
      </c>
      <c r="C531" s="6" t="s">
        <v>34</v>
      </c>
    </row>
    <row r="532" spans="1:3" x14ac:dyDescent="0.2">
      <c r="A532" s="6">
        <v>530</v>
      </c>
      <c r="B532" s="6">
        <f t="shared" ca="1" si="8"/>
        <v>0.7344031894883406</v>
      </c>
      <c r="C532" s="6" t="s">
        <v>35</v>
      </c>
    </row>
    <row r="533" spans="1:3" x14ac:dyDescent="0.2">
      <c r="A533" s="6">
        <v>531</v>
      </c>
      <c r="B533" s="6">
        <f t="shared" ca="1" si="8"/>
        <v>0.68897415459706401</v>
      </c>
      <c r="C533" s="6" t="s">
        <v>34</v>
      </c>
    </row>
    <row r="534" spans="1:3" x14ac:dyDescent="0.2">
      <c r="A534" s="6">
        <v>532</v>
      </c>
      <c r="B534" s="6">
        <f t="shared" ca="1" si="8"/>
        <v>0.44300163926422198</v>
      </c>
      <c r="C534" s="6" t="s">
        <v>35</v>
      </c>
    </row>
    <row r="535" spans="1:3" x14ac:dyDescent="0.2">
      <c r="A535" s="6">
        <v>533</v>
      </c>
      <c r="B535" s="6">
        <f t="shared" ca="1" si="8"/>
        <v>0.6205861241757259</v>
      </c>
      <c r="C535" s="6" t="s">
        <v>35</v>
      </c>
    </row>
    <row r="536" spans="1:3" x14ac:dyDescent="0.2">
      <c r="A536" s="6">
        <v>534</v>
      </c>
      <c r="B536" s="6">
        <f t="shared" ca="1" si="8"/>
        <v>0.79076096840938304</v>
      </c>
      <c r="C536" s="6" t="s">
        <v>34</v>
      </c>
    </row>
    <row r="537" spans="1:3" x14ac:dyDescent="0.2">
      <c r="A537" s="6">
        <v>535</v>
      </c>
      <c r="B537" s="6">
        <f t="shared" ca="1" si="8"/>
        <v>0.58420735003887847</v>
      </c>
      <c r="C537" s="6" t="s">
        <v>35</v>
      </c>
    </row>
    <row r="538" spans="1:3" x14ac:dyDescent="0.2">
      <c r="A538" s="6">
        <v>536</v>
      </c>
      <c r="B538" s="6">
        <f t="shared" ca="1" si="8"/>
        <v>0.42467972217270222</v>
      </c>
      <c r="C538" s="6" t="s">
        <v>35</v>
      </c>
    </row>
    <row r="539" spans="1:3" x14ac:dyDescent="0.2">
      <c r="A539" s="6">
        <v>537</v>
      </c>
      <c r="B539" s="6">
        <f t="shared" ca="1" si="8"/>
        <v>0.56358606982041148</v>
      </c>
      <c r="C539" s="6" t="s">
        <v>35</v>
      </c>
    </row>
    <row r="540" spans="1:3" x14ac:dyDescent="0.2">
      <c r="A540" s="6">
        <v>538</v>
      </c>
      <c r="B540" s="6">
        <f t="shared" ca="1" si="8"/>
        <v>0.72521352584291887</v>
      </c>
      <c r="C540" s="6" t="s">
        <v>34</v>
      </c>
    </row>
    <row r="541" spans="1:3" x14ac:dyDescent="0.2">
      <c r="A541" s="6">
        <v>539</v>
      </c>
      <c r="B541" s="6">
        <f t="shared" ca="1" si="8"/>
        <v>0.46347823095505342</v>
      </c>
      <c r="C541" s="6" t="s">
        <v>35</v>
      </c>
    </row>
    <row r="542" spans="1:3" x14ac:dyDescent="0.2">
      <c r="A542" s="6">
        <v>540</v>
      </c>
      <c r="B542" s="6">
        <f t="shared" ca="1" si="8"/>
        <v>0.5123744889402817</v>
      </c>
      <c r="C542" s="6" t="s">
        <v>35</v>
      </c>
    </row>
    <row r="543" spans="1:3" x14ac:dyDescent="0.2">
      <c r="A543" s="6">
        <v>541</v>
      </c>
      <c r="B543" s="6">
        <f t="shared" ca="1" si="8"/>
        <v>0.48919133492165451</v>
      </c>
      <c r="C543" s="6" t="s">
        <v>35</v>
      </c>
    </row>
    <row r="544" spans="1:3" x14ac:dyDescent="0.2">
      <c r="A544" s="6">
        <v>542</v>
      </c>
      <c r="B544" s="6">
        <f t="shared" ca="1" si="8"/>
        <v>0.59186176849815841</v>
      </c>
      <c r="C544" s="6" t="s">
        <v>34</v>
      </c>
    </row>
    <row r="545" spans="1:3" x14ac:dyDescent="0.2">
      <c r="A545" s="6">
        <v>543</v>
      </c>
      <c r="B545" s="6">
        <f t="shared" ca="1" si="8"/>
        <v>0.82643063032946096</v>
      </c>
      <c r="C545" s="6" t="s">
        <v>34</v>
      </c>
    </row>
    <row r="546" spans="1:3" x14ac:dyDescent="0.2">
      <c r="A546" s="6">
        <v>544</v>
      </c>
      <c r="B546" s="6">
        <f t="shared" ca="1" si="8"/>
        <v>0.67786293982068668</v>
      </c>
      <c r="C546" s="6" t="s">
        <v>34</v>
      </c>
    </row>
    <row r="547" spans="1:3" x14ac:dyDescent="0.2">
      <c r="A547" s="6">
        <v>545</v>
      </c>
      <c r="B547" s="6">
        <f t="shared" ca="1" si="8"/>
        <v>0.69169285134485425</v>
      </c>
      <c r="C547" s="6" t="s">
        <v>35</v>
      </c>
    </row>
    <row r="548" spans="1:3" x14ac:dyDescent="0.2">
      <c r="A548" s="6">
        <v>546</v>
      </c>
      <c r="B548" s="6">
        <f t="shared" ca="1" si="8"/>
        <v>0.58175962138727499</v>
      </c>
      <c r="C548" s="6" t="s">
        <v>35</v>
      </c>
    </row>
    <row r="549" spans="1:3" x14ac:dyDescent="0.2">
      <c r="A549" s="6">
        <v>547</v>
      </c>
      <c r="B549" s="6">
        <f t="shared" ca="1" si="8"/>
        <v>0.73303008305603989</v>
      </c>
      <c r="C549" s="6" t="s">
        <v>34</v>
      </c>
    </row>
    <row r="550" spans="1:3" x14ac:dyDescent="0.2">
      <c r="A550" s="6">
        <v>548</v>
      </c>
      <c r="B550" s="6">
        <f t="shared" ca="1" si="8"/>
        <v>0.71179516086159478</v>
      </c>
      <c r="C550" s="6" t="s">
        <v>34</v>
      </c>
    </row>
    <row r="551" spans="1:3" x14ac:dyDescent="0.2">
      <c r="A551" s="6">
        <v>549</v>
      </c>
      <c r="B551" s="6">
        <f t="shared" ca="1" si="8"/>
        <v>0.58650709822971758</v>
      </c>
      <c r="C551" s="6" t="s">
        <v>35</v>
      </c>
    </row>
    <row r="552" spans="1:3" x14ac:dyDescent="0.2">
      <c r="A552" s="6">
        <v>550</v>
      </c>
      <c r="B552" s="6">
        <f t="shared" ca="1" si="8"/>
        <v>0.49598501497993425</v>
      </c>
      <c r="C552" s="6" t="s">
        <v>34</v>
      </c>
    </row>
    <row r="553" spans="1:3" x14ac:dyDescent="0.2">
      <c r="A553" s="6">
        <v>551</v>
      </c>
      <c r="B553" s="6">
        <f t="shared" ca="1" si="8"/>
        <v>0.55090966032863109</v>
      </c>
      <c r="C553" s="6" t="s">
        <v>35</v>
      </c>
    </row>
    <row r="554" spans="1:3" x14ac:dyDescent="0.2">
      <c r="A554" s="6">
        <v>552</v>
      </c>
      <c r="B554" s="6">
        <f t="shared" ca="1" si="8"/>
        <v>0.77454338108154808</v>
      </c>
      <c r="C554" s="6" t="s">
        <v>35</v>
      </c>
    </row>
    <row r="555" spans="1:3" x14ac:dyDescent="0.2">
      <c r="A555" s="6">
        <v>553</v>
      </c>
      <c r="B555" s="6">
        <f t="shared" ca="1" si="8"/>
        <v>0.6405507219255524</v>
      </c>
      <c r="C555" s="6" t="s">
        <v>35</v>
      </c>
    </row>
    <row r="556" spans="1:3" x14ac:dyDescent="0.2">
      <c r="A556" s="6">
        <v>554</v>
      </c>
      <c r="B556" s="6">
        <f t="shared" ca="1" si="8"/>
        <v>0.61070935212692357</v>
      </c>
      <c r="C556" s="6" t="s">
        <v>34</v>
      </c>
    </row>
    <row r="557" spans="1:3" x14ac:dyDescent="0.2">
      <c r="A557" s="6">
        <v>555</v>
      </c>
      <c r="B557" s="6">
        <f t="shared" ca="1" si="8"/>
        <v>0.75813547289321215</v>
      </c>
      <c r="C557" s="6" t="s">
        <v>35</v>
      </c>
    </row>
    <row r="558" spans="1:3" x14ac:dyDescent="0.2">
      <c r="A558" s="6">
        <v>556</v>
      </c>
      <c r="B558" s="6">
        <f t="shared" ca="1" si="8"/>
        <v>0.88773866269060175</v>
      </c>
      <c r="C558" s="6" t="s">
        <v>34</v>
      </c>
    </row>
    <row r="559" spans="1:3" x14ac:dyDescent="0.2">
      <c r="A559" s="6">
        <v>557</v>
      </c>
      <c r="B559" s="6">
        <f t="shared" ca="1" si="8"/>
        <v>0.68340007849556594</v>
      </c>
      <c r="C559" s="6" t="s">
        <v>34</v>
      </c>
    </row>
    <row r="560" spans="1:3" x14ac:dyDescent="0.2">
      <c r="A560" s="6">
        <v>558</v>
      </c>
      <c r="B560" s="6">
        <f t="shared" ca="1" si="8"/>
        <v>0.94536674022229872</v>
      </c>
      <c r="C560" s="6" t="s">
        <v>35</v>
      </c>
    </row>
    <row r="561" spans="1:3" x14ac:dyDescent="0.2">
      <c r="A561" s="6">
        <v>559</v>
      </c>
      <c r="B561" s="6">
        <f t="shared" ca="1" si="8"/>
        <v>0.68031934152386619</v>
      </c>
      <c r="C561" s="6" t="s">
        <v>34</v>
      </c>
    </row>
    <row r="562" spans="1:3" x14ac:dyDescent="0.2">
      <c r="A562" s="6">
        <v>560</v>
      </c>
      <c r="B562" s="6">
        <f t="shared" ca="1" si="8"/>
        <v>0.80606182530298409</v>
      </c>
      <c r="C562" s="6" t="s">
        <v>35</v>
      </c>
    </row>
    <row r="563" spans="1:3" x14ac:dyDescent="0.2">
      <c r="A563" s="6">
        <v>561</v>
      </c>
      <c r="B563" s="6">
        <f t="shared" ca="1" si="8"/>
        <v>0.35099091141248384</v>
      </c>
      <c r="C563" s="6" t="s">
        <v>35</v>
      </c>
    </row>
    <row r="564" spans="1:3" x14ac:dyDescent="0.2">
      <c r="A564" s="6">
        <v>562</v>
      </c>
      <c r="B564" s="6">
        <f t="shared" ca="1" si="8"/>
        <v>0.52522743244286052</v>
      </c>
      <c r="C564" s="6" t="s">
        <v>35</v>
      </c>
    </row>
    <row r="565" spans="1:3" x14ac:dyDescent="0.2">
      <c r="A565" s="6">
        <v>563</v>
      </c>
      <c r="B565" s="6">
        <f t="shared" ca="1" si="8"/>
        <v>0.3934696718663786</v>
      </c>
      <c r="C565" s="6" t="s">
        <v>35</v>
      </c>
    </row>
    <row r="566" spans="1:3" x14ac:dyDescent="0.2">
      <c r="A566" s="6">
        <v>564</v>
      </c>
      <c r="B566" s="6">
        <f t="shared" ca="1" si="8"/>
        <v>0.76871554711538526</v>
      </c>
      <c r="C566" s="6" t="s">
        <v>35</v>
      </c>
    </row>
    <row r="567" spans="1:3" x14ac:dyDescent="0.2">
      <c r="A567" s="6">
        <v>565</v>
      </c>
      <c r="B567" s="6">
        <f t="shared" ca="1" si="8"/>
        <v>0.35029553348576581</v>
      </c>
      <c r="C567" s="6" t="s">
        <v>35</v>
      </c>
    </row>
    <row r="568" spans="1:3" x14ac:dyDescent="0.2">
      <c r="A568" s="6">
        <v>566</v>
      </c>
      <c r="B568" s="6">
        <f t="shared" ca="1" si="8"/>
        <v>0.60695779520317239</v>
      </c>
      <c r="C568" s="6" t="s">
        <v>34</v>
      </c>
    </row>
    <row r="569" spans="1:3" x14ac:dyDescent="0.2">
      <c r="A569" s="6">
        <v>567</v>
      </c>
      <c r="B569" s="6">
        <f t="shared" ca="1" si="8"/>
        <v>0.6920264445636809</v>
      </c>
      <c r="C569" s="6" t="s">
        <v>34</v>
      </c>
    </row>
    <row r="570" spans="1:3" x14ac:dyDescent="0.2">
      <c r="A570" s="6">
        <v>568</v>
      </c>
      <c r="B570" s="6">
        <f t="shared" ca="1" si="8"/>
        <v>0.75713687850029576</v>
      </c>
      <c r="C570" s="6" t="s">
        <v>34</v>
      </c>
    </row>
    <row r="571" spans="1:3" x14ac:dyDescent="0.2">
      <c r="A571" s="6">
        <v>569</v>
      </c>
      <c r="B571" s="6">
        <f t="shared" ca="1" si="8"/>
        <v>0.6553283862164313</v>
      </c>
      <c r="C571" s="6" t="s">
        <v>35</v>
      </c>
    </row>
    <row r="572" spans="1:3" x14ac:dyDescent="0.2">
      <c r="A572" s="6">
        <v>570</v>
      </c>
      <c r="B572" s="6">
        <f t="shared" ca="1" si="8"/>
        <v>0.76333061884345577</v>
      </c>
      <c r="C572" s="6" t="s">
        <v>34</v>
      </c>
    </row>
    <row r="573" spans="1:3" x14ac:dyDescent="0.2">
      <c r="A573" s="6">
        <v>571</v>
      </c>
      <c r="B573" s="6">
        <f t="shared" ca="1" si="8"/>
        <v>0.57294113233255795</v>
      </c>
      <c r="C573" s="6" t="s">
        <v>35</v>
      </c>
    </row>
    <row r="574" spans="1:3" x14ac:dyDescent="0.2">
      <c r="A574" s="6">
        <v>572</v>
      </c>
      <c r="B574" s="6">
        <f t="shared" ca="1" si="8"/>
        <v>0.74184636506694157</v>
      </c>
      <c r="C574" s="6" t="s">
        <v>34</v>
      </c>
    </row>
    <row r="575" spans="1:3" x14ac:dyDescent="0.2">
      <c r="A575" s="6">
        <v>573</v>
      </c>
      <c r="B575" s="6">
        <f t="shared" ca="1" si="8"/>
        <v>0.6488239612773703</v>
      </c>
      <c r="C575" s="6" t="s">
        <v>34</v>
      </c>
    </row>
    <row r="576" spans="1:3" x14ac:dyDescent="0.2">
      <c r="A576" s="6">
        <v>574</v>
      </c>
      <c r="B576" s="6">
        <f t="shared" ca="1" si="8"/>
        <v>0.57728528018673275</v>
      </c>
      <c r="C576" s="6" t="s">
        <v>34</v>
      </c>
    </row>
    <row r="577" spans="1:3" x14ac:dyDescent="0.2">
      <c r="A577" s="6">
        <v>575</v>
      </c>
      <c r="B577" s="6">
        <f t="shared" ca="1" si="8"/>
        <v>0.61851982464224831</v>
      </c>
      <c r="C577" s="6" t="s">
        <v>35</v>
      </c>
    </row>
    <row r="578" spans="1:3" x14ac:dyDescent="0.2">
      <c r="A578" s="6">
        <v>576</v>
      </c>
      <c r="B578" s="6">
        <f t="shared" ca="1" si="8"/>
        <v>0.75907403997003975</v>
      </c>
      <c r="C578" s="6" t="s">
        <v>35</v>
      </c>
    </row>
    <row r="579" spans="1:3" x14ac:dyDescent="0.2">
      <c r="A579" s="6">
        <v>577</v>
      </c>
      <c r="B579" s="6">
        <f t="shared" ca="1" si="8"/>
        <v>0.41920052054681112</v>
      </c>
      <c r="C579" s="6" t="s">
        <v>35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0.75032820936584399</v>
      </c>
      <c r="C580" s="6" t="s">
        <v>34</v>
      </c>
    </row>
    <row r="581" spans="1:3" x14ac:dyDescent="0.2">
      <c r="A581" s="6">
        <v>579</v>
      </c>
      <c r="B581" s="6">
        <f t="shared" ca="1" si="9"/>
        <v>0.7620923313691973</v>
      </c>
      <c r="C581" s="6" t="s">
        <v>34</v>
      </c>
    </row>
    <row r="582" spans="1:3" x14ac:dyDescent="0.2">
      <c r="A582" s="6">
        <v>580</v>
      </c>
      <c r="B582" s="6">
        <f t="shared" ca="1" si="9"/>
        <v>0.7318759114290615</v>
      </c>
      <c r="C582" s="6" t="s">
        <v>34</v>
      </c>
    </row>
    <row r="583" spans="1:3" x14ac:dyDescent="0.2">
      <c r="A583" s="6">
        <v>581</v>
      </c>
      <c r="B583" s="6">
        <f t="shared" ca="1" si="9"/>
        <v>0.65848424199077094</v>
      </c>
      <c r="C583" s="6" t="s">
        <v>35</v>
      </c>
    </row>
    <row r="584" spans="1:3" x14ac:dyDescent="0.2">
      <c r="A584" s="6">
        <v>582</v>
      </c>
      <c r="B584" s="6">
        <f t="shared" ca="1" si="9"/>
        <v>0.82598329817402361</v>
      </c>
      <c r="C584" s="6" t="s">
        <v>34</v>
      </c>
    </row>
    <row r="585" spans="1:3" x14ac:dyDescent="0.2">
      <c r="A585" s="6">
        <v>583</v>
      </c>
      <c r="B585" s="6">
        <f t="shared" ca="1" si="9"/>
        <v>0.71195067832992798</v>
      </c>
      <c r="C585" s="6" t="s">
        <v>35</v>
      </c>
    </row>
    <row r="586" spans="1:3" x14ac:dyDescent="0.2">
      <c r="A586" s="6">
        <v>584</v>
      </c>
      <c r="B586" s="6">
        <f t="shared" ca="1" si="9"/>
        <v>0.49463540061509215</v>
      </c>
      <c r="C586" s="6" t="s">
        <v>34</v>
      </c>
    </row>
    <row r="587" spans="1:3" x14ac:dyDescent="0.2">
      <c r="A587" s="6">
        <v>585</v>
      </c>
      <c r="B587" s="6">
        <f t="shared" ca="1" si="9"/>
        <v>0.921382201432841</v>
      </c>
      <c r="C587" s="6" t="s">
        <v>35</v>
      </c>
    </row>
    <row r="588" spans="1:3" x14ac:dyDescent="0.2">
      <c r="A588" s="6">
        <v>586</v>
      </c>
      <c r="B588" s="6">
        <f t="shared" ca="1" si="9"/>
        <v>0.3802685533304424</v>
      </c>
      <c r="C588" s="6" t="s">
        <v>35</v>
      </c>
    </row>
    <row r="589" spans="1:3" x14ac:dyDescent="0.2">
      <c r="A589" s="6">
        <v>587</v>
      </c>
      <c r="B589" s="6">
        <f t="shared" ca="1" si="9"/>
        <v>0.76227351828256651</v>
      </c>
      <c r="C589" s="6" t="s">
        <v>34</v>
      </c>
    </row>
    <row r="590" spans="1:3" x14ac:dyDescent="0.2">
      <c r="A590" s="6">
        <v>588</v>
      </c>
      <c r="B590" s="6">
        <f t="shared" ca="1" si="9"/>
        <v>0.75613297419442915</v>
      </c>
      <c r="C590" s="6" t="s">
        <v>35</v>
      </c>
    </row>
    <row r="591" spans="1:3" x14ac:dyDescent="0.2">
      <c r="A591" s="6">
        <v>589</v>
      </c>
      <c r="B591" s="6">
        <f t="shared" ca="1" si="9"/>
        <v>0.74029252875026841</v>
      </c>
      <c r="C591" s="6" t="s">
        <v>35</v>
      </c>
    </row>
    <row r="592" spans="1:3" x14ac:dyDescent="0.2">
      <c r="A592" s="6">
        <v>590</v>
      </c>
      <c r="B592" s="6">
        <f t="shared" ca="1" si="9"/>
        <v>0.55347434841687015</v>
      </c>
      <c r="C592" s="6" t="s">
        <v>34</v>
      </c>
    </row>
    <row r="593" spans="1:3" x14ac:dyDescent="0.2">
      <c r="A593" s="6">
        <v>591</v>
      </c>
      <c r="B593" s="6">
        <f t="shared" ca="1" si="9"/>
        <v>0.59561026460188005</v>
      </c>
      <c r="C593" s="6" t="s">
        <v>35</v>
      </c>
    </row>
    <row r="594" spans="1:3" x14ac:dyDescent="0.2">
      <c r="A594" s="6">
        <v>592</v>
      </c>
      <c r="B594" s="6">
        <f t="shared" ca="1" si="9"/>
        <v>0.73160002708656091</v>
      </c>
      <c r="C594" s="6" t="s">
        <v>34</v>
      </c>
    </row>
    <row r="595" spans="1:3" x14ac:dyDescent="0.2">
      <c r="A595" s="6">
        <v>593</v>
      </c>
      <c r="B595" s="6">
        <f t="shared" ca="1" si="9"/>
        <v>0.43534539050880694</v>
      </c>
      <c r="C595" s="6" t="s">
        <v>35</v>
      </c>
    </row>
    <row r="596" spans="1:3" x14ac:dyDescent="0.2">
      <c r="A596" s="6">
        <v>594</v>
      </c>
      <c r="B596" s="6">
        <f t="shared" ca="1" si="9"/>
        <v>0.82672493221957133</v>
      </c>
      <c r="C596" s="6" t="s">
        <v>34</v>
      </c>
    </row>
    <row r="597" spans="1:3" x14ac:dyDescent="0.2">
      <c r="A597" s="6">
        <v>595</v>
      </c>
      <c r="B597" s="6">
        <f t="shared" ca="1" si="9"/>
        <v>0.62985720953922097</v>
      </c>
      <c r="C597" s="6" t="s">
        <v>34</v>
      </c>
    </row>
    <row r="598" spans="1:3" x14ac:dyDescent="0.2">
      <c r="A598" s="6">
        <v>596</v>
      </c>
      <c r="B598" s="6">
        <f t="shared" ca="1" si="9"/>
        <v>0.83292164642175515</v>
      </c>
      <c r="C598" s="6" t="s">
        <v>34</v>
      </c>
    </row>
    <row r="599" spans="1:3" x14ac:dyDescent="0.2">
      <c r="A599" s="6">
        <v>597</v>
      </c>
      <c r="B599" s="6">
        <f t="shared" ca="1" si="9"/>
        <v>0.8205826920842596</v>
      </c>
      <c r="C599" s="6" t="s">
        <v>34</v>
      </c>
    </row>
    <row r="600" spans="1:3" x14ac:dyDescent="0.2">
      <c r="A600" s="6">
        <v>598</v>
      </c>
      <c r="B600" s="6">
        <f t="shared" ca="1" si="9"/>
        <v>0.49516198452069216</v>
      </c>
      <c r="C600" s="6" t="s">
        <v>35</v>
      </c>
    </row>
    <row r="601" spans="1:3" x14ac:dyDescent="0.2">
      <c r="A601" s="6">
        <v>599</v>
      </c>
      <c r="B601" s="6">
        <f t="shared" ca="1" si="9"/>
        <v>0.68968731284366569</v>
      </c>
      <c r="C601" s="6" t="s">
        <v>34</v>
      </c>
    </row>
    <row r="602" spans="1:3" x14ac:dyDescent="0.2">
      <c r="A602" s="6">
        <v>600</v>
      </c>
      <c r="B602" s="6">
        <f t="shared" ca="1" si="9"/>
        <v>0.70472993803474382</v>
      </c>
      <c r="C602" s="6" t="s">
        <v>34</v>
      </c>
    </row>
    <row r="603" spans="1:3" x14ac:dyDescent="0.2">
      <c r="A603" s="6">
        <v>601</v>
      </c>
      <c r="B603" s="6">
        <f t="shared" ca="1" si="9"/>
        <v>0.52442625922426078</v>
      </c>
      <c r="C603" s="6" t="s">
        <v>35</v>
      </c>
    </row>
    <row r="604" spans="1:3" x14ac:dyDescent="0.2">
      <c r="A604" s="6">
        <v>602</v>
      </c>
      <c r="B604" s="6">
        <f t="shared" ca="1" si="9"/>
        <v>0.68091002285625912</v>
      </c>
      <c r="C604" s="6" t="s">
        <v>35</v>
      </c>
    </row>
    <row r="605" spans="1:3" x14ac:dyDescent="0.2">
      <c r="A605" s="6">
        <v>603</v>
      </c>
      <c r="B605" s="6">
        <f t="shared" ca="1" si="9"/>
        <v>0.72229168504763763</v>
      </c>
      <c r="C605" s="6" t="s">
        <v>35</v>
      </c>
    </row>
    <row r="606" spans="1:3" x14ac:dyDescent="0.2">
      <c r="A606" s="6">
        <v>604</v>
      </c>
      <c r="B606" s="6">
        <f t="shared" ca="1" si="9"/>
        <v>0.70231326321254928</v>
      </c>
      <c r="C606" s="6" t="s">
        <v>34</v>
      </c>
    </row>
    <row r="607" spans="1:3" x14ac:dyDescent="0.2">
      <c r="A607" s="6">
        <v>605</v>
      </c>
      <c r="B607" s="6">
        <f t="shared" ca="1" si="9"/>
        <v>0.41700746925045507</v>
      </c>
      <c r="C607" s="6" t="s">
        <v>35</v>
      </c>
    </row>
    <row r="608" spans="1:3" x14ac:dyDescent="0.2">
      <c r="A608" s="6">
        <v>606</v>
      </c>
      <c r="B608" s="6">
        <f t="shared" ca="1" si="9"/>
        <v>0.70681876289362044</v>
      </c>
      <c r="C608" s="6" t="s">
        <v>34</v>
      </c>
    </row>
    <row r="609" spans="1:3" x14ac:dyDescent="0.2">
      <c r="A609" s="6">
        <v>607</v>
      </c>
      <c r="B609" s="6">
        <f t="shared" ca="1" si="9"/>
        <v>0.35054323287625333</v>
      </c>
      <c r="C609" s="6" t="s">
        <v>35</v>
      </c>
    </row>
    <row r="610" spans="1:3" x14ac:dyDescent="0.2">
      <c r="A610" s="6">
        <v>608</v>
      </c>
      <c r="B610" s="6">
        <f t="shared" ca="1" si="9"/>
        <v>0.76179617163892366</v>
      </c>
      <c r="C610" s="6" t="s">
        <v>34</v>
      </c>
    </row>
    <row r="611" spans="1:3" x14ac:dyDescent="0.2">
      <c r="A611" s="6">
        <v>609</v>
      </c>
      <c r="B611" s="6">
        <f t="shared" ca="1" si="9"/>
        <v>0.48718713647692102</v>
      </c>
      <c r="C611" s="6" t="s">
        <v>35</v>
      </c>
    </row>
    <row r="612" spans="1:3" x14ac:dyDescent="0.2">
      <c r="A612" s="6">
        <v>610</v>
      </c>
      <c r="B612" s="6">
        <f t="shared" ca="1" si="9"/>
        <v>0.9666058079820945</v>
      </c>
      <c r="C612" s="6" t="s">
        <v>35</v>
      </c>
    </row>
    <row r="613" spans="1:3" x14ac:dyDescent="0.2">
      <c r="A613" s="6">
        <v>611</v>
      </c>
      <c r="B613" s="6">
        <f t="shared" ca="1" si="9"/>
        <v>0.68386685931026336</v>
      </c>
      <c r="C613" s="6" t="s">
        <v>34</v>
      </c>
    </row>
    <row r="614" spans="1:3" x14ac:dyDescent="0.2">
      <c r="A614" s="6">
        <v>612</v>
      </c>
      <c r="B614" s="6">
        <f t="shared" ca="1" si="9"/>
        <v>0.72478843840298068</v>
      </c>
      <c r="C614" s="6" t="s">
        <v>34</v>
      </c>
    </row>
    <row r="615" spans="1:3" x14ac:dyDescent="0.2">
      <c r="A615" s="6">
        <v>613</v>
      </c>
      <c r="B615" s="6">
        <f t="shared" ca="1" si="9"/>
        <v>0.63511995311467084</v>
      </c>
      <c r="C615" s="6" t="s">
        <v>35</v>
      </c>
    </row>
    <row r="616" spans="1:3" x14ac:dyDescent="0.2">
      <c r="A616" s="6">
        <v>614</v>
      </c>
      <c r="B616" s="6">
        <f t="shared" ca="1" si="9"/>
        <v>0.48592678523323662</v>
      </c>
      <c r="C616" s="6" t="s">
        <v>35</v>
      </c>
    </row>
    <row r="617" spans="1:3" x14ac:dyDescent="0.2">
      <c r="A617" s="6">
        <v>615</v>
      </c>
      <c r="B617" s="6">
        <f t="shared" ca="1" si="9"/>
        <v>0.53650763630225273</v>
      </c>
      <c r="C617" s="6" t="s">
        <v>35</v>
      </c>
    </row>
    <row r="618" spans="1:3" x14ac:dyDescent="0.2">
      <c r="A618" s="6">
        <v>616</v>
      </c>
      <c r="B618" s="6">
        <f t="shared" ca="1" si="9"/>
        <v>0.65455663384448581</v>
      </c>
      <c r="C618" s="6" t="s">
        <v>34</v>
      </c>
    </row>
    <row r="619" spans="1:3" x14ac:dyDescent="0.2">
      <c r="A619" s="6">
        <v>617</v>
      </c>
      <c r="B619" s="6">
        <f t="shared" ca="1" si="9"/>
        <v>0.72363141009995735</v>
      </c>
      <c r="C619" s="6" t="s">
        <v>34</v>
      </c>
    </row>
    <row r="620" spans="1:3" x14ac:dyDescent="0.2">
      <c r="A620" s="6">
        <v>618</v>
      </c>
      <c r="B620" s="6">
        <f t="shared" ca="1" si="9"/>
        <v>0.63866749896800079</v>
      </c>
      <c r="C620" s="6" t="s">
        <v>34</v>
      </c>
    </row>
    <row r="621" spans="1:3" x14ac:dyDescent="0.2">
      <c r="A621" s="6">
        <v>619</v>
      </c>
      <c r="B621" s="6">
        <f t="shared" ca="1" si="9"/>
        <v>0.90343465175529225</v>
      </c>
      <c r="C621" s="6" t="s">
        <v>35</v>
      </c>
    </row>
    <row r="622" spans="1:3" x14ac:dyDescent="0.2">
      <c r="A622" s="6">
        <v>620</v>
      </c>
      <c r="B622" s="6">
        <f t="shared" ca="1" si="9"/>
        <v>0.51038762192132336</v>
      </c>
      <c r="C622" s="6" t="s">
        <v>35</v>
      </c>
    </row>
    <row r="623" spans="1:3" x14ac:dyDescent="0.2">
      <c r="A623" s="6">
        <v>621</v>
      </c>
      <c r="B623" s="6">
        <f t="shared" ca="1" si="9"/>
        <v>0.79015603581513338</v>
      </c>
      <c r="C623" s="6" t="s">
        <v>34</v>
      </c>
    </row>
    <row r="624" spans="1:3" x14ac:dyDescent="0.2">
      <c r="A624" s="6">
        <v>622</v>
      </c>
      <c r="B624" s="6">
        <f t="shared" ca="1" si="9"/>
        <v>0.64083278929195986</v>
      </c>
      <c r="C624" s="6" t="s">
        <v>34</v>
      </c>
    </row>
    <row r="625" spans="1:3" x14ac:dyDescent="0.2">
      <c r="A625" s="6">
        <v>623</v>
      </c>
      <c r="B625" s="6">
        <f t="shared" ca="1" si="9"/>
        <v>0.66971177233122581</v>
      </c>
      <c r="C625" s="6" t="s">
        <v>34</v>
      </c>
    </row>
    <row r="626" spans="1:3" x14ac:dyDescent="0.2">
      <c r="A626" s="6">
        <v>624</v>
      </c>
      <c r="B626" s="6">
        <f t="shared" ca="1" si="9"/>
        <v>0.89197854597002002</v>
      </c>
      <c r="C626" s="6" t="s">
        <v>35</v>
      </c>
    </row>
    <row r="627" spans="1:3" x14ac:dyDescent="0.2">
      <c r="A627" s="6">
        <v>625</v>
      </c>
      <c r="B627" s="6">
        <f t="shared" ca="1" si="9"/>
        <v>0.59630191627183771</v>
      </c>
      <c r="C627" s="6" t="s">
        <v>34</v>
      </c>
    </row>
    <row r="628" spans="1:3" x14ac:dyDescent="0.2">
      <c r="A628" s="6">
        <v>626</v>
      </c>
      <c r="B628" s="6">
        <f t="shared" ca="1" si="9"/>
        <v>0.59971393138702511</v>
      </c>
      <c r="C628" s="6" t="s">
        <v>35</v>
      </c>
    </row>
    <row r="629" spans="1:3" x14ac:dyDescent="0.2">
      <c r="A629" s="6">
        <v>627</v>
      </c>
      <c r="B629" s="6">
        <f t="shared" ca="1" si="9"/>
        <v>0.65209670544104525</v>
      </c>
      <c r="C629" s="6" t="s">
        <v>35</v>
      </c>
    </row>
    <row r="630" spans="1:3" x14ac:dyDescent="0.2">
      <c r="A630" s="6">
        <v>628</v>
      </c>
      <c r="B630" s="6">
        <f t="shared" ca="1" si="9"/>
        <v>0.74381164665205168</v>
      </c>
      <c r="C630" s="6" t="s">
        <v>35</v>
      </c>
    </row>
    <row r="631" spans="1:3" x14ac:dyDescent="0.2">
      <c r="A631" s="6">
        <v>629</v>
      </c>
      <c r="B631" s="6">
        <f t="shared" ca="1" si="9"/>
        <v>0.55838463448078857</v>
      </c>
      <c r="C631" s="6" t="s">
        <v>35</v>
      </c>
    </row>
    <row r="632" spans="1:3" x14ac:dyDescent="0.2">
      <c r="A632" s="6">
        <v>630</v>
      </c>
      <c r="B632" s="6">
        <f t="shared" ca="1" si="9"/>
        <v>0.83439579574711253</v>
      </c>
      <c r="C632" s="6" t="s">
        <v>34</v>
      </c>
    </row>
    <row r="633" spans="1:3" x14ac:dyDescent="0.2">
      <c r="A633" s="6">
        <v>631</v>
      </c>
      <c r="B633" s="6">
        <f t="shared" ca="1" si="9"/>
        <v>0.64665099124510683</v>
      </c>
      <c r="C633" s="6" t="s">
        <v>34</v>
      </c>
    </row>
    <row r="634" spans="1:3" x14ac:dyDescent="0.2">
      <c r="A634" s="6">
        <v>632</v>
      </c>
      <c r="B634" s="6">
        <f t="shared" ca="1" si="9"/>
        <v>0.62744513123392298</v>
      </c>
      <c r="C634" s="6" t="s">
        <v>35</v>
      </c>
    </row>
    <row r="635" spans="1:3" x14ac:dyDescent="0.2">
      <c r="A635" s="6">
        <v>633</v>
      </c>
      <c r="B635" s="6">
        <f t="shared" ca="1" si="9"/>
        <v>0.69508442387185698</v>
      </c>
      <c r="C635" s="6" t="s">
        <v>34</v>
      </c>
    </row>
    <row r="636" spans="1:3" x14ac:dyDescent="0.2">
      <c r="A636" s="6">
        <v>634</v>
      </c>
      <c r="B636" s="6">
        <f t="shared" ca="1" si="9"/>
        <v>0.70405523495627809</v>
      </c>
      <c r="C636" s="6" t="s">
        <v>34</v>
      </c>
    </row>
    <row r="637" spans="1:3" x14ac:dyDescent="0.2">
      <c r="A637" s="6">
        <v>635</v>
      </c>
      <c r="B637" s="6">
        <f t="shared" ca="1" si="9"/>
        <v>0.69178780976399401</v>
      </c>
      <c r="C637" s="6" t="s">
        <v>34</v>
      </c>
    </row>
    <row r="638" spans="1:3" x14ac:dyDescent="0.2">
      <c r="A638" s="6">
        <v>636</v>
      </c>
      <c r="B638" s="6">
        <f t="shared" ca="1" si="9"/>
        <v>0.70777464375774224</v>
      </c>
      <c r="C638" s="6" t="s">
        <v>35</v>
      </c>
    </row>
    <row r="639" spans="1:3" x14ac:dyDescent="0.2">
      <c r="A639" s="6">
        <v>637</v>
      </c>
      <c r="B639" s="6">
        <f t="shared" ca="1" si="9"/>
        <v>0.40769397362573112</v>
      </c>
      <c r="C639" s="6" t="s">
        <v>35</v>
      </c>
    </row>
    <row r="640" spans="1:3" x14ac:dyDescent="0.2">
      <c r="A640" s="6">
        <v>638</v>
      </c>
      <c r="B640" s="6">
        <f t="shared" ca="1" si="9"/>
        <v>0.65965999914090478</v>
      </c>
      <c r="C640" s="6" t="s">
        <v>34</v>
      </c>
    </row>
    <row r="641" spans="1:3" x14ac:dyDescent="0.2">
      <c r="A641" s="6">
        <v>639</v>
      </c>
      <c r="B641" s="6">
        <f t="shared" ca="1" si="9"/>
        <v>0.70953330399709436</v>
      </c>
      <c r="C641" s="6" t="s">
        <v>35</v>
      </c>
    </row>
    <row r="642" spans="1:3" x14ac:dyDescent="0.2">
      <c r="A642" s="6">
        <v>640</v>
      </c>
      <c r="B642" s="6">
        <f t="shared" ca="1" si="9"/>
        <v>0.80898731685508163</v>
      </c>
      <c r="C642" s="6" t="s">
        <v>34</v>
      </c>
    </row>
    <row r="643" spans="1:3" x14ac:dyDescent="0.2">
      <c r="A643" s="6">
        <v>641</v>
      </c>
      <c r="B643" s="6">
        <f t="shared" ca="1" si="9"/>
        <v>0.83909553197773801</v>
      </c>
      <c r="C643" s="6" t="s">
        <v>34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0.70974245709938333</v>
      </c>
      <c r="C644" s="6" t="s">
        <v>35</v>
      </c>
    </row>
    <row r="645" spans="1:3" x14ac:dyDescent="0.2">
      <c r="A645" s="6">
        <v>643</v>
      </c>
      <c r="B645" s="6">
        <f t="shared" ca="1" si="10"/>
        <v>0.76529131646971704</v>
      </c>
      <c r="C645" s="6" t="s">
        <v>34</v>
      </c>
    </row>
    <row r="646" spans="1:3" x14ac:dyDescent="0.2">
      <c r="A646" s="6">
        <v>644</v>
      </c>
      <c r="B646" s="6">
        <f t="shared" ca="1" si="10"/>
        <v>0.45683202950606616</v>
      </c>
      <c r="C646" s="6" t="s">
        <v>35</v>
      </c>
    </row>
    <row r="647" spans="1:3" x14ac:dyDescent="0.2">
      <c r="A647" s="6">
        <v>645</v>
      </c>
      <c r="B647" s="6">
        <f t="shared" ca="1" si="10"/>
        <v>0.62170092777111485</v>
      </c>
      <c r="C647" s="6" t="s">
        <v>35</v>
      </c>
    </row>
    <row r="648" spans="1:3" x14ac:dyDescent="0.2">
      <c r="A648" s="6">
        <v>646</v>
      </c>
      <c r="B648" s="6">
        <f t="shared" ca="1" si="10"/>
        <v>0.39957514304881947</v>
      </c>
      <c r="C648" s="6" t="s">
        <v>35</v>
      </c>
    </row>
    <row r="649" spans="1:3" x14ac:dyDescent="0.2">
      <c r="A649" s="6">
        <v>647</v>
      </c>
      <c r="B649" s="6">
        <f t="shared" ca="1" si="10"/>
        <v>0.75591017521735426</v>
      </c>
      <c r="C649" s="6" t="s">
        <v>34</v>
      </c>
    </row>
    <row r="650" spans="1:3" x14ac:dyDescent="0.2">
      <c r="A650" s="6">
        <v>648</v>
      </c>
      <c r="B650" s="6">
        <f t="shared" ca="1" si="10"/>
        <v>0.59047650073286251</v>
      </c>
      <c r="C650" s="6" t="s">
        <v>34</v>
      </c>
    </row>
    <row r="651" spans="1:3" x14ac:dyDescent="0.2">
      <c r="A651" s="6">
        <v>649</v>
      </c>
      <c r="B651" s="6">
        <f t="shared" ca="1" si="10"/>
        <v>0.73055162842051014</v>
      </c>
      <c r="C651" s="6" t="s">
        <v>34</v>
      </c>
    </row>
    <row r="652" spans="1:3" x14ac:dyDescent="0.2">
      <c r="A652" s="6">
        <v>650</v>
      </c>
      <c r="B652" s="6">
        <f t="shared" ca="1" si="10"/>
        <v>0.82083808350106491</v>
      </c>
      <c r="C652" s="6" t="s">
        <v>34</v>
      </c>
    </row>
    <row r="653" spans="1:3" x14ac:dyDescent="0.2">
      <c r="A653" s="6">
        <v>651</v>
      </c>
      <c r="B653" s="6">
        <f t="shared" ca="1" si="10"/>
        <v>0.47898156740968112</v>
      </c>
      <c r="C653" s="6" t="s">
        <v>35</v>
      </c>
    </row>
    <row r="654" spans="1:3" x14ac:dyDescent="0.2">
      <c r="A654" s="6">
        <v>652</v>
      </c>
      <c r="B654" s="6">
        <f t="shared" ca="1" si="10"/>
        <v>0.5980354516916857</v>
      </c>
      <c r="C654" s="6" t="s">
        <v>35</v>
      </c>
    </row>
    <row r="655" spans="1:3" x14ac:dyDescent="0.2">
      <c r="A655" s="6">
        <v>653</v>
      </c>
      <c r="B655" s="6">
        <f t="shared" ca="1" si="10"/>
        <v>0.39526286524879506</v>
      </c>
      <c r="C655" s="6" t="s">
        <v>35</v>
      </c>
    </row>
    <row r="656" spans="1:3" x14ac:dyDescent="0.2">
      <c r="A656" s="6">
        <v>654</v>
      </c>
      <c r="B656" s="6">
        <f t="shared" ca="1" si="10"/>
        <v>0.56067614144680711</v>
      </c>
      <c r="C656" s="6" t="s">
        <v>35</v>
      </c>
    </row>
    <row r="657" spans="1:3" x14ac:dyDescent="0.2">
      <c r="A657" s="6">
        <v>655</v>
      </c>
      <c r="B657" s="6">
        <f t="shared" ca="1" si="10"/>
        <v>0.52100215061061605</v>
      </c>
      <c r="C657" s="6" t="s">
        <v>35</v>
      </c>
    </row>
    <row r="658" spans="1:3" x14ac:dyDescent="0.2">
      <c r="A658" s="6">
        <v>656</v>
      </c>
      <c r="B658" s="6">
        <f t="shared" ca="1" si="10"/>
        <v>0.33260841767740457</v>
      </c>
      <c r="C658" s="6" t="s">
        <v>35</v>
      </c>
    </row>
    <row r="659" spans="1:3" x14ac:dyDescent="0.2">
      <c r="A659" s="6">
        <v>657</v>
      </c>
      <c r="B659" s="6">
        <f t="shared" ca="1" si="10"/>
        <v>0.84326612945839441</v>
      </c>
      <c r="C659" s="6" t="s">
        <v>34</v>
      </c>
    </row>
    <row r="660" spans="1:3" x14ac:dyDescent="0.2">
      <c r="A660" s="6">
        <v>658</v>
      </c>
      <c r="B660" s="6">
        <f t="shared" ca="1" si="10"/>
        <v>0.58960526778015576</v>
      </c>
      <c r="C660" s="6" t="s">
        <v>35</v>
      </c>
    </row>
    <row r="661" spans="1:3" x14ac:dyDescent="0.2">
      <c r="A661" s="6">
        <v>659</v>
      </c>
      <c r="B661" s="6">
        <f t="shared" ca="1" si="10"/>
        <v>0.6904263471939881</v>
      </c>
      <c r="C661" s="6" t="s">
        <v>34</v>
      </c>
    </row>
    <row r="662" spans="1:3" x14ac:dyDescent="0.2">
      <c r="A662" s="6">
        <v>660</v>
      </c>
      <c r="B662" s="6">
        <f t="shared" ca="1" si="10"/>
        <v>0.43568504695675436</v>
      </c>
      <c r="C662" s="6" t="s">
        <v>35</v>
      </c>
    </row>
    <row r="663" spans="1:3" x14ac:dyDescent="0.2">
      <c r="A663" s="6">
        <v>661</v>
      </c>
      <c r="B663" s="6">
        <f t="shared" ca="1" si="10"/>
        <v>0.79690537683434992</v>
      </c>
      <c r="C663" s="6" t="s">
        <v>34</v>
      </c>
    </row>
    <row r="664" spans="1:3" x14ac:dyDescent="0.2">
      <c r="A664" s="6">
        <v>662</v>
      </c>
      <c r="B664" s="6">
        <f t="shared" ca="1" si="10"/>
        <v>0.53689290211208285</v>
      </c>
      <c r="C664" s="6" t="s">
        <v>35</v>
      </c>
    </row>
    <row r="665" spans="1:3" x14ac:dyDescent="0.2">
      <c r="A665" s="6">
        <v>663</v>
      </c>
      <c r="B665" s="6">
        <f t="shared" ca="1" si="10"/>
        <v>0.67673017988660167</v>
      </c>
      <c r="C665" s="6" t="s">
        <v>35</v>
      </c>
    </row>
    <row r="666" spans="1:3" x14ac:dyDescent="0.2">
      <c r="A666" s="6">
        <v>664</v>
      </c>
      <c r="B666" s="6">
        <f t="shared" ca="1" si="10"/>
        <v>0.68958850465163835</v>
      </c>
      <c r="C666" s="6" t="s">
        <v>34</v>
      </c>
    </row>
    <row r="667" spans="1:3" x14ac:dyDescent="0.2">
      <c r="A667" s="6">
        <v>665</v>
      </c>
      <c r="B667" s="6">
        <f t="shared" ca="1" si="10"/>
        <v>0.58917513757449302</v>
      </c>
      <c r="C667" s="6" t="s">
        <v>35</v>
      </c>
    </row>
    <row r="668" spans="1:3" x14ac:dyDescent="0.2">
      <c r="A668" s="6">
        <v>666</v>
      </c>
      <c r="B668" s="6">
        <f t="shared" ca="1" si="10"/>
        <v>0.67934134371996502</v>
      </c>
      <c r="C668" s="6" t="s">
        <v>35</v>
      </c>
    </row>
    <row r="669" spans="1:3" x14ac:dyDescent="0.2">
      <c r="A669" s="6">
        <v>667</v>
      </c>
      <c r="B669" s="6">
        <f t="shared" ca="1" si="10"/>
        <v>0.6720269370327584</v>
      </c>
      <c r="C669" s="6" t="s">
        <v>34</v>
      </c>
    </row>
    <row r="670" spans="1:3" x14ac:dyDescent="0.2">
      <c r="A670" s="6">
        <v>668</v>
      </c>
      <c r="B670" s="6">
        <f t="shared" ca="1" si="10"/>
        <v>0.68711314761648301</v>
      </c>
      <c r="C670" s="6" t="s">
        <v>35</v>
      </c>
    </row>
    <row r="671" spans="1:3" x14ac:dyDescent="0.2">
      <c r="A671" s="6">
        <v>669</v>
      </c>
      <c r="B671" s="6">
        <f t="shared" ca="1" si="10"/>
        <v>0.20991425310690753</v>
      </c>
      <c r="C671" s="6" t="s">
        <v>35</v>
      </c>
    </row>
    <row r="672" spans="1:3" x14ac:dyDescent="0.2">
      <c r="A672" s="6">
        <v>670</v>
      </c>
      <c r="B672" s="6">
        <f t="shared" ca="1" si="10"/>
        <v>0.47789501846902416</v>
      </c>
      <c r="C672" s="6" t="s">
        <v>35</v>
      </c>
    </row>
    <row r="673" spans="1:3" x14ac:dyDescent="0.2">
      <c r="A673" s="6">
        <v>671</v>
      </c>
      <c r="B673" s="6">
        <f t="shared" ca="1" si="10"/>
        <v>0.80156239275009422</v>
      </c>
      <c r="C673" s="6" t="s">
        <v>35</v>
      </c>
    </row>
    <row r="674" spans="1:3" x14ac:dyDescent="0.2">
      <c r="A674" s="6">
        <v>672</v>
      </c>
      <c r="B674" s="6">
        <f t="shared" ca="1" si="10"/>
        <v>0.51707456443838162</v>
      </c>
      <c r="C674" s="6" t="s">
        <v>35</v>
      </c>
    </row>
    <row r="675" spans="1:3" x14ac:dyDescent="0.2">
      <c r="A675" s="6">
        <v>673</v>
      </c>
      <c r="B675" s="6">
        <f t="shared" ca="1" si="10"/>
        <v>0.45771123512807033</v>
      </c>
      <c r="C675" s="6" t="s">
        <v>35</v>
      </c>
    </row>
    <row r="676" spans="1:3" x14ac:dyDescent="0.2">
      <c r="A676" s="6">
        <v>674</v>
      </c>
      <c r="B676" s="6">
        <f t="shared" ca="1" si="10"/>
        <v>0.67265191206995767</v>
      </c>
      <c r="C676" s="6" t="s">
        <v>34</v>
      </c>
    </row>
    <row r="677" spans="1:3" x14ac:dyDescent="0.2">
      <c r="A677" s="6">
        <v>675</v>
      </c>
      <c r="B677" s="6">
        <f t="shared" ca="1" si="10"/>
        <v>0.57979932838248649</v>
      </c>
      <c r="C677" s="6" t="s">
        <v>35</v>
      </c>
    </row>
    <row r="678" spans="1:3" x14ac:dyDescent="0.2">
      <c r="A678" s="6">
        <v>676</v>
      </c>
      <c r="B678" s="6">
        <f t="shared" ca="1" si="10"/>
        <v>0.63374776606615546</v>
      </c>
      <c r="C678" s="6" t="s">
        <v>34</v>
      </c>
    </row>
    <row r="679" spans="1:3" x14ac:dyDescent="0.2">
      <c r="A679" s="6">
        <v>677</v>
      </c>
      <c r="B679" s="6">
        <f t="shared" ca="1" si="10"/>
        <v>0.40459575734045861</v>
      </c>
      <c r="C679" s="6" t="s">
        <v>35</v>
      </c>
    </row>
    <row r="680" spans="1:3" x14ac:dyDescent="0.2">
      <c r="A680" s="6">
        <v>678</v>
      </c>
      <c r="B680" s="6">
        <f t="shared" ca="1" si="10"/>
        <v>0.53135486749112115</v>
      </c>
      <c r="C680" s="6" t="s">
        <v>34</v>
      </c>
    </row>
    <row r="681" spans="1:3" x14ac:dyDescent="0.2">
      <c r="A681" s="6">
        <v>679</v>
      </c>
      <c r="B681" s="6">
        <f t="shared" ca="1" si="10"/>
        <v>0.6478661987184785</v>
      </c>
      <c r="C681" s="6" t="s">
        <v>35</v>
      </c>
    </row>
    <row r="682" spans="1:3" x14ac:dyDescent="0.2">
      <c r="A682" s="6">
        <v>680</v>
      </c>
      <c r="B682" s="6">
        <f t="shared" ca="1" si="10"/>
        <v>0.72052184525203888</v>
      </c>
      <c r="C682" s="6" t="s">
        <v>35</v>
      </c>
    </row>
    <row r="683" spans="1:3" x14ac:dyDescent="0.2">
      <c r="A683" s="6">
        <v>681</v>
      </c>
      <c r="B683" s="6">
        <f t="shared" ca="1" si="10"/>
        <v>0.46902219212583374</v>
      </c>
      <c r="C683" s="6" t="s">
        <v>35</v>
      </c>
    </row>
    <row r="684" spans="1:3" x14ac:dyDescent="0.2">
      <c r="A684" s="6">
        <v>682</v>
      </c>
      <c r="B684" s="6">
        <f t="shared" ca="1" si="10"/>
        <v>0.71373451051865811</v>
      </c>
      <c r="C684" s="6" t="s">
        <v>35</v>
      </c>
    </row>
    <row r="685" spans="1:3" x14ac:dyDescent="0.2">
      <c r="A685" s="6">
        <v>683</v>
      </c>
      <c r="B685" s="6">
        <f t="shared" ca="1" si="10"/>
        <v>0.97407366102990323</v>
      </c>
      <c r="C685" s="6" t="s">
        <v>35</v>
      </c>
    </row>
    <row r="686" spans="1:3" x14ac:dyDescent="0.2">
      <c r="A686" s="6">
        <v>684</v>
      </c>
      <c r="B686" s="6">
        <f t="shared" ca="1" si="10"/>
        <v>0.67184125504906189</v>
      </c>
      <c r="C686" s="6" t="s">
        <v>35</v>
      </c>
    </row>
    <row r="687" spans="1:3" x14ac:dyDescent="0.2">
      <c r="A687" s="6">
        <v>685</v>
      </c>
      <c r="B687" s="6">
        <f t="shared" ca="1" si="10"/>
        <v>0.63977661185957257</v>
      </c>
      <c r="C687" s="6" t="s">
        <v>34</v>
      </c>
    </row>
    <row r="688" spans="1:3" x14ac:dyDescent="0.2">
      <c r="A688" s="6">
        <v>686</v>
      </c>
      <c r="B688" s="6">
        <f t="shared" ca="1" si="10"/>
        <v>0.68283727310422171</v>
      </c>
      <c r="C688" s="6" t="s">
        <v>35</v>
      </c>
    </row>
    <row r="689" spans="1:3" x14ac:dyDescent="0.2">
      <c r="A689" s="6">
        <v>687</v>
      </c>
      <c r="B689" s="6">
        <f t="shared" ca="1" si="10"/>
        <v>0.65005574961937573</v>
      </c>
      <c r="C689" s="6" t="s">
        <v>35</v>
      </c>
    </row>
    <row r="690" spans="1:3" x14ac:dyDescent="0.2">
      <c r="A690" s="6">
        <v>688</v>
      </c>
      <c r="B690" s="6">
        <f t="shared" ca="1" si="10"/>
        <v>0.4660541177200791</v>
      </c>
      <c r="C690" s="6" t="s">
        <v>35</v>
      </c>
    </row>
    <row r="691" spans="1:3" x14ac:dyDescent="0.2">
      <c r="A691" s="6">
        <v>689</v>
      </c>
      <c r="B691" s="6">
        <f t="shared" ca="1" si="10"/>
        <v>0.40259105807034734</v>
      </c>
      <c r="C691" s="6" t="s">
        <v>35</v>
      </c>
    </row>
    <row r="692" spans="1:3" x14ac:dyDescent="0.2">
      <c r="A692" s="6">
        <v>690</v>
      </c>
      <c r="B692" s="6">
        <f t="shared" ca="1" si="10"/>
        <v>0.59106536629325135</v>
      </c>
      <c r="C692" s="6" t="s">
        <v>34</v>
      </c>
    </row>
    <row r="693" spans="1:3" x14ac:dyDescent="0.2">
      <c r="A693" s="6">
        <v>691</v>
      </c>
      <c r="B693" s="6">
        <f t="shared" ca="1" si="10"/>
        <v>0.79398416401920713</v>
      </c>
      <c r="C693" s="6" t="s">
        <v>34</v>
      </c>
    </row>
    <row r="694" spans="1:3" x14ac:dyDescent="0.2">
      <c r="A694" s="6">
        <v>692</v>
      </c>
      <c r="B694" s="6">
        <f t="shared" ca="1" si="10"/>
        <v>0.60209718940403079</v>
      </c>
      <c r="C694" s="6" t="s">
        <v>34</v>
      </c>
    </row>
    <row r="695" spans="1:3" x14ac:dyDescent="0.2">
      <c r="A695" s="6">
        <v>693</v>
      </c>
      <c r="B695" s="6">
        <f t="shared" ca="1" si="10"/>
        <v>0.54945606780998502</v>
      </c>
      <c r="C695" s="6" t="s">
        <v>34</v>
      </c>
    </row>
    <row r="696" spans="1:3" x14ac:dyDescent="0.2">
      <c r="A696" s="6">
        <v>694</v>
      </c>
      <c r="B696" s="6">
        <f t="shared" ca="1" si="10"/>
        <v>0.59270134214391557</v>
      </c>
      <c r="C696" s="6" t="s">
        <v>35</v>
      </c>
    </row>
    <row r="697" spans="1:3" x14ac:dyDescent="0.2">
      <c r="A697" s="6">
        <v>695</v>
      </c>
      <c r="B697" s="6">
        <f t="shared" ca="1" si="10"/>
        <v>0.31649836342483845</v>
      </c>
      <c r="C697" s="6" t="s">
        <v>35</v>
      </c>
    </row>
    <row r="698" spans="1:3" x14ac:dyDescent="0.2">
      <c r="A698" s="6">
        <v>696</v>
      </c>
      <c r="B698" s="6">
        <f t="shared" ca="1" si="10"/>
        <v>0.56325392548223607</v>
      </c>
      <c r="C698" s="6" t="s">
        <v>35</v>
      </c>
    </row>
    <row r="699" spans="1:3" x14ac:dyDescent="0.2">
      <c r="A699" s="6">
        <v>697</v>
      </c>
      <c r="B699" s="6">
        <f t="shared" ca="1" si="10"/>
        <v>0.53738098339291607</v>
      </c>
      <c r="C699" s="6" t="s">
        <v>35</v>
      </c>
    </row>
    <row r="700" spans="1:3" x14ac:dyDescent="0.2">
      <c r="A700" s="6">
        <v>698</v>
      </c>
      <c r="B700" s="6">
        <f t="shared" ca="1" si="10"/>
        <v>0.78368505880487782</v>
      </c>
      <c r="C700" s="6" t="s">
        <v>34</v>
      </c>
    </row>
    <row r="701" spans="1:3" x14ac:dyDescent="0.2">
      <c r="A701" s="6">
        <v>699</v>
      </c>
      <c r="B701" s="6">
        <f t="shared" ca="1" si="10"/>
        <v>0.6088937998888152</v>
      </c>
      <c r="C701" s="6" t="s">
        <v>35</v>
      </c>
    </row>
    <row r="702" spans="1:3" x14ac:dyDescent="0.2">
      <c r="A702" s="6">
        <v>700</v>
      </c>
      <c r="B702" s="6">
        <f t="shared" ca="1" si="10"/>
        <v>0.54510915726331144</v>
      </c>
      <c r="C702" s="6" t="s">
        <v>35</v>
      </c>
    </row>
    <row r="703" spans="1:3" x14ac:dyDescent="0.2">
      <c r="A703" s="6">
        <v>701</v>
      </c>
      <c r="B703" s="6">
        <f t="shared" ca="1" si="10"/>
        <v>0.64072819332120123</v>
      </c>
      <c r="C703" s="6" t="s">
        <v>35</v>
      </c>
    </row>
    <row r="704" spans="1:3" x14ac:dyDescent="0.2">
      <c r="A704" s="6">
        <v>702</v>
      </c>
      <c r="B704" s="6">
        <f t="shared" ca="1" si="10"/>
        <v>0.3583261247842674</v>
      </c>
      <c r="C704" s="6" t="s">
        <v>35</v>
      </c>
    </row>
    <row r="705" spans="1:3" x14ac:dyDescent="0.2">
      <c r="A705" s="6">
        <v>703</v>
      </c>
      <c r="B705" s="6">
        <f t="shared" ca="1" si="10"/>
        <v>0.75901855354487546</v>
      </c>
      <c r="C705" s="6" t="s">
        <v>34</v>
      </c>
    </row>
    <row r="706" spans="1:3" x14ac:dyDescent="0.2">
      <c r="A706" s="6">
        <v>704</v>
      </c>
      <c r="B706" s="6">
        <f t="shared" ca="1" si="10"/>
        <v>0.72252540274952848</v>
      </c>
      <c r="C706" s="6" t="s">
        <v>34</v>
      </c>
    </row>
    <row r="707" spans="1:3" x14ac:dyDescent="0.2">
      <c r="A707" s="6">
        <v>705</v>
      </c>
      <c r="B707" s="6">
        <f t="shared" ca="1" si="10"/>
        <v>0.22744421381887248</v>
      </c>
      <c r="C707" s="6" t="s">
        <v>35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0.82391380959069638</v>
      </c>
      <c r="C708" s="6" t="s">
        <v>35</v>
      </c>
    </row>
    <row r="709" spans="1:3" x14ac:dyDescent="0.2">
      <c r="A709" s="6">
        <v>707</v>
      </c>
      <c r="B709" s="6">
        <f t="shared" ca="1" si="11"/>
        <v>0.56835550030375714</v>
      </c>
      <c r="C709" s="6" t="s">
        <v>35</v>
      </c>
    </row>
    <row r="710" spans="1:3" x14ac:dyDescent="0.2">
      <c r="A710" s="6">
        <v>708</v>
      </c>
      <c r="B710" s="6">
        <f t="shared" ca="1" si="11"/>
        <v>0.59670223055976468</v>
      </c>
      <c r="C710" s="6" t="s">
        <v>34</v>
      </c>
    </row>
    <row r="711" spans="1:3" x14ac:dyDescent="0.2">
      <c r="A711" s="6">
        <v>709</v>
      </c>
      <c r="B711" s="6">
        <f t="shared" ca="1" si="11"/>
        <v>0.70284593632918768</v>
      </c>
      <c r="C711" s="6" t="s">
        <v>34</v>
      </c>
    </row>
    <row r="712" spans="1:3" x14ac:dyDescent="0.2">
      <c r="A712" s="6">
        <v>710</v>
      </c>
      <c r="B712" s="6">
        <f t="shared" ca="1" si="11"/>
        <v>0.67266637572606613</v>
      </c>
      <c r="C712" s="6" t="s">
        <v>34</v>
      </c>
    </row>
    <row r="713" spans="1:3" x14ac:dyDescent="0.2">
      <c r="A713" s="6">
        <v>711</v>
      </c>
      <c r="B713" s="6">
        <f t="shared" ca="1" si="11"/>
        <v>0.7452228274383832</v>
      </c>
      <c r="C713" s="6" t="s">
        <v>35</v>
      </c>
    </row>
    <row r="714" spans="1:3" x14ac:dyDescent="0.2">
      <c r="A714" s="6">
        <v>712</v>
      </c>
      <c r="B714" s="6">
        <f t="shared" ca="1" si="11"/>
        <v>0.6847302191696566</v>
      </c>
      <c r="C714" s="6" t="s">
        <v>34</v>
      </c>
    </row>
    <row r="715" spans="1:3" x14ac:dyDescent="0.2">
      <c r="A715" s="6">
        <v>713</v>
      </c>
      <c r="B715" s="6">
        <f t="shared" ca="1" si="11"/>
        <v>0.53943561341969526</v>
      </c>
      <c r="C715" s="6" t="s">
        <v>35</v>
      </c>
    </row>
    <row r="716" spans="1:3" x14ac:dyDescent="0.2">
      <c r="A716" s="6">
        <v>714</v>
      </c>
      <c r="B716" s="6">
        <f t="shared" ca="1" si="11"/>
        <v>0.38632388563543002</v>
      </c>
      <c r="C716" s="6" t="s">
        <v>35</v>
      </c>
    </row>
    <row r="717" spans="1:3" x14ac:dyDescent="0.2">
      <c r="A717" s="6">
        <v>715</v>
      </c>
      <c r="B717" s="6">
        <f t="shared" ca="1" si="11"/>
        <v>0.6375725288921118</v>
      </c>
      <c r="C717" s="6" t="s">
        <v>35</v>
      </c>
    </row>
    <row r="718" spans="1:3" x14ac:dyDescent="0.2">
      <c r="A718" s="6">
        <v>716</v>
      </c>
      <c r="B718" s="6">
        <f t="shared" ca="1" si="11"/>
        <v>0.81624746807889059</v>
      </c>
      <c r="C718" s="6" t="s">
        <v>34</v>
      </c>
    </row>
    <row r="719" spans="1:3" x14ac:dyDescent="0.2">
      <c r="A719" s="6">
        <v>717</v>
      </c>
      <c r="B719" s="6">
        <f t="shared" ca="1" si="11"/>
        <v>0.5893383176465703</v>
      </c>
      <c r="C719" s="6" t="s">
        <v>35</v>
      </c>
    </row>
    <row r="720" spans="1:3" x14ac:dyDescent="0.2">
      <c r="A720" s="6">
        <v>718</v>
      </c>
      <c r="B720" s="6">
        <f t="shared" ca="1" si="11"/>
        <v>0.80142235442033583</v>
      </c>
      <c r="C720" s="6" t="s">
        <v>35</v>
      </c>
    </row>
    <row r="721" spans="1:3" x14ac:dyDescent="0.2">
      <c r="A721" s="6">
        <v>719</v>
      </c>
      <c r="B721" s="6">
        <f t="shared" ca="1" si="11"/>
        <v>0.45296268683055579</v>
      </c>
      <c r="C721" s="6" t="s">
        <v>35</v>
      </c>
    </row>
    <row r="722" spans="1:3" x14ac:dyDescent="0.2">
      <c r="A722" s="6">
        <v>720</v>
      </c>
      <c r="B722" s="6">
        <f t="shared" ca="1" si="11"/>
        <v>0.73175623532430356</v>
      </c>
      <c r="C722" s="6" t="s">
        <v>35</v>
      </c>
    </row>
    <row r="723" spans="1:3" x14ac:dyDescent="0.2">
      <c r="A723" s="6">
        <v>721</v>
      </c>
      <c r="B723" s="6">
        <f t="shared" ca="1" si="11"/>
        <v>0.65251238165654202</v>
      </c>
      <c r="C723" s="6" t="s">
        <v>34</v>
      </c>
    </row>
    <row r="724" spans="1:3" x14ac:dyDescent="0.2">
      <c r="A724" s="6">
        <v>722</v>
      </c>
      <c r="B724" s="6">
        <f t="shared" ca="1" si="11"/>
        <v>0.80127996174528882</v>
      </c>
      <c r="C724" s="6" t="s">
        <v>35</v>
      </c>
    </row>
    <row r="725" spans="1:3" x14ac:dyDescent="0.2">
      <c r="A725" s="6">
        <v>723</v>
      </c>
      <c r="B725" s="6">
        <f t="shared" ca="1" si="11"/>
        <v>0.85828943679868108</v>
      </c>
      <c r="C725" s="6" t="s">
        <v>34</v>
      </c>
    </row>
    <row r="726" spans="1:3" x14ac:dyDescent="0.2">
      <c r="A726" s="6">
        <v>724</v>
      </c>
      <c r="B726" s="6">
        <f t="shared" ca="1" si="11"/>
        <v>0.60423881741299268</v>
      </c>
      <c r="C726" s="6" t="s">
        <v>34</v>
      </c>
    </row>
    <row r="727" spans="1:3" x14ac:dyDescent="0.2">
      <c r="A727" s="6">
        <v>725</v>
      </c>
      <c r="B727" s="6">
        <f t="shared" ca="1" si="11"/>
        <v>0.81681389714013242</v>
      </c>
      <c r="C727" s="6" t="s">
        <v>35</v>
      </c>
    </row>
    <row r="728" spans="1:3" x14ac:dyDescent="0.2">
      <c r="A728" s="6">
        <v>726</v>
      </c>
      <c r="B728" s="6">
        <f t="shared" ca="1" si="11"/>
        <v>0.63177018395763329</v>
      </c>
      <c r="C728" s="6" t="s">
        <v>35</v>
      </c>
    </row>
    <row r="729" spans="1:3" x14ac:dyDescent="0.2">
      <c r="A729" s="6">
        <v>727</v>
      </c>
      <c r="B729" s="6">
        <f t="shared" ca="1" si="11"/>
        <v>0.92623585587916524</v>
      </c>
      <c r="C729" s="6" t="s">
        <v>34</v>
      </c>
    </row>
    <row r="730" spans="1:3" x14ac:dyDescent="0.2">
      <c r="A730" s="6">
        <v>728</v>
      </c>
      <c r="B730" s="6">
        <f t="shared" ca="1" si="11"/>
        <v>0.63370312962357078</v>
      </c>
      <c r="C730" s="6" t="s">
        <v>35</v>
      </c>
    </row>
    <row r="731" spans="1:3" x14ac:dyDescent="0.2">
      <c r="A731" s="6">
        <v>729</v>
      </c>
      <c r="B731" s="6">
        <f t="shared" ca="1" si="11"/>
        <v>0.79923500486082033</v>
      </c>
      <c r="C731" s="6" t="s">
        <v>34</v>
      </c>
    </row>
    <row r="732" spans="1:3" x14ac:dyDescent="0.2">
      <c r="A732" s="6">
        <v>730</v>
      </c>
      <c r="B732" s="6">
        <f t="shared" ca="1" si="11"/>
        <v>0.77798400622661634</v>
      </c>
      <c r="C732" s="6" t="s">
        <v>34</v>
      </c>
    </row>
    <row r="733" spans="1:3" x14ac:dyDescent="0.2">
      <c r="A733" s="6">
        <v>731</v>
      </c>
      <c r="B733" s="6">
        <f t="shared" ca="1" si="11"/>
        <v>0.69871755297066263</v>
      </c>
      <c r="C733" s="6" t="s">
        <v>34</v>
      </c>
    </row>
    <row r="734" spans="1:3" x14ac:dyDescent="0.2">
      <c r="A734" s="6">
        <v>732</v>
      </c>
      <c r="B734" s="6">
        <f t="shared" ca="1" si="11"/>
        <v>0.72861926374765229</v>
      </c>
      <c r="C734" s="6" t="s">
        <v>35</v>
      </c>
    </row>
    <row r="735" spans="1:3" x14ac:dyDescent="0.2">
      <c r="A735" s="6">
        <v>733</v>
      </c>
      <c r="B735" s="6">
        <f t="shared" ca="1" si="11"/>
        <v>0.48549383030053406</v>
      </c>
      <c r="C735" s="6" t="s">
        <v>35</v>
      </c>
    </row>
    <row r="736" spans="1:3" x14ac:dyDescent="0.2">
      <c r="A736" s="6">
        <v>734</v>
      </c>
      <c r="B736" s="6">
        <f t="shared" ca="1" si="11"/>
        <v>0.43502917075826586</v>
      </c>
      <c r="C736" s="6" t="s">
        <v>35</v>
      </c>
    </row>
    <row r="737" spans="1:3" x14ac:dyDescent="0.2">
      <c r="A737" s="6">
        <v>735</v>
      </c>
      <c r="B737" s="6">
        <f t="shared" ca="1" si="11"/>
        <v>0.63356632759861831</v>
      </c>
      <c r="C737" s="6" t="s">
        <v>34</v>
      </c>
    </row>
    <row r="738" spans="1:3" x14ac:dyDescent="0.2">
      <c r="A738" s="6">
        <v>736</v>
      </c>
      <c r="B738" s="6">
        <f t="shared" ca="1" si="11"/>
        <v>0.85480988565579352</v>
      </c>
      <c r="C738" s="6" t="s">
        <v>34</v>
      </c>
    </row>
    <row r="739" spans="1:3" x14ac:dyDescent="0.2">
      <c r="A739" s="6">
        <v>737</v>
      </c>
      <c r="B739" s="6">
        <f t="shared" ca="1" si="11"/>
        <v>0.65432563162888513</v>
      </c>
      <c r="C739" s="6" t="s">
        <v>35</v>
      </c>
    </row>
    <row r="740" spans="1:3" x14ac:dyDescent="0.2">
      <c r="A740" s="6">
        <v>738</v>
      </c>
      <c r="B740" s="6">
        <f t="shared" ca="1" si="11"/>
        <v>0.66345324934034344</v>
      </c>
      <c r="C740" s="6" t="s">
        <v>35</v>
      </c>
    </row>
    <row r="741" spans="1:3" x14ac:dyDescent="0.2">
      <c r="A741" s="6">
        <v>739</v>
      </c>
      <c r="B741" s="6">
        <f t="shared" ca="1" si="11"/>
        <v>0.94194110429222389</v>
      </c>
      <c r="C741" s="6" t="s">
        <v>34</v>
      </c>
    </row>
    <row r="742" spans="1:3" x14ac:dyDescent="0.2">
      <c r="A742" s="6">
        <v>740</v>
      </c>
      <c r="B742" s="6">
        <f t="shared" ca="1" si="11"/>
        <v>0.67622854337817118</v>
      </c>
      <c r="C742" s="6" t="s">
        <v>35</v>
      </c>
    </row>
    <row r="743" spans="1:3" x14ac:dyDescent="0.2">
      <c r="A743" s="6">
        <v>741</v>
      </c>
      <c r="B743" s="6">
        <f t="shared" ca="1" si="11"/>
        <v>0.66644727834328599</v>
      </c>
      <c r="C743" s="6" t="s">
        <v>35</v>
      </c>
    </row>
    <row r="744" spans="1:3" x14ac:dyDescent="0.2">
      <c r="A744" s="6">
        <v>742</v>
      </c>
      <c r="B744" s="6">
        <f t="shared" ca="1" si="11"/>
        <v>0.64149361731681176</v>
      </c>
      <c r="C744" s="6" t="s">
        <v>35</v>
      </c>
    </row>
    <row r="745" spans="1:3" x14ac:dyDescent="0.2">
      <c r="A745" s="6">
        <v>743</v>
      </c>
      <c r="B745" s="6">
        <f t="shared" ca="1" si="11"/>
        <v>0.3645326221967643</v>
      </c>
      <c r="C745" s="6" t="s">
        <v>35</v>
      </c>
    </row>
    <row r="746" spans="1:3" x14ac:dyDescent="0.2">
      <c r="A746" s="6">
        <v>744</v>
      </c>
      <c r="B746" s="6">
        <f t="shared" ca="1" si="11"/>
        <v>0.64775924702894749</v>
      </c>
      <c r="C746" s="6" t="s">
        <v>35</v>
      </c>
    </row>
    <row r="747" spans="1:3" x14ac:dyDescent="0.2">
      <c r="A747" s="6">
        <v>745</v>
      </c>
      <c r="B747" s="6">
        <f t="shared" ca="1" si="11"/>
        <v>0.55833604554197991</v>
      </c>
      <c r="C747" s="6" t="s">
        <v>35</v>
      </c>
    </row>
    <row r="748" spans="1:3" x14ac:dyDescent="0.2">
      <c r="A748" s="6">
        <v>746</v>
      </c>
      <c r="B748" s="6">
        <f t="shared" ca="1" si="11"/>
        <v>0.71483229598770082</v>
      </c>
      <c r="C748" s="6" t="s">
        <v>34</v>
      </c>
    </row>
    <row r="749" spans="1:3" x14ac:dyDescent="0.2">
      <c r="A749" s="6">
        <v>747</v>
      </c>
      <c r="B749" s="6">
        <f t="shared" ca="1" si="11"/>
        <v>0.6152440608392522</v>
      </c>
      <c r="C749" s="6" t="s">
        <v>34</v>
      </c>
    </row>
    <row r="750" spans="1:3" x14ac:dyDescent="0.2">
      <c r="A750" s="6">
        <v>748</v>
      </c>
      <c r="B750" s="6">
        <f t="shared" ca="1" si="11"/>
        <v>0.37766868602973869</v>
      </c>
      <c r="C750" s="6" t="s">
        <v>35</v>
      </c>
    </row>
    <row r="751" spans="1:3" x14ac:dyDescent="0.2">
      <c r="A751" s="6">
        <v>749</v>
      </c>
      <c r="B751" s="6">
        <f t="shared" ca="1" si="11"/>
        <v>0.70671889815443345</v>
      </c>
      <c r="C751" s="6" t="s">
        <v>34</v>
      </c>
    </row>
    <row r="752" spans="1:3" x14ac:dyDescent="0.2">
      <c r="A752" s="6">
        <v>750</v>
      </c>
      <c r="B752" s="6">
        <f t="shared" ca="1" si="11"/>
        <v>0.77510405264885385</v>
      </c>
      <c r="C752" s="6" t="s">
        <v>35</v>
      </c>
    </row>
    <row r="753" spans="1:3" x14ac:dyDescent="0.2">
      <c r="A753" s="6">
        <v>751</v>
      </c>
      <c r="B753" s="6">
        <f t="shared" ca="1" si="11"/>
        <v>0.76832154690977206</v>
      </c>
      <c r="C753" s="6" t="s">
        <v>34</v>
      </c>
    </row>
    <row r="754" spans="1:3" x14ac:dyDescent="0.2">
      <c r="A754" s="6">
        <v>752</v>
      </c>
      <c r="B754" s="6">
        <f t="shared" ca="1" si="11"/>
        <v>0.66038578588159869</v>
      </c>
      <c r="C754" s="6" t="s">
        <v>34</v>
      </c>
    </row>
    <row r="755" spans="1:3" x14ac:dyDescent="0.2">
      <c r="A755" s="6">
        <v>753</v>
      </c>
      <c r="B755" s="6">
        <f t="shared" ca="1" si="11"/>
        <v>0.7366055902245443</v>
      </c>
      <c r="C755" s="6" t="s">
        <v>34</v>
      </c>
    </row>
    <row r="756" spans="1:3" x14ac:dyDescent="0.2">
      <c r="A756" s="6">
        <v>754</v>
      </c>
      <c r="B756" s="6">
        <f t="shared" ca="1" si="11"/>
        <v>0.69780056861910822</v>
      </c>
      <c r="C756" s="6" t="s">
        <v>34</v>
      </c>
    </row>
    <row r="757" spans="1:3" x14ac:dyDescent="0.2">
      <c r="A757" s="6">
        <v>755</v>
      </c>
      <c r="B757" s="6">
        <f t="shared" ca="1" si="11"/>
        <v>0.49194330906950362</v>
      </c>
      <c r="C757" s="6" t="s">
        <v>35</v>
      </c>
    </row>
    <row r="758" spans="1:3" x14ac:dyDescent="0.2">
      <c r="A758" s="6">
        <v>756</v>
      </c>
      <c r="B758" s="6">
        <f t="shared" ca="1" si="11"/>
        <v>0.72691646572785074</v>
      </c>
      <c r="C758" s="6" t="s">
        <v>34</v>
      </c>
    </row>
    <row r="759" spans="1:3" x14ac:dyDescent="0.2">
      <c r="A759" s="6">
        <v>757</v>
      </c>
      <c r="B759" s="6">
        <f t="shared" ca="1" si="11"/>
        <v>0.82992023798352699</v>
      </c>
      <c r="C759" s="6" t="s">
        <v>34</v>
      </c>
    </row>
    <row r="760" spans="1:3" x14ac:dyDescent="0.2">
      <c r="A760" s="6">
        <v>758</v>
      </c>
      <c r="B760" s="6">
        <f t="shared" ca="1" si="11"/>
        <v>0.55389902827423587</v>
      </c>
      <c r="C760" s="6" t="s">
        <v>34</v>
      </c>
    </row>
    <row r="761" spans="1:3" x14ac:dyDescent="0.2">
      <c r="A761" s="6">
        <v>759</v>
      </c>
      <c r="B761" s="6">
        <f t="shared" ca="1" si="11"/>
        <v>0.4785672430171472</v>
      </c>
      <c r="C761" s="6" t="s">
        <v>35</v>
      </c>
    </row>
    <row r="762" spans="1:3" x14ac:dyDescent="0.2">
      <c r="A762" s="6">
        <v>760</v>
      </c>
      <c r="B762" s="6">
        <f t="shared" ca="1" si="11"/>
        <v>0.67358701941288734</v>
      </c>
      <c r="C762" s="6" t="s">
        <v>34</v>
      </c>
    </row>
    <row r="763" spans="1:3" x14ac:dyDescent="0.2">
      <c r="A763" s="6">
        <v>761</v>
      </c>
      <c r="B763" s="6">
        <f t="shared" ca="1" si="11"/>
        <v>0.90042534226251991</v>
      </c>
      <c r="C763" s="6" t="s">
        <v>35</v>
      </c>
    </row>
    <row r="764" spans="1:3" x14ac:dyDescent="0.2">
      <c r="A764" s="6">
        <v>762</v>
      </c>
      <c r="B764" s="6">
        <f t="shared" ca="1" si="11"/>
        <v>0.5537257430692657</v>
      </c>
      <c r="C764" s="6" t="s">
        <v>35</v>
      </c>
    </row>
    <row r="765" spans="1:3" x14ac:dyDescent="0.2">
      <c r="A765" s="6">
        <v>763</v>
      </c>
      <c r="B765" s="6">
        <f t="shared" ca="1" si="11"/>
        <v>0.52372513250892139</v>
      </c>
      <c r="C765" s="6" t="s">
        <v>35</v>
      </c>
    </row>
    <row r="766" spans="1:3" x14ac:dyDescent="0.2">
      <c r="A766" s="6">
        <v>764</v>
      </c>
      <c r="B766" s="6">
        <f t="shared" ca="1" si="11"/>
        <v>0.47713947153348651</v>
      </c>
      <c r="C766" s="6" t="s">
        <v>35</v>
      </c>
    </row>
    <row r="767" spans="1:3" x14ac:dyDescent="0.2">
      <c r="A767" s="6">
        <v>765</v>
      </c>
      <c r="B767" s="6">
        <f t="shared" ca="1" si="11"/>
        <v>0.34004930278380385</v>
      </c>
      <c r="C767" s="6" t="s">
        <v>35</v>
      </c>
    </row>
    <row r="768" spans="1:3" x14ac:dyDescent="0.2">
      <c r="A768" s="6">
        <v>766</v>
      </c>
      <c r="B768" s="6">
        <f t="shared" ca="1" si="11"/>
        <v>0.72079286280779764</v>
      </c>
      <c r="C768" s="6" t="s">
        <v>35</v>
      </c>
    </row>
    <row r="769" spans="1:3" x14ac:dyDescent="0.2">
      <c r="A769" s="6">
        <v>767</v>
      </c>
      <c r="B769" s="6">
        <f t="shared" ca="1" si="11"/>
        <v>0.80957654802095758</v>
      </c>
      <c r="C769" s="6" t="s">
        <v>34</v>
      </c>
    </row>
    <row r="770" spans="1:3" x14ac:dyDescent="0.2">
      <c r="A770" s="6">
        <v>768</v>
      </c>
      <c r="B770" s="6">
        <f t="shared" ca="1" si="11"/>
        <v>0.62780373672313272</v>
      </c>
      <c r="C770" s="6" t="s">
        <v>34</v>
      </c>
    </row>
    <row r="771" spans="1:3" x14ac:dyDescent="0.2">
      <c r="A771" s="6">
        <v>769</v>
      </c>
      <c r="B771" s="6">
        <f t="shared" ca="1" si="11"/>
        <v>0.62348360379048662</v>
      </c>
      <c r="C771" s="6" t="s">
        <v>35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0.68535122524283287</v>
      </c>
      <c r="C772" s="6" t="s">
        <v>34</v>
      </c>
    </row>
    <row r="773" spans="1:3" x14ac:dyDescent="0.2">
      <c r="A773" s="6">
        <v>771</v>
      </c>
      <c r="B773" s="6">
        <f t="shared" ca="1" si="12"/>
        <v>0.65077120728269056</v>
      </c>
      <c r="C773" s="6" t="s">
        <v>35</v>
      </c>
    </row>
    <row r="774" spans="1:3" x14ac:dyDescent="0.2">
      <c r="A774" s="6">
        <v>772</v>
      </c>
      <c r="B774" s="6">
        <f t="shared" ca="1" si="12"/>
        <v>0.61868954049976199</v>
      </c>
      <c r="C774" s="6" t="s">
        <v>35</v>
      </c>
    </row>
    <row r="775" spans="1:3" x14ac:dyDescent="0.2">
      <c r="A775" s="6">
        <v>773</v>
      </c>
      <c r="B775" s="6">
        <f t="shared" ca="1" si="12"/>
        <v>0.72256163790636152</v>
      </c>
      <c r="C775" s="6" t="s">
        <v>35</v>
      </c>
    </row>
    <row r="776" spans="1:3" x14ac:dyDescent="0.2">
      <c r="A776" s="6">
        <v>774</v>
      </c>
      <c r="B776" s="6">
        <f t="shared" ca="1" si="12"/>
        <v>0.34607617390826856</v>
      </c>
      <c r="C776" s="6" t="s">
        <v>35</v>
      </c>
    </row>
    <row r="777" spans="1:3" x14ac:dyDescent="0.2">
      <c r="A777" s="6">
        <v>775</v>
      </c>
      <c r="B777" s="6">
        <f t="shared" ca="1" si="12"/>
        <v>0.64804176045452977</v>
      </c>
      <c r="C777" s="6" t="s">
        <v>34</v>
      </c>
    </row>
    <row r="778" spans="1:3" x14ac:dyDescent="0.2">
      <c r="A778" s="6">
        <v>776</v>
      </c>
      <c r="B778" s="6">
        <f t="shared" ca="1" si="12"/>
        <v>0.40845536494971824</v>
      </c>
      <c r="C778" s="6" t="s">
        <v>35</v>
      </c>
    </row>
    <row r="779" spans="1:3" x14ac:dyDescent="0.2">
      <c r="A779" s="6">
        <v>777</v>
      </c>
      <c r="B779" s="6">
        <f t="shared" ca="1" si="12"/>
        <v>0.62057016856568026</v>
      </c>
      <c r="C779" s="6" t="s">
        <v>34</v>
      </c>
    </row>
    <row r="780" spans="1:3" x14ac:dyDescent="0.2">
      <c r="A780" s="6">
        <v>778</v>
      </c>
      <c r="B780" s="6">
        <f t="shared" ca="1" si="12"/>
        <v>0.84255507273004226</v>
      </c>
      <c r="C780" s="6" t="s">
        <v>34</v>
      </c>
    </row>
    <row r="781" spans="1:3" x14ac:dyDescent="0.2">
      <c r="A781" s="6">
        <v>779</v>
      </c>
      <c r="B781" s="6">
        <f t="shared" ca="1" si="12"/>
        <v>0.75470718414884808</v>
      </c>
      <c r="C781" s="6" t="s">
        <v>34</v>
      </c>
    </row>
    <row r="782" spans="1:3" x14ac:dyDescent="0.2">
      <c r="A782" s="6">
        <v>780</v>
      </c>
      <c r="B782" s="6">
        <f t="shared" ca="1" si="12"/>
        <v>0.78747636371552932</v>
      </c>
      <c r="C782" s="6" t="s">
        <v>34</v>
      </c>
    </row>
    <row r="783" spans="1:3" x14ac:dyDescent="0.2">
      <c r="A783" s="6">
        <v>781</v>
      </c>
      <c r="B783" s="6">
        <f t="shared" ca="1" si="12"/>
        <v>0.63603830568629049</v>
      </c>
      <c r="C783" s="6" t="s">
        <v>34</v>
      </c>
    </row>
    <row r="784" spans="1:3" x14ac:dyDescent="0.2">
      <c r="A784" s="6">
        <v>782</v>
      </c>
      <c r="B784" s="6">
        <f t="shared" ca="1" si="12"/>
        <v>0.7738205736683702</v>
      </c>
      <c r="C784" s="6" t="s">
        <v>34</v>
      </c>
    </row>
    <row r="785" spans="1:3" x14ac:dyDescent="0.2">
      <c r="A785" s="6">
        <v>783</v>
      </c>
      <c r="B785" s="6">
        <f t="shared" ca="1" si="12"/>
        <v>0.71957888600495334</v>
      </c>
      <c r="C785" s="6" t="s">
        <v>34</v>
      </c>
    </row>
    <row r="786" spans="1:3" x14ac:dyDescent="0.2">
      <c r="A786" s="6">
        <v>784</v>
      </c>
      <c r="B786" s="6">
        <f t="shared" ca="1" si="12"/>
        <v>0.59354452675689007</v>
      </c>
      <c r="C786" s="6" t="s">
        <v>35</v>
      </c>
    </row>
    <row r="787" spans="1:3" x14ac:dyDescent="0.2">
      <c r="A787" s="6">
        <v>785</v>
      </c>
      <c r="B787" s="6">
        <f t="shared" ca="1" si="12"/>
        <v>0.75203858368867338</v>
      </c>
      <c r="C787" s="6" t="s">
        <v>35</v>
      </c>
    </row>
    <row r="788" spans="1:3" x14ac:dyDescent="0.2">
      <c r="A788" s="6">
        <v>786</v>
      </c>
      <c r="B788" s="6">
        <f t="shared" ca="1" si="12"/>
        <v>0.75447309053321343</v>
      </c>
      <c r="C788" s="6" t="s">
        <v>35</v>
      </c>
    </row>
    <row r="789" spans="1:3" x14ac:dyDescent="0.2">
      <c r="A789" s="6">
        <v>787</v>
      </c>
      <c r="B789" s="6">
        <f t="shared" ca="1" si="12"/>
        <v>0.79454888890348829</v>
      </c>
      <c r="C789" s="6" t="s">
        <v>34</v>
      </c>
    </row>
    <row r="790" spans="1:3" x14ac:dyDescent="0.2">
      <c r="A790" s="6">
        <v>788</v>
      </c>
      <c r="B790" s="6">
        <f t="shared" ca="1" si="12"/>
        <v>0.73570127365328475</v>
      </c>
      <c r="C790" s="6" t="s">
        <v>35</v>
      </c>
    </row>
    <row r="791" spans="1:3" x14ac:dyDescent="0.2">
      <c r="A791" s="6">
        <v>789</v>
      </c>
      <c r="B791" s="6">
        <f t="shared" ca="1" si="12"/>
        <v>0.73269163188470787</v>
      </c>
      <c r="C791" s="6" t="s">
        <v>34</v>
      </c>
    </row>
    <row r="792" spans="1:3" x14ac:dyDescent="0.2">
      <c r="A792" s="6">
        <v>790</v>
      </c>
      <c r="B792" s="6">
        <f t="shared" ca="1" si="12"/>
        <v>0.6714527569256592</v>
      </c>
      <c r="C792" s="6" t="s">
        <v>34</v>
      </c>
    </row>
    <row r="793" spans="1:3" x14ac:dyDescent="0.2">
      <c r="A793" s="6">
        <v>791</v>
      </c>
      <c r="B793" s="6">
        <f t="shared" ca="1" si="12"/>
        <v>0.74022558151205087</v>
      </c>
      <c r="C793" s="6" t="s">
        <v>35</v>
      </c>
    </row>
    <row r="794" spans="1:3" x14ac:dyDescent="0.2">
      <c r="A794" s="6">
        <v>792</v>
      </c>
      <c r="B794" s="6">
        <f t="shared" ca="1" si="12"/>
        <v>0.47923578370596359</v>
      </c>
      <c r="C794" s="6" t="s">
        <v>35</v>
      </c>
    </row>
    <row r="795" spans="1:3" x14ac:dyDescent="0.2">
      <c r="A795" s="6">
        <v>793</v>
      </c>
      <c r="B795" s="6">
        <f t="shared" ca="1" si="12"/>
        <v>0.80536934020958606</v>
      </c>
      <c r="C795" s="6" t="s">
        <v>34</v>
      </c>
    </row>
    <row r="796" spans="1:3" x14ac:dyDescent="0.2">
      <c r="A796" s="6">
        <v>794</v>
      </c>
      <c r="B796" s="6">
        <f t="shared" ca="1" si="12"/>
        <v>0.51167871176443724</v>
      </c>
      <c r="C796" s="6" t="s">
        <v>35</v>
      </c>
    </row>
    <row r="797" spans="1:3" x14ac:dyDescent="0.2">
      <c r="A797" s="6">
        <v>795</v>
      </c>
      <c r="B797" s="6">
        <f t="shared" ca="1" si="12"/>
        <v>0.61813335190097929</v>
      </c>
      <c r="C797" s="6" t="s">
        <v>35</v>
      </c>
    </row>
    <row r="798" spans="1:3" x14ac:dyDescent="0.2">
      <c r="A798" s="6">
        <v>796</v>
      </c>
      <c r="B798" s="6">
        <f t="shared" ca="1" si="12"/>
        <v>0.40197454814780997</v>
      </c>
      <c r="C798" s="6" t="s">
        <v>35</v>
      </c>
    </row>
    <row r="799" spans="1:3" x14ac:dyDescent="0.2">
      <c r="A799" s="6">
        <v>797</v>
      </c>
      <c r="B799" s="6">
        <f t="shared" ca="1" si="12"/>
        <v>0.61411695758669227</v>
      </c>
      <c r="C799" s="6" t="s">
        <v>35</v>
      </c>
    </row>
    <row r="800" spans="1:3" x14ac:dyDescent="0.2">
      <c r="A800" s="6">
        <v>798</v>
      </c>
      <c r="B800" s="6">
        <f t="shared" ca="1" si="12"/>
        <v>0.82441961991679158</v>
      </c>
      <c r="C800" s="6" t="s">
        <v>34</v>
      </c>
    </row>
    <row r="801" spans="1:3" x14ac:dyDescent="0.2">
      <c r="A801" s="6">
        <v>799</v>
      </c>
      <c r="B801" s="6">
        <f t="shared" ca="1" si="12"/>
        <v>0.4327732394515571</v>
      </c>
      <c r="C801" s="6" t="s">
        <v>35</v>
      </c>
    </row>
    <row r="802" spans="1:3" x14ac:dyDescent="0.2">
      <c r="A802" s="6">
        <v>800</v>
      </c>
      <c r="B802" s="6">
        <f t="shared" ca="1" si="12"/>
        <v>0.33523789429287904</v>
      </c>
      <c r="C802" s="6" t="s">
        <v>35</v>
      </c>
    </row>
    <row r="803" spans="1:3" x14ac:dyDescent="0.2">
      <c r="A803" s="6">
        <v>801</v>
      </c>
      <c r="B803" s="6">
        <f t="shared" ca="1" si="12"/>
        <v>0.57403598070592632</v>
      </c>
      <c r="C803" s="6" t="s">
        <v>35</v>
      </c>
    </row>
    <row r="804" spans="1:3" x14ac:dyDescent="0.2">
      <c r="A804" s="6">
        <v>802</v>
      </c>
      <c r="B804" s="6">
        <f t="shared" ca="1" si="12"/>
        <v>0.78830997478272569</v>
      </c>
      <c r="C804" s="6" t="s">
        <v>35</v>
      </c>
    </row>
    <row r="805" spans="1:3" x14ac:dyDescent="0.2">
      <c r="A805" s="6">
        <v>803</v>
      </c>
      <c r="B805" s="6">
        <f t="shared" ca="1" si="12"/>
        <v>0.81495273800780299</v>
      </c>
      <c r="C805" s="6" t="s">
        <v>34</v>
      </c>
    </row>
    <row r="806" spans="1:3" x14ac:dyDescent="0.2">
      <c r="A806" s="6">
        <v>804</v>
      </c>
      <c r="B806" s="6">
        <f t="shared" ca="1" si="12"/>
        <v>0.64455512171125995</v>
      </c>
      <c r="C806" s="6" t="s">
        <v>35</v>
      </c>
    </row>
    <row r="807" spans="1:3" x14ac:dyDescent="0.2">
      <c r="A807" s="6">
        <v>805</v>
      </c>
      <c r="B807" s="6">
        <f t="shared" ca="1" si="12"/>
        <v>0.75763063950746745</v>
      </c>
      <c r="C807" s="6" t="s">
        <v>34</v>
      </c>
    </row>
    <row r="808" spans="1:3" x14ac:dyDescent="0.2">
      <c r="A808" s="6">
        <v>806</v>
      </c>
      <c r="B808" s="6">
        <f t="shared" ca="1" si="12"/>
        <v>0.47669476424218954</v>
      </c>
      <c r="C808" s="6" t="s">
        <v>35</v>
      </c>
    </row>
    <row r="809" spans="1:3" x14ac:dyDescent="0.2">
      <c r="A809" s="6">
        <v>807</v>
      </c>
      <c r="B809" s="6">
        <f t="shared" ca="1" si="12"/>
        <v>0.55976704022071944</v>
      </c>
      <c r="C809" s="6" t="s">
        <v>34</v>
      </c>
    </row>
    <row r="810" spans="1:3" x14ac:dyDescent="0.2">
      <c r="A810" s="6">
        <v>808</v>
      </c>
      <c r="B810" s="6">
        <f t="shared" ca="1" si="12"/>
        <v>0.60209990433168004</v>
      </c>
      <c r="C810" s="6" t="s">
        <v>34</v>
      </c>
    </row>
    <row r="811" spans="1:3" x14ac:dyDescent="0.2">
      <c r="A811" s="6">
        <v>809</v>
      </c>
      <c r="B811" s="6">
        <f t="shared" ca="1" si="12"/>
        <v>0.62699726596518102</v>
      </c>
      <c r="C811" s="6" t="s">
        <v>34</v>
      </c>
    </row>
    <row r="812" spans="1:3" x14ac:dyDescent="0.2">
      <c r="A812" s="6">
        <v>810</v>
      </c>
      <c r="B812" s="6">
        <f t="shared" ca="1" si="12"/>
        <v>0.82259970194591503</v>
      </c>
      <c r="C812" s="6" t="s">
        <v>34</v>
      </c>
    </row>
    <row r="813" spans="1:3" x14ac:dyDescent="0.2">
      <c r="A813" s="6">
        <v>811</v>
      </c>
      <c r="B813" s="6">
        <f t="shared" ca="1" si="12"/>
        <v>0.66144620923870945</v>
      </c>
      <c r="C813" s="6" t="s">
        <v>35</v>
      </c>
    </row>
    <row r="814" spans="1:3" x14ac:dyDescent="0.2">
      <c r="A814" s="6">
        <v>812</v>
      </c>
      <c r="B814" s="6">
        <f t="shared" ca="1" si="12"/>
        <v>0.68798589345644745</v>
      </c>
      <c r="C814" s="6" t="s">
        <v>34</v>
      </c>
    </row>
    <row r="815" spans="1:3" x14ac:dyDescent="0.2">
      <c r="A815" s="6">
        <v>813</v>
      </c>
      <c r="B815" s="6">
        <f t="shared" ca="1" si="12"/>
        <v>0.96788675563306747</v>
      </c>
      <c r="C815" s="6" t="s">
        <v>34</v>
      </c>
    </row>
    <row r="816" spans="1:3" x14ac:dyDescent="0.2">
      <c r="A816" s="6">
        <v>814</v>
      </c>
      <c r="B816" s="6">
        <f t="shared" ca="1" si="12"/>
        <v>0.58924655146435889</v>
      </c>
      <c r="C816" s="6" t="s">
        <v>35</v>
      </c>
    </row>
    <row r="817" spans="1:3" x14ac:dyDescent="0.2">
      <c r="A817" s="6">
        <v>815</v>
      </c>
      <c r="B817" s="6">
        <f t="shared" ca="1" si="12"/>
        <v>0.75022700877349091</v>
      </c>
      <c r="C817" s="6" t="s">
        <v>35</v>
      </c>
    </row>
    <row r="818" spans="1:3" x14ac:dyDescent="0.2">
      <c r="A818" s="6">
        <v>816</v>
      </c>
      <c r="B818" s="6">
        <f t="shared" ca="1" si="12"/>
        <v>0.6489247962230702</v>
      </c>
      <c r="C818" s="6" t="s">
        <v>35</v>
      </c>
    </row>
    <row r="819" spans="1:3" x14ac:dyDescent="0.2">
      <c r="A819" s="6">
        <v>817</v>
      </c>
      <c r="B819" s="6">
        <f t="shared" ca="1" si="12"/>
        <v>0.73226892597457871</v>
      </c>
      <c r="C819" s="6" t="s">
        <v>35</v>
      </c>
    </row>
    <row r="820" spans="1:3" x14ac:dyDescent="0.2">
      <c r="A820" s="6">
        <v>818</v>
      </c>
      <c r="B820" s="6">
        <f t="shared" ca="1" si="12"/>
        <v>0.67954797804213685</v>
      </c>
      <c r="C820" s="6" t="s">
        <v>35</v>
      </c>
    </row>
    <row r="821" spans="1:3" x14ac:dyDescent="0.2">
      <c r="A821" s="6">
        <v>819</v>
      </c>
      <c r="B821" s="6">
        <f t="shared" ca="1" si="12"/>
        <v>0.58212731638960424</v>
      </c>
      <c r="C821" s="6" t="s">
        <v>35</v>
      </c>
    </row>
    <row r="822" spans="1:3" x14ac:dyDescent="0.2">
      <c r="A822" s="6">
        <v>820</v>
      </c>
      <c r="B822" s="6">
        <f t="shared" ca="1" si="12"/>
        <v>0.68256786947656289</v>
      </c>
      <c r="C822" s="6" t="s">
        <v>35</v>
      </c>
    </row>
    <row r="823" spans="1:3" x14ac:dyDescent="0.2">
      <c r="A823" s="6">
        <v>821</v>
      </c>
      <c r="B823" s="6">
        <f t="shared" ca="1" si="12"/>
        <v>0.54973984919249341</v>
      </c>
      <c r="C823" s="6" t="s">
        <v>34</v>
      </c>
    </row>
    <row r="824" spans="1:3" x14ac:dyDescent="0.2">
      <c r="A824" s="6">
        <v>822</v>
      </c>
      <c r="B824" s="6">
        <f t="shared" ca="1" si="12"/>
        <v>0.79299462816538357</v>
      </c>
      <c r="C824" s="6" t="s">
        <v>35</v>
      </c>
    </row>
    <row r="825" spans="1:3" x14ac:dyDescent="0.2">
      <c r="A825" s="6">
        <v>823</v>
      </c>
      <c r="B825" s="6">
        <f t="shared" ca="1" si="12"/>
        <v>0.65166961250604361</v>
      </c>
      <c r="C825" s="6" t="s">
        <v>34</v>
      </c>
    </row>
    <row r="826" spans="1:3" x14ac:dyDescent="0.2">
      <c r="A826" s="6">
        <v>824</v>
      </c>
      <c r="B826" s="6">
        <f t="shared" ca="1" si="12"/>
        <v>0.81364235482252989</v>
      </c>
      <c r="C826" s="6" t="s">
        <v>34</v>
      </c>
    </row>
    <row r="827" spans="1:3" x14ac:dyDescent="0.2">
      <c r="A827" s="6">
        <v>825</v>
      </c>
      <c r="B827" s="6">
        <f t="shared" ca="1" si="12"/>
        <v>0.70925432727973636</v>
      </c>
      <c r="C827" s="6" t="s">
        <v>34</v>
      </c>
    </row>
    <row r="828" spans="1:3" x14ac:dyDescent="0.2">
      <c r="A828" s="6">
        <v>826</v>
      </c>
      <c r="B828" s="6">
        <f t="shared" ca="1" si="12"/>
        <v>0.6914777980057335</v>
      </c>
      <c r="C828" s="6" t="s">
        <v>35</v>
      </c>
    </row>
    <row r="829" spans="1:3" x14ac:dyDescent="0.2">
      <c r="A829" s="6">
        <v>827</v>
      </c>
      <c r="B829" s="6">
        <f t="shared" ca="1" si="12"/>
        <v>0.6228575022008378</v>
      </c>
      <c r="C829" s="6" t="s">
        <v>35</v>
      </c>
    </row>
    <row r="830" spans="1:3" x14ac:dyDescent="0.2">
      <c r="A830" s="6">
        <v>828</v>
      </c>
      <c r="B830" s="6">
        <f t="shared" ca="1" si="12"/>
        <v>0.63336837050577544</v>
      </c>
      <c r="C830" s="6" t="s">
        <v>35</v>
      </c>
    </row>
    <row r="831" spans="1:3" x14ac:dyDescent="0.2">
      <c r="A831" s="6">
        <v>829</v>
      </c>
      <c r="B831" s="6">
        <f t="shared" ca="1" si="12"/>
        <v>0.81577229557303887</v>
      </c>
      <c r="C831" s="6" t="s">
        <v>34</v>
      </c>
    </row>
    <row r="832" spans="1:3" x14ac:dyDescent="0.2">
      <c r="A832" s="6">
        <v>830</v>
      </c>
      <c r="B832" s="6">
        <f t="shared" ca="1" si="12"/>
        <v>0.70912805720288641</v>
      </c>
      <c r="C832" s="6" t="s">
        <v>35</v>
      </c>
    </row>
    <row r="833" spans="1:3" x14ac:dyDescent="0.2">
      <c r="A833" s="6">
        <v>831</v>
      </c>
      <c r="B833" s="6">
        <f t="shared" ca="1" si="12"/>
        <v>0.72164921488792266</v>
      </c>
      <c r="C833" s="6" t="s">
        <v>35</v>
      </c>
    </row>
    <row r="834" spans="1:3" x14ac:dyDescent="0.2">
      <c r="A834" s="6">
        <v>832</v>
      </c>
      <c r="B834" s="6">
        <f t="shared" ca="1" si="12"/>
        <v>0.54251078723571655</v>
      </c>
      <c r="C834" s="6" t="s">
        <v>35</v>
      </c>
    </row>
    <row r="835" spans="1:3" x14ac:dyDescent="0.2">
      <c r="A835" s="6">
        <v>833</v>
      </c>
      <c r="B835" s="6">
        <f t="shared" ca="1" si="12"/>
        <v>0.74780095240238675</v>
      </c>
      <c r="C835" s="6" t="s">
        <v>34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0.71286639785225581</v>
      </c>
      <c r="C836" s="6" t="s">
        <v>35</v>
      </c>
    </row>
    <row r="837" spans="1:3" x14ac:dyDescent="0.2">
      <c r="A837" s="6">
        <v>835</v>
      </c>
      <c r="B837" s="6">
        <f t="shared" ca="1" si="13"/>
        <v>0.84216927886235349</v>
      </c>
      <c r="C837" s="6" t="s">
        <v>34</v>
      </c>
    </row>
    <row r="838" spans="1:3" x14ac:dyDescent="0.2">
      <c r="A838" s="6">
        <v>836</v>
      </c>
      <c r="B838" s="6">
        <f t="shared" ca="1" si="13"/>
        <v>0.62026155101276714</v>
      </c>
      <c r="C838" s="6" t="s">
        <v>35</v>
      </c>
    </row>
    <row r="839" spans="1:3" x14ac:dyDescent="0.2">
      <c r="A839" s="6">
        <v>837</v>
      </c>
      <c r="B839" s="6">
        <f t="shared" ca="1" si="13"/>
        <v>0.69153665920442264</v>
      </c>
      <c r="C839" s="6" t="s">
        <v>34</v>
      </c>
    </row>
    <row r="840" spans="1:3" x14ac:dyDescent="0.2">
      <c r="A840" s="6">
        <v>838</v>
      </c>
      <c r="B840" s="6">
        <f t="shared" ca="1" si="13"/>
        <v>0.64507831992113451</v>
      </c>
      <c r="C840" s="6" t="s">
        <v>35</v>
      </c>
    </row>
    <row r="841" spans="1:3" x14ac:dyDescent="0.2">
      <c r="A841" s="6">
        <v>839</v>
      </c>
      <c r="B841" s="6">
        <f t="shared" ca="1" si="13"/>
        <v>0.80923574008443222</v>
      </c>
      <c r="C841" s="6" t="s">
        <v>34</v>
      </c>
    </row>
    <row r="842" spans="1:3" x14ac:dyDescent="0.2">
      <c r="A842" s="6">
        <v>840</v>
      </c>
      <c r="B842" s="6">
        <f t="shared" ca="1" si="13"/>
        <v>0.80999952323963853</v>
      </c>
      <c r="C842" s="6" t="s">
        <v>34</v>
      </c>
    </row>
    <row r="843" spans="1:3" x14ac:dyDescent="0.2">
      <c r="A843" s="6">
        <v>841</v>
      </c>
      <c r="B843" s="6">
        <f t="shared" ca="1" si="13"/>
        <v>0.74945859381643609</v>
      </c>
      <c r="C843" s="6" t="s">
        <v>34</v>
      </c>
    </row>
    <row r="844" spans="1:3" x14ac:dyDescent="0.2">
      <c r="A844" s="6">
        <v>842</v>
      </c>
      <c r="B844" s="6">
        <f t="shared" ca="1" si="13"/>
        <v>0.6997301349032794</v>
      </c>
      <c r="C844" s="6" t="s">
        <v>35</v>
      </c>
    </row>
    <row r="845" spans="1:3" x14ac:dyDescent="0.2">
      <c r="A845" s="6">
        <v>843</v>
      </c>
      <c r="B845" s="6">
        <f t="shared" ca="1" si="13"/>
        <v>0.63000195252098878</v>
      </c>
      <c r="C845" s="6" t="s">
        <v>35</v>
      </c>
    </row>
    <row r="846" spans="1:3" x14ac:dyDescent="0.2">
      <c r="A846" s="6">
        <v>844</v>
      </c>
      <c r="B846" s="6">
        <f t="shared" ca="1" si="13"/>
        <v>0.66274349613201633</v>
      </c>
      <c r="C846" s="6" t="s">
        <v>35</v>
      </c>
    </row>
    <row r="847" spans="1:3" x14ac:dyDescent="0.2">
      <c r="A847" s="6">
        <v>845</v>
      </c>
      <c r="B847" s="6">
        <f t="shared" ca="1" si="13"/>
        <v>0.56716840777440092</v>
      </c>
      <c r="C847" s="6" t="s">
        <v>35</v>
      </c>
    </row>
    <row r="848" spans="1:3" x14ac:dyDescent="0.2">
      <c r="A848" s="6">
        <v>846</v>
      </c>
      <c r="B848" s="6">
        <f t="shared" ca="1" si="13"/>
        <v>0.47500085988706248</v>
      </c>
      <c r="C848" s="6" t="s">
        <v>35</v>
      </c>
    </row>
    <row r="849" spans="1:3" x14ac:dyDescent="0.2">
      <c r="A849" s="6">
        <v>847</v>
      </c>
      <c r="B849" s="6">
        <f t="shared" ca="1" si="13"/>
        <v>0.77764874551451135</v>
      </c>
      <c r="C849" s="6" t="s">
        <v>34</v>
      </c>
    </row>
    <row r="850" spans="1:3" x14ac:dyDescent="0.2">
      <c r="A850" s="6">
        <v>848</v>
      </c>
      <c r="B850" s="6">
        <f t="shared" ca="1" si="13"/>
        <v>0.21025633772559654</v>
      </c>
      <c r="C850" s="6" t="s">
        <v>35</v>
      </c>
    </row>
    <row r="851" spans="1:3" x14ac:dyDescent="0.2">
      <c r="A851" s="6">
        <v>849</v>
      </c>
      <c r="B851" s="6">
        <f t="shared" ca="1" si="13"/>
        <v>0.85722306455744612</v>
      </c>
      <c r="C851" s="6" t="s">
        <v>34</v>
      </c>
    </row>
    <row r="852" spans="1:3" x14ac:dyDescent="0.2">
      <c r="A852" s="6">
        <v>850</v>
      </c>
      <c r="B852" s="6">
        <f t="shared" ca="1" si="13"/>
        <v>0.35850399398501581</v>
      </c>
      <c r="C852" s="6" t="s">
        <v>35</v>
      </c>
    </row>
    <row r="853" spans="1:3" x14ac:dyDescent="0.2">
      <c r="A853" s="6">
        <v>851</v>
      </c>
      <c r="B853" s="6">
        <f t="shared" ca="1" si="13"/>
        <v>0.59491781801088217</v>
      </c>
      <c r="C853" s="6" t="s">
        <v>35</v>
      </c>
    </row>
    <row r="854" spans="1:3" x14ac:dyDescent="0.2">
      <c r="A854" s="6">
        <v>852</v>
      </c>
      <c r="B854" s="6">
        <f t="shared" ca="1" si="13"/>
        <v>0.58803322274616443</v>
      </c>
      <c r="C854" s="6" t="s">
        <v>35</v>
      </c>
    </row>
    <row r="855" spans="1:3" x14ac:dyDescent="0.2">
      <c r="A855" s="6">
        <v>853</v>
      </c>
      <c r="B855" s="6">
        <f t="shared" ca="1" si="13"/>
        <v>0.72231495663361067</v>
      </c>
      <c r="C855" s="6" t="s">
        <v>35</v>
      </c>
    </row>
    <row r="856" spans="1:3" x14ac:dyDescent="0.2">
      <c r="A856" s="6">
        <v>854</v>
      </c>
      <c r="B856" s="6">
        <f t="shared" ca="1" si="13"/>
        <v>0.53328225970291798</v>
      </c>
      <c r="C856" s="6" t="s">
        <v>35</v>
      </c>
    </row>
    <row r="857" spans="1:3" x14ac:dyDescent="0.2">
      <c r="A857" s="6">
        <v>855</v>
      </c>
      <c r="B857" s="6">
        <f t="shared" ca="1" si="13"/>
        <v>0.48172967510743347</v>
      </c>
      <c r="C857" s="6" t="s">
        <v>34</v>
      </c>
    </row>
    <row r="858" spans="1:3" x14ac:dyDescent="0.2">
      <c r="A858" s="6">
        <v>856</v>
      </c>
      <c r="B858" s="6">
        <f t="shared" ca="1" si="13"/>
        <v>0.56417939137347217</v>
      </c>
      <c r="C858" s="6" t="s">
        <v>34</v>
      </c>
    </row>
    <row r="859" spans="1:3" x14ac:dyDescent="0.2">
      <c r="A859" s="6">
        <v>857</v>
      </c>
      <c r="B859" s="6">
        <f t="shared" ca="1" si="13"/>
        <v>0.58007502442264469</v>
      </c>
      <c r="C859" s="6" t="s">
        <v>35</v>
      </c>
    </row>
    <row r="860" spans="1:3" x14ac:dyDescent="0.2">
      <c r="A860" s="6">
        <v>858</v>
      </c>
      <c r="B860" s="6">
        <f t="shared" ca="1" si="13"/>
        <v>0.62030541426291252</v>
      </c>
      <c r="C860" s="6" t="s">
        <v>35</v>
      </c>
    </row>
    <row r="861" spans="1:3" x14ac:dyDescent="0.2">
      <c r="A861" s="6">
        <v>859</v>
      </c>
      <c r="B861" s="6">
        <f t="shared" ca="1" si="13"/>
        <v>0.5602003907548222</v>
      </c>
      <c r="C861" s="6" t="s">
        <v>35</v>
      </c>
    </row>
    <row r="862" spans="1:3" x14ac:dyDescent="0.2">
      <c r="A862" s="6">
        <v>860</v>
      </c>
      <c r="B862" s="6">
        <f t="shared" ca="1" si="13"/>
        <v>0.43231593302133975</v>
      </c>
      <c r="C862" s="6" t="s">
        <v>35</v>
      </c>
    </row>
    <row r="863" spans="1:3" x14ac:dyDescent="0.2">
      <c r="A863" s="6">
        <v>861</v>
      </c>
      <c r="B863" s="6">
        <f t="shared" ca="1" si="13"/>
        <v>0.67380157978076449</v>
      </c>
      <c r="C863" s="6" t="s">
        <v>34</v>
      </c>
    </row>
    <row r="864" spans="1:3" x14ac:dyDescent="0.2">
      <c r="A864" s="6">
        <v>862</v>
      </c>
      <c r="B864" s="6">
        <f t="shared" ca="1" si="13"/>
        <v>0.46164339857593922</v>
      </c>
      <c r="C864" s="6" t="s">
        <v>35</v>
      </c>
    </row>
    <row r="865" spans="1:3" x14ac:dyDescent="0.2">
      <c r="A865" s="6">
        <v>863</v>
      </c>
      <c r="B865" s="6">
        <f t="shared" ca="1" si="13"/>
        <v>0.84220247223975719</v>
      </c>
      <c r="C865" s="6" t="s">
        <v>35</v>
      </c>
    </row>
    <row r="866" spans="1:3" x14ac:dyDescent="0.2">
      <c r="A866" s="6">
        <v>864</v>
      </c>
      <c r="B866" s="6">
        <f t="shared" ca="1" si="13"/>
        <v>0.60194736630348089</v>
      </c>
      <c r="C866" s="6" t="s">
        <v>35</v>
      </c>
    </row>
    <row r="867" spans="1:3" x14ac:dyDescent="0.2">
      <c r="A867" s="6">
        <v>865</v>
      </c>
      <c r="B867" s="6">
        <f t="shared" ca="1" si="13"/>
        <v>0.69380146633009598</v>
      </c>
      <c r="C867" s="6" t="s">
        <v>35</v>
      </c>
    </row>
    <row r="868" spans="1:3" x14ac:dyDescent="0.2">
      <c r="A868" s="6">
        <v>866</v>
      </c>
      <c r="B868" s="6">
        <f t="shared" ca="1" si="13"/>
        <v>0.80185313656373669</v>
      </c>
      <c r="C868" s="6" t="s">
        <v>35</v>
      </c>
    </row>
    <row r="869" spans="1:3" x14ac:dyDescent="0.2">
      <c r="A869" s="6">
        <v>867</v>
      </c>
      <c r="B869" s="6">
        <f t="shared" ca="1" si="13"/>
        <v>0.30926795789431738</v>
      </c>
      <c r="C869" s="6" t="s">
        <v>35</v>
      </c>
    </row>
    <row r="870" spans="1:3" x14ac:dyDescent="0.2">
      <c r="A870" s="6">
        <v>868</v>
      </c>
      <c r="B870" s="6">
        <f t="shared" ca="1" si="13"/>
        <v>0.43194217362809822</v>
      </c>
      <c r="C870" s="6" t="s">
        <v>35</v>
      </c>
    </row>
    <row r="871" spans="1:3" x14ac:dyDescent="0.2">
      <c r="A871" s="6">
        <v>869</v>
      </c>
      <c r="B871" s="6">
        <f t="shared" ca="1" si="13"/>
        <v>0.58637936009324199</v>
      </c>
      <c r="C871" s="6" t="s">
        <v>35</v>
      </c>
    </row>
    <row r="872" spans="1:3" x14ac:dyDescent="0.2">
      <c r="A872" s="6">
        <v>870</v>
      </c>
      <c r="B872" s="6">
        <f t="shared" ca="1" si="13"/>
        <v>0.38702911739175377</v>
      </c>
      <c r="C872" s="6" t="s">
        <v>35</v>
      </c>
    </row>
    <row r="873" spans="1:3" x14ac:dyDescent="0.2">
      <c r="A873" s="6">
        <v>871</v>
      </c>
      <c r="B873" s="6">
        <f t="shared" ca="1" si="13"/>
        <v>0.82555503340176939</v>
      </c>
      <c r="C873" s="6" t="s">
        <v>34</v>
      </c>
    </row>
    <row r="874" spans="1:3" x14ac:dyDescent="0.2">
      <c r="A874" s="6">
        <v>872</v>
      </c>
      <c r="B874" s="6">
        <f t="shared" ca="1" si="13"/>
        <v>0.68472896980870002</v>
      </c>
      <c r="C874" s="6" t="s">
        <v>34</v>
      </c>
    </row>
    <row r="875" spans="1:3" x14ac:dyDescent="0.2">
      <c r="A875" s="6">
        <v>873</v>
      </c>
      <c r="B875" s="6">
        <f t="shared" ca="1" si="13"/>
        <v>0.87303018797849952</v>
      </c>
      <c r="C875" s="6" t="s">
        <v>34</v>
      </c>
    </row>
    <row r="876" spans="1:3" x14ac:dyDescent="0.2">
      <c r="A876" s="6">
        <v>874</v>
      </c>
      <c r="B876" s="6">
        <f t="shared" ca="1" si="13"/>
        <v>0.51098774056306939</v>
      </c>
      <c r="C876" s="6" t="s">
        <v>35</v>
      </c>
    </row>
    <row r="877" spans="1:3" x14ac:dyDescent="0.2">
      <c r="A877" s="6">
        <v>875</v>
      </c>
      <c r="B877" s="6">
        <f t="shared" ca="1" si="13"/>
        <v>0.80478859829478666</v>
      </c>
      <c r="C877" s="6" t="s">
        <v>35</v>
      </c>
    </row>
    <row r="878" spans="1:3" x14ac:dyDescent="0.2">
      <c r="A878" s="6">
        <v>876</v>
      </c>
      <c r="B878" s="6">
        <f t="shared" ca="1" si="13"/>
        <v>0.58165604382796587</v>
      </c>
      <c r="C878" s="6" t="s">
        <v>34</v>
      </c>
    </row>
    <row r="879" spans="1:3" x14ac:dyDescent="0.2">
      <c r="A879" s="6">
        <v>877</v>
      </c>
      <c r="B879" s="6">
        <f t="shared" ca="1" si="13"/>
        <v>0.7704563243432242</v>
      </c>
      <c r="C879" s="6" t="s">
        <v>35</v>
      </c>
    </row>
    <row r="880" spans="1:3" x14ac:dyDescent="0.2">
      <c r="A880" s="6">
        <v>878</v>
      </c>
      <c r="B880" s="6">
        <f t="shared" ca="1" si="13"/>
        <v>0.38517933260763548</v>
      </c>
      <c r="C880" s="6" t="s">
        <v>35</v>
      </c>
    </row>
    <row r="881" spans="1:3" x14ac:dyDescent="0.2">
      <c r="A881" s="6">
        <v>879</v>
      </c>
      <c r="B881" s="6">
        <f t="shared" ca="1" si="13"/>
        <v>0.81209910477438529</v>
      </c>
      <c r="C881" s="6" t="s">
        <v>34</v>
      </c>
    </row>
    <row r="882" spans="1:3" x14ac:dyDescent="0.2">
      <c r="A882" s="6">
        <v>880</v>
      </c>
      <c r="B882" s="6">
        <f t="shared" ca="1" si="13"/>
        <v>0.83253032368824176</v>
      </c>
      <c r="C882" s="6" t="s">
        <v>34</v>
      </c>
    </row>
    <row r="883" spans="1:3" x14ac:dyDescent="0.2">
      <c r="A883" s="6">
        <v>881</v>
      </c>
      <c r="B883" s="6">
        <f t="shared" ca="1" si="13"/>
        <v>0.66848725158935818</v>
      </c>
      <c r="C883" s="6" t="s">
        <v>34</v>
      </c>
    </row>
    <row r="884" spans="1:3" x14ac:dyDescent="0.2">
      <c r="A884" s="6">
        <v>882</v>
      </c>
      <c r="B884" s="6">
        <f t="shared" ca="1" si="13"/>
        <v>0.69851640144428484</v>
      </c>
      <c r="C884" s="6" t="s">
        <v>34</v>
      </c>
    </row>
    <row r="885" spans="1:3" x14ac:dyDescent="0.2">
      <c r="A885" s="6">
        <v>883</v>
      </c>
      <c r="B885" s="6">
        <f t="shared" ca="1" si="13"/>
        <v>0.52257965762179182</v>
      </c>
      <c r="C885" s="6" t="s">
        <v>35</v>
      </c>
    </row>
    <row r="886" spans="1:3" x14ac:dyDescent="0.2">
      <c r="A886" s="6">
        <v>884</v>
      </c>
      <c r="B886" s="6">
        <f t="shared" ca="1" si="13"/>
        <v>0.93738912230131644</v>
      </c>
      <c r="C886" s="6" t="s">
        <v>35</v>
      </c>
    </row>
    <row r="887" spans="1:3" x14ac:dyDescent="0.2">
      <c r="A887" s="6">
        <v>885</v>
      </c>
      <c r="B887" s="6">
        <f t="shared" ca="1" si="13"/>
        <v>0.88424862981249386</v>
      </c>
      <c r="C887" s="6" t="s">
        <v>35</v>
      </c>
    </row>
    <row r="888" spans="1:3" x14ac:dyDescent="0.2">
      <c r="A888" s="6">
        <v>886</v>
      </c>
      <c r="B888" s="6">
        <f t="shared" ca="1" si="13"/>
        <v>0.7336937923010628</v>
      </c>
      <c r="C888" s="6" t="s">
        <v>34</v>
      </c>
    </row>
    <row r="889" spans="1:3" x14ac:dyDescent="0.2">
      <c r="A889" s="6">
        <v>887</v>
      </c>
      <c r="B889" s="6">
        <f t="shared" ca="1" si="13"/>
        <v>0.75853685229733137</v>
      </c>
      <c r="C889" s="6" t="s">
        <v>34</v>
      </c>
    </row>
    <row r="890" spans="1:3" x14ac:dyDescent="0.2">
      <c r="A890" s="6">
        <v>888</v>
      </c>
      <c r="B890" s="6">
        <f t="shared" ca="1" si="13"/>
        <v>0.73784598053181805</v>
      </c>
      <c r="C890" s="6" t="s">
        <v>34</v>
      </c>
    </row>
    <row r="891" spans="1:3" x14ac:dyDescent="0.2">
      <c r="A891" s="6">
        <v>889</v>
      </c>
      <c r="B891" s="6">
        <f t="shared" ca="1" si="13"/>
        <v>0.54266659898442127</v>
      </c>
      <c r="C891" s="6" t="s">
        <v>35</v>
      </c>
    </row>
    <row r="892" spans="1:3" x14ac:dyDescent="0.2">
      <c r="A892" s="6">
        <v>890</v>
      </c>
      <c r="B892" s="6">
        <f t="shared" ca="1" si="13"/>
        <v>0.41632786856224258</v>
      </c>
      <c r="C892" s="6" t="s">
        <v>35</v>
      </c>
    </row>
    <row r="893" spans="1:3" x14ac:dyDescent="0.2">
      <c r="A893" s="6">
        <v>891</v>
      </c>
      <c r="B893" s="6">
        <f t="shared" ca="1" si="13"/>
        <v>0.63069110130181949</v>
      </c>
      <c r="C893" s="6" t="s">
        <v>35</v>
      </c>
    </row>
    <row r="894" spans="1:3" x14ac:dyDescent="0.2">
      <c r="A894" s="6">
        <v>892</v>
      </c>
      <c r="B894" s="6">
        <f t="shared" ca="1" si="13"/>
        <v>0.53415943510589625</v>
      </c>
      <c r="C894" s="6" t="s">
        <v>34</v>
      </c>
    </row>
    <row r="895" spans="1:3" x14ac:dyDescent="0.2">
      <c r="A895" s="6">
        <v>893</v>
      </c>
      <c r="B895" s="6">
        <f t="shared" ca="1" si="13"/>
        <v>0.54531504920963025</v>
      </c>
      <c r="C895" s="6" t="s">
        <v>35</v>
      </c>
    </row>
    <row r="896" spans="1:3" x14ac:dyDescent="0.2">
      <c r="A896" s="6">
        <v>894</v>
      </c>
      <c r="B896" s="6">
        <f t="shared" ca="1" si="13"/>
        <v>0.62136544831070584</v>
      </c>
      <c r="C896" s="6" t="s">
        <v>34</v>
      </c>
    </row>
    <row r="897" spans="1:3" x14ac:dyDescent="0.2">
      <c r="A897" s="6">
        <v>895</v>
      </c>
      <c r="B897" s="6">
        <f t="shared" ca="1" si="13"/>
        <v>0.63371379149273821</v>
      </c>
      <c r="C897" s="6" t="s">
        <v>35</v>
      </c>
    </row>
    <row r="898" spans="1:3" x14ac:dyDescent="0.2">
      <c r="A898" s="6">
        <v>896</v>
      </c>
      <c r="B898" s="6">
        <f t="shared" ca="1" si="13"/>
        <v>0.70175370998236164</v>
      </c>
      <c r="C898" s="6" t="s">
        <v>34</v>
      </c>
    </row>
    <row r="899" spans="1:3" x14ac:dyDescent="0.2">
      <c r="A899" s="6">
        <v>897</v>
      </c>
      <c r="B899" s="6">
        <f t="shared" ca="1" si="13"/>
        <v>0.84295654282546073</v>
      </c>
      <c r="C899" s="6" t="s">
        <v>34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0.92178791256676629</v>
      </c>
      <c r="C900" s="6" t="s">
        <v>34</v>
      </c>
    </row>
    <row r="901" spans="1:3" x14ac:dyDescent="0.2">
      <c r="A901" s="6">
        <v>899</v>
      </c>
      <c r="B901" s="6">
        <f t="shared" ca="1" si="14"/>
        <v>0.49642901641992859</v>
      </c>
      <c r="C901" s="6" t="s">
        <v>35</v>
      </c>
    </row>
    <row r="902" spans="1:3" x14ac:dyDescent="0.2">
      <c r="A902" s="6">
        <v>900</v>
      </c>
      <c r="B902" s="6">
        <f t="shared" ca="1" si="14"/>
        <v>0.63609369538549221</v>
      </c>
      <c r="C902" s="6" t="s">
        <v>34</v>
      </c>
    </row>
    <row r="903" spans="1:3" x14ac:dyDescent="0.2">
      <c r="A903" s="6">
        <v>901</v>
      </c>
      <c r="B903" s="6">
        <f t="shared" ca="1" si="14"/>
        <v>0.55382586165658265</v>
      </c>
      <c r="C903" s="6" t="s">
        <v>34</v>
      </c>
    </row>
    <row r="904" spans="1:3" x14ac:dyDescent="0.2">
      <c r="A904" s="6">
        <v>902</v>
      </c>
      <c r="B904" s="6">
        <f t="shared" ca="1" si="14"/>
        <v>0.67861832167228353</v>
      </c>
      <c r="C904" s="6" t="s">
        <v>34</v>
      </c>
    </row>
    <row r="905" spans="1:3" x14ac:dyDescent="0.2">
      <c r="A905" s="6">
        <v>903</v>
      </c>
      <c r="B905" s="6">
        <f t="shared" ca="1" si="14"/>
        <v>0.65814988349187009</v>
      </c>
      <c r="C905" s="6" t="s">
        <v>34</v>
      </c>
    </row>
    <row r="906" spans="1:3" x14ac:dyDescent="0.2">
      <c r="A906" s="6">
        <v>904</v>
      </c>
      <c r="B906" s="6">
        <f t="shared" ca="1" si="14"/>
        <v>0.66894165296952446</v>
      </c>
      <c r="C906" s="6" t="s">
        <v>34</v>
      </c>
    </row>
    <row r="907" spans="1:3" x14ac:dyDescent="0.2">
      <c r="A907" s="6">
        <v>905</v>
      </c>
      <c r="B907" s="6">
        <f t="shared" ca="1" si="14"/>
        <v>0.79009653496582977</v>
      </c>
      <c r="C907" s="6" t="s">
        <v>35</v>
      </c>
    </row>
    <row r="908" spans="1:3" x14ac:dyDescent="0.2">
      <c r="A908" s="6">
        <v>906</v>
      </c>
      <c r="B908" s="6">
        <f t="shared" ca="1" si="14"/>
        <v>0.83011757891714411</v>
      </c>
      <c r="C908" s="6" t="s">
        <v>35</v>
      </c>
    </row>
    <row r="909" spans="1:3" x14ac:dyDescent="0.2">
      <c r="A909" s="6">
        <v>907</v>
      </c>
      <c r="B909" s="6">
        <f t="shared" ca="1" si="14"/>
        <v>0.66451756895585179</v>
      </c>
      <c r="C909" s="6" t="s">
        <v>35</v>
      </c>
    </row>
    <row r="910" spans="1:3" x14ac:dyDescent="0.2">
      <c r="A910" s="6">
        <v>908</v>
      </c>
      <c r="B910" s="6">
        <f t="shared" ca="1" si="14"/>
        <v>0.48059742883854384</v>
      </c>
      <c r="C910" s="6" t="s">
        <v>35</v>
      </c>
    </row>
    <row r="911" spans="1:3" x14ac:dyDescent="0.2">
      <c r="A911" s="6">
        <v>909</v>
      </c>
      <c r="B911" s="6">
        <f t="shared" ca="1" si="14"/>
        <v>0.82608516015671152</v>
      </c>
      <c r="C911" s="6" t="s">
        <v>35</v>
      </c>
    </row>
    <row r="912" spans="1:3" x14ac:dyDescent="0.2">
      <c r="A912" s="6">
        <v>910</v>
      </c>
      <c r="B912" s="6">
        <f t="shared" ca="1" si="14"/>
        <v>0.7887522108648285</v>
      </c>
      <c r="C912" s="6" t="s">
        <v>34</v>
      </c>
    </row>
    <row r="913" spans="1:3" x14ac:dyDescent="0.2">
      <c r="A913" s="6">
        <v>911</v>
      </c>
      <c r="B913" s="6">
        <f t="shared" ca="1" si="14"/>
        <v>0.74721666703016765</v>
      </c>
      <c r="C913" s="6" t="s">
        <v>35</v>
      </c>
    </row>
    <row r="914" spans="1:3" x14ac:dyDescent="0.2">
      <c r="A914" s="6">
        <v>912</v>
      </c>
      <c r="B914" s="6">
        <f t="shared" ca="1" si="14"/>
        <v>0.6254670474308438</v>
      </c>
      <c r="C914" s="6" t="s">
        <v>35</v>
      </c>
    </row>
    <row r="915" spans="1:3" x14ac:dyDescent="0.2">
      <c r="A915" s="6">
        <v>913</v>
      </c>
      <c r="B915" s="6">
        <f t="shared" ca="1" si="14"/>
        <v>0.61860325883776002</v>
      </c>
      <c r="C915" s="6" t="s">
        <v>35</v>
      </c>
    </row>
    <row r="916" spans="1:3" x14ac:dyDescent="0.2">
      <c r="A916" s="6">
        <v>914</v>
      </c>
      <c r="B916" s="6">
        <f t="shared" ca="1" si="14"/>
        <v>0.76091154264586436</v>
      </c>
      <c r="C916" s="6" t="s">
        <v>34</v>
      </c>
    </row>
    <row r="917" spans="1:3" x14ac:dyDescent="0.2">
      <c r="A917" s="6">
        <v>915</v>
      </c>
      <c r="B917" s="6">
        <f t="shared" ca="1" si="14"/>
        <v>0.64930019419855467</v>
      </c>
      <c r="C917" s="6" t="s">
        <v>35</v>
      </c>
    </row>
    <row r="918" spans="1:3" x14ac:dyDescent="0.2">
      <c r="A918" s="6">
        <v>916</v>
      </c>
      <c r="B918" s="6">
        <f t="shared" ca="1" si="14"/>
        <v>0.74758026832763602</v>
      </c>
      <c r="C918" s="6" t="s">
        <v>34</v>
      </c>
    </row>
    <row r="919" spans="1:3" x14ac:dyDescent="0.2">
      <c r="A919" s="6">
        <v>917</v>
      </c>
      <c r="B919" s="6">
        <f t="shared" ca="1" si="14"/>
        <v>0.67940629559261689</v>
      </c>
      <c r="C919" s="6" t="s">
        <v>35</v>
      </c>
    </row>
    <row r="920" spans="1:3" x14ac:dyDescent="0.2">
      <c r="A920" s="6">
        <v>918</v>
      </c>
      <c r="B920" s="6">
        <f t="shared" ca="1" si="14"/>
        <v>0.58596620430771229</v>
      </c>
      <c r="C920" s="6" t="s">
        <v>34</v>
      </c>
    </row>
    <row r="921" spans="1:3" x14ac:dyDescent="0.2">
      <c r="A921" s="6">
        <v>919</v>
      </c>
      <c r="B921" s="6">
        <f t="shared" ca="1" si="14"/>
        <v>0.98201537761648727</v>
      </c>
      <c r="C921" s="6" t="s">
        <v>35</v>
      </c>
    </row>
    <row r="922" spans="1:3" x14ac:dyDescent="0.2">
      <c r="A922" s="6">
        <v>920</v>
      </c>
      <c r="B922" s="6">
        <f t="shared" ca="1" si="14"/>
        <v>0.68462425755912626</v>
      </c>
      <c r="C922" s="6" t="s">
        <v>34</v>
      </c>
    </row>
    <row r="923" spans="1:3" x14ac:dyDescent="0.2">
      <c r="A923" s="6">
        <v>921</v>
      </c>
      <c r="B923" s="6">
        <f t="shared" ca="1" si="14"/>
        <v>0.65909100493751671</v>
      </c>
      <c r="C923" s="6" t="s">
        <v>34</v>
      </c>
    </row>
    <row r="924" spans="1:3" x14ac:dyDescent="0.2">
      <c r="A924" s="6">
        <v>922</v>
      </c>
      <c r="B924" s="6">
        <f t="shared" ca="1" si="14"/>
        <v>0.7031479937336359</v>
      </c>
      <c r="C924" s="6" t="s">
        <v>35</v>
      </c>
    </row>
    <row r="925" spans="1:3" x14ac:dyDescent="0.2">
      <c r="A925" s="6">
        <v>923</v>
      </c>
      <c r="B925" s="6">
        <f t="shared" ca="1" si="14"/>
        <v>0.42499363020539582</v>
      </c>
      <c r="C925" s="6" t="s">
        <v>35</v>
      </c>
    </row>
    <row r="926" spans="1:3" x14ac:dyDescent="0.2">
      <c r="A926" s="6">
        <v>924</v>
      </c>
      <c r="B926" s="6">
        <f t="shared" ca="1" si="14"/>
        <v>0.55383911288575838</v>
      </c>
      <c r="C926" s="6" t="s">
        <v>35</v>
      </c>
    </row>
    <row r="927" spans="1:3" x14ac:dyDescent="0.2">
      <c r="A927" s="6">
        <v>925</v>
      </c>
      <c r="B927" s="6">
        <f t="shared" ca="1" si="14"/>
        <v>0.6647698299066801</v>
      </c>
      <c r="C927" s="6" t="s">
        <v>34</v>
      </c>
    </row>
    <row r="928" spans="1:3" x14ac:dyDescent="0.2">
      <c r="A928" s="6">
        <v>926</v>
      </c>
      <c r="B928" s="6">
        <f t="shared" ca="1" si="14"/>
        <v>0.81472311868340241</v>
      </c>
      <c r="C928" s="6" t="s">
        <v>34</v>
      </c>
    </row>
    <row r="929" spans="1:3" x14ac:dyDescent="0.2">
      <c r="A929" s="6">
        <v>927</v>
      </c>
      <c r="B929" s="6">
        <f t="shared" ca="1" si="14"/>
        <v>0.58787193074580468</v>
      </c>
      <c r="C929" s="6" t="s">
        <v>34</v>
      </c>
    </row>
    <row r="930" spans="1:3" x14ac:dyDescent="0.2">
      <c r="A930" s="6">
        <v>928</v>
      </c>
      <c r="B930" s="6">
        <f t="shared" ca="1" si="14"/>
        <v>0.73191343038242684</v>
      </c>
      <c r="C930" s="6" t="s">
        <v>34</v>
      </c>
    </row>
    <row r="931" spans="1:3" x14ac:dyDescent="0.2">
      <c r="A931" s="6">
        <v>929</v>
      </c>
      <c r="B931" s="6">
        <f t="shared" ca="1" si="14"/>
        <v>0.71090675103325485</v>
      </c>
      <c r="C931" s="6" t="s">
        <v>34</v>
      </c>
    </row>
    <row r="932" spans="1:3" x14ac:dyDescent="0.2">
      <c r="A932" s="6">
        <v>930</v>
      </c>
      <c r="B932" s="6">
        <f t="shared" ca="1" si="14"/>
        <v>0.6357475812410347</v>
      </c>
      <c r="C932" s="6" t="s">
        <v>34</v>
      </c>
    </row>
    <row r="933" spans="1:3" x14ac:dyDescent="0.2">
      <c r="A933" s="6">
        <v>931</v>
      </c>
      <c r="B933" s="6">
        <f t="shared" ca="1" si="14"/>
        <v>0.57155336367948073</v>
      </c>
      <c r="C933" s="6" t="s">
        <v>35</v>
      </c>
    </row>
    <row r="934" spans="1:3" x14ac:dyDescent="0.2">
      <c r="A934" s="6">
        <v>932</v>
      </c>
      <c r="B934" s="6">
        <f t="shared" ca="1" si="14"/>
        <v>0.92473800614269797</v>
      </c>
      <c r="C934" s="6" t="s">
        <v>34</v>
      </c>
    </row>
    <row r="935" spans="1:3" x14ac:dyDescent="0.2">
      <c r="A935" s="6">
        <v>933</v>
      </c>
      <c r="B935" s="6">
        <f t="shared" ca="1" si="14"/>
        <v>0.80949189902991014</v>
      </c>
      <c r="C935" s="6" t="s">
        <v>35</v>
      </c>
    </row>
    <row r="936" spans="1:3" x14ac:dyDescent="0.2">
      <c r="A936" s="6">
        <v>934</v>
      </c>
      <c r="B936" s="6">
        <f t="shared" ca="1" si="14"/>
        <v>0.64800927111139783</v>
      </c>
      <c r="C936" s="6" t="s">
        <v>34</v>
      </c>
    </row>
    <row r="937" spans="1:3" x14ac:dyDescent="0.2">
      <c r="A937" s="6">
        <v>935</v>
      </c>
      <c r="B937" s="6">
        <f t="shared" ca="1" si="14"/>
        <v>0.83827065352168728</v>
      </c>
      <c r="C937" s="6" t="s">
        <v>34</v>
      </c>
    </row>
    <row r="938" spans="1:3" x14ac:dyDescent="0.2">
      <c r="A938" s="6">
        <v>936</v>
      </c>
      <c r="B938" s="6">
        <f t="shared" ca="1" si="14"/>
        <v>0.60812278659341334</v>
      </c>
      <c r="C938" s="6" t="s">
        <v>35</v>
      </c>
    </row>
    <row r="939" spans="1:3" x14ac:dyDescent="0.2">
      <c r="A939" s="6">
        <v>937</v>
      </c>
      <c r="B939" s="6">
        <f t="shared" ca="1" si="14"/>
        <v>0.58284613472576918</v>
      </c>
      <c r="C939" s="6" t="s">
        <v>35</v>
      </c>
    </row>
    <row r="940" spans="1:3" x14ac:dyDescent="0.2">
      <c r="A940" s="6">
        <v>938</v>
      </c>
      <c r="B940" s="6">
        <f t="shared" ca="1" si="14"/>
        <v>0.71948236080953454</v>
      </c>
      <c r="C940" s="6" t="s">
        <v>34</v>
      </c>
    </row>
    <row r="941" spans="1:3" x14ac:dyDescent="0.2">
      <c r="A941" s="6">
        <v>939</v>
      </c>
      <c r="B941" s="6">
        <f t="shared" ca="1" si="14"/>
        <v>0.45631308479804988</v>
      </c>
      <c r="C941" s="6" t="s">
        <v>34</v>
      </c>
    </row>
    <row r="942" spans="1:3" x14ac:dyDescent="0.2">
      <c r="A942" s="6">
        <v>940</v>
      </c>
      <c r="B942" s="6">
        <f t="shared" ca="1" si="14"/>
        <v>0.49760637599170926</v>
      </c>
      <c r="C942" s="6" t="s">
        <v>35</v>
      </c>
    </row>
    <row r="943" spans="1:3" x14ac:dyDescent="0.2">
      <c r="A943" s="6">
        <v>941</v>
      </c>
      <c r="B943" s="6">
        <f t="shared" ca="1" si="14"/>
        <v>0.46487206293622152</v>
      </c>
      <c r="C943" s="6" t="s">
        <v>35</v>
      </c>
    </row>
    <row r="944" spans="1:3" x14ac:dyDescent="0.2">
      <c r="A944" s="6">
        <v>942</v>
      </c>
      <c r="B944" s="6">
        <f t="shared" ca="1" si="14"/>
        <v>0.65681587477581937</v>
      </c>
      <c r="C944" s="6" t="s">
        <v>35</v>
      </c>
    </row>
    <row r="945" spans="1:3" x14ac:dyDescent="0.2">
      <c r="A945" s="6">
        <v>943</v>
      </c>
      <c r="B945" s="6">
        <f t="shared" ca="1" si="14"/>
        <v>0.55461025777500594</v>
      </c>
      <c r="C945" s="6" t="s">
        <v>35</v>
      </c>
    </row>
    <row r="946" spans="1:3" x14ac:dyDescent="0.2">
      <c r="A946" s="6">
        <v>944</v>
      </c>
      <c r="B946" s="6">
        <f t="shared" ca="1" si="14"/>
        <v>0.52756326308844126</v>
      </c>
      <c r="C946" s="6" t="s">
        <v>35</v>
      </c>
    </row>
    <row r="947" spans="1:3" x14ac:dyDescent="0.2">
      <c r="A947" s="6">
        <v>945</v>
      </c>
      <c r="B947" s="6">
        <f t="shared" ca="1" si="14"/>
        <v>0.87805697094207413</v>
      </c>
      <c r="C947" s="6" t="s">
        <v>34</v>
      </c>
    </row>
    <row r="948" spans="1:3" x14ac:dyDescent="0.2">
      <c r="A948" s="6">
        <v>946</v>
      </c>
      <c r="B948" s="6">
        <f t="shared" ca="1" si="14"/>
        <v>0.59943840986293806</v>
      </c>
      <c r="C948" s="6" t="s">
        <v>35</v>
      </c>
    </row>
    <row r="949" spans="1:3" x14ac:dyDescent="0.2">
      <c r="A949" s="6">
        <v>947</v>
      </c>
      <c r="B949" s="6">
        <f t="shared" ca="1" si="14"/>
        <v>0.58358143890957326</v>
      </c>
      <c r="C949" s="6" t="s">
        <v>34</v>
      </c>
    </row>
    <row r="950" spans="1:3" x14ac:dyDescent="0.2">
      <c r="A950" s="6">
        <v>948</v>
      </c>
      <c r="B950" s="6">
        <f t="shared" ca="1" si="14"/>
        <v>0.846531512801737</v>
      </c>
      <c r="C950" s="6" t="s">
        <v>35</v>
      </c>
    </row>
    <row r="951" spans="1:3" x14ac:dyDescent="0.2">
      <c r="A951" s="6">
        <v>949</v>
      </c>
      <c r="B951" s="6">
        <f t="shared" ca="1" si="14"/>
        <v>0.62133762248190472</v>
      </c>
      <c r="C951" s="6" t="s">
        <v>34</v>
      </c>
    </row>
    <row r="952" spans="1:3" x14ac:dyDescent="0.2">
      <c r="A952" s="6">
        <v>950</v>
      </c>
      <c r="B952" s="6">
        <f t="shared" ca="1" si="14"/>
        <v>0.66833784904146565</v>
      </c>
      <c r="C952" s="6" t="s">
        <v>34</v>
      </c>
    </row>
    <row r="953" spans="1:3" x14ac:dyDescent="0.2">
      <c r="A953" s="6">
        <v>951</v>
      </c>
      <c r="B953" s="6">
        <f t="shared" ca="1" si="14"/>
        <v>0.6109232167533083</v>
      </c>
      <c r="C953" s="6" t="s">
        <v>35</v>
      </c>
    </row>
    <row r="954" spans="1:3" x14ac:dyDescent="0.2">
      <c r="A954" s="6">
        <v>952</v>
      </c>
      <c r="B954" s="6">
        <f t="shared" ca="1" si="14"/>
        <v>0.28263296369740937</v>
      </c>
      <c r="C954" s="6" t="s">
        <v>35</v>
      </c>
    </row>
    <row r="955" spans="1:3" x14ac:dyDescent="0.2">
      <c r="A955" s="6">
        <v>953</v>
      </c>
      <c r="B955" s="6">
        <f t="shared" ca="1" si="14"/>
        <v>0.62249230999191119</v>
      </c>
      <c r="C955" s="6" t="s">
        <v>34</v>
      </c>
    </row>
    <row r="956" spans="1:3" x14ac:dyDescent="0.2">
      <c r="A956" s="6">
        <v>954</v>
      </c>
      <c r="B956" s="6">
        <f t="shared" ca="1" si="14"/>
        <v>0.72040649403260582</v>
      </c>
      <c r="C956" s="6" t="s">
        <v>35</v>
      </c>
    </row>
    <row r="957" spans="1:3" x14ac:dyDescent="0.2">
      <c r="A957" s="6">
        <v>955</v>
      </c>
      <c r="B957" s="6">
        <f t="shared" ca="1" si="14"/>
        <v>0.75086400386879548</v>
      </c>
      <c r="C957" s="6" t="s">
        <v>34</v>
      </c>
    </row>
    <row r="958" spans="1:3" x14ac:dyDescent="0.2">
      <c r="A958" s="6">
        <v>956</v>
      </c>
      <c r="B958" s="6">
        <f t="shared" ca="1" si="14"/>
        <v>0.74189088624591548</v>
      </c>
      <c r="C958" s="6" t="s">
        <v>34</v>
      </c>
    </row>
    <row r="959" spans="1:3" x14ac:dyDescent="0.2">
      <c r="A959" s="6">
        <v>957</v>
      </c>
      <c r="B959" s="6">
        <f t="shared" ca="1" si="14"/>
        <v>0.53145359102986922</v>
      </c>
      <c r="C959" s="6" t="s">
        <v>35</v>
      </c>
    </row>
    <row r="960" spans="1:3" x14ac:dyDescent="0.2">
      <c r="A960" s="6">
        <v>958</v>
      </c>
      <c r="B960" s="6">
        <f t="shared" ca="1" si="14"/>
        <v>0.63042841297878882</v>
      </c>
      <c r="C960" s="6" t="s">
        <v>34</v>
      </c>
    </row>
    <row r="961" spans="1:3" x14ac:dyDescent="0.2">
      <c r="A961" s="6">
        <v>959</v>
      </c>
      <c r="B961" s="6">
        <f t="shared" ca="1" si="14"/>
        <v>0.38404437326548069</v>
      </c>
      <c r="C961" s="6" t="s">
        <v>35</v>
      </c>
    </row>
    <row r="962" spans="1:3" x14ac:dyDescent="0.2">
      <c r="A962" s="6">
        <v>960</v>
      </c>
      <c r="B962" s="6">
        <f t="shared" ca="1" si="14"/>
        <v>0.6426263298283289</v>
      </c>
      <c r="C962" s="6" t="s">
        <v>35</v>
      </c>
    </row>
    <row r="963" spans="1:3" x14ac:dyDescent="0.2">
      <c r="A963" s="6">
        <v>961</v>
      </c>
      <c r="B963" s="6">
        <f t="shared" ca="1" si="14"/>
        <v>0.78531583240124159</v>
      </c>
      <c r="C963" s="6" t="s">
        <v>34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0.79947160298222752</v>
      </c>
      <c r="C964" s="6" t="s">
        <v>34</v>
      </c>
    </row>
    <row r="965" spans="1:3" x14ac:dyDescent="0.2">
      <c r="A965" s="6">
        <v>963</v>
      </c>
      <c r="B965" s="6">
        <f t="shared" ca="1" si="15"/>
        <v>0.40897663754372893</v>
      </c>
      <c r="C965" s="6" t="s">
        <v>34</v>
      </c>
    </row>
    <row r="966" spans="1:3" x14ac:dyDescent="0.2">
      <c r="A966" s="6">
        <v>964</v>
      </c>
      <c r="B966" s="6">
        <f t="shared" ca="1" si="15"/>
        <v>0.75057342314933528</v>
      </c>
      <c r="C966" s="6" t="s">
        <v>34</v>
      </c>
    </row>
    <row r="967" spans="1:3" x14ac:dyDescent="0.2">
      <c r="A967" s="6">
        <v>965</v>
      </c>
      <c r="B967" s="6">
        <f t="shared" ca="1" si="15"/>
        <v>0.8275663009513553</v>
      </c>
      <c r="C967" s="6" t="s">
        <v>34</v>
      </c>
    </row>
    <row r="968" spans="1:3" x14ac:dyDescent="0.2">
      <c r="A968" s="6">
        <v>966</v>
      </c>
      <c r="B968" s="6">
        <f t="shared" ca="1" si="15"/>
        <v>0.73660065747904457</v>
      </c>
      <c r="C968" s="6" t="s">
        <v>34</v>
      </c>
    </row>
    <row r="969" spans="1:3" x14ac:dyDescent="0.2">
      <c r="A969" s="6">
        <v>967</v>
      </c>
      <c r="B969" s="6">
        <f t="shared" ca="1" si="15"/>
        <v>0.79129652301501174</v>
      </c>
      <c r="C969" s="6" t="s">
        <v>34</v>
      </c>
    </row>
    <row r="970" spans="1:3" x14ac:dyDescent="0.2">
      <c r="A970" s="6">
        <v>968</v>
      </c>
      <c r="B970" s="6">
        <f t="shared" ca="1" si="15"/>
        <v>0.76364983746315818</v>
      </c>
      <c r="C970" s="6" t="s">
        <v>34</v>
      </c>
    </row>
    <row r="971" spans="1:3" x14ac:dyDescent="0.2">
      <c r="A971" s="6">
        <v>969</v>
      </c>
      <c r="B971" s="6">
        <f t="shared" ca="1" si="15"/>
        <v>0.54598462152745519</v>
      </c>
      <c r="C971" s="6" t="s">
        <v>35</v>
      </c>
    </row>
    <row r="972" spans="1:3" x14ac:dyDescent="0.2">
      <c r="A972" s="6">
        <v>970</v>
      </c>
      <c r="B972" s="6">
        <f t="shared" ca="1" si="15"/>
        <v>0.68080669893404677</v>
      </c>
      <c r="C972" s="6" t="s">
        <v>35</v>
      </c>
    </row>
    <row r="973" spans="1:3" x14ac:dyDescent="0.2">
      <c r="A973" s="6">
        <v>971</v>
      </c>
      <c r="B973" s="6">
        <f t="shared" ca="1" si="15"/>
        <v>0.73296374467766012</v>
      </c>
      <c r="C973" s="6" t="s">
        <v>34</v>
      </c>
    </row>
    <row r="974" spans="1:3" x14ac:dyDescent="0.2">
      <c r="A974" s="6">
        <v>972</v>
      </c>
      <c r="B974" s="6">
        <f t="shared" ca="1" si="15"/>
        <v>0.8378378002529332</v>
      </c>
      <c r="C974" s="6" t="s">
        <v>35</v>
      </c>
    </row>
    <row r="975" spans="1:3" x14ac:dyDescent="0.2">
      <c r="A975" s="6">
        <v>973</v>
      </c>
      <c r="B975" s="6">
        <f t="shared" ca="1" si="15"/>
        <v>0.79820871186912812</v>
      </c>
      <c r="C975" s="6" t="s">
        <v>34</v>
      </c>
    </row>
    <row r="976" spans="1:3" x14ac:dyDescent="0.2">
      <c r="A976" s="6">
        <v>974</v>
      </c>
      <c r="B976" s="6">
        <f t="shared" ca="1" si="15"/>
        <v>0.77066015639682417</v>
      </c>
      <c r="C976" s="6" t="s">
        <v>34</v>
      </c>
    </row>
    <row r="977" spans="1:3" x14ac:dyDescent="0.2">
      <c r="A977" s="6">
        <v>975</v>
      </c>
      <c r="B977" s="6">
        <f t="shared" ca="1" si="15"/>
        <v>0.87181301142717127</v>
      </c>
      <c r="C977" s="6" t="s">
        <v>34</v>
      </c>
    </row>
    <row r="978" spans="1:3" x14ac:dyDescent="0.2">
      <c r="A978" s="6">
        <v>976</v>
      </c>
      <c r="B978" s="6">
        <f t="shared" ca="1" si="15"/>
        <v>0.647603051640257</v>
      </c>
      <c r="C978" s="6" t="s">
        <v>34</v>
      </c>
    </row>
    <row r="979" spans="1:3" x14ac:dyDescent="0.2">
      <c r="A979" s="6">
        <v>977</v>
      </c>
      <c r="B979" s="6">
        <f t="shared" ca="1" si="15"/>
        <v>0.89423463834610173</v>
      </c>
      <c r="C979" s="6" t="s">
        <v>34</v>
      </c>
    </row>
    <row r="980" spans="1:3" x14ac:dyDescent="0.2">
      <c r="A980" s="6">
        <v>978</v>
      </c>
      <c r="B980" s="6">
        <f t="shared" ca="1" si="15"/>
        <v>0.65279109433152316</v>
      </c>
      <c r="C980" s="6" t="s">
        <v>34</v>
      </c>
    </row>
    <row r="981" spans="1:3" x14ac:dyDescent="0.2">
      <c r="A981" s="6">
        <v>979</v>
      </c>
      <c r="B981" s="6">
        <f t="shared" ca="1" si="15"/>
        <v>0.75329888814996504</v>
      </c>
      <c r="C981" s="6" t="s">
        <v>34</v>
      </c>
    </row>
    <row r="982" spans="1:3" x14ac:dyDescent="0.2">
      <c r="A982" s="6">
        <v>980</v>
      </c>
      <c r="B982" s="6">
        <f t="shared" ca="1" si="15"/>
        <v>0.57708021553665634</v>
      </c>
      <c r="C982" s="6" t="s">
        <v>35</v>
      </c>
    </row>
    <row r="983" spans="1:3" x14ac:dyDescent="0.2">
      <c r="A983" s="6">
        <v>981</v>
      </c>
      <c r="B983" s="6">
        <f t="shared" ca="1" si="15"/>
        <v>0.58019923131479645</v>
      </c>
      <c r="C983" s="6" t="s">
        <v>35</v>
      </c>
    </row>
    <row r="984" spans="1:3" x14ac:dyDescent="0.2">
      <c r="A984" s="6">
        <v>982</v>
      </c>
      <c r="B984" s="6">
        <f t="shared" ca="1" si="15"/>
        <v>0.58957882041415155</v>
      </c>
      <c r="C984" s="6" t="s">
        <v>34</v>
      </c>
    </row>
    <row r="985" spans="1:3" x14ac:dyDescent="0.2">
      <c r="A985" s="6">
        <v>983</v>
      </c>
      <c r="B985" s="6">
        <f t="shared" ca="1" si="15"/>
        <v>0.76633029461757052</v>
      </c>
      <c r="C985" s="6" t="s">
        <v>34</v>
      </c>
    </row>
    <row r="986" spans="1:3" x14ac:dyDescent="0.2">
      <c r="A986" s="6">
        <v>984</v>
      </c>
      <c r="B986" s="6">
        <f t="shared" ca="1" si="15"/>
        <v>0.63341679880834079</v>
      </c>
      <c r="C986" s="6" t="s">
        <v>35</v>
      </c>
    </row>
    <row r="987" spans="1:3" x14ac:dyDescent="0.2">
      <c r="A987" s="6">
        <v>985</v>
      </c>
      <c r="B987" s="6">
        <f t="shared" ca="1" si="15"/>
        <v>0.60888278583461719</v>
      </c>
      <c r="C987" s="6" t="s">
        <v>35</v>
      </c>
    </row>
    <row r="988" spans="1:3" x14ac:dyDescent="0.2">
      <c r="A988" s="6">
        <v>986</v>
      </c>
      <c r="B988" s="6">
        <f t="shared" ca="1" si="15"/>
        <v>0.74817833293810776</v>
      </c>
      <c r="C988" s="6" t="s">
        <v>34</v>
      </c>
    </row>
    <row r="989" spans="1:3" x14ac:dyDescent="0.2">
      <c r="A989" s="6">
        <v>987</v>
      </c>
      <c r="B989" s="6">
        <f t="shared" ca="1" si="15"/>
        <v>0.70650791456307172</v>
      </c>
      <c r="C989" s="6" t="s">
        <v>35</v>
      </c>
    </row>
    <row r="990" spans="1:3" x14ac:dyDescent="0.2">
      <c r="A990" s="6">
        <v>988</v>
      </c>
      <c r="B990" s="6">
        <f t="shared" ca="1" si="15"/>
        <v>0.69102288827187297</v>
      </c>
      <c r="C990" s="6" t="s">
        <v>35</v>
      </c>
    </row>
    <row r="991" spans="1:3" x14ac:dyDescent="0.2">
      <c r="A991" s="6">
        <v>989</v>
      </c>
      <c r="B991" s="6">
        <f t="shared" ca="1" si="15"/>
        <v>0.6874513857467025</v>
      </c>
      <c r="C991" s="6" t="s">
        <v>34</v>
      </c>
    </row>
    <row r="992" spans="1:3" x14ac:dyDescent="0.2">
      <c r="A992" s="6">
        <v>990</v>
      </c>
      <c r="B992" s="6">
        <f t="shared" ca="1" si="15"/>
        <v>0.64322912321277359</v>
      </c>
      <c r="C992" s="6" t="s">
        <v>35</v>
      </c>
    </row>
    <row r="993" spans="1:3" x14ac:dyDescent="0.2">
      <c r="A993" s="6">
        <v>991</v>
      </c>
      <c r="B993" s="6">
        <f t="shared" ca="1" si="15"/>
        <v>0.79359458797600602</v>
      </c>
      <c r="C993" s="6" t="s">
        <v>34</v>
      </c>
    </row>
    <row r="994" spans="1:3" x14ac:dyDescent="0.2">
      <c r="A994" s="6">
        <v>992</v>
      </c>
      <c r="B994" s="6">
        <f t="shared" ca="1" si="15"/>
        <v>0.92528213102595247</v>
      </c>
      <c r="C994" s="6" t="s">
        <v>35</v>
      </c>
    </row>
    <row r="995" spans="1:3" x14ac:dyDescent="0.2">
      <c r="A995" s="6">
        <v>993</v>
      </c>
      <c r="B995" s="6">
        <f t="shared" ca="1" si="15"/>
        <v>0.71127354835595302</v>
      </c>
      <c r="C995" s="6" t="s">
        <v>34</v>
      </c>
    </row>
    <row r="996" spans="1:3" x14ac:dyDescent="0.2">
      <c r="A996" s="6">
        <v>994</v>
      </c>
      <c r="B996" s="6">
        <f t="shared" ca="1" si="15"/>
        <v>0.97404760867582574</v>
      </c>
      <c r="C996" s="6" t="s">
        <v>34</v>
      </c>
    </row>
    <row r="997" spans="1:3" x14ac:dyDescent="0.2">
      <c r="A997" s="6">
        <v>995</v>
      </c>
      <c r="B997" s="6">
        <f t="shared" ca="1" si="15"/>
        <v>0.66677060230585228</v>
      </c>
      <c r="C997" s="6" t="s">
        <v>35</v>
      </c>
    </row>
    <row r="998" spans="1:3" x14ac:dyDescent="0.2">
      <c r="A998" s="6">
        <v>996</v>
      </c>
      <c r="B998" s="6">
        <f t="shared" ca="1" si="15"/>
        <v>0.89874924433790437</v>
      </c>
      <c r="C998" s="6" t="s">
        <v>34</v>
      </c>
    </row>
    <row r="999" spans="1:3" x14ac:dyDescent="0.2">
      <c r="A999" s="6">
        <v>997</v>
      </c>
      <c r="B999" s="6">
        <f t="shared" ca="1" si="15"/>
        <v>0.45761355854380648</v>
      </c>
      <c r="C999" s="6" t="s">
        <v>35</v>
      </c>
    </row>
    <row r="1000" spans="1:3" x14ac:dyDescent="0.2">
      <c r="A1000" s="6">
        <v>998</v>
      </c>
      <c r="B1000" s="6">
        <f t="shared" ca="1" si="15"/>
        <v>0.54219457518538394</v>
      </c>
      <c r="C1000" s="6" t="s">
        <v>35</v>
      </c>
    </row>
    <row r="1001" spans="1:3" x14ac:dyDescent="0.2">
      <c r="A1001" s="6">
        <v>999</v>
      </c>
      <c r="B1001" s="6">
        <f t="shared" ca="1" si="15"/>
        <v>0.45144201751405988</v>
      </c>
      <c r="C1001" s="6" t="s">
        <v>35</v>
      </c>
    </row>
    <row r="1002" spans="1:3" x14ac:dyDescent="0.2">
      <c r="A1002" s="6">
        <v>1000</v>
      </c>
      <c r="B1002" s="6">
        <f t="shared" ca="1" si="15"/>
        <v>0.725579046811893</v>
      </c>
      <c r="C1002" s="6" t="s">
        <v>35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C782-0053-E04B-A043-67BF580EB924}">
  <sheetPr codeName="Sheet4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36</v>
      </c>
      <c r="C2" s="6" t="s">
        <v>11</v>
      </c>
      <c r="J2" s="9" t="s">
        <v>40</v>
      </c>
      <c r="K2" s="9" t="s">
        <v>37</v>
      </c>
    </row>
    <row r="3" spans="1:11" x14ac:dyDescent="0.2">
      <c r="A3" s="6">
        <v>1</v>
      </c>
      <c r="B3" s="6">
        <f ca="1">IF(C3="Bomb",_xlfn.NORM.INV(RAND(),0.7,0.1),_xlfn.NORM.INV(RAND(),0.6,0.15))</f>
        <v>0.71645058131843109</v>
      </c>
      <c r="C3" s="6" t="str">
        <f ca="1">IF(RAND()&lt;0.5,"Bomb","Bird")</f>
        <v>Bomb</v>
      </c>
      <c r="E3" s="6" t="s">
        <v>38</v>
      </c>
      <c r="I3" s="19"/>
      <c r="J3" s="20">
        <f ca="1">F10</f>
        <v>1</v>
      </c>
      <c r="K3" s="20">
        <f ca="1">E10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0.64911092818634075</v>
      </c>
      <c r="C4" s="6" t="s">
        <v>34</v>
      </c>
      <c r="E4" s="8">
        <v>0</v>
      </c>
      <c r="I4" s="20">
        <v>0.03</v>
      </c>
      <c r="J4" s="21">
        <f t="dataTable" ref="J4:K36" dt2D="0" dtr="0" r1="E4" ca="1"/>
        <v>1</v>
      </c>
      <c r="K4" s="21">
        <v>1</v>
      </c>
    </row>
    <row r="5" spans="1:11" x14ac:dyDescent="0.2">
      <c r="A5" s="6">
        <v>3</v>
      </c>
      <c r="B5" s="6">
        <f t="shared" ca="1" si="0"/>
        <v>0.56180139227481596</v>
      </c>
      <c r="C5" s="6" t="s">
        <v>35</v>
      </c>
      <c r="I5" s="20">
        <v>0.06</v>
      </c>
      <c r="J5" s="21">
        <v>1</v>
      </c>
      <c r="K5" s="21">
        <v>1</v>
      </c>
    </row>
    <row r="6" spans="1:11" x14ac:dyDescent="0.2">
      <c r="A6" s="6">
        <v>4</v>
      </c>
      <c r="B6" s="6">
        <f t="shared" ca="1" si="0"/>
        <v>0.66164653471671642</v>
      </c>
      <c r="C6" s="6" t="s">
        <v>34</v>
      </c>
      <c r="E6" s="9" t="s">
        <v>37</v>
      </c>
      <c r="F6" s="9" t="s">
        <v>39</v>
      </c>
      <c r="I6" s="20">
        <v>0.09</v>
      </c>
      <c r="J6" s="21">
        <v>1</v>
      </c>
      <c r="K6" s="21">
        <v>1</v>
      </c>
    </row>
    <row r="7" spans="1:11" x14ac:dyDescent="0.2">
      <c r="A7" s="6">
        <v>5</v>
      </c>
      <c r="B7" s="6">
        <f t="shared" ca="1" si="0"/>
        <v>0.67176574865706895</v>
      </c>
      <c r="C7" s="6" t="s">
        <v>34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20">
        <v>0.12</v>
      </c>
      <c r="J7" s="21">
        <v>1</v>
      </c>
      <c r="K7" s="21">
        <v>1</v>
      </c>
    </row>
    <row r="8" spans="1:11" x14ac:dyDescent="0.2">
      <c r="A8" s="6">
        <v>6</v>
      </c>
      <c r="B8" s="6">
        <f t="shared" ca="1" si="0"/>
        <v>0.7392333918423547</v>
      </c>
      <c r="C8" s="6" t="s">
        <v>34</v>
      </c>
      <c r="I8" s="20">
        <v>0.15</v>
      </c>
      <c r="J8" s="21">
        <v>0.99805068226120852</v>
      </c>
      <c r="K8" s="21">
        <v>1</v>
      </c>
    </row>
    <row r="9" spans="1:11" x14ac:dyDescent="0.2">
      <c r="A9" s="6">
        <v>7</v>
      </c>
      <c r="B9" s="6">
        <f t="shared" ca="1" si="0"/>
        <v>0.51834352962723407</v>
      </c>
      <c r="C9" s="6" t="s">
        <v>34</v>
      </c>
      <c r="E9" s="9" t="s">
        <v>37</v>
      </c>
      <c r="F9" s="9" t="s">
        <v>40</v>
      </c>
      <c r="I9" s="20">
        <v>0.18</v>
      </c>
      <c r="J9" s="21">
        <v>0.99610136452241715</v>
      </c>
      <c r="K9" s="21">
        <v>1</v>
      </c>
    </row>
    <row r="10" spans="1:11" x14ac:dyDescent="0.2">
      <c r="A10" s="6">
        <v>8</v>
      </c>
      <c r="B10" s="6">
        <f t="shared" ca="1" si="0"/>
        <v>0.62606801571472703</v>
      </c>
      <c r="C10" s="6" t="s">
        <v>35</v>
      </c>
      <c r="E10" s="8">
        <f ca="1">E7</f>
        <v>1</v>
      </c>
      <c r="F10" s="8">
        <f ca="1">1-F7</f>
        <v>1</v>
      </c>
      <c r="I10" s="20">
        <v>0.21</v>
      </c>
      <c r="J10" s="21">
        <v>0.99416342412451364</v>
      </c>
      <c r="K10" s="21">
        <v>1</v>
      </c>
    </row>
    <row r="11" spans="1:11" x14ac:dyDescent="0.2">
      <c r="A11" s="6">
        <v>9</v>
      </c>
      <c r="B11" s="6">
        <f t="shared" ca="1" si="0"/>
        <v>0.66533189830349782</v>
      </c>
      <c r="C11" s="6" t="s">
        <v>35</v>
      </c>
      <c r="I11" s="20">
        <v>0.24</v>
      </c>
      <c r="J11" s="21">
        <v>0.99025341130604283</v>
      </c>
      <c r="K11" s="21">
        <v>1</v>
      </c>
    </row>
    <row r="12" spans="1:11" x14ac:dyDescent="0.2">
      <c r="A12" s="6">
        <v>10</v>
      </c>
      <c r="B12" s="6">
        <f t="shared" ca="1" si="0"/>
        <v>0.54514040177344802</v>
      </c>
      <c r="C12" s="6" t="s">
        <v>35</v>
      </c>
      <c r="I12" s="20">
        <v>0.27</v>
      </c>
      <c r="J12" s="21">
        <v>0.98832684824902728</v>
      </c>
      <c r="K12" s="21">
        <v>1</v>
      </c>
    </row>
    <row r="13" spans="1:11" x14ac:dyDescent="0.2">
      <c r="A13" s="6">
        <v>11</v>
      </c>
      <c r="B13" s="6">
        <f t="shared" ca="1" si="0"/>
        <v>0.49174577420074717</v>
      </c>
      <c r="C13" s="6" t="s">
        <v>35</v>
      </c>
      <c r="I13" s="20">
        <v>0.3</v>
      </c>
      <c r="J13" s="21">
        <v>0.97465886939571145</v>
      </c>
      <c r="K13" s="21">
        <v>1</v>
      </c>
    </row>
    <row r="14" spans="1:11" x14ac:dyDescent="0.2">
      <c r="A14" s="6">
        <v>12</v>
      </c>
      <c r="B14" s="6">
        <f t="shared" ca="1" si="0"/>
        <v>0.79810817093168496</v>
      </c>
      <c r="C14" s="6" t="s">
        <v>35</v>
      </c>
      <c r="I14" s="20">
        <v>0.33</v>
      </c>
      <c r="J14" s="21">
        <v>0.9688715953307393</v>
      </c>
      <c r="K14" s="21">
        <v>1</v>
      </c>
    </row>
    <row r="15" spans="1:11" x14ac:dyDescent="0.2">
      <c r="A15" s="6">
        <v>13</v>
      </c>
      <c r="B15" s="6">
        <f t="shared" ca="1" si="0"/>
        <v>0.57232772209573468</v>
      </c>
      <c r="C15" s="6" t="s">
        <v>34</v>
      </c>
      <c r="I15" s="20">
        <v>0.36</v>
      </c>
      <c r="J15" s="21">
        <v>0.94357976653696496</v>
      </c>
      <c r="K15" s="21">
        <v>1</v>
      </c>
    </row>
    <row r="16" spans="1:11" x14ac:dyDescent="0.2">
      <c r="A16" s="6">
        <v>14</v>
      </c>
      <c r="B16" s="6">
        <f t="shared" ca="1" si="0"/>
        <v>0.78641342128277092</v>
      </c>
      <c r="C16" s="6" t="s">
        <v>34</v>
      </c>
      <c r="I16" s="20">
        <v>0.39</v>
      </c>
      <c r="J16" s="21">
        <v>0.89494163424124518</v>
      </c>
      <c r="K16" s="21">
        <v>1</v>
      </c>
    </row>
    <row r="17" spans="1:11" x14ac:dyDescent="0.2">
      <c r="A17" s="6">
        <v>15</v>
      </c>
      <c r="B17" s="6">
        <f t="shared" ca="1" si="0"/>
        <v>0.73862144852369394</v>
      </c>
      <c r="C17" s="6" t="s">
        <v>34</v>
      </c>
      <c r="I17" s="20">
        <v>0.42</v>
      </c>
      <c r="J17" s="21">
        <v>0.9064327485380117</v>
      </c>
      <c r="K17" s="21">
        <v>1</v>
      </c>
    </row>
    <row r="18" spans="1:11" x14ac:dyDescent="0.2">
      <c r="A18" s="6">
        <v>16</v>
      </c>
      <c r="B18" s="6">
        <f t="shared" ca="1" si="0"/>
        <v>0.42263111316483537</v>
      </c>
      <c r="C18" s="6" t="s">
        <v>35</v>
      </c>
      <c r="I18" s="20">
        <v>0.45</v>
      </c>
      <c r="J18" s="21">
        <v>0.82456140350877194</v>
      </c>
      <c r="K18" s="21">
        <v>0.99383983572895274</v>
      </c>
    </row>
    <row r="19" spans="1:11" x14ac:dyDescent="0.2">
      <c r="A19" s="6">
        <v>17</v>
      </c>
      <c r="B19" s="6">
        <f t="shared" ca="1" si="0"/>
        <v>0.57536276645414997</v>
      </c>
      <c r="C19" s="6" t="s">
        <v>34</v>
      </c>
      <c r="I19" s="20">
        <v>0.48</v>
      </c>
      <c r="J19" s="21">
        <v>0.82066276803118909</v>
      </c>
      <c r="K19" s="21">
        <v>0.98767967145790558</v>
      </c>
    </row>
    <row r="20" spans="1:11" x14ac:dyDescent="0.2">
      <c r="A20" s="6">
        <v>18</v>
      </c>
      <c r="B20" s="6">
        <f t="shared" ca="1" si="0"/>
        <v>0.65915807885634181</v>
      </c>
      <c r="C20" s="6" t="s">
        <v>35</v>
      </c>
      <c r="I20" s="20">
        <v>0.51</v>
      </c>
      <c r="J20" s="21">
        <v>0.72904483430799227</v>
      </c>
      <c r="K20" s="21">
        <v>0.97330595482546201</v>
      </c>
    </row>
    <row r="21" spans="1:11" x14ac:dyDescent="0.2">
      <c r="A21" s="6">
        <v>19</v>
      </c>
      <c r="B21" s="6">
        <f t="shared" ca="1" si="0"/>
        <v>0.75913467521732825</v>
      </c>
      <c r="C21" s="6" t="s">
        <v>34</v>
      </c>
      <c r="I21" s="20">
        <v>0.54</v>
      </c>
      <c r="J21" s="21">
        <v>0.61598440545808963</v>
      </c>
      <c r="K21" s="21">
        <v>0.94661190965092401</v>
      </c>
    </row>
    <row r="22" spans="1:11" x14ac:dyDescent="0.2">
      <c r="A22" s="6">
        <v>20</v>
      </c>
      <c r="B22" s="6">
        <f t="shared" ca="1" si="0"/>
        <v>0.59129179009178923</v>
      </c>
      <c r="C22" s="6" t="s">
        <v>34</v>
      </c>
      <c r="I22" s="20">
        <v>0.56999999999999995</v>
      </c>
      <c r="J22" s="21">
        <v>0.57504873294346981</v>
      </c>
      <c r="K22" s="21">
        <v>0.91375770020533886</v>
      </c>
    </row>
    <row r="23" spans="1:11" x14ac:dyDescent="0.2">
      <c r="A23" s="6">
        <v>21</v>
      </c>
      <c r="B23" s="6">
        <f t="shared" ca="1" si="0"/>
        <v>0.69455382697218082</v>
      </c>
      <c r="C23" s="6" t="s">
        <v>34</v>
      </c>
      <c r="I23" s="20">
        <v>0.6</v>
      </c>
      <c r="J23" s="21">
        <v>0.5311284046692607</v>
      </c>
      <c r="K23" s="21">
        <v>0.83333333333333337</v>
      </c>
    </row>
    <row r="24" spans="1:11" x14ac:dyDescent="0.2">
      <c r="A24" s="6">
        <v>22</v>
      </c>
      <c r="B24" s="6">
        <f t="shared" ca="1" si="0"/>
        <v>0.49756038249623802</v>
      </c>
      <c r="C24" s="6" t="s">
        <v>35</v>
      </c>
      <c r="I24" s="20">
        <v>0.63</v>
      </c>
      <c r="J24" s="21">
        <v>0.41245136186770426</v>
      </c>
      <c r="K24" s="21">
        <v>0.74485596707818935</v>
      </c>
    </row>
    <row r="25" spans="1:11" x14ac:dyDescent="0.2">
      <c r="A25" s="6">
        <v>23</v>
      </c>
      <c r="B25" s="6">
        <f t="shared" ca="1" si="0"/>
        <v>0.7864668374203041</v>
      </c>
      <c r="C25" s="6" t="s">
        <v>34</v>
      </c>
      <c r="I25" s="20">
        <v>0.66</v>
      </c>
      <c r="J25" s="21">
        <v>0.35214007782101164</v>
      </c>
      <c r="K25" s="21">
        <v>0.65432098765432101</v>
      </c>
    </row>
    <row r="26" spans="1:11" x14ac:dyDescent="0.2">
      <c r="A26" s="6">
        <v>24</v>
      </c>
      <c r="B26" s="6">
        <f t="shared" ca="1" si="0"/>
        <v>0.64000928649632172</v>
      </c>
      <c r="C26" s="6" t="s">
        <v>34</v>
      </c>
      <c r="I26" s="20">
        <v>0.69</v>
      </c>
      <c r="J26" s="21">
        <v>0.2300194931773879</v>
      </c>
      <c r="K26" s="21">
        <v>0.5154004106776181</v>
      </c>
    </row>
    <row r="27" spans="1:11" x14ac:dyDescent="0.2">
      <c r="A27" s="6">
        <v>25</v>
      </c>
      <c r="B27" s="6">
        <f t="shared" ca="1" si="0"/>
        <v>0.73552774821280587</v>
      </c>
      <c r="C27" s="6" t="s">
        <v>34</v>
      </c>
      <c r="I27" s="20">
        <v>0.72</v>
      </c>
      <c r="J27" s="21">
        <v>0.22957198443579763</v>
      </c>
      <c r="K27" s="21">
        <v>0.43415637860082307</v>
      </c>
    </row>
    <row r="28" spans="1:11" x14ac:dyDescent="0.2">
      <c r="A28" s="6">
        <v>26</v>
      </c>
      <c r="B28" s="6">
        <f t="shared" ca="1" si="0"/>
        <v>0.53434644787476293</v>
      </c>
      <c r="C28" s="6" t="s">
        <v>34</v>
      </c>
      <c r="I28" s="20">
        <v>0.75</v>
      </c>
      <c r="J28" s="21">
        <v>0.16374269005847952</v>
      </c>
      <c r="K28" s="21">
        <v>0.3347022587268994</v>
      </c>
    </row>
    <row r="29" spans="1:11" x14ac:dyDescent="0.2">
      <c r="A29" s="6">
        <v>27</v>
      </c>
      <c r="B29" s="6">
        <f t="shared" ca="1" si="0"/>
        <v>0.6958478865340143</v>
      </c>
      <c r="C29" s="6" t="s">
        <v>35</v>
      </c>
      <c r="I29" s="20">
        <v>0.78</v>
      </c>
      <c r="J29" s="21">
        <v>0.12085769980506822</v>
      </c>
      <c r="K29" s="21">
        <v>0.21560574948665298</v>
      </c>
    </row>
    <row r="30" spans="1:11" x14ac:dyDescent="0.2">
      <c r="A30" s="6">
        <v>28</v>
      </c>
      <c r="B30" s="6">
        <f t="shared" ca="1" si="0"/>
        <v>0.67200064102375257</v>
      </c>
      <c r="C30" s="6" t="s">
        <v>34</v>
      </c>
      <c r="I30" s="20">
        <v>0.81</v>
      </c>
      <c r="J30" s="21">
        <v>6.2256809338521402E-2</v>
      </c>
      <c r="K30" s="21">
        <v>0.12962962962962962</v>
      </c>
    </row>
    <row r="31" spans="1:11" x14ac:dyDescent="0.2">
      <c r="A31" s="6">
        <v>29</v>
      </c>
      <c r="B31" s="6">
        <f t="shared" ca="1" si="0"/>
        <v>0.50945260233731104</v>
      </c>
      <c r="C31" s="6" t="s">
        <v>35</v>
      </c>
      <c r="I31" s="20">
        <v>0.84</v>
      </c>
      <c r="J31" s="21">
        <v>5.8365758754863828E-2</v>
      </c>
      <c r="K31" s="21">
        <v>7.6131687242798354E-2</v>
      </c>
    </row>
    <row r="32" spans="1:11" x14ac:dyDescent="0.2">
      <c r="A32" s="6">
        <v>30</v>
      </c>
      <c r="B32" s="6">
        <f t="shared" ca="1" si="0"/>
        <v>0.80639117235021263</v>
      </c>
      <c r="C32" s="6" t="s">
        <v>34</v>
      </c>
      <c r="I32" s="20">
        <v>0.87</v>
      </c>
      <c r="J32" s="21">
        <v>4.6692607003890996E-2</v>
      </c>
      <c r="K32" s="21">
        <v>2.8806584362139918E-2</v>
      </c>
    </row>
    <row r="33" spans="1:11" x14ac:dyDescent="0.2">
      <c r="A33" s="6">
        <v>31</v>
      </c>
      <c r="B33" s="6">
        <f t="shared" ca="1" si="0"/>
        <v>0.72534293471901279</v>
      </c>
      <c r="C33" s="6" t="s">
        <v>34</v>
      </c>
      <c r="I33" s="20">
        <v>0.9</v>
      </c>
      <c r="J33" s="21">
        <v>2.3346303501945553E-2</v>
      </c>
      <c r="K33" s="21">
        <v>1.8518518518518517E-2</v>
      </c>
    </row>
    <row r="34" spans="1:11" x14ac:dyDescent="0.2">
      <c r="A34" s="6">
        <v>32</v>
      </c>
      <c r="B34" s="6">
        <f t="shared" ca="1" si="0"/>
        <v>0.52965422364471926</v>
      </c>
      <c r="C34" s="6" t="s">
        <v>35</v>
      </c>
      <c r="I34" s="20">
        <v>0.93</v>
      </c>
      <c r="J34" s="21">
        <v>1.1695906432748537E-2</v>
      </c>
      <c r="K34" s="21">
        <v>4.1067761806981521E-3</v>
      </c>
    </row>
    <row r="35" spans="1:11" x14ac:dyDescent="0.2">
      <c r="A35" s="6">
        <v>33</v>
      </c>
      <c r="B35" s="6">
        <f t="shared" ca="1" si="0"/>
        <v>0.77661414554111785</v>
      </c>
      <c r="C35" s="6" t="s">
        <v>35</v>
      </c>
      <c r="I35" s="20">
        <v>0.96</v>
      </c>
      <c r="J35" s="21">
        <v>5.8479532163743242E-3</v>
      </c>
      <c r="K35" s="21">
        <v>6.1601642710472282E-3</v>
      </c>
    </row>
    <row r="36" spans="1:11" x14ac:dyDescent="0.2">
      <c r="A36" s="6">
        <v>34</v>
      </c>
      <c r="B36" s="6">
        <f t="shared" ca="1" si="0"/>
        <v>0.71865157518606071</v>
      </c>
      <c r="C36" s="6" t="s">
        <v>35</v>
      </c>
      <c r="I36" s="20">
        <v>0.99</v>
      </c>
      <c r="J36" s="21">
        <v>3.8910505836575737E-3</v>
      </c>
      <c r="K36" s="21">
        <v>4.11522633744856E-3</v>
      </c>
    </row>
    <row r="37" spans="1:11" x14ac:dyDescent="0.2">
      <c r="A37" s="6">
        <v>35</v>
      </c>
      <c r="B37" s="6">
        <f t="shared" ca="1" si="0"/>
        <v>0.55497496352749365</v>
      </c>
      <c r="C37" s="6" t="s">
        <v>34</v>
      </c>
      <c r="I37" s="8"/>
    </row>
    <row r="38" spans="1:11" x14ac:dyDescent="0.2">
      <c r="A38" s="6">
        <v>36</v>
      </c>
      <c r="B38" s="6">
        <f t="shared" ca="1" si="0"/>
        <v>0.39949844904015019</v>
      </c>
      <c r="C38" s="6" t="s">
        <v>35</v>
      </c>
    </row>
    <row r="39" spans="1:11" x14ac:dyDescent="0.2">
      <c r="A39" s="6">
        <v>37</v>
      </c>
      <c r="B39" s="6">
        <f t="shared" ca="1" si="0"/>
        <v>0.70865330364173551</v>
      </c>
      <c r="C39" s="6" t="s">
        <v>35</v>
      </c>
    </row>
    <row r="40" spans="1:11" x14ac:dyDescent="0.2">
      <c r="A40" s="6">
        <v>38</v>
      </c>
      <c r="B40" s="6">
        <f t="shared" ca="1" si="0"/>
        <v>0.56094984100556644</v>
      </c>
      <c r="C40" s="6" t="s">
        <v>34</v>
      </c>
    </row>
    <row r="41" spans="1:11" x14ac:dyDescent="0.2">
      <c r="A41" s="6">
        <v>39</v>
      </c>
      <c r="B41" s="6">
        <f t="shared" ca="1" si="0"/>
        <v>0.66104264982401173</v>
      </c>
      <c r="C41" s="6" t="s">
        <v>35</v>
      </c>
    </row>
    <row r="42" spans="1:11" x14ac:dyDescent="0.2">
      <c r="A42" s="6">
        <v>40</v>
      </c>
      <c r="B42" s="6">
        <f t="shared" ca="1" si="0"/>
        <v>0.71832613417868463</v>
      </c>
      <c r="C42" s="6" t="s">
        <v>34</v>
      </c>
    </row>
    <row r="43" spans="1:11" x14ac:dyDescent="0.2">
      <c r="A43" s="6">
        <v>41</v>
      </c>
      <c r="B43" s="6">
        <f t="shared" ca="1" si="0"/>
        <v>0.51294467828537338</v>
      </c>
      <c r="C43" s="6" t="s">
        <v>35</v>
      </c>
    </row>
    <row r="44" spans="1:11" x14ac:dyDescent="0.2">
      <c r="A44" s="6">
        <v>42</v>
      </c>
      <c r="B44" s="6">
        <f t="shared" ca="1" si="0"/>
        <v>0.37567482796293589</v>
      </c>
      <c r="C44" s="6" t="s">
        <v>35</v>
      </c>
    </row>
    <row r="45" spans="1:11" x14ac:dyDescent="0.2">
      <c r="A45" s="6">
        <v>43</v>
      </c>
      <c r="B45" s="6">
        <f t="shared" ca="1" si="0"/>
        <v>0.61838045036181599</v>
      </c>
      <c r="C45" s="6" t="s">
        <v>35</v>
      </c>
    </row>
    <row r="46" spans="1:11" x14ac:dyDescent="0.2">
      <c r="A46" s="6">
        <v>44</v>
      </c>
      <c r="B46" s="6">
        <f t="shared" ca="1" si="0"/>
        <v>0.84249554739908938</v>
      </c>
      <c r="C46" s="6" t="s">
        <v>35</v>
      </c>
    </row>
    <row r="47" spans="1:11" x14ac:dyDescent="0.2">
      <c r="A47" s="6">
        <v>45</v>
      </c>
      <c r="B47" s="6">
        <f t="shared" ca="1" si="0"/>
        <v>0.70317082543924547</v>
      </c>
      <c r="C47" s="6" t="s">
        <v>35</v>
      </c>
    </row>
    <row r="48" spans="1:11" x14ac:dyDescent="0.2">
      <c r="A48" s="6">
        <v>46</v>
      </c>
      <c r="B48" s="6">
        <f t="shared" ca="1" si="0"/>
        <v>0.70520869776898931</v>
      </c>
      <c r="C48" s="6" t="s">
        <v>34</v>
      </c>
    </row>
    <row r="49" spans="1:3" x14ac:dyDescent="0.2">
      <c r="A49" s="6">
        <v>47</v>
      </c>
      <c r="B49" s="6">
        <f t="shared" ca="1" si="0"/>
        <v>0.66991414157580598</v>
      </c>
      <c r="C49" s="6" t="s">
        <v>34</v>
      </c>
    </row>
    <row r="50" spans="1:3" x14ac:dyDescent="0.2">
      <c r="A50" s="6">
        <v>48</v>
      </c>
      <c r="B50" s="6">
        <f t="shared" ca="1" si="0"/>
        <v>0.63373354526635683</v>
      </c>
      <c r="C50" s="6" t="s">
        <v>35</v>
      </c>
    </row>
    <row r="51" spans="1:3" x14ac:dyDescent="0.2">
      <c r="A51" s="6">
        <v>49</v>
      </c>
      <c r="B51" s="6">
        <f t="shared" ca="1" si="0"/>
        <v>0.66167259321528293</v>
      </c>
      <c r="C51" s="6" t="s">
        <v>34</v>
      </c>
    </row>
    <row r="52" spans="1:3" x14ac:dyDescent="0.2">
      <c r="A52" s="6">
        <v>50</v>
      </c>
      <c r="B52" s="6">
        <f t="shared" ca="1" si="0"/>
        <v>0.51757552409793495</v>
      </c>
      <c r="C52" s="6" t="s">
        <v>34</v>
      </c>
    </row>
    <row r="53" spans="1:3" x14ac:dyDescent="0.2">
      <c r="A53" s="6">
        <v>51</v>
      </c>
      <c r="B53" s="6">
        <f t="shared" ca="1" si="0"/>
        <v>0.68306297157763718</v>
      </c>
      <c r="C53" s="6" t="s">
        <v>34</v>
      </c>
    </row>
    <row r="54" spans="1:3" x14ac:dyDescent="0.2">
      <c r="A54" s="6">
        <v>52</v>
      </c>
      <c r="B54" s="6">
        <f t="shared" ca="1" si="0"/>
        <v>0.55902580030346405</v>
      </c>
      <c r="C54" s="6" t="s">
        <v>35</v>
      </c>
    </row>
    <row r="55" spans="1:3" x14ac:dyDescent="0.2">
      <c r="A55" s="6">
        <v>53</v>
      </c>
      <c r="B55" s="6">
        <f t="shared" ca="1" si="0"/>
        <v>0.55301113178245609</v>
      </c>
      <c r="C55" s="6" t="s">
        <v>35</v>
      </c>
    </row>
    <row r="56" spans="1:3" x14ac:dyDescent="0.2">
      <c r="A56" s="6">
        <v>54</v>
      </c>
      <c r="B56" s="6">
        <f t="shared" ca="1" si="0"/>
        <v>0.66365553952995382</v>
      </c>
      <c r="C56" s="6" t="s">
        <v>34</v>
      </c>
    </row>
    <row r="57" spans="1:3" x14ac:dyDescent="0.2">
      <c r="A57" s="6">
        <v>55</v>
      </c>
      <c r="B57" s="6">
        <f t="shared" ca="1" si="0"/>
        <v>0.63255215277719901</v>
      </c>
      <c r="C57" s="6" t="s">
        <v>34</v>
      </c>
    </row>
    <row r="58" spans="1:3" x14ac:dyDescent="0.2">
      <c r="A58" s="6">
        <v>56</v>
      </c>
      <c r="B58" s="6">
        <f t="shared" ca="1" si="0"/>
        <v>0.58959510868628939</v>
      </c>
      <c r="C58" s="6" t="s">
        <v>34</v>
      </c>
    </row>
    <row r="59" spans="1:3" x14ac:dyDescent="0.2">
      <c r="A59" s="6">
        <v>57</v>
      </c>
      <c r="B59" s="6">
        <f t="shared" ca="1" si="0"/>
        <v>0.45382791107966114</v>
      </c>
      <c r="C59" s="6" t="s">
        <v>35</v>
      </c>
    </row>
    <row r="60" spans="1:3" x14ac:dyDescent="0.2">
      <c r="A60" s="6">
        <v>58</v>
      </c>
      <c r="B60" s="6">
        <f t="shared" ca="1" si="0"/>
        <v>0.55053361307907667</v>
      </c>
      <c r="C60" s="6" t="s">
        <v>34</v>
      </c>
    </row>
    <row r="61" spans="1:3" x14ac:dyDescent="0.2">
      <c r="A61" s="6">
        <v>59</v>
      </c>
      <c r="B61" s="6">
        <f t="shared" ca="1" si="0"/>
        <v>0.65585434240235196</v>
      </c>
      <c r="C61" s="6" t="s">
        <v>34</v>
      </c>
    </row>
    <row r="62" spans="1:3" x14ac:dyDescent="0.2">
      <c r="A62" s="6">
        <v>60</v>
      </c>
      <c r="B62" s="6">
        <f t="shared" ca="1" si="0"/>
        <v>0.61699155131711203</v>
      </c>
      <c r="C62" s="6" t="s">
        <v>35</v>
      </c>
    </row>
    <row r="63" spans="1:3" x14ac:dyDescent="0.2">
      <c r="A63" s="6">
        <v>61</v>
      </c>
      <c r="B63" s="6">
        <f t="shared" ca="1" si="0"/>
        <v>0.75666120380578916</v>
      </c>
      <c r="C63" s="6" t="s">
        <v>35</v>
      </c>
    </row>
    <row r="64" spans="1:3" x14ac:dyDescent="0.2">
      <c r="A64" s="6">
        <v>62</v>
      </c>
      <c r="B64" s="6">
        <f t="shared" ca="1" si="0"/>
        <v>0.74183224448696361</v>
      </c>
      <c r="C64" s="6" t="s">
        <v>35</v>
      </c>
    </row>
    <row r="65" spans="1:3" x14ac:dyDescent="0.2">
      <c r="A65" s="6">
        <v>63</v>
      </c>
      <c r="B65" s="6">
        <f t="shared" ca="1" si="0"/>
        <v>0.54893799250841313</v>
      </c>
      <c r="C65" s="6" t="s">
        <v>34</v>
      </c>
    </row>
    <row r="66" spans="1:3" x14ac:dyDescent="0.2">
      <c r="A66" s="6">
        <v>64</v>
      </c>
      <c r="B66" s="6">
        <f t="shared" ca="1" si="0"/>
        <v>0.77710238763558381</v>
      </c>
      <c r="C66" s="6" t="s">
        <v>34</v>
      </c>
    </row>
    <row r="67" spans="1:3" x14ac:dyDescent="0.2">
      <c r="A67" s="6">
        <v>65</v>
      </c>
      <c r="B67" s="6">
        <f t="shared" ca="1" si="0"/>
        <v>0.81883843725349847</v>
      </c>
      <c r="C67" s="6" t="s">
        <v>34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0.74074813172650533</v>
      </c>
      <c r="C68" s="6" t="s">
        <v>34</v>
      </c>
    </row>
    <row r="69" spans="1:3" x14ac:dyDescent="0.2">
      <c r="A69" s="6">
        <v>67</v>
      </c>
      <c r="B69" s="6">
        <f t="shared" ca="1" si="1"/>
        <v>0.6548273129821609</v>
      </c>
      <c r="C69" s="6" t="s">
        <v>34</v>
      </c>
    </row>
    <row r="70" spans="1:3" x14ac:dyDescent="0.2">
      <c r="A70" s="6">
        <v>68</v>
      </c>
      <c r="B70" s="6">
        <f t="shared" ca="1" si="1"/>
        <v>0.4644840159389893</v>
      </c>
      <c r="C70" s="6" t="s">
        <v>35</v>
      </c>
    </row>
    <row r="71" spans="1:3" x14ac:dyDescent="0.2">
      <c r="A71" s="6">
        <v>69</v>
      </c>
      <c r="B71" s="6">
        <f t="shared" ca="1" si="1"/>
        <v>0.76092540808212039</v>
      </c>
      <c r="C71" s="6" t="s">
        <v>35</v>
      </c>
    </row>
    <row r="72" spans="1:3" x14ac:dyDescent="0.2">
      <c r="A72" s="6">
        <v>70</v>
      </c>
      <c r="B72" s="6">
        <f t="shared" ca="1" si="1"/>
        <v>0.60672301177787291</v>
      </c>
      <c r="C72" s="6" t="s">
        <v>35</v>
      </c>
    </row>
    <row r="73" spans="1:3" x14ac:dyDescent="0.2">
      <c r="A73" s="6">
        <v>71</v>
      </c>
      <c r="B73" s="6">
        <f t="shared" ca="1" si="1"/>
        <v>0.7566484763060165</v>
      </c>
      <c r="C73" s="6" t="s">
        <v>35</v>
      </c>
    </row>
    <row r="74" spans="1:3" x14ac:dyDescent="0.2">
      <c r="A74" s="6">
        <v>72</v>
      </c>
      <c r="B74" s="6">
        <f t="shared" ca="1" si="1"/>
        <v>0.69816438672752734</v>
      </c>
      <c r="C74" s="6" t="s">
        <v>35</v>
      </c>
    </row>
    <row r="75" spans="1:3" x14ac:dyDescent="0.2">
      <c r="A75" s="6">
        <v>73</v>
      </c>
      <c r="B75" s="6">
        <f t="shared" ca="1" si="1"/>
        <v>0.66572348347779586</v>
      </c>
      <c r="C75" s="6" t="s">
        <v>34</v>
      </c>
    </row>
    <row r="76" spans="1:3" x14ac:dyDescent="0.2">
      <c r="A76" s="6">
        <v>74</v>
      </c>
      <c r="B76" s="6">
        <f t="shared" ca="1" si="1"/>
        <v>0.61015344021239326</v>
      </c>
      <c r="C76" s="6" t="s">
        <v>34</v>
      </c>
    </row>
    <row r="77" spans="1:3" x14ac:dyDescent="0.2">
      <c r="A77" s="6">
        <v>75</v>
      </c>
      <c r="B77" s="6">
        <f t="shared" ca="1" si="1"/>
        <v>0.93118396094263067</v>
      </c>
      <c r="C77" s="6" t="s">
        <v>34</v>
      </c>
    </row>
    <row r="78" spans="1:3" x14ac:dyDescent="0.2">
      <c r="A78" s="6">
        <v>76</v>
      </c>
      <c r="B78" s="6">
        <f t="shared" ca="1" si="1"/>
        <v>0.62832604964144356</v>
      </c>
      <c r="C78" s="6" t="s">
        <v>34</v>
      </c>
    </row>
    <row r="79" spans="1:3" x14ac:dyDescent="0.2">
      <c r="A79" s="6">
        <v>77</v>
      </c>
      <c r="B79" s="6">
        <f t="shared" ca="1" si="1"/>
        <v>0.47249753524097804</v>
      </c>
      <c r="C79" s="6" t="s">
        <v>35</v>
      </c>
    </row>
    <row r="80" spans="1:3" x14ac:dyDescent="0.2">
      <c r="A80" s="6">
        <v>78</v>
      </c>
      <c r="B80" s="6">
        <f t="shared" ca="1" si="1"/>
        <v>0.66882747726435454</v>
      </c>
      <c r="C80" s="6" t="s">
        <v>34</v>
      </c>
    </row>
    <row r="81" spans="1:3" x14ac:dyDescent="0.2">
      <c r="A81" s="6">
        <v>79</v>
      </c>
      <c r="B81" s="6">
        <f t="shared" ca="1" si="1"/>
        <v>0.62676927721803777</v>
      </c>
      <c r="C81" s="6" t="s">
        <v>35</v>
      </c>
    </row>
    <row r="82" spans="1:3" x14ac:dyDescent="0.2">
      <c r="A82" s="6">
        <v>80</v>
      </c>
      <c r="B82" s="6">
        <f t="shared" ca="1" si="1"/>
        <v>0.66208666337403499</v>
      </c>
      <c r="C82" s="6" t="s">
        <v>34</v>
      </c>
    </row>
    <row r="83" spans="1:3" x14ac:dyDescent="0.2">
      <c r="A83" s="6">
        <v>81</v>
      </c>
      <c r="B83" s="6">
        <f t="shared" ca="1" si="1"/>
        <v>0.87454384149112985</v>
      </c>
      <c r="C83" s="6" t="s">
        <v>34</v>
      </c>
    </row>
    <row r="84" spans="1:3" x14ac:dyDescent="0.2">
      <c r="A84" s="6">
        <v>82</v>
      </c>
      <c r="B84" s="6">
        <f t="shared" ca="1" si="1"/>
        <v>0.49077864508091179</v>
      </c>
      <c r="C84" s="6" t="s">
        <v>35</v>
      </c>
    </row>
    <row r="85" spans="1:3" x14ac:dyDescent="0.2">
      <c r="A85" s="6">
        <v>83</v>
      </c>
      <c r="B85" s="6">
        <f t="shared" ca="1" si="1"/>
        <v>0.69068059228021839</v>
      </c>
      <c r="C85" s="6" t="s">
        <v>34</v>
      </c>
    </row>
    <row r="86" spans="1:3" x14ac:dyDescent="0.2">
      <c r="A86" s="6">
        <v>84</v>
      </c>
      <c r="B86" s="6">
        <f t="shared" ca="1" si="1"/>
        <v>0.74057454451959059</v>
      </c>
      <c r="C86" s="6" t="s">
        <v>34</v>
      </c>
    </row>
    <row r="87" spans="1:3" x14ac:dyDescent="0.2">
      <c r="A87" s="6">
        <v>85</v>
      </c>
      <c r="B87" s="6">
        <f t="shared" ca="1" si="1"/>
        <v>0.46265699779277458</v>
      </c>
      <c r="C87" s="6" t="s">
        <v>35</v>
      </c>
    </row>
    <row r="88" spans="1:3" x14ac:dyDescent="0.2">
      <c r="A88" s="6">
        <v>86</v>
      </c>
      <c r="B88" s="6">
        <f t="shared" ca="1" si="1"/>
        <v>0.92548726652503899</v>
      </c>
      <c r="C88" s="6" t="s">
        <v>35</v>
      </c>
    </row>
    <row r="89" spans="1:3" x14ac:dyDescent="0.2">
      <c r="A89" s="6">
        <v>87</v>
      </c>
      <c r="B89" s="6">
        <f t="shared" ca="1" si="1"/>
        <v>0.93496808854216162</v>
      </c>
      <c r="C89" s="6" t="s">
        <v>35</v>
      </c>
    </row>
    <row r="90" spans="1:3" x14ac:dyDescent="0.2">
      <c r="A90" s="6">
        <v>88</v>
      </c>
      <c r="B90" s="6">
        <f t="shared" ca="1" si="1"/>
        <v>0.53972193591356543</v>
      </c>
      <c r="C90" s="6" t="s">
        <v>35</v>
      </c>
    </row>
    <row r="91" spans="1:3" x14ac:dyDescent="0.2">
      <c r="A91" s="6">
        <v>89</v>
      </c>
      <c r="B91" s="6">
        <f t="shared" ca="1" si="1"/>
        <v>0.4027653098290247</v>
      </c>
      <c r="C91" s="6" t="s">
        <v>35</v>
      </c>
    </row>
    <row r="92" spans="1:3" x14ac:dyDescent="0.2">
      <c r="A92" s="6">
        <v>90</v>
      </c>
      <c r="B92" s="6">
        <f t="shared" ca="1" si="1"/>
        <v>0.66334634306197848</v>
      </c>
      <c r="C92" s="6" t="s">
        <v>34</v>
      </c>
    </row>
    <row r="93" spans="1:3" x14ac:dyDescent="0.2">
      <c r="A93" s="6">
        <v>91</v>
      </c>
      <c r="B93" s="6">
        <f t="shared" ca="1" si="1"/>
        <v>0.65345603612620695</v>
      </c>
      <c r="C93" s="6" t="s">
        <v>34</v>
      </c>
    </row>
    <row r="94" spans="1:3" x14ac:dyDescent="0.2">
      <c r="A94" s="6">
        <v>92</v>
      </c>
      <c r="B94" s="6">
        <f t="shared" ca="1" si="1"/>
        <v>0.66004031705714294</v>
      </c>
      <c r="C94" s="6" t="s">
        <v>35</v>
      </c>
    </row>
    <row r="95" spans="1:3" x14ac:dyDescent="0.2">
      <c r="A95" s="6">
        <v>93</v>
      </c>
      <c r="B95" s="6">
        <f t="shared" ca="1" si="1"/>
        <v>0.65922031377242185</v>
      </c>
      <c r="C95" s="6" t="s">
        <v>34</v>
      </c>
    </row>
    <row r="96" spans="1:3" x14ac:dyDescent="0.2">
      <c r="A96" s="6">
        <v>94</v>
      </c>
      <c r="B96" s="6">
        <f t="shared" ca="1" si="1"/>
        <v>0.68688794115060292</v>
      </c>
      <c r="C96" s="6" t="s">
        <v>34</v>
      </c>
    </row>
    <row r="97" spans="1:3" x14ac:dyDescent="0.2">
      <c r="A97" s="6">
        <v>95</v>
      </c>
      <c r="B97" s="6">
        <f t="shared" ca="1" si="1"/>
        <v>0.59920762111575954</v>
      </c>
      <c r="C97" s="6" t="s">
        <v>35</v>
      </c>
    </row>
    <row r="98" spans="1:3" x14ac:dyDescent="0.2">
      <c r="A98" s="6">
        <v>96</v>
      </c>
      <c r="B98" s="6">
        <f t="shared" ca="1" si="1"/>
        <v>0.411626151170424</v>
      </c>
      <c r="C98" s="6" t="s">
        <v>35</v>
      </c>
    </row>
    <row r="99" spans="1:3" x14ac:dyDescent="0.2">
      <c r="A99" s="6">
        <v>97</v>
      </c>
      <c r="B99" s="6">
        <f t="shared" ca="1" si="1"/>
        <v>0.84847217063903191</v>
      </c>
      <c r="C99" s="6" t="s">
        <v>34</v>
      </c>
    </row>
    <row r="100" spans="1:3" x14ac:dyDescent="0.2">
      <c r="A100" s="6">
        <v>98</v>
      </c>
      <c r="B100" s="6">
        <f t="shared" ca="1" si="1"/>
        <v>0.79991073587929595</v>
      </c>
      <c r="C100" s="6" t="s">
        <v>34</v>
      </c>
    </row>
    <row r="101" spans="1:3" x14ac:dyDescent="0.2">
      <c r="A101" s="6">
        <v>99</v>
      </c>
      <c r="B101" s="6">
        <f t="shared" ca="1" si="1"/>
        <v>0.69713165132308463</v>
      </c>
      <c r="C101" s="6" t="s">
        <v>34</v>
      </c>
    </row>
    <row r="102" spans="1:3" x14ac:dyDescent="0.2">
      <c r="A102" s="6">
        <v>100</v>
      </c>
      <c r="B102" s="6">
        <f t="shared" ca="1" si="1"/>
        <v>0.69166462357338854</v>
      </c>
      <c r="C102" s="6" t="s">
        <v>35</v>
      </c>
    </row>
    <row r="103" spans="1:3" x14ac:dyDescent="0.2">
      <c r="A103" s="6">
        <v>101</v>
      </c>
      <c r="B103" s="6">
        <f t="shared" ca="1" si="1"/>
        <v>0.72705542201760742</v>
      </c>
      <c r="C103" s="6" t="s">
        <v>34</v>
      </c>
    </row>
    <row r="104" spans="1:3" x14ac:dyDescent="0.2">
      <c r="A104" s="6">
        <v>102</v>
      </c>
      <c r="B104" s="6">
        <f t="shared" ca="1" si="1"/>
        <v>0.55777643097514329</v>
      </c>
      <c r="C104" s="6" t="s">
        <v>35</v>
      </c>
    </row>
    <row r="105" spans="1:3" x14ac:dyDescent="0.2">
      <c r="A105" s="6">
        <v>103</v>
      </c>
      <c r="B105" s="6">
        <f t="shared" ca="1" si="1"/>
        <v>0.33565268635199058</v>
      </c>
      <c r="C105" s="6" t="s">
        <v>35</v>
      </c>
    </row>
    <row r="106" spans="1:3" x14ac:dyDescent="0.2">
      <c r="A106" s="6">
        <v>104</v>
      </c>
      <c r="B106" s="6">
        <f t="shared" ca="1" si="1"/>
        <v>0.44595877745041879</v>
      </c>
      <c r="C106" s="6" t="s">
        <v>35</v>
      </c>
    </row>
    <row r="107" spans="1:3" x14ac:dyDescent="0.2">
      <c r="A107" s="6">
        <v>105</v>
      </c>
      <c r="B107" s="6">
        <f t="shared" ca="1" si="1"/>
        <v>0.70295385779323794</v>
      </c>
      <c r="C107" s="6" t="s">
        <v>34</v>
      </c>
    </row>
    <row r="108" spans="1:3" x14ac:dyDescent="0.2">
      <c r="A108" s="6">
        <v>106</v>
      </c>
      <c r="B108" s="6">
        <f t="shared" ca="1" si="1"/>
        <v>0.55644243725576326</v>
      </c>
      <c r="C108" s="6" t="s">
        <v>35</v>
      </c>
    </row>
    <row r="109" spans="1:3" x14ac:dyDescent="0.2">
      <c r="A109" s="6">
        <v>107</v>
      </c>
      <c r="B109" s="6">
        <f t="shared" ca="1" si="1"/>
        <v>0.64121875387843974</v>
      </c>
      <c r="C109" s="6" t="s">
        <v>35</v>
      </c>
    </row>
    <row r="110" spans="1:3" x14ac:dyDescent="0.2">
      <c r="A110" s="6">
        <v>108</v>
      </c>
      <c r="B110" s="6">
        <f t="shared" ca="1" si="1"/>
        <v>0.30991996390751742</v>
      </c>
      <c r="C110" s="6" t="s">
        <v>35</v>
      </c>
    </row>
    <row r="111" spans="1:3" x14ac:dyDescent="0.2">
      <c r="A111" s="6">
        <v>109</v>
      </c>
      <c r="B111" s="6">
        <f t="shared" ca="1" si="1"/>
        <v>0.83903310941456788</v>
      </c>
      <c r="C111" s="6" t="s">
        <v>35</v>
      </c>
    </row>
    <row r="112" spans="1:3" x14ac:dyDescent="0.2">
      <c r="A112" s="6">
        <v>110</v>
      </c>
      <c r="B112" s="6">
        <f t="shared" ca="1" si="1"/>
        <v>0.65205163344651562</v>
      </c>
      <c r="C112" s="6" t="s">
        <v>35</v>
      </c>
    </row>
    <row r="113" spans="1:3" x14ac:dyDescent="0.2">
      <c r="A113" s="6">
        <v>111</v>
      </c>
      <c r="B113" s="6">
        <f t="shared" ca="1" si="1"/>
        <v>0.75012562950515449</v>
      </c>
      <c r="C113" s="6" t="s">
        <v>34</v>
      </c>
    </row>
    <row r="114" spans="1:3" x14ac:dyDescent="0.2">
      <c r="A114" s="6">
        <v>112</v>
      </c>
      <c r="B114" s="6">
        <f t="shared" ca="1" si="1"/>
        <v>0.35361721552593839</v>
      </c>
      <c r="C114" s="6" t="s">
        <v>35</v>
      </c>
    </row>
    <row r="115" spans="1:3" x14ac:dyDescent="0.2">
      <c r="A115" s="6">
        <v>113</v>
      </c>
      <c r="B115" s="6">
        <f t="shared" ca="1" si="1"/>
        <v>0.7077874472652097</v>
      </c>
      <c r="C115" s="6" t="s">
        <v>35</v>
      </c>
    </row>
    <row r="116" spans="1:3" x14ac:dyDescent="0.2">
      <c r="A116" s="6">
        <v>114</v>
      </c>
      <c r="B116" s="6">
        <f t="shared" ca="1" si="1"/>
        <v>0.44854839726163986</v>
      </c>
      <c r="C116" s="6" t="s">
        <v>35</v>
      </c>
    </row>
    <row r="117" spans="1:3" x14ac:dyDescent="0.2">
      <c r="A117" s="6">
        <v>115</v>
      </c>
      <c r="B117" s="6">
        <f t="shared" ca="1" si="1"/>
        <v>0.36676173592909267</v>
      </c>
      <c r="C117" s="6" t="s">
        <v>35</v>
      </c>
    </row>
    <row r="118" spans="1:3" x14ac:dyDescent="0.2">
      <c r="A118" s="6">
        <v>116</v>
      </c>
      <c r="B118" s="6">
        <f t="shared" ca="1" si="1"/>
        <v>0.54027506667410596</v>
      </c>
      <c r="C118" s="6" t="s">
        <v>35</v>
      </c>
    </row>
    <row r="119" spans="1:3" x14ac:dyDescent="0.2">
      <c r="A119" s="6">
        <v>117</v>
      </c>
      <c r="B119" s="6">
        <f t="shared" ca="1" si="1"/>
        <v>0.61097545368218276</v>
      </c>
      <c r="C119" s="6" t="s">
        <v>35</v>
      </c>
    </row>
    <row r="120" spans="1:3" x14ac:dyDescent="0.2">
      <c r="A120" s="6">
        <v>118</v>
      </c>
      <c r="B120" s="6">
        <f t="shared" ca="1" si="1"/>
        <v>0.42520756242703894</v>
      </c>
      <c r="C120" s="6" t="s">
        <v>35</v>
      </c>
    </row>
    <row r="121" spans="1:3" x14ac:dyDescent="0.2">
      <c r="A121" s="6">
        <v>119</v>
      </c>
      <c r="B121" s="6">
        <f t="shared" ca="1" si="1"/>
        <v>0.40902679649396023</v>
      </c>
      <c r="C121" s="6" t="s">
        <v>35</v>
      </c>
    </row>
    <row r="122" spans="1:3" x14ac:dyDescent="0.2">
      <c r="A122" s="6">
        <v>120</v>
      </c>
      <c r="B122" s="6">
        <f t="shared" ca="1" si="1"/>
        <v>0.61829906816038627</v>
      </c>
      <c r="C122" s="6" t="s">
        <v>34</v>
      </c>
    </row>
    <row r="123" spans="1:3" x14ac:dyDescent="0.2">
      <c r="A123" s="6">
        <v>121</v>
      </c>
      <c r="B123" s="6">
        <f t="shared" ca="1" si="1"/>
        <v>0.76929118462676149</v>
      </c>
      <c r="C123" s="6" t="s">
        <v>34</v>
      </c>
    </row>
    <row r="124" spans="1:3" x14ac:dyDescent="0.2">
      <c r="A124" s="6">
        <v>122</v>
      </c>
      <c r="B124" s="6">
        <f t="shared" ca="1" si="1"/>
        <v>0.58661454302412741</v>
      </c>
      <c r="C124" s="6" t="s">
        <v>35</v>
      </c>
    </row>
    <row r="125" spans="1:3" x14ac:dyDescent="0.2">
      <c r="A125" s="6">
        <v>123</v>
      </c>
      <c r="B125" s="6">
        <f t="shared" ca="1" si="1"/>
        <v>0.77117813176596894</v>
      </c>
      <c r="C125" s="6" t="s">
        <v>34</v>
      </c>
    </row>
    <row r="126" spans="1:3" x14ac:dyDescent="0.2">
      <c r="A126" s="6">
        <v>124</v>
      </c>
      <c r="B126" s="6">
        <f t="shared" ca="1" si="1"/>
        <v>0.78401601852040637</v>
      </c>
      <c r="C126" s="6" t="s">
        <v>34</v>
      </c>
    </row>
    <row r="127" spans="1:3" x14ac:dyDescent="0.2">
      <c r="A127" s="6">
        <v>125</v>
      </c>
      <c r="B127" s="6">
        <f t="shared" ca="1" si="1"/>
        <v>0.5453424769583769</v>
      </c>
      <c r="C127" s="6" t="s">
        <v>35</v>
      </c>
    </row>
    <row r="128" spans="1:3" x14ac:dyDescent="0.2">
      <c r="A128" s="6">
        <v>126</v>
      </c>
      <c r="B128" s="6">
        <f t="shared" ca="1" si="1"/>
        <v>0.8192442191611008</v>
      </c>
      <c r="C128" s="6" t="s">
        <v>35</v>
      </c>
    </row>
    <row r="129" spans="1:3" x14ac:dyDescent="0.2">
      <c r="A129" s="6">
        <v>127</v>
      </c>
      <c r="B129" s="6">
        <f t="shared" ca="1" si="1"/>
        <v>0.43745436231833323</v>
      </c>
      <c r="C129" s="6" t="s">
        <v>35</v>
      </c>
    </row>
    <row r="130" spans="1:3" x14ac:dyDescent="0.2">
      <c r="A130" s="6">
        <v>128</v>
      </c>
      <c r="B130" s="6">
        <f t="shared" ca="1" si="1"/>
        <v>0.67761450608420382</v>
      </c>
      <c r="C130" s="6" t="s">
        <v>35</v>
      </c>
    </row>
    <row r="131" spans="1:3" x14ac:dyDescent="0.2">
      <c r="A131" s="6">
        <v>129</v>
      </c>
      <c r="B131" s="6">
        <f t="shared" ca="1" si="1"/>
        <v>0.61964445608902641</v>
      </c>
      <c r="C131" s="6" t="s">
        <v>35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0.57428113827332539</v>
      </c>
      <c r="C132" s="6" t="s">
        <v>34</v>
      </c>
    </row>
    <row r="133" spans="1:3" x14ac:dyDescent="0.2">
      <c r="A133" s="6">
        <v>131</v>
      </c>
      <c r="B133" s="6">
        <f t="shared" ca="1" si="2"/>
        <v>0.79417465887619176</v>
      </c>
      <c r="C133" s="6" t="s">
        <v>34</v>
      </c>
    </row>
    <row r="134" spans="1:3" x14ac:dyDescent="0.2">
      <c r="A134" s="6">
        <v>132</v>
      </c>
      <c r="B134" s="6">
        <f t="shared" ca="1" si="2"/>
        <v>0.5622609640044548</v>
      </c>
      <c r="C134" s="6" t="s">
        <v>34</v>
      </c>
    </row>
    <row r="135" spans="1:3" x14ac:dyDescent="0.2">
      <c r="A135" s="6">
        <v>133</v>
      </c>
      <c r="B135" s="6">
        <f t="shared" ca="1" si="2"/>
        <v>0.71086541799633407</v>
      </c>
      <c r="C135" s="6" t="s">
        <v>34</v>
      </c>
    </row>
    <row r="136" spans="1:3" x14ac:dyDescent="0.2">
      <c r="A136" s="6">
        <v>134</v>
      </c>
      <c r="B136" s="6">
        <f t="shared" ca="1" si="2"/>
        <v>0.46884973369446603</v>
      </c>
      <c r="C136" s="6" t="s">
        <v>35</v>
      </c>
    </row>
    <row r="137" spans="1:3" x14ac:dyDescent="0.2">
      <c r="A137" s="6">
        <v>135</v>
      </c>
      <c r="B137" s="6">
        <f t="shared" ca="1" si="2"/>
        <v>0.67598604550229591</v>
      </c>
      <c r="C137" s="6" t="s">
        <v>34</v>
      </c>
    </row>
    <row r="138" spans="1:3" x14ac:dyDescent="0.2">
      <c r="A138" s="6">
        <v>136</v>
      </c>
      <c r="B138" s="6">
        <f t="shared" ca="1" si="2"/>
        <v>0.73285776228695898</v>
      </c>
      <c r="C138" s="6" t="s">
        <v>34</v>
      </c>
    </row>
    <row r="139" spans="1:3" x14ac:dyDescent="0.2">
      <c r="A139" s="6">
        <v>137</v>
      </c>
      <c r="B139" s="6">
        <f t="shared" ca="1" si="2"/>
        <v>0.63188464740441042</v>
      </c>
      <c r="C139" s="6" t="s">
        <v>35</v>
      </c>
    </row>
    <row r="140" spans="1:3" x14ac:dyDescent="0.2">
      <c r="A140" s="6">
        <v>138</v>
      </c>
      <c r="B140" s="6">
        <f t="shared" ca="1" si="2"/>
        <v>0.78823328086304156</v>
      </c>
      <c r="C140" s="6" t="s">
        <v>34</v>
      </c>
    </row>
    <row r="141" spans="1:3" x14ac:dyDescent="0.2">
      <c r="A141" s="6">
        <v>139</v>
      </c>
      <c r="B141" s="6">
        <f t="shared" ca="1" si="2"/>
        <v>0.71892586017583193</v>
      </c>
      <c r="C141" s="6" t="s">
        <v>35</v>
      </c>
    </row>
    <row r="142" spans="1:3" x14ac:dyDescent="0.2">
      <c r="A142" s="6">
        <v>140</v>
      </c>
      <c r="B142" s="6">
        <f t="shared" ca="1" si="2"/>
        <v>0.57286412369910278</v>
      </c>
      <c r="C142" s="6" t="s">
        <v>35</v>
      </c>
    </row>
    <row r="143" spans="1:3" x14ac:dyDescent="0.2">
      <c r="A143" s="6">
        <v>141</v>
      </c>
      <c r="B143" s="6">
        <f t="shared" ca="1" si="2"/>
        <v>0.53349710300096476</v>
      </c>
      <c r="C143" s="6" t="s">
        <v>35</v>
      </c>
    </row>
    <row r="144" spans="1:3" x14ac:dyDescent="0.2">
      <c r="A144" s="6">
        <v>142</v>
      </c>
      <c r="B144" s="6">
        <f t="shared" ca="1" si="2"/>
        <v>0.65709130507875269</v>
      </c>
      <c r="C144" s="6" t="s">
        <v>34</v>
      </c>
    </row>
    <row r="145" spans="1:3" x14ac:dyDescent="0.2">
      <c r="A145" s="6">
        <v>143</v>
      </c>
      <c r="B145" s="6">
        <f t="shared" ca="1" si="2"/>
        <v>0.50946562999218659</v>
      </c>
      <c r="C145" s="6" t="s">
        <v>35</v>
      </c>
    </row>
    <row r="146" spans="1:3" x14ac:dyDescent="0.2">
      <c r="A146" s="6">
        <v>144</v>
      </c>
      <c r="B146" s="6">
        <f t="shared" ca="1" si="2"/>
        <v>0.82106192744007489</v>
      </c>
      <c r="C146" s="6" t="s">
        <v>34</v>
      </c>
    </row>
    <row r="147" spans="1:3" x14ac:dyDescent="0.2">
      <c r="A147" s="6">
        <v>145</v>
      </c>
      <c r="B147" s="6">
        <f t="shared" ca="1" si="2"/>
        <v>0.43930270500424196</v>
      </c>
      <c r="C147" s="6" t="s">
        <v>35</v>
      </c>
    </row>
    <row r="148" spans="1:3" x14ac:dyDescent="0.2">
      <c r="A148" s="6">
        <v>146</v>
      </c>
      <c r="B148" s="6">
        <f t="shared" ca="1" si="2"/>
        <v>0.66635401141136952</v>
      </c>
      <c r="C148" s="6" t="s">
        <v>35</v>
      </c>
    </row>
    <row r="149" spans="1:3" x14ac:dyDescent="0.2">
      <c r="A149" s="6">
        <v>147</v>
      </c>
      <c r="B149" s="6">
        <f t="shared" ca="1" si="2"/>
        <v>0.66809441536742831</v>
      </c>
      <c r="C149" s="6" t="s">
        <v>34</v>
      </c>
    </row>
    <row r="150" spans="1:3" x14ac:dyDescent="0.2">
      <c r="A150" s="6">
        <v>148</v>
      </c>
      <c r="B150" s="6">
        <f t="shared" ca="1" si="2"/>
        <v>0.73232401383871093</v>
      </c>
      <c r="C150" s="6" t="s">
        <v>35</v>
      </c>
    </row>
    <row r="151" spans="1:3" x14ac:dyDescent="0.2">
      <c r="A151" s="6">
        <v>149</v>
      </c>
      <c r="B151" s="6">
        <f t="shared" ca="1" si="2"/>
        <v>0.56028877185159331</v>
      </c>
      <c r="C151" s="6" t="s">
        <v>35</v>
      </c>
    </row>
    <row r="152" spans="1:3" x14ac:dyDescent="0.2">
      <c r="A152" s="6">
        <v>150</v>
      </c>
      <c r="B152" s="6">
        <f t="shared" ca="1" si="2"/>
        <v>0.61174137089913116</v>
      </c>
      <c r="C152" s="6" t="s">
        <v>35</v>
      </c>
    </row>
    <row r="153" spans="1:3" x14ac:dyDescent="0.2">
      <c r="A153" s="6">
        <v>151</v>
      </c>
      <c r="B153" s="6">
        <f t="shared" ca="1" si="2"/>
        <v>0.61468904832307181</v>
      </c>
      <c r="C153" s="6" t="s">
        <v>34</v>
      </c>
    </row>
    <row r="154" spans="1:3" x14ac:dyDescent="0.2">
      <c r="A154" s="6">
        <v>152</v>
      </c>
      <c r="B154" s="6">
        <f t="shared" ca="1" si="2"/>
        <v>0.76871159814425094</v>
      </c>
      <c r="C154" s="6" t="s">
        <v>34</v>
      </c>
    </row>
    <row r="155" spans="1:3" x14ac:dyDescent="0.2">
      <c r="A155" s="6">
        <v>153</v>
      </c>
      <c r="B155" s="6">
        <f t="shared" ca="1" si="2"/>
        <v>0.78712948051889353</v>
      </c>
      <c r="C155" s="6" t="s">
        <v>34</v>
      </c>
    </row>
    <row r="156" spans="1:3" x14ac:dyDescent="0.2">
      <c r="A156" s="6">
        <v>154</v>
      </c>
      <c r="B156" s="6">
        <f t="shared" ca="1" si="2"/>
        <v>0.69514448840720777</v>
      </c>
      <c r="C156" s="6" t="s">
        <v>35</v>
      </c>
    </row>
    <row r="157" spans="1:3" x14ac:dyDescent="0.2">
      <c r="A157" s="6">
        <v>155</v>
      </c>
      <c r="B157" s="6">
        <f t="shared" ca="1" si="2"/>
        <v>0.57440782198631923</v>
      </c>
      <c r="C157" s="6" t="s">
        <v>34</v>
      </c>
    </row>
    <row r="158" spans="1:3" x14ac:dyDescent="0.2">
      <c r="A158" s="6">
        <v>156</v>
      </c>
      <c r="B158" s="6">
        <f t="shared" ca="1" si="2"/>
        <v>0.70155117896329366</v>
      </c>
      <c r="C158" s="6" t="s">
        <v>34</v>
      </c>
    </row>
    <row r="159" spans="1:3" x14ac:dyDescent="0.2">
      <c r="A159" s="6">
        <v>157</v>
      </c>
      <c r="B159" s="6">
        <f t="shared" ca="1" si="2"/>
        <v>0.76786670981636085</v>
      </c>
      <c r="C159" s="6" t="s">
        <v>35</v>
      </c>
    </row>
    <row r="160" spans="1:3" x14ac:dyDescent="0.2">
      <c r="A160" s="6">
        <v>158</v>
      </c>
      <c r="B160" s="6">
        <f t="shared" ca="1" si="2"/>
        <v>0.96348135790643075</v>
      </c>
      <c r="C160" s="6" t="s">
        <v>35</v>
      </c>
    </row>
    <row r="161" spans="1:3" x14ac:dyDescent="0.2">
      <c r="A161" s="6">
        <v>159</v>
      </c>
      <c r="B161" s="6">
        <f t="shared" ca="1" si="2"/>
        <v>0.73626588560728201</v>
      </c>
      <c r="C161" s="6" t="s">
        <v>34</v>
      </c>
    </row>
    <row r="162" spans="1:3" x14ac:dyDescent="0.2">
      <c r="A162" s="6">
        <v>160</v>
      </c>
      <c r="B162" s="6">
        <f t="shared" ca="1" si="2"/>
        <v>0.71548220366804383</v>
      </c>
      <c r="C162" s="6" t="s">
        <v>34</v>
      </c>
    </row>
    <row r="163" spans="1:3" x14ac:dyDescent="0.2">
      <c r="A163" s="6">
        <v>161</v>
      </c>
      <c r="B163" s="6">
        <f t="shared" ca="1" si="2"/>
        <v>0.89008853786721853</v>
      </c>
      <c r="C163" s="6" t="s">
        <v>34</v>
      </c>
    </row>
    <row r="164" spans="1:3" x14ac:dyDescent="0.2">
      <c r="A164" s="6">
        <v>162</v>
      </c>
      <c r="B164" s="6">
        <f t="shared" ca="1" si="2"/>
        <v>0.67177631149799955</v>
      </c>
      <c r="C164" s="6" t="s">
        <v>35</v>
      </c>
    </row>
    <row r="165" spans="1:3" x14ac:dyDescent="0.2">
      <c r="A165" s="6">
        <v>163</v>
      </c>
      <c r="B165" s="6">
        <f t="shared" ca="1" si="2"/>
        <v>0.69101140119591742</v>
      </c>
      <c r="C165" s="6" t="s">
        <v>35</v>
      </c>
    </row>
    <row r="166" spans="1:3" x14ac:dyDescent="0.2">
      <c r="A166" s="6">
        <v>164</v>
      </c>
      <c r="B166" s="6">
        <f t="shared" ca="1" si="2"/>
        <v>0.81261038176068501</v>
      </c>
      <c r="C166" s="6" t="s">
        <v>35</v>
      </c>
    </row>
    <row r="167" spans="1:3" x14ac:dyDescent="0.2">
      <c r="A167" s="6">
        <v>165</v>
      </c>
      <c r="B167" s="6">
        <f t="shared" ca="1" si="2"/>
        <v>0.44406967300546574</v>
      </c>
      <c r="C167" s="6" t="s">
        <v>35</v>
      </c>
    </row>
    <row r="168" spans="1:3" x14ac:dyDescent="0.2">
      <c r="A168" s="6">
        <v>166</v>
      </c>
      <c r="B168" s="6">
        <f t="shared" ca="1" si="2"/>
        <v>0.71396388382590581</v>
      </c>
      <c r="C168" s="6" t="s">
        <v>34</v>
      </c>
    </row>
    <row r="169" spans="1:3" x14ac:dyDescent="0.2">
      <c r="A169" s="6">
        <v>167</v>
      </c>
      <c r="B169" s="6">
        <f t="shared" ca="1" si="2"/>
        <v>0.88389328839592962</v>
      </c>
      <c r="C169" s="6" t="s">
        <v>34</v>
      </c>
    </row>
    <row r="170" spans="1:3" x14ac:dyDescent="0.2">
      <c r="A170" s="6">
        <v>168</v>
      </c>
      <c r="B170" s="6">
        <f t="shared" ca="1" si="2"/>
        <v>0.5970744796854629</v>
      </c>
      <c r="C170" s="6" t="s">
        <v>34</v>
      </c>
    </row>
    <row r="171" spans="1:3" x14ac:dyDescent="0.2">
      <c r="A171" s="6">
        <v>169</v>
      </c>
      <c r="B171" s="6">
        <f t="shared" ca="1" si="2"/>
        <v>0.50384332819266386</v>
      </c>
      <c r="C171" s="6" t="s">
        <v>35</v>
      </c>
    </row>
    <row r="172" spans="1:3" x14ac:dyDescent="0.2">
      <c r="A172" s="6">
        <v>170</v>
      </c>
      <c r="B172" s="6">
        <f t="shared" ca="1" si="2"/>
        <v>0.82395726205752406</v>
      </c>
      <c r="C172" s="6" t="s">
        <v>35</v>
      </c>
    </row>
    <row r="173" spans="1:3" x14ac:dyDescent="0.2">
      <c r="A173" s="6">
        <v>171</v>
      </c>
      <c r="B173" s="6">
        <f t="shared" ca="1" si="2"/>
        <v>0.64831441163372028</v>
      </c>
      <c r="C173" s="6" t="s">
        <v>34</v>
      </c>
    </row>
    <row r="174" spans="1:3" x14ac:dyDescent="0.2">
      <c r="A174" s="6">
        <v>172</v>
      </c>
      <c r="B174" s="6">
        <f t="shared" ca="1" si="2"/>
        <v>0.69707524703094437</v>
      </c>
      <c r="C174" s="6" t="s">
        <v>34</v>
      </c>
    </row>
    <row r="175" spans="1:3" x14ac:dyDescent="0.2">
      <c r="A175" s="6">
        <v>173</v>
      </c>
      <c r="B175" s="6">
        <f t="shared" ca="1" si="2"/>
        <v>0.63783972507498388</v>
      </c>
      <c r="C175" s="6" t="s">
        <v>34</v>
      </c>
    </row>
    <row r="176" spans="1:3" x14ac:dyDescent="0.2">
      <c r="A176" s="6">
        <v>174</v>
      </c>
      <c r="B176" s="6">
        <f t="shared" ca="1" si="2"/>
        <v>0.31925923358174968</v>
      </c>
      <c r="C176" s="6" t="s">
        <v>35</v>
      </c>
    </row>
    <row r="177" spans="1:3" x14ac:dyDescent="0.2">
      <c r="A177" s="6">
        <v>175</v>
      </c>
      <c r="B177" s="6">
        <f t="shared" ca="1" si="2"/>
        <v>0.7061809804697663</v>
      </c>
      <c r="C177" s="6" t="s">
        <v>34</v>
      </c>
    </row>
    <row r="178" spans="1:3" x14ac:dyDescent="0.2">
      <c r="A178" s="6">
        <v>176</v>
      </c>
      <c r="B178" s="6">
        <f t="shared" ca="1" si="2"/>
        <v>0.65569556466833867</v>
      </c>
      <c r="C178" s="6" t="s">
        <v>34</v>
      </c>
    </row>
    <row r="179" spans="1:3" x14ac:dyDescent="0.2">
      <c r="A179" s="6">
        <v>177</v>
      </c>
      <c r="B179" s="6">
        <f t="shared" ca="1" si="2"/>
        <v>0.73279210656124605</v>
      </c>
      <c r="C179" s="6" t="s">
        <v>35</v>
      </c>
    </row>
    <row r="180" spans="1:3" x14ac:dyDescent="0.2">
      <c r="A180" s="6">
        <v>178</v>
      </c>
      <c r="B180" s="6">
        <f t="shared" ca="1" si="2"/>
        <v>0.73244666292381722</v>
      </c>
      <c r="C180" s="6" t="s">
        <v>35</v>
      </c>
    </row>
    <row r="181" spans="1:3" x14ac:dyDescent="0.2">
      <c r="A181" s="6">
        <v>179</v>
      </c>
      <c r="B181" s="6">
        <f t="shared" ca="1" si="2"/>
        <v>0.6645476290685246</v>
      </c>
      <c r="C181" s="6" t="s">
        <v>34</v>
      </c>
    </row>
    <row r="182" spans="1:3" x14ac:dyDescent="0.2">
      <c r="A182" s="6">
        <v>180</v>
      </c>
      <c r="B182" s="6">
        <f t="shared" ca="1" si="2"/>
        <v>0.62815377903904901</v>
      </c>
      <c r="C182" s="6" t="s">
        <v>34</v>
      </c>
    </row>
    <row r="183" spans="1:3" x14ac:dyDescent="0.2">
      <c r="A183" s="6">
        <v>181</v>
      </c>
      <c r="B183" s="6">
        <f t="shared" ca="1" si="2"/>
        <v>0.65365457889088807</v>
      </c>
      <c r="C183" s="6" t="s">
        <v>34</v>
      </c>
    </row>
    <row r="184" spans="1:3" x14ac:dyDescent="0.2">
      <c r="A184" s="6">
        <v>182</v>
      </c>
      <c r="B184" s="6">
        <f t="shared" ca="1" si="2"/>
        <v>0.79641672296837296</v>
      </c>
      <c r="C184" s="6" t="s">
        <v>34</v>
      </c>
    </row>
    <row r="185" spans="1:3" x14ac:dyDescent="0.2">
      <c r="A185" s="6">
        <v>183</v>
      </c>
      <c r="B185" s="6">
        <f t="shared" ca="1" si="2"/>
        <v>0.77683646272494278</v>
      </c>
      <c r="C185" s="6" t="s">
        <v>35</v>
      </c>
    </row>
    <row r="186" spans="1:3" x14ac:dyDescent="0.2">
      <c r="A186" s="6">
        <v>184</v>
      </c>
      <c r="B186" s="6">
        <f t="shared" ca="1" si="2"/>
        <v>0.54838374709790849</v>
      </c>
      <c r="C186" s="6" t="s">
        <v>34</v>
      </c>
    </row>
    <row r="187" spans="1:3" x14ac:dyDescent="0.2">
      <c r="A187" s="6">
        <v>185</v>
      </c>
      <c r="B187" s="6">
        <f t="shared" ca="1" si="2"/>
        <v>0.72799032492145999</v>
      </c>
      <c r="C187" s="6" t="s">
        <v>35</v>
      </c>
    </row>
    <row r="188" spans="1:3" x14ac:dyDescent="0.2">
      <c r="A188" s="6">
        <v>186</v>
      </c>
      <c r="B188" s="6">
        <f t="shared" ca="1" si="2"/>
        <v>0.73009578571851907</v>
      </c>
      <c r="C188" s="6" t="s">
        <v>34</v>
      </c>
    </row>
    <row r="189" spans="1:3" x14ac:dyDescent="0.2">
      <c r="A189" s="6">
        <v>187</v>
      </c>
      <c r="B189" s="6">
        <f t="shared" ca="1" si="2"/>
        <v>0.76764025686741544</v>
      </c>
      <c r="C189" s="6" t="s">
        <v>35</v>
      </c>
    </row>
    <row r="190" spans="1:3" x14ac:dyDescent="0.2">
      <c r="A190" s="6">
        <v>188</v>
      </c>
      <c r="B190" s="6">
        <f t="shared" ca="1" si="2"/>
        <v>0.62480822651840062</v>
      </c>
      <c r="C190" s="6" t="s">
        <v>34</v>
      </c>
    </row>
    <row r="191" spans="1:3" x14ac:dyDescent="0.2">
      <c r="A191" s="6">
        <v>189</v>
      </c>
      <c r="B191" s="6">
        <f t="shared" ca="1" si="2"/>
        <v>0.65509523111397094</v>
      </c>
      <c r="C191" s="6" t="s">
        <v>34</v>
      </c>
    </row>
    <row r="192" spans="1:3" x14ac:dyDescent="0.2">
      <c r="A192" s="6">
        <v>190</v>
      </c>
      <c r="B192" s="6">
        <f t="shared" ca="1" si="2"/>
        <v>0.54808449092459166</v>
      </c>
      <c r="C192" s="6" t="s">
        <v>35</v>
      </c>
    </row>
    <row r="193" spans="1:3" x14ac:dyDescent="0.2">
      <c r="A193" s="6">
        <v>191</v>
      </c>
      <c r="B193" s="6">
        <f t="shared" ca="1" si="2"/>
        <v>0.75418795694874585</v>
      </c>
      <c r="C193" s="6" t="s">
        <v>34</v>
      </c>
    </row>
    <row r="194" spans="1:3" x14ac:dyDescent="0.2">
      <c r="A194" s="6">
        <v>192</v>
      </c>
      <c r="B194" s="6">
        <f t="shared" ca="1" si="2"/>
        <v>0.47691362742865573</v>
      </c>
      <c r="C194" s="6" t="s">
        <v>35</v>
      </c>
    </row>
    <row r="195" spans="1:3" x14ac:dyDescent="0.2">
      <c r="A195" s="6">
        <v>193</v>
      </c>
      <c r="B195" s="6">
        <f t="shared" ca="1" si="2"/>
        <v>0.77784261357766626</v>
      </c>
      <c r="C195" s="6" t="s">
        <v>34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0.57297049050749738</v>
      </c>
      <c r="C196" s="6" t="s">
        <v>35</v>
      </c>
    </row>
    <row r="197" spans="1:3" x14ac:dyDescent="0.2">
      <c r="A197" s="6">
        <v>195</v>
      </c>
      <c r="B197" s="6">
        <f t="shared" ca="1" si="3"/>
        <v>0.60235978422454739</v>
      </c>
      <c r="C197" s="6" t="s">
        <v>35</v>
      </c>
    </row>
    <row r="198" spans="1:3" x14ac:dyDescent="0.2">
      <c r="A198" s="6">
        <v>196</v>
      </c>
      <c r="B198" s="6">
        <f t="shared" ca="1" si="3"/>
        <v>0.774154156107418</v>
      </c>
      <c r="C198" s="6" t="s">
        <v>34</v>
      </c>
    </row>
    <row r="199" spans="1:3" x14ac:dyDescent="0.2">
      <c r="A199" s="6">
        <v>197</v>
      </c>
      <c r="B199" s="6">
        <f t="shared" ca="1" si="3"/>
        <v>0.81065995815299896</v>
      </c>
      <c r="C199" s="6" t="s">
        <v>35</v>
      </c>
    </row>
    <row r="200" spans="1:3" x14ac:dyDescent="0.2">
      <c r="A200" s="6">
        <v>198</v>
      </c>
      <c r="B200" s="6">
        <f t="shared" ca="1" si="3"/>
        <v>0.71249356830229027</v>
      </c>
      <c r="C200" s="6" t="s">
        <v>34</v>
      </c>
    </row>
    <row r="201" spans="1:3" x14ac:dyDescent="0.2">
      <c r="A201" s="6">
        <v>199</v>
      </c>
      <c r="B201" s="6">
        <f t="shared" ca="1" si="3"/>
        <v>1.0290344767255835</v>
      </c>
      <c r="C201" s="6" t="s">
        <v>35</v>
      </c>
    </row>
    <row r="202" spans="1:3" x14ac:dyDescent="0.2">
      <c r="A202" s="6">
        <v>200</v>
      </c>
      <c r="B202" s="6">
        <f t="shared" ca="1" si="3"/>
        <v>0.79341342481649302</v>
      </c>
      <c r="C202" s="6" t="s">
        <v>34</v>
      </c>
    </row>
    <row r="203" spans="1:3" x14ac:dyDescent="0.2">
      <c r="A203" s="6">
        <v>201</v>
      </c>
      <c r="B203" s="6">
        <f t="shared" ca="1" si="3"/>
        <v>0.51081878085827248</v>
      </c>
      <c r="C203" s="6" t="s">
        <v>35</v>
      </c>
    </row>
    <row r="204" spans="1:3" x14ac:dyDescent="0.2">
      <c r="A204" s="6">
        <v>202</v>
      </c>
      <c r="B204" s="6">
        <f t="shared" ca="1" si="3"/>
        <v>0.84945725720102405</v>
      </c>
      <c r="C204" s="6" t="s">
        <v>34</v>
      </c>
    </row>
    <row r="205" spans="1:3" x14ac:dyDescent="0.2">
      <c r="A205" s="6">
        <v>203</v>
      </c>
      <c r="B205" s="6">
        <f t="shared" ca="1" si="3"/>
        <v>0.43753576892613422</v>
      </c>
      <c r="C205" s="6" t="s">
        <v>35</v>
      </c>
    </row>
    <row r="206" spans="1:3" x14ac:dyDescent="0.2">
      <c r="A206" s="6">
        <v>204</v>
      </c>
      <c r="B206" s="6">
        <f t="shared" ca="1" si="3"/>
        <v>0.58612430084041844</v>
      </c>
      <c r="C206" s="6" t="s">
        <v>35</v>
      </c>
    </row>
    <row r="207" spans="1:3" x14ac:dyDescent="0.2">
      <c r="A207" s="6">
        <v>205</v>
      </c>
      <c r="B207" s="6">
        <f t="shared" ca="1" si="3"/>
        <v>0.55602616219910816</v>
      </c>
      <c r="C207" s="6" t="s">
        <v>35</v>
      </c>
    </row>
    <row r="208" spans="1:3" x14ac:dyDescent="0.2">
      <c r="A208" s="6">
        <v>206</v>
      </c>
      <c r="B208" s="6">
        <f t="shared" ca="1" si="3"/>
        <v>0.80228325825331981</v>
      </c>
      <c r="C208" s="6" t="s">
        <v>34</v>
      </c>
    </row>
    <row r="209" spans="1:3" x14ac:dyDescent="0.2">
      <c r="A209" s="6">
        <v>207</v>
      </c>
      <c r="B209" s="6">
        <f t="shared" ca="1" si="3"/>
        <v>0.58268571641355416</v>
      </c>
      <c r="C209" s="6" t="s">
        <v>34</v>
      </c>
    </row>
    <row r="210" spans="1:3" x14ac:dyDescent="0.2">
      <c r="A210" s="6">
        <v>208</v>
      </c>
      <c r="B210" s="6">
        <f t="shared" ca="1" si="3"/>
        <v>0.60040290639058624</v>
      </c>
      <c r="C210" s="6" t="s">
        <v>34</v>
      </c>
    </row>
    <row r="211" spans="1:3" x14ac:dyDescent="0.2">
      <c r="A211" s="6">
        <v>209</v>
      </c>
      <c r="B211" s="6">
        <f t="shared" ca="1" si="3"/>
        <v>0.52976982753946256</v>
      </c>
      <c r="C211" s="6" t="s">
        <v>35</v>
      </c>
    </row>
    <row r="212" spans="1:3" x14ac:dyDescent="0.2">
      <c r="A212" s="6">
        <v>210</v>
      </c>
      <c r="B212" s="6">
        <f t="shared" ca="1" si="3"/>
        <v>0.44650201475999174</v>
      </c>
      <c r="C212" s="6" t="s">
        <v>35</v>
      </c>
    </row>
    <row r="213" spans="1:3" x14ac:dyDescent="0.2">
      <c r="A213" s="6">
        <v>211</v>
      </c>
      <c r="B213" s="6">
        <f t="shared" ca="1" si="3"/>
        <v>0.73185914308129707</v>
      </c>
      <c r="C213" s="6" t="s">
        <v>35</v>
      </c>
    </row>
    <row r="214" spans="1:3" x14ac:dyDescent="0.2">
      <c r="A214" s="6">
        <v>212</v>
      </c>
      <c r="B214" s="6">
        <f t="shared" ca="1" si="3"/>
        <v>0.85908854265349111</v>
      </c>
      <c r="C214" s="6" t="s">
        <v>35</v>
      </c>
    </row>
    <row r="215" spans="1:3" x14ac:dyDescent="0.2">
      <c r="A215" s="6">
        <v>213</v>
      </c>
      <c r="B215" s="6">
        <f t="shared" ca="1" si="3"/>
        <v>0.89077563169905694</v>
      </c>
      <c r="C215" s="6" t="s">
        <v>35</v>
      </c>
    </row>
    <row r="216" spans="1:3" x14ac:dyDescent="0.2">
      <c r="A216" s="6">
        <v>214</v>
      </c>
      <c r="B216" s="6">
        <f t="shared" ca="1" si="3"/>
        <v>0.48072586981208154</v>
      </c>
      <c r="C216" s="6" t="s">
        <v>35</v>
      </c>
    </row>
    <row r="217" spans="1:3" x14ac:dyDescent="0.2">
      <c r="A217" s="6">
        <v>215</v>
      </c>
      <c r="B217" s="6">
        <f t="shared" ca="1" si="3"/>
        <v>0.72192258835679524</v>
      </c>
      <c r="C217" s="6" t="s">
        <v>34</v>
      </c>
    </row>
    <row r="218" spans="1:3" x14ac:dyDescent="0.2">
      <c r="A218" s="6">
        <v>216</v>
      </c>
      <c r="B218" s="6">
        <f t="shared" ca="1" si="3"/>
        <v>0.69317566865017699</v>
      </c>
      <c r="C218" s="6" t="s">
        <v>34</v>
      </c>
    </row>
    <row r="219" spans="1:3" x14ac:dyDescent="0.2">
      <c r="A219" s="6">
        <v>217</v>
      </c>
      <c r="B219" s="6">
        <f t="shared" ca="1" si="3"/>
        <v>0.72152643526974225</v>
      </c>
      <c r="C219" s="6" t="s">
        <v>34</v>
      </c>
    </row>
    <row r="220" spans="1:3" x14ac:dyDescent="0.2">
      <c r="A220" s="6">
        <v>218</v>
      </c>
      <c r="B220" s="6">
        <f t="shared" ca="1" si="3"/>
        <v>0.78722903242244358</v>
      </c>
      <c r="C220" s="6" t="s">
        <v>35</v>
      </c>
    </row>
    <row r="221" spans="1:3" x14ac:dyDescent="0.2">
      <c r="A221" s="6">
        <v>219</v>
      </c>
      <c r="B221" s="6">
        <f t="shared" ca="1" si="3"/>
        <v>0.48800867372282836</v>
      </c>
      <c r="C221" s="6" t="s">
        <v>34</v>
      </c>
    </row>
    <row r="222" spans="1:3" x14ac:dyDescent="0.2">
      <c r="A222" s="6">
        <v>220</v>
      </c>
      <c r="B222" s="6">
        <f t="shared" ca="1" si="3"/>
        <v>0.42939931436246925</v>
      </c>
      <c r="C222" s="6" t="s">
        <v>35</v>
      </c>
    </row>
    <row r="223" spans="1:3" x14ac:dyDescent="0.2">
      <c r="A223" s="6">
        <v>221</v>
      </c>
      <c r="B223" s="6">
        <f t="shared" ca="1" si="3"/>
        <v>0.72164544430616828</v>
      </c>
      <c r="C223" s="6" t="s">
        <v>34</v>
      </c>
    </row>
    <row r="224" spans="1:3" x14ac:dyDescent="0.2">
      <c r="A224" s="6">
        <v>222</v>
      </c>
      <c r="B224" s="6">
        <f t="shared" ca="1" si="3"/>
        <v>0.82272895284877134</v>
      </c>
      <c r="C224" s="6" t="s">
        <v>34</v>
      </c>
    </row>
    <row r="225" spans="1:3" x14ac:dyDescent="0.2">
      <c r="A225" s="6">
        <v>223</v>
      </c>
      <c r="B225" s="6">
        <f t="shared" ca="1" si="3"/>
        <v>0.65766417884756834</v>
      </c>
      <c r="C225" s="6" t="s">
        <v>35</v>
      </c>
    </row>
    <row r="226" spans="1:3" x14ac:dyDescent="0.2">
      <c r="A226" s="6">
        <v>224</v>
      </c>
      <c r="B226" s="6">
        <f t="shared" ca="1" si="3"/>
        <v>0.70604886212240348</v>
      </c>
      <c r="C226" s="6" t="s">
        <v>35</v>
      </c>
    </row>
    <row r="227" spans="1:3" x14ac:dyDescent="0.2">
      <c r="A227" s="6">
        <v>225</v>
      </c>
      <c r="B227" s="6">
        <f t="shared" ca="1" si="3"/>
        <v>0.62603695791852687</v>
      </c>
      <c r="C227" s="6" t="s">
        <v>34</v>
      </c>
    </row>
    <row r="228" spans="1:3" x14ac:dyDescent="0.2">
      <c r="A228" s="6">
        <v>226</v>
      </c>
      <c r="B228" s="6">
        <f t="shared" ca="1" si="3"/>
        <v>0.76589298803847794</v>
      </c>
      <c r="C228" s="6" t="s">
        <v>35</v>
      </c>
    </row>
    <row r="229" spans="1:3" x14ac:dyDescent="0.2">
      <c r="A229" s="6">
        <v>227</v>
      </c>
      <c r="B229" s="6">
        <f t="shared" ca="1" si="3"/>
        <v>0.57468179489078175</v>
      </c>
      <c r="C229" s="6" t="s">
        <v>35</v>
      </c>
    </row>
    <row r="230" spans="1:3" x14ac:dyDescent="0.2">
      <c r="A230" s="6">
        <v>228</v>
      </c>
      <c r="B230" s="6">
        <f t="shared" ca="1" si="3"/>
        <v>0.81341044573895749</v>
      </c>
      <c r="C230" s="6" t="s">
        <v>35</v>
      </c>
    </row>
    <row r="231" spans="1:3" x14ac:dyDescent="0.2">
      <c r="A231" s="6">
        <v>229</v>
      </c>
      <c r="B231" s="6">
        <f t="shared" ca="1" si="3"/>
        <v>0.41362690891699239</v>
      </c>
      <c r="C231" s="6" t="s">
        <v>35</v>
      </c>
    </row>
    <row r="232" spans="1:3" x14ac:dyDescent="0.2">
      <c r="A232" s="6">
        <v>230</v>
      </c>
      <c r="B232" s="6">
        <f t="shared" ca="1" si="3"/>
        <v>0.77216198625661658</v>
      </c>
      <c r="C232" s="6" t="s">
        <v>34</v>
      </c>
    </row>
    <row r="233" spans="1:3" x14ac:dyDescent="0.2">
      <c r="A233" s="6">
        <v>231</v>
      </c>
      <c r="B233" s="6">
        <f t="shared" ca="1" si="3"/>
        <v>0.7341311652993977</v>
      </c>
      <c r="C233" s="6" t="s">
        <v>34</v>
      </c>
    </row>
    <row r="234" spans="1:3" x14ac:dyDescent="0.2">
      <c r="A234" s="6">
        <v>232</v>
      </c>
      <c r="B234" s="6">
        <f t="shared" ca="1" si="3"/>
        <v>0.40542954747329646</v>
      </c>
      <c r="C234" s="6" t="s">
        <v>35</v>
      </c>
    </row>
    <row r="235" spans="1:3" x14ac:dyDescent="0.2">
      <c r="A235" s="6">
        <v>233</v>
      </c>
      <c r="B235" s="6">
        <f t="shared" ca="1" si="3"/>
        <v>0.472595221989349</v>
      </c>
      <c r="C235" s="6" t="s">
        <v>35</v>
      </c>
    </row>
    <row r="236" spans="1:3" x14ac:dyDescent="0.2">
      <c r="A236" s="6">
        <v>234</v>
      </c>
      <c r="B236" s="6">
        <f t="shared" ca="1" si="3"/>
        <v>0.57317409646057105</v>
      </c>
      <c r="C236" s="6" t="s">
        <v>34</v>
      </c>
    </row>
    <row r="237" spans="1:3" x14ac:dyDescent="0.2">
      <c r="A237" s="6">
        <v>235</v>
      </c>
      <c r="B237" s="6">
        <f t="shared" ca="1" si="3"/>
        <v>0.73300759521106817</v>
      </c>
      <c r="C237" s="6" t="s">
        <v>35</v>
      </c>
    </row>
    <row r="238" spans="1:3" x14ac:dyDescent="0.2">
      <c r="A238" s="6">
        <v>236</v>
      </c>
      <c r="B238" s="6">
        <f t="shared" ca="1" si="3"/>
        <v>0.76118165310228647</v>
      </c>
      <c r="C238" s="6" t="s">
        <v>34</v>
      </c>
    </row>
    <row r="239" spans="1:3" x14ac:dyDescent="0.2">
      <c r="A239" s="6">
        <v>237</v>
      </c>
      <c r="B239" s="6">
        <f t="shared" ca="1" si="3"/>
        <v>0.42872647429102678</v>
      </c>
      <c r="C239" s="6" t="s">
        <v>35</v>
      </c>
    </row>
    <row r="240" spans="1:3" x14ac:dyDescent="0.2">
      <c r="A240" s="6">
        <v>238</v>
      </c>
      <c r="B240" s="6">
        <f t="shared" ca="1" si="3"/>
        <v>0.71642702522567436</v>
      </c>
      <c r="C240" s="6" t="s">
        <v>34</v>
      </c>
    </row>
    <row r="241" spans="1:3" x14ac:dyDescent="0.2">
      <c r="A241" s="6">
        <v>239</v>
      </c>
      <c r="B241" s="6">
        <f t="shared" ca="1" si="3"/>
        <v>0.51133362752815792</v>
      </c>
      <c r="C241" s="6" t="s">
        <v>35</v>
      </c>
    </row>
    <row r="242" spans="1:3" x14ac:dyDescent="0.2">
      <c r="A242" s="6">
        <v>240</v>
      </c>
      <c r="B242" s="6">
        <f t="shared" ca="1" si="3"/>
        <v>0.62355694118774152</v>
      </c>
      <c r="C242" s="6" t="s">
        <v>35</v>
      </c>
    </row>
    <row r="243" spans="1:3" x14ac:dyDescent="0.2">
      <c r="A243" s="6">
        <v>241</v>
      </c>
      <c r="B243" s="6">
        <f t="shared" ca="1" si="3"/>
        <v>0.75526087257574404</v>
      </c>
      <c r="C243" s="6" t="s">
        <v>34</v>
      </c>
    </row>
    <row r="244" spans="1:3" x14ac:dyDescent="0.2">
      <c r="A244" s="6">
        <v>242</v>
      </c>
      <c r="B244" s="6">
        <f t="shared" ca="1" si="3"/>
        <v>0.8085400185101983</v>
      </c>
      <c r="C244" s="6" t="s">
        <v>34</v>
      </c>
    </row>
    <row r="245" spans="1:3" x14ac:dyDescent="0.2">
      <c r="A245" s="6">
        <v>243</v>
      </c>
      <c r="B245" s="6">
        <f t="shared" ca="1" si="3"/>
        <v>0.65853646761414175</v>
      </c>
      <c r="C245" s="6" t="s">
        <v>34</v>
      </c>
    </row>
    <row r="246" spans="1:3" x14ac:dyDescent="0.2">
      <c r="A246" s="6">
        <v>244</v>
      </c>
      <c r="B246" s="6">
        <f t="shared" ca="1" si="3"/>
        <v>0.76944987878005178</v>
      </c>
      <c r="C246" s="6" t="s">
        <v>35</v>
      </c>
    </row>
    <row r="247" spans="1:3" x14ac:dyDescent="0.2">
      <c r="A247" s="6">
        <v>245</v>
      </c>
      <c r="B247" s="6">
        <f t="shared" ca="1" si="3"/>
        <v>0.67410978502911278</v>
      </c>
      <c r="C247" s="6" t="s">
        <v>34</v>
      </c>
    </row>
    <row r="248" spans="1:3" x14ac:dyDescent="0.2">
      <c r="A248" s="6">
        <v>246</v>
      </c>
      <c r="B248" s="6">
        <f t="shared" ca="1" si="3"/>
        <v>0.7774536752063822</v>
      </c>
      <c r="C248" s="6" t="s">
        <v>34</v>
      </c>
    </row>
    <row r="249" spans="1:3" x14ac:dyDescent="0.2">
      <c r="A249" s="6">
        <v>247</v>
      </c>
      <c r="B249" s="6">
        <f t="shared" ca="1" si="3"/>
        <v>0.50799316937320327</v>
      </c>
      <c r="C249" s="6" t="s">
        <v>35</v>
      </c>
    </row>
    <row r="250" spans="1:3" x14ac:dyDescent="0.2">
      <c r="A250" s="6">
        <v>248</v>
      </c>
      <c r="B250" s="6">
        <f t="shared" ca="1" si="3"/>
        <v>0.73134622378421099</v>
      </c>
      <c r="C250" s="6" t="s">
        <v>34</v>
      </c>
    </row>
    <row r="251" spans="1:3" x14ac:dyDescent="0.2">
      <c r="A251" s="6">
        <v>249</v>
      </c>
      <c r="B251" s="6">
        <f t="shared" ca="1" si="3"/>
        <v>0.70391699777475703</v>
      </c>
      <c r="C251" s="6" t="s">
        <v>35</v>
      </c>
    </row>
    <row r="252" spans="1:3" x14ac:dyDescent="0.2">
      <c r="A252" s="6">
        <v>250</v>
      </c>
      <c r="B252" s="6">
        <f t="shared" ca="1" si="3"/>
        <v>0.74533527927898036</v>
      </c>
      <c r="C252" s="6" t="s">
        <v>34</v>
      </c>
    </row>
    <row r="253" spans="1:3" x14ac:dyDescent="0.2">
      <c r="A253" s="6">
        <v>251</v>
      </c>
      <c r="B253" s="6">
        <f t="shared" ca="1" si="3"/>
        <v>0.37205454047522363</v>
      </c>
      <c r="C253" s="6" t="s">
        <v>35</v>
      </c>
    </row>
    <row r="254" spans="1:3" x14ac:dyDescent="0.2">
      <c r="A254" s="6">
        <v>252</v>
      </c>
      <c r="B254" s="6">
        <f t="shared" ca="1" si="3"/>
        <v>0.63248774839323496</v>
      </c>
      <c r="C254" s="6" t="s">
        <v>34</v>
      </c>
    </row>
    <row r="255" spans="1:3" x14ac:dyDescent="0.2">
      <c r="A255" s="6">
        <v>253</v>
      </c>
      <c r="B255" s="6">
        <f t="shared" ca="1" si="3"/>
        <v>0.59862566642391457</v>
      </c>
      <c r="C255" s="6" t="s">
        <v>34</v>
      </c>
    </row>
    <row r="256" spans="1:3" x14ac:dyDescent="0.2">
      <c r="A256" s="6">
        <v>254</v>
      </c>
      <c r="B256" s="6">
        <f t="shared" ca="1" si="3"/>
        <v>0.58008791952562255</v>
      </c>
      <c r="C256" s="6" t="s">
        <v>34</v>
      </c>
    </row>
    <row r="257" spans="1:3" x14ac:dyDescent="0.2">
      <c r="A257" s="6">
        <v>255</v>
      </c>
      <c r="B257" s="6">
        <f t="shared" ca="1" si="3"/>
        <v>0.63536659200553114</v>
      </c>
      <c r="C257" s="6" t="s">
        <v>35</v>
      </c>
    </row>
    <row r="258" spans="1:3" x14ac:dyDescent="0.2">
      <c r="A258" s="6">
        <v>256</v>
      </c>
      <c r="B258" s="6">
        <f t="shared" ca="1" si="3"/>
        <v>0.81515333243568133</v>
      </c>
      <c r="C258" s="6" t="s">
        <v>35</v>
      </c>
    </row>
    <row r="259" spans="1:3" x14ac:dyDescent="0.2">
      <c r="A259" s="6">
        <v>257</v>
      </c>
      <c r="B259" s="6">
        <f t="shared" ca="1" si="3"/>
        <v>0.69187527531473691</v>
      </c>
      <c r="C259" s="6" t="s">
        <v>35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0.70398724892397913</v>
      </c>
      <c r="C260" s="6" t="s">
        <v>35</v>
      </c>
    </row>
    <row r="261" spans="1:3" x14ac:dyDescent="0.2">
      <c r="A261" s="6">
        <v>259</v>
      </c>
      <c r="B261" s="6">
        <f t="shared" ca="1" si="4"/>
        <v>0.5796984836706861</v>
      </c>
      <c r="C261" s="6" t="s">
        <v>35</v>
      </c>
    </row>
    <row r="262" spans="1:3" x14ac:dyDescent="0.2">
      <c r="A262" s="6">
        <v>260</v>
      </c>
      <c r="B262" s="6">
        <f t="shared" ca="1" si="4"/>
        <v>0.70153190360163387</v>
      </c>
      <c r="C262" s="6" t="s">
        <v>34</v>
      </c>
    </row>
    <row r="263" spans="1:3" x14ac:dyDescent="0.2">
      <c r="A263" s="6">
        <v>261</v>
      </c>
      <c r="B263" s="6">
        <f t="shared" ca="1" si="4"/>
        <v>0.6641356019950303</v>
      </c>
      <c r="C263" s="6" t="s">
        <v>34</v>
      </c>
    </row>
    <row r="264" spans="1:3" x14ac:dyDescent="0.2">
      <c r="A264" s="6">
        <v>262</v>
      </c>
      <c r="B264" s="6">
        <f t="shared" ca="1" si="4"/>
        <v>0.84212727437179724</v>
      </c>
      <c r="C264" s="6" t="s">
        <v>34</v>
      </c>
    </row>
    <row r="265" spans="1:3" x14ac:dyDescent="0.2">
      <c r="A265" s="6">
        <v>263</v>
      </c>
      <c r="B265" s="6">
        <f t="shared" ca="1" si="4"/>
        <v>0.6922911368438297</v>
      </c>
      <c r="C265" s="6" t="s">
        <v>34</v>
      </c>
    </row>
    <row r="266" spans="1:3" x14ac:dyDescent="0.2">
      <c r="A266" s="6">
        <v>264</v>
      </c>
      <c r="B266" s="6">
        <f t="shared" ca="1" si="4"/>
        <v>0.54289974282919407</v>
      </c>
      <c r="C266" s="6" t="s">
        <v>35</v>
      </c>
    </row>
    <row r="267" spans="1:3" x14ac:dyDescent="0.2">
      <c r="A267" s="6">
        <v>265</v>
      </c>
      <c r="B267" s="6">
        <f t="shared" ca="1" si="4"/>
        <v>0.69782739842236674</v>
      </c>
      <c r="C267" s="6" t="s">
        <v>34</v>
      </c>
    </row>
    <row r="268" spans="1:3" x14ac:dyDescent="0.2">
      <c r="A268" s="6">
        <v>266</v>
      </c>
      <c r="B268" s="6">
        <f t="shared" ca="1" si="4"/>
        <v>0.48856733128181196</v>
      </c>
      <c r="C268" s="6" t="s">
        <v>34</v>
      </c>
    </row>
    <row r="269" spans="1:3" x14ac:dyDescent="0.2">
      <c r="A269" s="6">
        <v>267</v>
      </c>
      <c r="B269" s="6">
        <f t="shared" ca="1" si="4"/>
        <v>0.95345279293284912</v>
      </c>
      <c r="C269" s="6" t="s">
        <v>35</v>
      </c>
    </row>
    <row r="270" spans="1:3" x14ac:dyDescent="0.2">
      <c r="A270" s="6">
        <v>268</v>
      </c>
      <c r="B270" s="6">
        <f t="shared" ca="1" si="4"/>
        <v>0.69213607879967898</v>
      </c>
      <c r="C270" s="6" t="s">
        <v>35</v>
      </c>
    </row>
    <row r="271" spans="1:3" x14ac:dyDescent="0.2">
      <c r="A271" s="6">
        <v>269</v>
      </c>
      <c r="B271" s="6">
        <f t="shared" ca="1" si="4"/>
        <v>0.60226516261667551</v>
      </c>
      <c r="C271" s="6" t="s">
        <v>34</v>
      </c>
    </row>
    <row r="272" spans="1:3" x14ac:dyDescent="0.2">
      <c r="A272" s="6">
        <v>270</v>
      </c>
      <c r="B272" s="6">
        <f t="shared" ca="1" si="4"/>
        <v>0.69069663591815822</v>
      </c>
      <c r="C272" s="6" t="s">
        <v>34</v>
      </c>
    </row>
    <row r="273" spans="1:3" x14ac:dyDescent="0.2">
      <c r="A273" s="6">
        <v>271</v>
      </c>
      <c r="B273" s="6">
        <f t="shared" ca="1" si="4"/>
        <v>0.57851726046207075</v>
      </c>
      <c r="C273" s="6" t="s">
        <v>35</v>
      </c>
    </row>
    <row r="274" spans="1:3" x14ac:dyDescent="0.2">
      <c r="A274" s="6">
        <v>272</v>
      </c>
      <c r="B274" s="6">
        <f t="shared" ca="1" si="4"/>
        <v>0.38606244176979093</v>
      </c>
      <c r="C274" s="6" t="s">
        <v>35</v>
      </c>
    </row>
    <row r="275" spans="1:3" x14ac:dyDescent="0.2">
      <c r="A275" s="6">
        <v>273</v>
      </c>
      <c r="B275" s="6">
        <f t="shared" ca="1" si="4"/>
        <v>0.78410346067591863</v>
      </c>
      <c r="C275" s="6" t="s">
        <v>34</v>
      </c>
    </row>
    <row r="276" spans="1:3" x14ac:dyDescent="0.2">
      <c r="A276" s="6">
        <v>274</v>
      </c>
      <c r="B276" s="6">
        <f t="shared" ca="1" si="4"/>
        <v>0.58178050284256366</v>
      </c>
      <c r="C276" s="6" t="s">
        <v>35</v>
      </c>
    </row>
    <row r="277" spans="1:3" x14ac:dyDescent="0.2">
      <c r="A277" s="6">
        <v>275</v>
      </c>
      <c r="B277" s="6">
        <f t="shared" ca="1" si="4"/>
        <v>0.52049487596610178</v>
      </c>
      <c r="C277" s="6" t="s">
        <v>35</v>
      </c>
    </row>
    <row r="278" spans="1:3" x14ac:dyDescent="0.2">
      <c r="A278" s="6">
        <v>276</v>
      </c>
      <c r="B278" s="6">
        <f t="shared" ca="1" si="4"/>
        <v>0.72040087784297357</v>
      </c>
      <c r="C278" s="6" t="s">
        <v>34</v>
      </c>
    </row>
    <row r="279" spans="1:3" x14ac:dyDescent="0.2">
      <c r="A279" s="6">
        <v>277</v>
      </c>
      <c r="B279" s="6">
        <f t="shared" ca="1" si="4"/>
        <v>0.73572370036750989</v>
      </c>
      <c r="C279" s="6" t="s">
        <v>34</v>
      </c>
    </row>
    <row r="280" spans="1:3" x14ac:dyDescent="0.2">
      <c r="A280" s="6">
        <v>278</v>
      </c>
      <c r="B280" s="6">
        <f t="shared" ca="1" si="4"/>
        <v>0.69566482816177178</v>
      </c>
      <c r="C280" s="6" t="s">
        <v>35</v>
      </c>
    </row>
    <row r="281" spans="1:3" x14ac:dyDescent="0.2">
      <c r="A281" s="6">
        <v>279</v>
      </c>
      <c r="B281" s="6">
        <f t="shared" ca="1" si="4"/>
        <v>0.7303643758422419</v>
      </c>
      <c r="C281" s="6" t="s">
        <v>35</v>
      </c>
    </row>
    <row r="282" spans="1:3" x14ac:dyDescent="0.2">
      <c r="A282" s="6">
        <v>280</v>
      </c>
      <c r="B282" s="6">
        <f t="shared" ca="1" si="4"/>
        <v>0.61878326559433805</v>
      </c>
      <c r="C282" s="6" t="s">
        <v>35</v>
      </c>
    </row>
    <row r="283" spans="1:3" x14ac:dyDescent="0.2">
      <c r="A283" s="6">
        <v>281</v>
      </c>
      <c r="B283" s="6">
        <f t="shared" ca="1" si="4"/>
        <v>0.46994695023759003</v>
      </c>
      <c r="C283" s="6" t="s">
        <v>35</v>
      </c>
    </row>
    <row r="284" spans="1:3" x14ac:dyDescent="0.2">
      <c r="A284" s="6">
        <v>282</v>
      </c>
      <c r="B284" s="6">
        <f t="shared" ca="1" si="4"/>
        <v>0.73524778869299601</v>
      </c>
      <c r="C284" s="6" t="s">
        <v>34</v>
      </c>
    </row>
    <row r="285" spans="1:3" x14ac:dyDescent="0.2">
      <c r="A285" s="6">
        <v>283</v>
      </c>
      <c r="B285" s="6">
        <f t="shared" ca="1" si="4"/>
        <v>0.89333109741831374</v>
      </c>
      <c r="C285" s="6" t="s">
        <v>34</v>
      </c>
    </row>
    <row r="286" spans="1:3" x14ac:dyDescent="0.2">
      <c r="A286" s="6">
        <v>284</v>
      </c>
      <c r="B286" s="6">
        <f t="shared" ca="1" si="4"/>
        <v>1.0146494369401602</v>
      </c>
      <c r="C286" s="6" t="s">
        <v>34</v>
      </c>
    </row>
    <row r="287" spans="1:3" x14ac:dyDescent="0.2">
      <c r="A287" s="6">
        <v>285</v>
      </c>
      <c r="B287" s="6">
        <f t="shared" ca="1" si="4"/>
        <v>0.26505337378310312</v>
      </c>
      <c r="C287" s="6" t="s">
        <v>35</v>
      </c>
    </row>
    <row r="288" spans="1:3" x14ac:dyDescent="0.2">
      <c r="A288" s="6">
        <v>286</v>
      </c>
      <c r="B288" s="6">
        <f t="shared" ca="1" si="4"/>
        <v>0.74470843911408213</v>
      </c>
      <c r="C288" s="6" t="s">
        <v>34</v>
      </c>
    </row>
    <row r="289" spans="1:3" x14ac:dyDescent="0.2">
      <c r="A289" s="6">
        <v>287</v>
      </c>
      <c r="B289" s="6">
        <f t="shared" ca="1" si="4"/>
        <v>0.84013487848130342</v>
      </c>
      <c r="C289" s="6" t="s">
        <v>34</v>
      </c>
    </row>
    <row r="290" spans="1:3" x14ac:dyDescent="0.2">
      <c r="A290" s="6">
        <v>288</v>
      </c>
      <c r="B290" s="6">
        <f t="shared" ca="1" si="4"/>
        <v>0.49041388424415444</v>
      </c>
      <c r="C290" s="6" t="s">
        <v>34</v>
      </c>
    </row>
    <row r="291" spans="1:3" x14ac:dyDescent="0.2">
      <c r="A291" s="6">
        <v>289</v>
      </c>
      <c r="B291" s="6">
        <f t="shared" ca="1" si="4"/>
        <v>0.74379685554284769</v>
      </c>
      <c r="C291" s="6" t="s">
        <v>34</v>
      </c>
    </row>
    <row r="292" spans="1:3" x14ac:dyDescent="0.2">
      <c r="A292" s="6">
        <v>290</v>
      </c>
      <c r="B292" s="6">
        <f t="shared" ca="1" si="4"/>
        <v>0.84334031868760484</v>
      </c>
      <c r="C292" s="6" t="s">
        <v>35</v>
      </c>
    </row>
    <row r="293" spans="1:3" x14ac:dyDescent="0.2">
      <c r="A293" s="6">
        <v>291</v>
      </c>
      <c r="B293" s="6">
        <f t="shared" ca="1" si="4"/>
        <v>0.52752547863058319</v>
      </c>
      <c r="C293" s="6" t="s">
        <v>34</v>
      </c>
    </row>
    <row r="294" spans="1:3" x14ac:dyDescent="0.2">
      <c r="A294" s="6">
        <v>292</v>
      </c>
      <c r="B294" s="6">
        <f t="shared" ca="1" si="4"/>
        <v>0.51345234138715079</v>
      </c>
      <c r="C294" s="6" t="s">
        <v>35</v>
      </c>
    </row>
    <row r="295" spans="1:3" x14ac:dyDescent="0.2">
      <c r="A295" s="6">
        <v>293</v>
      </c>
      <c r="B295" s="6">
        <f t="shared" ca="1" si="4"/>
        <v>0.7294104772115213</v>
      </c>
      <c r="C295" s="6" t="s">
        <v>34</v>
      </c>
    </row>
    <row r="296" spans="1:3" x14ac:dyDescent="0.2">
      <c r="A296" s="6">
        <v>294</v>
      </c>
      <c r="B296" s="6">
        <f t="shared" ca="1" si="4"/>
        <v>0.7439111569086172</v>
      </c>
      <c r="C296" s="6" t="s">
        <v>35</v>
      </c>
    </row>
    <row r="297" spans="1:3" x14ac:dyDescent="0.2">
      <c r="A297" s="6">
        <v>295</v>
      </c>
      <c r="B297" s="6">
        <f t="shared" ca="1" si="4"/>
        <v>0.19268940869590379</v>
      </c>
      <c r="C297" s="6" t="s">
        <v>35</v>
      </c>
    </row>
    <row r="298" spans="1:3" x14ac:dyDescent="0.2">
      <c r="A298" s="6">
        <v>296</v>
      </c>
      <c r="B298" s="6">
        <f t="shared" ca="1" si="4"/>
        <v>0.74790344298305911</v>
      </c>
      <c r="C298" s="6" t="s">
        <v>34</v>
      </c>
    </row>
    <row r="299" spans="1:3" x14ac:dyDescent="0.2">
      <c r="A299" s="6">
        <v>297</v>
      </c>
      <c r="B299" s="6">
        <f t="shared" ca="1" si="4"/>
        <v>0.79740073811831214</v>
      </c>
      <c r="C299" s="6" t="s">
        <v>34</v>
      </c>
    </row>
    <row r="300" spans="1:3" x14ac:dyDescent="0.2">
      <c r="A300" s="6">
        <v>298</v>
      </c>
      <c r="B300" s="6">
        <f t="shared" ca="1" si="4"/>
        <v>0.69376613372725682</v>
      </c>
      <c r="C300" s="6" t="s">
        <v>35</v>
      </c>
    </row>
    <row r="301" spans="1:3" x14ac:dyDescent="0.2">
      <c r="A301" s="6">
        <v>299</v>
      </c>
      <c r="B301" s="6">
        <f t="shared" ca="1" si="4"/>
        <v>0.63480029353542577</v>
      </c>
      <c r="C301" s="6" t="s">
        <v>34</v>
      </c>
    </row>
    <row r="302" spans="1:3" x14ac:dyDescent="0.2">
      <c r="A302" s="6">
        <v>300</v>
      </c>
      <c r="B302" s="6">
        <f t="shared" ca="1" si="4"/>
        <v>0.90996092975169007</v>
      </c>
      <c r="C302" s="6" t="s">
        <v>34</v>
      </c>
    </row>
    <row r="303" spans="1:3" x14ac:dyDescent="0.2">
      <c r="A303" s="6">
        <v>301</v>
      </c>
      <c r="B303" s="6">
        <f t="shared" ca="1" si="4"/>
        <v>0.69155091679149094</v>
      </c>
      <c r="C303" s="6" t="s">
        <v>34</v>
      </c>
    </row>
    <row r="304" spans="1:3" x14ac:dyDescent="0.2">
      <c r="A304" s="6">
        <v>302</v>
      </c>
      <c r="B304" s="6">
        <f t="shared" ca="1" si="4"/>
        <v>0.58351902532396127</v>
      </c>
      <c r="C304" s="6" t="s">
        <v>34</v>
      </c>
    </row>
    <row r="305" spans="1:3" x14ac:dyDescent="0.2">
      <c r="A305" s="6">
        <v>303</v>
      </c>
      <c r="B305" s="6">
        <f t="shared" ca="1" si="4"/>
        <v>0.86459838262159394</v>
      </c>
      <c r="C305" s="6" t="s">
        <v>34</v>
      </c>
    </row>
    <row r="306" spans="1:3" x14ac:dyDescent="0.2">
      <c r="A306" s="6">
        <v>304</v>
      </c>
      <c r="B306" s="6">
        <f t="shared" ca="1" si="4"/>
        <v>0.60535664636038689</v>
      </c>
      <c r="C306" s="6" t="s">
        <v>34</v>
      </c>
    </row>
    <row r="307" spans="1:3" x14ac:dyDescent="0.2">
      <c r="A307" s="6">
        <v>305</v>
      </c>
      <c r="B307" s="6">
        <f t="shared" ca="1" si="4"/>
        <v>0.618219050809798</v>
      </c>
      <c r="C307" s="6" t="s">
        <v>35</v>
      </c>
    </row>
    <row r="308" spans="1:3" x14ac:dyDescent="0.2">
      <c r="A308" s="6">
        <v>306</v>
      </c>
      <c r="B308" s="6">
        <f t="shared" ca="1" si="4"/>
        <v>0.74707674211528696</v>
      </c>
      <c r="C308" s="6" t="s">
        <v>34</v>
      </c>
    </row>
    <row r="309" spans="1:3" x14ac:dyDescent="0.2">
      <c r="A309" s="6">
        <v>307</v>
      </c>
      <c r="B309" s="6">
        <f t="shared" ca="1" si="4"/>
        <v>0.65752898428182882</v>
      </c>
      <c r="C309" s="6" t="s">
        <v>35</v>
      </c>
    </row>
    <row r="310" spans="1:3" x14ac:dyDescent="0.2">
      <c r="A310" s="6">
        <v>308</v>
      </c>
      <c r="B310" s="6">
        <f t="shared" ca="1" si="4"/>
        <v>0.72329220913797043</v>
      </c>
      <c r="C310" s="6" t="s">
        <v>34</v>
      </c>
    </row>
    <row r="311" spans="1:3" x14ac:dyDescent="0.2">
      <c r="A311" s="6">
        <v>309</v>
      </c>
      <c r="B311" s="6">
        <f t="shared" ca="1" si="4"/>
        <v>0.72671107238433796</v>
      </c>
      <c r="C311" s="6" t="s">
        <v>34</v>
      </c>
    </row>
    <row r="312" spans="1:3" x14ac:dyDescent="0.2">
      <c r="A312" s="6">
        <v>310</v>
      </c>
      <c r="B312" s="6">
        <f t="shared" ca="1" si="4"/>
        <v>0.45157506157350402</v>
      </c>
      <c r="C312" s="6" t="s">
        <v>35</v>
      </c>
    </row>
    <row r="313" spans="1:3" x14ac:dyDescent="0.2">
      <c r="A313" s="6">
        <v>311</v>
      </c>
      <c r="B313" s="6">
        <f t="shared" ca="1" si="4"/>
        <v>0.72426013543231627</v>
      </c>
      <c r="C313" s="6" t="s">
        <v>34</v>
      </c>
    </row>
    <row r="314" spans="1:3" x14ac:dyDescent="0.2">
      <c r="A314" s="6">
        <v>312</v>
      </c>
      <c r="B314" s="6">
        <f t="shared" ca="1" si="4"/>
        <v>0.86200845805818671</v>
      </c>
      <c r="C314" s="6" t="s">
        <v>34</v>
      </c>
    </row>
    <row r="315" spans="1:3" x14ac:dyDescent="0.2">
      <c r="A315" s="6">
        <v>313</v>
      </c>
      <c r="B315" s="6">
        <f t="shared" ca="1" si="4"/>
        <v>0.5831727892141052</v>
      </c>
      <c r="C315" s="6" t="s">
        <v>35</v>
      </c>
    </row>
    <row r="316" spans="1:3" x14ac:dyDescent="0.2">
      <c r="A316" s="6">
        <v>314</v>
      </c>
      <c r="B316" s="6">
        <f t="shared" ca="1" si="4"/>
        <v>0.73716176399512834</v>
      </c>
      <c r="C316" s="6" t="s">
        <v>35</v>
      </c>
    </row>
    <row r="317" spans="1:3" x14ac:dyDescent="0.2">
      <c r="A317" s="6">
        <v>315</v>
      </c>
      <c r="B317" s="6">
        <f t="shared" ca="1" si="4"/>
        <v>0.55196113335884167</v>
      </c>
      <c r="C317" s="6" t="s">
        <v>34</v>
      </c>
    </row>
    <row r="318" spans="1:3" x14ac:dyDescent="0.2">
      <c r="A318" s="6">
        <v>316</v>
      </c>
      <c r="B318" s="6">
        <f t="shared" ca="1" si="4"/>
        <v>0.68822150913442037</v>
      </c>
      <c r="C318" s="6" t="s">
        <v>34</v>
      </c>
    </row>
    <row r="319" spans="1:3" x14ac:dyDescent="0.2">
      <c r="A319" s="6">
        <v>317</v>
      </c>
      <c r="B319" s="6">
        <f t="shared" ca="1" si="4"/>
        <v>0.41103494386782397</v>
      </c>
      <c r="C319" s="6" t="s">
        <v>35</v>
      </c>
    </row>
    <row r="320" spans="1:3" x14ac:dyDescent="0.2">
      <c r="A320" s="6">
        <v>318</v>
      </c>
      <c r="B320" s="6">
        <f t="shared" ca="1" si="4"/>
        <v>0.72738910315817285</v>
      </c>
      <c r="C320" s="6" t="s">
        <v>34</v>
      </c>
    </row>
    <row r="321" spans="1:3" x14ac:dyDescent="0.2">
      <c r="A321" s="6">
        <v>319</v>
      </c>
      <c r="B321" s="6">
        <f t="shared" ca="1" si="4"/>
        <v>0.53928079546862406</v>
      </c>
      <c r="C321" s="6" t="s">
        <v>35</v>
      </c>
    </row>
    <row r="322" spans="1:3" x14ac:dyDescent="0.2">
      <c r="A322" s="6">
        <v>320</v>
      </c>
      <c r="B322" s="6">
        <f t="shared" ca="1" si="4"/>
        <v>0.6424565697103255</v>
      </c>
      <c r="C322" s="6" t="s">
        <v>35</v>
      </c>
    </row>
    <row r="323" spans="1:3" x14ac:dyDescent="0.2">
      <c r="A323" s="6">
        <v>321</v>
      </c>
      <c r="B323" s="6">
        <f t="shared" ca="1" si="4"/>
        <v>0.66622435263652691</v>
      </c>
      <c r="C323" s="6" t="s">
        <v>34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0.7172796814051442</v>
      </c>
      <c r="C324" s="6" t="s">
        <v>34</v>
      </c>
    </row>
    <row r="325" spans="1:3" x14ac:dyDescent="0.2">
      <c r="A325" s="6">
        <v>323</v>
      </c>
      <c r="B325" s="6">
        <f t="shared" ca="1" si="5"/>
        <v>0.74856537369127529</v>
      </c>
      <c r="C325" s="6" t="s">
        <v>34</v>
      </c>
    </row>
    <row r="326" spans="1:3" x14ac:dyDescent="0.2">
      <c r="A326" s="6">
        <v>324</v>
      </c>
      <c r="B326" s="6">
        <f t="shared" ca="1" si="5"/>
        <v>0.53628458949143343</v>
      </c>
      <c r="C326" s="6" t="s">
        <v>35</v>
      </c>
    </row>
    <row r="327" spans="1:3" x14ac:dyDescent="0.2">
      <c r="A327" s="6">
        <v>325</v>
      </c>
      <c r="B327" s="6">
        <f t="shared" ca="1" si="5"/>
        <v>0.4574632104125006</v>
      </c>
      <c r="C327" s="6" t="s">
        <v>35</v>
      </c>
    </row>
    <row r="328" spans="1:3" x14ac:dyDescent="0.2">
      <c r="A328" s="6">
        <v>326</v>
      </c>
      <c r="B328" s="6">
        <f t="shared" ca="1" si="5"/>
        <v>0.76223823498376664</v>
      </c>
      <c r="C328" s="6" t="s">
        <v>34</v>
      </c>
    </row>
    <row r="329" spans="1:3" x14ac:dyDescent="0.2">
      <c r="A329" s="6">
        <v>327</v>
      </c>
      <c r="B329" s="6">
        <f t="shared" ca="1" si="5"/>
        <v>0.74322943206821712</v>
      </c>
      <c r="C329" s="6" t="s">
        <v>35</v>
      </c>
    </row>
    <row r="330" spans="1:3" x14ac:dyDescent="0.2">
      <c r="A330" s="6">
        <v>328</v>
      </c>
      <c r="B330" s="6">
        <f t="shared" ca="1" si="5"/>
        <v>0.74146770907032733</v>
      </c>
      <c r="C330" s="6" t="s">
        <v>35</v>
      </c>
    </row>
    <row r="331" spans="1:3" x14ac:dyDescent="0.2">
      <c r="A331" s="6">
        <v>329</v>
      </c>
      <c r="B331" s="6">
        <f t="shared" ca="1" si="5"/>
        <v>0.75003611355907918</v>
      </c>
      <c r="C331" s="6" t="s">
        <v>34</v>
      </c>
    </row>
    <row r="332" spans="1:3" x14ac:dyDescent="0.2">
      <c r="A332" s="6">
        <v>330</v>
      </c>
      <c r="B332" s="6">
        <f t="shared" ca="1" si="5"/>
        <v>0.60563168187689242</v>
      </c>
      <c r="C332" s="6" t="s">
        <v>35</v>
      </c>
    </row>
    <row r="333" spans="1:3" x14ac:dyDescent="0.2">
      <c r="A333" s="6">
        <v>331</v>
      </c>
      <c r="B333" s="6">
        <f t="shared" ca="1" si="5"/>
        <v>0.53297539094612534</v>
      </c>
      <c r="C333" s="6" t="s">
        <v>35</v>
      </c>
    </row>
    <row r="334" spans="1:3" x14ac:dyDescent="0.2">
      <c r="A334" s="6">
        <v>332</v>
      </c>
      <c r="B334" s="6">
        <f t="shared" ca="1" si="5"/>
        <v>0.54078583978553407</v>
      </c>
      <c r="C334" s="6" t="s">
        <v>34</v>
      </c>
    </row>
    <row r="335" spans="1:3" x14ac:dyDescent="0.2">
      <c r="A335" s="6">
        <v>333</v>
      </c>
      <c r="B335" s="6">
        <f t="shared" ca="1" si="5"/>
        <v>0.6504744048581369</v>
      </c>
      <c r="C335" s="6" t="s">
        <v>35</v>
      </c>
    </row>
    <row r="336" spans="1:3" x14ac:dyDescent="0.2">
      <c r="A336" s="6">
        <v>334</v>
      </c>
      <c r="B336" s="6">
        <f t="shared" ca="1" si="5"/>
        <v>0.61131346611287751</v>
      </c>
      <c r="C336" s="6" t="s">
        <v>35</v>
      </c>
    </row>
    <row r="337" spans="1:3" x14ac:dyDescent="0.2">
      <c r="A337" s="6">
        <v>335</v>
      </c>
      <c r="B337" s="6">
        <f t="shared" ca="1" si="5"/>
        <v>0.72220297432204961</v>
      </c>
      <c r="C337" s="6" t="s">
        <v>35</v>
      </c>
    </row>
    <row r="338" spans="1:3" x14ac:dyDescent="0.2">
      <c r="A338" s="6">
        <v>336</v>
      </c>
      <c r="B338" s="6">
        <f t="shared" ca="1" si="5"/>
        <v>0.77320926629139408</v>
      </c>
      <c r="C338" s="6" t="s">
        <v>34</v>
      </c>
    </row>
    <row r="339" spans="1:3" x14ac:dyDescent="0.2">
      <c r="A339" s="6">
        <v>337</v>
      </c>
      <c r="B339" s="6">
        <f t="shared" ca="1" si="5"/>
        <v>0.76756294306616357</v>
      </c>
      <c r="C339" s="6" t="s">
        <v>34</v>
      </c>
    </row>
    <row r="340" spans="1:3" x14ac:dyDescent="0.2">
      <c r="A340" s="6">
        <v>338</v>
      </c>
      <c r="B340" s="6">
        <f t="shared" ca="1" si="5"/>
        <v>0.61847877239679672</v>
      </c>
      <c r="C340" s="6" t="s">
        <v>34</v>
      </c>
    </row>
    <row r="341" spans="1:3" x14ac:dyDescent="0.2">
      <c r="A341" s="6">
        <v>339</v>
      </c>
      <c r="B341" s="6">
        <f t="shared" ca="1" si="5"/>
        <v>0.81573079175399066</v>
      </c>
      <c r="C341" s="6" t="s">
        <v>35</v>
      </c>
    </row>
    <row r="342" spans="1:3" x14ac:dyDescent="0.2">
      <c r="A342" s="6">
        <v>340</v>
      </c>
      <c r="B342" s="6">
        <f t="shared" ca="1" si="5"/>
        <v>0.29788568565364171</v>
      </c>
      <c r="C342" s="6" t="s">
        <v>35</v>
      </c>
    </row>
    <row r="343" spans="1:3" x14ac:dyDescent="0.2">
      <c r="A343" s="6">
        <v>341</v>
      </c>
      <c r="B343" s="6">
        <f t="shared" ca="1" si="5"/>
        <v>0.5195820398706813</v>
      </c>
      <c r="C343" s="6" t="s">
        <v>35</v>
      </c>
    </row>
    <row r="344" spans="1:3" x14ac:dyDescent="0.2">
      <c r="A344" s="6">
        <v>342</v>
      </c>
      <c r="B344" s="6">
        <f t="shared" ca="1" si="5"/>
        <v>0.7857090488324725</v>
      </c>
      <c r="C344" s="6" t="s">
        <v>35</v>
      </c>
    </row>
    <row r="345" spans="1:3" x14ac:dyDescent="0.2">
      <c r="A345" s="6">
        <v>343</v>
      </c>
      <c r="B345" s="6">
        <f t="shared" ca="1" si="5"/>
        <v>0.51693692326982743</v>
      </c>
      <c r="C345" s="6" t="s">
        <v>34</v>
      </c>
    </row>
    <row r="346" spans="1:3" x14ac:dyDescent="0.2">
      <c r="A346" s="6">
        <v>344</v>
      </c>
      <c r="B346" s="6">
        <f t="shared" ca="1" si="5"/>
        <v>0.60424889744944599</v>
      </c>
      <c r="C346" s="6" t="s">
        <v>34</v>
      </c>
    </row>
    <row r="347" spans="1:3" x14ac:dyDescent="0.2">
      <c r="A347" s="6">
        <v>345</v>
      </c>
      <c r="B347" s="6">
        <f t="shared" ca="1" si="5"/>
        <v>0.8116852873852396</v>
      </c>
      <c r="C347" s="6" t="s">
        <v>35</v>
      </c>
    </row>
    <row r="348" spans="1:3" x14ac:dyDescent="0.2">
      <c r="A348" s="6">
        <v>346</v>
      </c>
      <c r="B348" s="6">
        <f t="shared" ca="1" si="5"/>
        <v>0.82022806051406028</v>
      </c>
      <c r="C348" s="6" t="s">
        <v>34</v>
      </c>
    </row>
    <row r="349" spans="1:3" x14ac:dyDescent="0.2">
      <c r="A349" s="6">
        <v>347</v>
      </c>
      <c r="B349" s="6">
        <f t="shared" ca="1" si="5"/>
        <v>0.53554284120078277</v>
      </c>
      <c r="C349" s="6" t="s">
        <v>35</v>
      </c>
    </row>
    <row r="350" spans="1:3" x14ac:dyDescent="0.2">
      <c r="A350" s="6">
        <v>348</v>
      </c>
      <c r="B350" s="6">
        <f t="shared" ca="1" si="5"/>
        <v>0.79144744355546459</v>
      </c>
      <c r="C350" s="6" t="s">
        <v>34</v>
      </c>
    </row>
    <row r="351" spans="1:3" x14ac:dyDescent="0.2">
      <c r="A351" s="6">
        <v>349</v>
      </c>
      <c r="B351" s="6">
        <f t="shared" ca="1" si="5"/>
        <v>0.78332294387437185</v>
      </c>
      <c r="C351" s="6" t="s">
        <v>34</v>
      </c>
    </row>
    <row r="352" spans="1:3" x14ac:dyDescent="0.2">
      <c r="A352" s="6">
        <v>350</v>
      </c>
      <c r="B352" s="6">
        <f t="shared" ca="1" si="5"/>
        <v>0.62366136611006051</v>
      </c>
      <c r="C352" s="6" t="s">
        <v>35</v>
      </c>
    </row>
    <row r="353" spans="1:3" x14ac:dyDescent="0.2">
      <c r="A353" s="6">
        <v>351</v>
      </c>
      <c r="B353" s="6">
        <f t="shared" ca="1" si="5"/>
        <v>0.64350380092081205</v>
      </c>
      <c r="C353" s="6" t="s">
        <v>35</v>
      </c>
    </row>
    <row r="354" spans="1:3" x14ac:dyDescent="0.2">
      <c r="A354" s="6">
        <v>352</v>
      </c>
      <c r="B354" s="6">
        <f t="shared" ca="1" si="5"/>
        <v>0.48681281759131717</v>
      </c>
      <c r="C354" s="6" t="s">
        <v>35</v>
      </c>
    </row>
    <row r="355" spans="1:3" x14ac:dyDescent="0.2">
      <c r="A355" s="6">
        <v>353</v>
      </c>
      <c r="B355" s="6">
        <f t="shared" ca="1" si="5"/>
        <v>0.65618331901482918</v>
      </c>
      <c r="C355" s="6" t="s">
        <v>34</v>
      </c>
    </row>
    <row r="356" spans="1:3" x14ac:dyDescent="0.2">
      <c r="A356" s="6">
        <v>354</v>
      </c>
      <c r="B356" s="6">
        <f t="shared" ca="1" si="5"/>
        <v>0.66318130439047751</v>
      </c>
      <c r="C356" s="6" t="s">
        <v>34</v>
      </c>
    </row>
    <row r="357" spans="1:3" x14ac:dyDescent="0.2">
      <c r="A357" s="6">
        <v>355</v>
      </c>
      <c r="B357" s="6">
        <f t="shared" ca="1" si="5"/>
        <v>0.81503167400752696</v>
      </c>
      <c r="C357" s="6" t="s">
        <v>34</v>
      </c>
    </row>
    <row r="358" spans="1:3" x14ac:dyDescent="0.2">
      <c r="A358" s="6">
        <v>356</v>
      </c>
      <c r="B358" s="6">
        <f t="shared" ca="1" si="5"/>
        <v>0.83363931350828757</v>
      </c>
      <c r="C358" s="6" t="s">
        <v>34</v>
      </c>
    </row>
    <row r="359" spans="1:3" x14ac:dyDescent="0.2">
      <c r="A359" s="6">
        <v>357</v>
      </c>
      <c r="B359" s="6">
        <f t="shared" ca="1" si="5"/>
        <v>0.58985740143551468</v>
      </c>
      <c r="C359" s="6" t="s">
        <v>35</v>
      </c>
    </row>
    <row r="360" spans="1:3" x14ac:dyDescent="0.2">
      <c r="A360" s="6">
        <v>358</v>
      </c>
      <c r="B360" s="6">
        <f t="shared" ca="1" si="5"/>
        <v>0.81313087610735046</v>
      </c>
      <c r="C360" s="6" t="s">
        <v>34</v>
      </c>
    </row>
    <row r="361" spans="1:3" x14ac:dyDescent="0.2">
      <c r="A361" s="6">
        <v>359</v>
      </c>
      <c r="B361" s="6">
        <f t="shared" ca="1" si="5"/>
        <v>0.15155283238042128</v>
      </c>
      <c r="C361" s="6" t="s">
        <v>35</v>
      </c>
    </row>
    <row r="362" spans="1:3" x14ac:dyDescent="0.2">
      <c r="A362" s="6">
        <v>360</v>
      </c>
      <c r="B362" s="6">
        <f t="shared" ca="1" si="5"/>
        <v>0.58862512145087686</v>
      </c>
      <c r="C362" s="6" t="s">
        <v>35</v>
      </c>
    </row>
    <row r="363" spans="1:3" x14ac:dyDescent="0.2">
      <c r="A363" s="6">
        <v>361</v>
      </c>
      <c r="B363" s="6">
        <f t="shared" ca="1" si="5"/>
        <v>0.65226423561565783</v>
      </c>
      <c r="C363" s="6" t="s">
        <v>34</v>
      </c>
    </row>
    <row r="364" spans="1:3" x14ac:dyDescent="0.2">
      <c r="A364" s="6">
        <v>362</v>
      </c>
      <c r="B364" s="6">
        <f t="shared" ca="1" si="5"/>
        <v>0.66236633279487389</v>
      </c>
      <c r="C364" s="6" t="s">
        <v>34</v>
      </c>
    </row>
    <row r="365" spans="1:3" x14ac:dyDescent="0.2">
      <c r="A365" s="6">
        <v>363</v>
      </c>
      <c r="B365" s="6">
        <f t="shared" ca="1" si="5"/>
        <v>0.41994818193179084</v>
      </c>
      <c r="C365" s="6" t="s">
        <v>35</v>
      </c>
    </row>
    <row r="366" spans="1:3" x14ac:dyDescent="0.2">
      <c r="A366" s="6">
        <v>364</v>
      </c>
      <c r="B366" s="6">
        <f t="shared" ca="1" si="5"/>
        <v>0.54903488218772634</v>
      </c>
      <c r="C366" s="6" t="s">
        <v>34</v>
      </c>
    </row>
    <row r="367" spans="1:3" x14ac:dyDescent="0.2">
      <c r="A367" s="6">
        <v>365</v>
      </c>
      <c r="B367" s="6">
        <f t="shared" ca="1" si="5"/>
        <v>0.53029012840047951</v>
      </c>
      <c r="C367" s="6" t="s">
        <v>35</v>
      </c>
    </row>
    <row r="368" spans="1:3" x14ac:dyDescent="0.2">
      <c r="A368" s="6">
        <v>366</v>
      </c>
      <c r="B368" s="6">
        <f t="shared" ca="1" si="5"/>
        <v>0.63089827275712129</v>
      </c>
      <c r="C368" s="6" t="s">
        <v>35</v>
      </c>
    </row>
    <row r="369" spans="1:3" x14ac:dyDescent="0.2">
      <c r="A369" s="6">
        <v>367</v>
      </c>
      <c r="B369" s="6">
        <f t="shared" ca="1" si="5"/>
        <v>0.73258428475243298</v>
      </c>
      <c r="C369" s="6" t="s">
        <v>34</v>
      </c>
    </row>
    <row r="370" spans="1:3" x14ac:dyDescent="0.2">
      <c r="A370" s="6">
        <v>368</v>
      </c>
      <c r="B370" s="6">
        <f t="shared" ca="1" si="5"/>
        <v>0.80058994339705791</v>
      </c>
      <c r="C370" s="6" t="s">
        <v>34</v>
      </c>
    </row>
    <row r="371" spans="1:3" x14ac:dyDescent="0.2">
      <c r="A371" s="6">
        <v>369</v>
      </c>
      <c r="B371" s="6">
        <f t="shared" ca="1" si="5"/>
        <v>0.42727853583449016</v>
      </c>
      <c r="C371" s="6" t="s">
        <v>35</v>
      </c>
    </row>
    <row r="372" spans="1:3" x14ac:dyDescent="0.2">
      <c r="A372" s="6">
        <v>370</v>
      </c>
      <c r="B372" s="6">
        <f t="shared" ca="1" si="5"/>
        <v>0.55896880901613577</v>
      </c>
      <c r="C372" s="6" t="s">
        <v>34</v>
      </c>
    </row>
    <row r="373" spans="1:3" x14ac:dyDescent="0.2">
      <c r="A373" s="6">
        <v>371</v>
      </c>
      <c r="B373" s="6">
        <f t="shared" ca="1" si="5"/>
        <v>0.76730206510859134</v>
      </c>
      <c r="C373" s="6" t="s">
        <v>34</v>
      </c>
    </row>
    <row r="374" spans="1:3" x14ac:dyDescent="0.2">
      <c r="A374" s="6">
        <v>372</v>
      </c>
      <c r="B374" s="6">
        <f t="shared" ca="1" si="5"/>
        <v>0.51847141614459658</v>
      </c>
      <c r="C374" s="6" t="s">
        <v>35</v>
      </c>
    </row>
    <row r="375" spans="1:3" x14ac:dyDescent="0.2">
      <c r="A375" s="6">
        <v>373</v>
      </c>
      <c r="B375" s="6">
        <f t="shared" ca="1" si="5"/>
        <v>1.004558213651787</v>
      </c>
      <c r="C375" s="6" t="s">
        <v>34</v>
      </c>
    </row>
    <row r="376" spans="1:3" x14ac:dyDescent="0.2">
      <c r="A376" s="6">
        <v>374</v>
      </c>
      <c r="B376" s="6">
        <f t="shared" ca="1" si="5"/>
        <v>0.80068157899383019</v>
      </c>
      <c r="C376" s="6" t="s">
        <v>34</v>
      </c>
    </row>
    <row r="377" spans="1:3" x14ac:dyDescent="0.2">
      <c r="A377" s="6">
        <v>375</v>
      </c>
      <c r="B377" s="6">
        <f t="shared" ca="1" si="5"/>
        <v>0.73427203982668043</v>
      </c>
      <c r="C377" s="6" t="s">
        <v>35</v>
      </c>
    </row>
    <row r="378" spans="1:3" x14ac:dyDescent="0.2">
      <c r="A378" s="6">
        <v>376</v>
      </c>
      <c r="B378" s="6">
        <f t="shared" ca="1" si="5"/>
        <v>0.43697242923616936</v>
      </c>
      <c r="C378" s="6" t="s">
        <v>34</v>
      </c>
    </row>
    <row r="379" spans="1:3" x14ac:dyDescent="0.2">
      <c r="A379" s="6">
        <v>377</v>
      </c>
      <c r="B379" s="6">
        <f t="shared" ca="1" si="5"/>
        <v>0.77867662527348269</v>
      </c>
      <c r="C379" s="6" t="s">
        <v>34</v>
      </c>
    </row>
    <row r="380" spans="1:3" x14ac:dyDescent="0.2">
      <c r="A380" s="6">
        <v>378</v>
      </c>
      <c r="B380" s="6">
        <f t="shared" ca="1" si="5"/>
        <v>0.70069337876078552</v>
      </c>
      <c r="C380" s="6" t="s">
        <v>34</v>
      </c>
    </row>
    <row r="381" spans="1:3" x14ac:dyDescent="0.2">
      <c r="A381" s="6">
        <v>379</v>
      </c>
      <c r="B381" s="6">
        <f t="shared" ca="1" si="5"/>
        <v>0.66160672731342451</v>
      </c>
      <c r="C381" s="6" t="s">
        <v>34</v>
      </c>
    </row>
    <row r="382" spans="1:3" x14ac:dyDescent="0.2">
      <c r="A382" s="6">
        <v>380</v>
      </c>
      <c r="B382" s="6">
        <f t="shared" ca="1" si="5"/>
        <v>0.70480414365152766</v>
      </c>
      <c r="C382" s="6" t="s">
        <v>34</v>
      </c>
    </row>
    <row r="383" spans="1:3" x14ac:dyDescent="0.2">
      <c r="A383" s="6">
        <v>381</v>
      </c>
      <c r="B383" s="6">
        <f t="shared" ca="1" si="5"/>
        <v>0.72673367298465552</v>
      </c>
      <c r="C383" s="6" t="s">
        <v>34</v>
      </c>
    </row>
    <row r="384" spans="1:3" x14ac:dyDescent="0.2">
      <c r="A384" s="6">
        <v>382</v>
      </c>
      <c r="B384" s="6">
        <f t="shared" ca="1" si="5"/>
        <v>0.50713736238043639</v>
      </c>
      <c r="C384" s="6" t="s">
        <v>34</v>
      </c>
    </row>
    <row r="385" spans="1:3" x14ac:dyDescent="0.2">
      <c r="A385" s="6">
        <v>383</v>
      </c>
      <c r="B385" s="6">
        <f t="shared" ca="1" si="5"/>
        <v>0.80778745809412777</v>
      </c>
      <c r="C385" s="6" t="s">
        <v>35</v>
      </c>
    </row>
    <row r="386" spans="1:3" x14ac:dyDescent="0.2">
      <c r="A386" s="6">
        <v>384</v>
      </c>
      <c r="B386" s="6">
        <f t="shared" ca="1" si="5"/>
        <v>0.73561699029582694</v>
      </c>
      <c r="C386" s="6" t="s">
        <v>34</v>
      </c>
    </row>
    <row r="387" spans="1:3" x14ac:dyDescent="0.2">
      <c r="A387" s="6">
        <v>385</v>
      </c>
      <c r="B387" s="6">
        <f t="shared" ca="1" si="5"/>
        <v>0.56739797763359123</v>
      </c>
      <c r="C387" s="6" t="s">
        <v>35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0.70672854123196527</v>
      </c>
      <c r="C388" s="6" t="s">
        <v>35</v>
      </c>
    </row>
    <row r="389" spans="1:3" x14ac:dyDescent="0.2">
      <c r="A389" s="6">
        <v>387</v>
      </c>
      <c r="B389" s="6">
        <f t="shared" ca="1" si="6"/>
        <v>0.79788387951564166</v>
      </c>
      <c r="C389" s="6" t="s">
        <v>35</v>
      </c>
    </row>
    <row r="390" spans="1:3" x14ac:dyDescent="0.2">
      <c r="A390" s="6">
        <v>388</v>
      </c>
      <c r="B390" s="6">
        <f t="shared" ca="1" si="6"/>
        <v>0.87507334748868548</v>
      </c>
      <c r="C390" s="6" t="s">
        <v>35</v>
      </c>
    </row>
    <row r="391" spans="1:3" x14ac:dyDescent="0.2">
      <c r="A391" s="6">
        <v>389</v>
      </c>
      <c r="B391" s="6">
        <f t="shared" ca="1" si="6"/>
        <v>0.28263205277252385</v>
      </c>
      <c r="C391" s="6" t="s">
        <v>35</v>
      </c>
    </row>
    <row r="392" spans="1:3" x14ac:dyDescent="0.2">
      <c r="A392" s="6">
        <v>390</v>
      </c>
      <c r="B392" s="6">
        <f t="shared" ca="1" si="6"/>
        <v>0.71751112535612449</v>
      </c>
      <c r="C392" s="6" t="s">
        <v>34</v>
      </c>
    </row>
    <row r="393" spans="1:3" x14ac:dyDescent="0.2">
      <c r="A393" s="6">
        <v>391</v>
      </c>
      <c r="B393" s="6">
        <f t="shared" ca="1" si="6"/>
        <v>0.76167804341440215</v>
      </c>
      <c r="C393" s="6" t="s">
        <v>34</v>
      </c>
    </row>
    <row r="394" spans="1:3" x14ac:dyDescent="0.2">
      <c r="A394" s="6">
        <v>392</v>
      </c>
      <c r="B394" s="6">
        <f t="shared" ca="1" si="6"/>
        <v>0.47527736981968582</v>
      </c>
      <c r="C394" s="6" t="s">
        <v>35</v>
      </c>
    </row>
    <row r="395" spans="1:3" x14ac:dyDescent="0.2">
      <c r="A395" s="6">
        <v>393</v>
      </c>
      <c r="B395" s="6">
        <f t="shared" ca="1" si="6"/>
        <v>0.34914773208949673</v>
      </c>
      <c r="C395" s="6" t="s">
        <v>35</v>
      </c>
    </row>
    <row r="396" spans="1:3" x14ac:dyDescent="0.2">
      <c r="A396" s="6">
        <v>394</v>
      </c>
      <c r="B396" s="6">
        <f t="shared" ca="1" si="6"/>
        <v>0.45469567533473765</v>
      </c>
      <c r="C396" s="6" t="s">
        <v>35</v>
      </c>
    </row>
    <row r="397" spans="1:3" x14ac:dyDescent="0.2">
      <c r="A397" s="6">
        <v>395</v>
      </c>
      <c r="B397" s="6">
        <f t="shared" ca="1" si="6"/>
        <v>0.79143177817658195</v>
      </c>
      <c r="C397" s="6" t="s">
        <v>34</v>
      </c>
    </row>
    <row r="398" spans="1:3" x14ac:dyDescent="0.2">
      <c r="A398" s="6">
        <v>396</v>
      </c>
      <c r="B398" s="6">
        <f t="shared" ca="1" si="6"/>
        <v>0.67162498466249343</v>
      </c>
      <c r="C398" s="6" t="s">
        <v>34</v>
      </c>
    </row>
    <row r="399" spans="1:3" x14ac:dyDescent="0.2">
      <c r="A399" s="6">
        <v>397</v>
      </c>
      <c r="B399" s="6">
        <f t="shared" ca="1" si="6"/>
        <v>0.33650266827563313</v>
      </c>
      <c r="C399" s="6" t="s">
        <v>35</v>
      </c>
    </row>
    <row r="400" spans="1:3" x14ac:dyDescent="0.2">
      <c r="A400" s="6">
        <v>398</v>
      </c>
      <c r="B400" s="6">
        <f t="shared" ca="1" si="6"/>
        <v>0.63056578526479057</v>
      </c>
      <c r="C400" s="6" t="s">
        <v>34</v>
      </c>
    </row>
    <row r="401" spans="1:3" x14ac:dyDescent="0.2">
      <c r="A401" s="6">
        <v>399</v>
      </c>
      <c r="B401" s="6">
        <f t="shared" ca="1" si="6"/>
        <v>0.36415756266210741</v>
      </c>
      <c r="C401" s="6" t="s">
        <v>35</v>
      </c>
    </row>
    <row r="402" spans="1:3" x14ac:dyDescent="0.2">
      <c r="A402" s="6">
        <v>400</v>
      </c>
      <c r="B402" s="6">
        <f t="shared" ca="1" si="6"/>
        <v>0.53328076229733079</v>
      </c>
      <c r="C402" s="6" t="s">
        <v>34</v>
      </c>
    </row>
    <row r="403" spans="1:3" x14ac:dyDescent="0.2">
      <c r="A403" s="6">
        <v>401</v>
      </c>
      <c r="B403" s="6">
        <f t="shared" ca="1" si="6"/>
        <v>0.64598913938318836</v>
      </c>
      <c r="C403" s="6" t="s">
        <v>35</v>
      </c>
    </row>
    <row r="404" spans="1:3" x14ac:dyDescent="0.2">
      <c r="A404" s="6">
        <v>402</v>
      </c>
      <c r="B404" s="6">
        <f t="shared" ca="1" si="6"/>
        <v>0.76054373823464183</v>
      </c>
      <c r="C404" s="6" t="s">
        <v>35</v>
      </c>
    </row>
    <row r="405" spans="1:3" x14ac:dyDescent="0.2">
      <c r="A405" s="6">
        <v>403</v>
      </c>
      <c r="B405" s="6">
        <f t="shared" ca="1" si="6"/>
        <v>0.72970299498421975</v>
      </c>
      <c r="C405" s="6" t="s">
        <v>35</v>
      </c>
    </row>
    <row r="406" spans="1:3" x14ac:dyDescent="0.2">
      <c r="A406" s="6">
        <v>404</v>
      </c>
      <c r="B406" s="6">
        <f t="shared" ca="1" si="6"/>
        <v>0.85874668975686164</v>
      </c>
      <c r="C406" s="6" t="s">
        <v>34</v>
      </c>
    </row>
    <row r="407" spans="1:3" x14ac:dyDescent="0.2">
      <c r="A407" s="6">
        <v>405</v>
      </c>
      <c r="B407" s="6">
        <f t="shared" ca="1" si="6"/>
        <v>0.63985627448119553</v>
      </c>
      <c r="C407" s="6" t="s">
        <v>34</v>
      </c>
    </row>
    <row r="408" spans="1:3" x14ac:dyDescent="0.2">
      <c r="A408" s="6">
        <v>406</v>
      </c>
      <c r="B408" s="6">
        <f t="shared" ca="1" si="6"/>
        <v>0.55534265757914603</v>
      </c>
      <c r="C408" s="6" t="s">
        <v>35</v>
      </c>
    </row>
    <row r="409" spans="1:3" x14ac:dyDescent="0.2">
      <c r="A409" s="6">
        <v>407</v>
      </c>
      <c r="B409" s="6">
        <f t="shared" ca="1" si="6"/>
        <v>0.65146637055756618</v>
      </c>
      <c r="C409" s="6" t="s">
        <v>35</v>
      </c>
    </row>
    <row r="410" spans="1:3" x14ac:dyDescent="0.2">
      <c r="A410" s="6">
        <v>408</v>
      </c>
      <c r="B410" s="6">
        <f t="shared" ca="1" si="6"/>
        <v>0.79892351446719745</v>
      </c>
      <c r="C410" s="6" t="s">
        <v>34</v>
      </c>
    </row>
    <row r="411" spans="1:3" x14ac:dyDescent="0.2">
      <c r="A411" s="6">
        <v>409</v>
      </c>
      <c r="B411" s="6">
        <f t="shared" ca="1" si="6"/>
        <v>0.6495004880653914</v>
      </c>
      <c r="C411" s="6" t="s">
        <v>34</v>
      </c>
    </row>
    <row r="412" spans="1:3" x14ac:dyDescent="0.2">
      <c r="A412" s="6">
        <v>410</v>
      </c>
      <c r="B412" s="6">
        <f t="shared" ca="1" si="6"/>
        <v>0.36751707952061746</v>
      </c>
      <c r="C412" s="6" t="s">
        <v>34</v>
      </c>
    </row>
    <row r="413" spans="1:3" x14ac:dyDescent="0.2">
      <c r="A413" s="6">
        <v>411</v>
      </c>
      <c r="B413" s="6">
        <f t="shared" ca="1" si="6"/>
        <v>0.63031057805487378</v>
      </c>
      <c r="C413" s="6" t="s">
        <v>35</v>
      </c>
    </row>
    <row r="414" spans="1:3" x14ac:dyDescent="0.2">
      <c r="A414" s="6">
        <v>412</v>
      </c>
      <c r="B414" s="6">
        <f t="shared" ca="1" si="6"/>
        <v>0.38605902636557199</v>
      </c>
      <c r="C414" s="6" t="s">
        <v>35</v>
      </c>
    </row>
    <row r="415" spans="1:3" x14ac:dyDescent="0.2">
      <c r="A415" s="6">
        <v>413</v>
      </c>
      <c r="B415" s="6">
        <f t="shared" ca="1" si="6"/>
        <v>0.65514533189259305</v>
      </c>
      <c r="C415" s="6" t="s">
        <v>34</v>
      </c>
    </row>
    <row r="416" spans="1:3" x14ac:dyDescent="0.2">
      <c r="A416" s="6">
        <v>414</v>
      </c>
      <c r="B416" s="6">
        <f t="shared" ca="1" si="6"/>
        <v>0.65127160350105096</v>
      </c>
      <c r="C416" s="6" t="s">
        <v>34</v>
      </c>
    </row>
    <row r="417" spans="1:3" x14ac:dyDescent="0.2">
      <c r="A417" s="6">
        <v>415</v>
      </c>
      <c r="B417" s="6">
        <f t="shared" ca="1" si="6"/>
        <v>0.5785219527158193</v>
      </c>
      <c r="C417" s="6" t="s">
        <v>35</v>
      </c>
    </row>
    <row r="418" spans="1:3" x14ac:dyDescent="0.2">
      <c r="A418" s="6">
        <v>416</v>
      </c>
      <c r="B418" s="6">
        <f t="shared" ca="1" si="6"/>
        <v>0.75884966735419102</v>
      </c>
      <c r="C418" s="6" t="s">
        <v>34</v>
      </c>
    </row>
    <row r="419" spans="1:3" x14ac:dyDescent="0.2">
      <c r="A419" s="6">
        <v>417</v>
      </c>
      <c r="B419" s="6">
        <f t="shared" ca="1" si="6"/>
        <v>0.6424734477095958</v>
      </c>
      <c r="C419" s="6" t="s">
        <v>34</v>
      </c>
    </row>
    <row r="420" spans="1:3" x14ac:dyDescent="0.2">
      <c r="A420" s="6">
        <v>418</v>
      </c>
      <c r="B420" s="6">
        <f t="shared" ca="1" si="6"/>
        <v>0.62120902527754995</v>
      </c>
      <c r="C420" s="6" t="s">
        <v>35</v>
      </c>
    </row>
    <row r="421" spans="1:3" x14ac:dyDescent="0.2">
      <c r="A421" s="6">
        <v>419</v>
      </c>
      <c r="B421" s="6">
        <f t="shared" ca="1" si="6"/>
        <v>0.65504753693919981</v>
      </c>
      <c r="C421" s="6" t="s">
        <v>35</v>
      </c>
    </row>
    <row r="422" spans="1:3" x14ac:dyDescent="0.2">
      <c r="A422" s="6">
        <v>420</v>
      </c>
      <c r="B422" s="6">
        <f t="shared" ca="1" si="6"/>
        <v>0.68727358625669344</v>
      </c>
      <c r="C422" s="6" t="s">
        <v>34</v>
      </c>
    </row>
    <row r="423" spans="1:3" x14ac:dyDescent="0.2">
      <c r="A423" s="6">
        <v>421</v>
      </c>
      <c r="B423" s="6">
        <f t="shared" ca="1" si="6"/>
        <v>0.64816766996462571</v>
      </c>
      <c r="C423" s="6" t="s">
        <v>34</v>
      </c>
    </row>
    <row r="424" spans="1:3" x14ac:dyDescent="0.2">
      <c r="A424" s="6">
        <v>422</v>
      </c>
      <c r="B424" s="6">
        <f t="shared" ca="1" si="6"/>
        <v>0.5993999052159158</v>
      </c>
      <c r="C424" s="6" t="s">
        <v>35</v>
      </c>
    </row>
    <row r="425" spans="1:3" x14ac:dyDescent="0.2">
      <c r="A425" s="6">
        <v>423</v>
      </c>
      <c r="B425" s="6">
        <f t="shared" ca="1" si="6"/>
        <v>0.69648989670119976</v>
      </c>
      <c r="C425" s="6" t="s">
        <v>35</v>
      </c>
    </row>
    <row r="426" spans="1:3" x14ac:dyDescent="0.2">
      <c r="A426" s="6">
        <v>424</v>
      </c>
      <c r="B426" s="6">
        <f t="shared" ca="1" si="6"/>
        <v>0.63538629502758126</v>
      </c>
      <c r="C426" s="6" t="s">
        <v>35</v>
      </c>
    </row>
    <row r="427" spans="1:3" x14ac:dyDescent="0.2">
      <c r="A427" s="6">
        <v>425</v>
      </c>
      <c r="B427" s="6">
        <f t="shared" ca="1" si="6"/>
        <v>0.82054875102021296</v>
      </c>
      <c r="C427" s="6" t="s">
        <v>34</v>
      </c>
    </row>
    <row r="428" spans="1:3" x14ac:dyDescent="0.2">
      <c r="A428" s="6">
        <v>426</v>
      </c>
      <c r="B428" s="6">
        <f t="shared" ca="1" si="6"/>
        <v>0.67295190025895713</v>
      </c>
      <c r="C428" s="6" t="s">
        <v>35</v>
      </c>
    </row>
    <row r="429" spans="1:3" x14ac:dyDescent="0.2">
      <c r="A429" s="6">
        <v>427</v>
      </c>
      <c r="B429" s="6">
        <f t="shared" ca="1" si="6"/>
        <v>0.64848680350964893</v>
      </c>
      <c r="C429" s="6" t="s">
        <v>34</v>
      </c>
    </row>
    <row r="430" spans="1:3" x14ac:dyDescent="0.2">
      <c r="A430" s="6">
        <v>428</v>
      </c>
      <c r="B430" s="6">
        <f t="shared" ca="1" si="6"/>
        <v>0.68270660425523155</v>
      </c>
      <c r="C430" s="6" t="s">
        <v>35</v>
      </c>
    </row>
    <row r="431" spans="1:3" x14ac:dyDescent="0.2">
      <c r="A431" s="6">
        <v>429</v>
      </c>
      <c r="B431" s="6">
        <f t="shared" ca="1" si="6"/>
        <v>0.61030460239223228</v>
      </c>
      <c r="C431" s="6" t="s">
        <v>35</v>
      </c>
    </row>
    <row r="432" spans="1:3" x14ac:dyDescent="0.2">
      <c r="A432" s="6">
        <v>430</v>
      </c>
      <c r="B432" s="6">
        <f t="shared" ca="1" si="6"/>
        <v>0.73220823171053528</v>
      </c>
      <c r="C432" s="6" t="s">
        <v>34</v>
      </c>
    </row>
    <row r="433" spans="1:3" x14ac:dyDescent="0.2">
      <c r="A433" s="6">
        <v>431</v>
      </c>
      <c r="B433" s="6">
        <f t="shared" ca="1" si="6"/>
        <v>0.6058403145751442</v>
      </c>
      <c r="C433" s="6" t="s">
        <v>34</v>
      </c>
    </row>
    <row r="434" spans="1:3" x14ac:dyDescent="0.2">
      <c r="A434" s="6">
        <v>432</v>
      </c>
      <c r="B434" s="6">
        <f t="shared" ca="1" si="6"/>
        <v>0.56700927544831303</v>
      </c>
      <c r="C434" s="6" t="s">
        <v>35</v>
      </c>
    </row>
    <row r="435" spans="1:3" x14ac:dyDescent="0.2">
      <c r="A435" s="6">
        <v>433</v>
      </c>
      <c r="B435" s="6">
        <f t="shared" ca="1" si="6"/>
        <v>0.65868001777923813</v>
      </c>
      <c r="C435" s="6" t="s">
        <v>34</v>
      </c>
    </row>
    <row r="436" spans="1:3" x14ac:dyDescent="0.2">
      <c r="A436" s="6">
        <v>434</v>
      </c>
      <c r="B436" s="6">
        <f t="shared" ca="1" si="6"/>
        <v>0.77987236494504464</v>
      </c>
      <c r="C436" s="6" t="s">
        <v>35</v>
      </c>
    </row>
    <row r="437" spans="1:3" x14ac:dyDescent="0.2">
      <c r="A437" s="6">
        <v>435</v>
      </c>
      <c r="B437" s="6">
        <f t="shared" ca="1" si="6"/>
        <v>0.75682539789172465</v>
      </c>
      <c r="C437" s="6" t="s">
        <v>34</v>
      </c>
    </row>
    <row r="438" spans="1:3" x14ac:dyDescent="0.2">
      <c r="A438" s="6">
        <v>436</v>
      </c>
      <c r="B438" s="6">
        <f t="shared" ca="1" si="6"/>
        <v>0.66037660524338349</v>
      </c>
      <c r="C438" s="6" t="s">
        <v>34</v>
      </c>
    </row>
    <row r="439" spans="1:3" x14ac:dyDescent="0.2">
      <c r="A439" s="6">
        <v>437</v>
      </c>
      <c r="B439" s="6">
        <f t="shared" ca="1" si="6"/>
        <v>0.49239733738993363</v>
      </c>
      <c r="C439" s="6" t="s">
        <v>35</v>
      </c>
    </row>
    <row r="440" spans="1:3" x14ac:dyDescent="0.2">
      <c r="A440" s="6">
        <v>438</v>
      </c>
      <c r="B440" s="6">
        <f t="shared" ca="1" si="6"/>
        <v>0.59394368899844818</v>
      </c>
      <c r="C440" s="6" t="s">
        <v>34</v>
      </c>
    </row>
    <row r="441" spans="1:3" x14ac:dyDescent="0.2">
      <c r="A441" s="6">
        <v>439</v>
      </c>
      <c r="B441" s="6">
        <f t="shared" ca="1" si="6"/>
        <v>0.77226214896200407</v>
      </c>
      <c r="C441" s="6" t="s">
        <v>34</v>
      </c>
    </row>
    <row r="442" spans="1:3" x14ac:dyDescent="0.2">
      <c r="A442" s="6">
        <v>440</v>
      </c>
      <c r="B442" s="6">
        <f t="shared" ca="1" si="6"/>
        <v>0.78998148210340557</v>
      </c>
      <c r="C442" s="6" t="s">
        <v>34</v>
      </c>
    </row>
    <row r="443" spans="1:3" x14ac:dyDescent="0.2">
      <c r="A443" s="6">
        <v>441</v>
      </c>
      <c r="B443" s="6">
        <f t="shared" ca="1" si="6"/>
        <v>0.63271745344996255</v>
      </c>
      <c r="C443" s="6" t="s">
        <v>34</v>
      </c>
    </row>
    <row r="444" spans="1:3" x14ac:dyDescent="0.2">
      <c r="A444" s="6">
        <v>442</v>
      </c>
      <c r="B444" s="6">
        <f t="shared" ca="1" si="6"/>
        <v>0.70365115671649958</v>
      </c>
      <c r="C444" s="6" t="s">
        <v>34</v>
      </c>
    </row>
    <row r="445" spans="1:3" x14ac:dyDescent="0.2">
      <c r="A445" s="6">
        <v>443</v>
      </c>
      <c r="B445" s="6">
        <f t="shared" ca="1" si="6"/>
        <v>0.65958792192478111</v>
      </c>
      <c r="C445" s="6" t="s">
        <v>34</v>
      </c>
    </row>
    <row r="446" spans="1:3" x14ac:dyDescent="0.2">
      <c r="A446" s="6">
        <v>444</v>
      </c>
      <c r="B446" s="6">
        <f t="shared" ca="1" si="6"/>
        <v>0.45109331556613308</v>
      </c>
      <c r="C446" s="6" t="s">
        <v>35</v>
      </c>
    </row>
    <row r="447" spans="1:3" x14ac:dyDescent="0.2">
      <c r="A447" s="6">
        <v>445</v>
      </c>
      <c r="B447" s="6">
        <f t="shared" ca="1" si="6"/>
        <v>0.71158475163891999</v>
      </c>
      <c r="C447" s="6" t="s">
        <v>35</v>
      </c>
    </row>
    <row r="448" spans="1:3" x14ac:dyDescent="0.2">
      <c r="A448" s="6">
        <v>446</v>
      </c>
      <c r="B448" s="6">
        <f t="shared" ca="1" si="6"/>
        <v>0.86772214754457211</v>
      </c>
      <c r="C448" s="6" t="s">
        <v>34</v>
      </c>
    </row>
    <row r="449" spans="1:3" x14ac:dyDescent="0.2">
      <c r="A449" s="6">
        <v>447</v>
      </c>
      <c r="B449" s="6">
        <f t="shared" ca="1" si="6"/>
        <v>0.87589995024810352</v>
      </c>
      <c r="C449" s="6" t="s">
        <v>35</v>
      </c>
    </row>
    <row r="450" spans="1:3" x14ac:dyDescent="0.2">
      <c r="A450" s="6">
        <v>448</v>
      </c>
      <c r="B450" s="6">
        <f t="shared" ca="1" si="6"/>
        <v>0.6960045322360795</v>
      </c>
      <c r="C450" s="6" t="s">
        <v>34</v>
      </c>
    </row>
    <row r="451" spans="1:3" x14ac:dyDescent="0.2">
      <c r="A451" s="6">
        <v>449</v>
      </c>
      <c r="B451" s="6">
        <f t="shared" ca="1" si="6"/>
        <v>0.57845788111227181</v>
      </c>
      <c r="C451" s="6" t="s">
        <v>34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0.35507219673875945</v>
      </c>
      <c r="C452" s="6" t="s">
        <v>35</v>
      </c>
    </row>
    <row r="453" spans="1:3" x14ac:dyDescent="0.2">
      <c r="A453" s="6">
        <v>451</v>
      </c>
      <c r="B453" s="6">
        <f t="shared" ca="1" si="7"/>
        <v>0.63644715522529738</v>
      </c>
      <c r="C453" s="6" t="s">
        <v>34</v>
      </c>
    </row>
    <row r="454" spans="1:3" x14ac:dyDescent="0.2">
      <c r="A454" s="6">
        <v>452</v>
      </c>
      <c r="B454" s="6">
        <f t="shared" ca="1" si="7"/>
        <v>0.62179000941827622</v>
      </c>
      <c r="C454" s="6" t="s">
        <v>34</v>
      </c>
    </row>
    <row r="455" spans="1:3" x14ac:dyDescent="0.2">
      <c r="A455" s="6">
        <v>453</v>
      </c>
      <c r="B455" s="6">
        <f t="shared" ca="1" si="7"/>
        <v>0.68044752116107809</v>
      </c>
      <c r="C455" s="6" t="s">
        <v>35</v>
      </c>
    </row>
    <row r="456" spans="1:3" x14ac:dyDescent="0.2">
      <c r="A456" s="6">
        <v>454</v>
      </c>
      <c r="B456" s="6">
        <f t="shared" ca="1" si="7"/>
        <v>0.77406053676036279</v>
      </c>
      <c r="C456" s="6" t="s">
        <v>34</v>
      </c>
    </row>
    <row r="457" spans="1:3" x14ac:dyDescent="0.2">
      <c r="A457" s="6">
        <v>455</v>
      </c>
      <c r="B457" s="6">
        <f t="shared" ca="1" si="7"/>
        <v>0.57696774237610815</v>
      </c>
      <c r="C457" s="6" t="s">
        <v>35</v>
      </c>
    </row>
    <row r="458" spans="1:3" x14ac:dyDescent="0.2">
      <c r="A458" s="6">
        <v>456</v>
      </c>
      <c r="B458" s="6">
        <f t="shared" ca="1" si="7"/>
        <v>0.43138838237233879</v>
      </c>
      <c r="C458" s="6" t="s">
        <v>35</v>
      </c>
    </row>
    <row r="459" spans="1:3" x14ac:dyDescent="0.2">
      <c r="A459" s="6">
        <v>457</v>
      </c>
      <c r="B459" s="6">
        <f t="shared" ca="1" si="7"/>
        <v>0.9231315431767797</v>
      </c>
      <c r="C459" s="6" t="s">
        <v>35</v>
      </c>
    </row>
    <row r="460" spans="1:3" x14ac:dyDescent="0.2">
      <c r="A460" s="6">
        <v>458</v>
      </c>
      <c r="B460" s="6">
        <f t="shared" ca="1" si="7"/>
        <v>0.52664211598828492</v>
      </c>
      <c r="C460" s="6" t="s">
        <v>35</v>
      </c>
    </row>
    <row r="461" spans="1:3" x14ac:dyDescent="0.2">
      <c r="A461" s="6">
        <v>459</v>
      </c>
      <c r="B461" s="6">
        <f t="shared" ca="1" si="7"/>
        <v>0.86018900413431665</v>
      </c>
      <c r="C461" s="6" t="s">
        <v>34</v>
      </c>
    </row>
    <row r="462" spans="1:3" x14ac:dyDescent="0.2">
      <c r="A462" s="6">
        <v>460</v>
      </c>
      <c r="B462" s="6">
        <f t="shared" ca="1" si="7"/>
        <v>0.69245638822392575</v>
      </c>
      <c r="C462" s="6" t="s">
        <v>34</v>
      </c>
    </row>
    <row r="463" spans="1:3" x14ac:dyDescent="0.2">
      <c r="A463" s="6">
        <v>461</v>
      </c>
      <c r="B463" s="6">
        <f t="shared" ca="1" si="7"/>
        <v>0.82780106797546105</v>
      </c>
      <c r="C463" s="6" t="s">
        <v>35</v>
      </c>
    </row>
    <row r="464" spans="1:3" x14ac:dyDescent="0.2">
      <c r="A464" s="6">
        <v>462</v>
      </c>
      <c r="B464" s="6">
        <f t="shared" ca="1" si="7"/>
        <v>0.64425925800489059</v>
      </c>
      <c r="C464" s="6" t="s">
        <v>34</v>
      </c>
    </row>
    <row r="465" spans="1:3" x14ac:dyDescent="0.2">
      <c r="A465" s="6">
        <v>463</v>
      </c>
      <c r="B465" s="6">
        <f t="shared" ca="1" si="7"/>
        <v>0.56117188544729801</v>
      </c>
      <c r="C465" s="6" t="s">
        <v>34</v>
      </c>
    </row>
    <row r="466" spans="1:3" x14ac:dyDescent="0.2">
      <c r="A466" s="6">
        <v>464</v>
      </c>
      <c r="B466" s="6">
        <f t="shared" ca="1" si="7"/>
        <v>0.74716892649439437</v>
      </c>
      <c r="C466" s="6" t="s">
        <v>34</v>
      </c>
    </row>
    <row r="467" spans="1:3" x14ac:dyDescent="0.2">
      <c r="A467" s="6">
        <v>465</v>
      </c>
      <c r="B467" s="6">
        <f t="shared" ca="1" si="7"/>
        <v>0.63709149240104235</v>
      </c>
      <c r="C467" s="6" t="s">
        <v>34</v>
      </c>
    </row>
    <row r="468" spans="1:3" x14ac:dyDescent="0.2">
      <c r="A468" s="6">
        <v>466</v>
      </c>
      <c r="B468" s="6">
        <f t="shared" ca="1" si="7"/>
        <v>0.55724259428355605</v>
      </c>
      <c r="C468" s="6" t="s">
        <v>35</v>
      </c>
    </row>
    <row r="469" spans="1:3" x14ac:dyDescent="0.2">
      <c r="A469" s="6">
        <v>467</v>
      </c>
      <c r="B469" s="6">
        <f t="shared" ca="1" si="7"/>
        <v>0.70924715195562249</v>
      </c>
      <c r="C469" s="6" t="s">
        <v>35</v>
      </c>
    </row>
    <row r="470" spans="1:3" x14ac:dyDescent="0.2">
      <c r="A470" s="6">
        <v>468</v>
      </c>
      <c r="B470" s="6">
        <f t="shared" ca="1" si="7"/>
        <v>0.59734741611598452</v>
      </c>
      <c r="C470" s="6" t="s">
        <v>35</v>
      </c>
    </row>
    <row r="471" spans="1:3" x14ac:dyDescent="0.2">
      <c r="A471" s="6">
        <v>469</v>
      </c>
      <c r="B471" s="6">
        <f t="shared" ca="1" si="7"/>
        <v>0.60207887031158502</v>
      </c>
      <c r="C471" s="6" t="s">
        <v>34</v>
      </c>
    </row>
    <row r="472" spans="1:3" x14ac:dyDescent="0.2">
      <c r="A472" s="6">
        <v>470</v>
      </c>
      <c r="B472" s="6">
        <f t="shared" ca="1" si="7"/>
        <v>0.55251253971241088</v>
      </c>
      <c r="C472" s="6" t="s">
        <v>35</v>
      </c>
    </row>
    <row r="473" spans="1:3" x14ac:dyDescent="0.2">
      <c r="A473" s="6">
        <v>471</v>
      </c>
      <c r="B473" s="6">
        <f t="shared" ca="1" si="7"/>
        <v>0.68945565086966798</v>
      </c>
      <c r="C473" s="6" t="s">
        <v>34</v>
      </c>
    </row>
    <row r="474" spans="1:3" x14ac:dyDescent="0.2">
      <c r="A474" s="6">
        <v>472</v>
      </c>
      <c r="B474" s="6">
        <f t="shared" ca="1" si="7"/>
        <v>0.55777670946361257</v>
      </c>
      <c r="C474" s="6" t="s">
        <v>34</v>
      </c>
    </row>
    <row r="475" spans="1:3" x14ac:dyDescent="0.2">
      <c r="A475" s="6">
        <v>473</v>
      </c>
      <c r="B475" s="6">
        <f t="shared" ca="1" si="7"/>
        <v>0.63699004820422389</v>
      </c>
      <c r="C475" s="6" t="s">
        <v>34</v>
      </c>
    </row>
    <row r="476" spans="1:3" x14ac:dyDescent="0.2">
      <c r="A476" s="6">
        <v>474</v>
      </c>
      <c r="B476" s="6">
        <f t="shared" ca="1" si="7"/>
        <v>0.58811357891491367</v>
      </c>
      <c r="C476" s="6" t="s">
        <v>35</v>
      </c>
    </row>
    <row r="477" spans="1:3" x14ac:dyDescent="0.2">
      <c r="A477" s="6">
        <v>475</v>
      </c>
      <c r="B477" s="6">
        <f t="shared" ca="1" si="7"/>
        <v>0.75772320710859276</v>
      </c>
      <c r="C477" s="6" t="s">
        <v>34</v>
      </c>
    </row>
    <row r="478" spans="1:3" x14ac:dyDescent="0.2">
      <c r="A478" s="6">
        <v>476</v>
      </c>
      <c r="B478" s="6">
        <f t="shared" ca="1" si="7"/>
        <v>0.76395530111797161</v>
      </c>
      <c r="C478" s="6" t="s">
        <v>34</v>
      </c>
    </row>
    <row r="479" spans="1:3" x14ac:dyDescent="0.2">
      <c r="A479" s="6">
        <v>477</v>
      </c>
      <c r="B479" s="6">
        <f t="shared" ca="1" si="7"/>
        <v>0.67420208225918121</v>
      </c>
      <c r="C479" s="6" t="s">
        <v>35</v>
      </c>
    </row>
    <row r="480" spans="1:3" x14ac:dyDescent="0.2">
      <c r="A480" s="6">
        <v>478</v>
      </c>
      <c r="B480" s="6">
        <f t="shared" ca="1" si="7"/>
        <v>0.53277161263491468</v>
      </c>
      <c r="C480" s="6" t="s">
        <v>35</v>
      </c>
    </row>
    <row r="481" spans="1:3" x14ac:dyDescent="0.2">
      <c r="A481" s="6">
        <v>479</v>
      </c>
      <c r="B481" s="6">
        <f t="shared" ca="1" si="7"/>
        <v>0.81689337701814568</v>
      </c>
      <c r="C481" s="6" t="s">
        <v>34</v>
      </c>
    </row>
    <row r="482" spans="1:3" x14ac:dyDescent="0.2">
      <c r="A482" s="6">
        <v>480</v>
      </c>
      <c r="B482" s="6">
        <f t="shared" ca="1" si="7"/>
        <v>0.68506586134934033</v>
      </c>
      <c r="C482" s="6" t="s">
        <v>34</v>
      </c>
    </row>
    <row r="483" spans="1:3" x14ac:dyDescent="0.2">
      <c r="A483" s="6">
        <v>481</v>
      </c>
      <c r="B483" s="6">
        <f t="shared" ca="1" si="7"/>
        <v>0.66337218081208094</v>
      </c>
      <c r="C483" s="6" t="s">
        <v>35</v>
      </c>
    </row>
    <row r="484" spans="1:3" x14ac:dyDescent="0.2">
      <c r="A484" s="6">
        <v>482</v>
      </c>
      <c r="B484" s="6">
        <f t="shared" ca="1" si="7"/>
        <v>0.46400855226323523</v>
      </c>
      <c r="C484" s="6" t="s">
        <v>35</v>
      </c>
    </row>
    <row r="485" spans="1:3" x14ac:dyDescent="0.2">
      <c r="A485" s="6">
        <v>483</v>
      </c>
      <c r="B485" s="6">
        <f t="shared" ca="1" si="7"/>
        <v>0.72160448519047193</v>
      </c>
      <c r="C485" s="6" t="s">
        <v>34</v>
      </c>
    </row>
    <row r="486" spans="1:3" x14ac:dyDescent="0.2">
      <c r="A486" s="6">
        <v>484</v>
      </c>
      <c r="B486" s="6">
        <f t="shared" ca="1" si="7"/>
        <v>0.85254771618621461</v>
      </c>
      <c r="C486" s="6" t="s">
        <v>34</v>
      </c>
    </row>
    <row r="487" spans="1:3" x14ac:dyDescent="0.2">
      <c r="A487" s="6">
        <v>485</v>
      </c>
      <c r="B487" s="6">
        <f t="shared" ca="1" si="7"/>
        <v>0.71081511072291648</v>
      </c>
      <c r="C487" s="6" t="s">
        <v>34</v>
      </c>
    </row>
    <row r="488" spans="1:3" x14ac:dyDescent="0.2">
      <c r="A488" s="6">
        <v>486</v>
      </c>
      <c r="B488" s="6">
        <f t="shared" ca="1" si="7"/>
        <v>0.51695271702606171</v>
      </c>
      <c r="C488" s="6" t="s">
        <v>35</v>
      </c>
    </row>
    <row r="489" spans="1:3" x14ac:dyDescent="0.2">
      <c r="A489" s="6">
        <v>487</v>
      </c>
      <c r="B489" s="6">
        <f t="shared" ca="1" si="7"/>
        <v>0.81436758504479911</v>
      </c>
      <c r="C489" s="6" t="s">
        <v>34</v>
      </c>
    </row>
    <row r="490" spans="1:3" x14ac:dyDescent="0.2">
      <c r="A490" s="6">
        <v>488</v>
      </c>
      <c r="B490" s="6">
        <f t="shared" ca="1" si="7"/>
        <v>0.57994930797650823</v>
      </c>
      <c r="C490" s="6" t="s">
        <v>35</v>
      </c>
    </row>
    <row r="491" spans="1:3" x14ac:dyDescent="0.2">
      <c r="A491" s="6">
        <v>489</v>
      </c>
      <c r="B491" s="6">
        <f t="shared" ca="1" si="7"/>
        <v>0.52359790923616345</v>
      </c>
      <c r="C491" s="6" t="s">
        <v>35</v>
      </c>
    </row>
    <row r="492" spans="1:3" x14ac:dyDescent="0.2">
      <c r="A492" s="6">
        <v>490</v>
      </c>
      <c r="B492" s="6">
        <f t="shared" ca="1" si="7"/>
        <v>0.71618709199095731</v>
      </c>
      <c r="C492" s="6" t="s">
        <v>34</v>
      </c>
    </row>
    <row r="493" spans="1:3" x14ac:dyDescent="0.2">
      <c r="A493" s="6">
        <v>491</v>
      </c>
      <c r="B493" s="6">
        <f t="shared" ca="1" si="7"/>
        <v>0.62392934028808689</v>
      </c>
      <c r="C493" s="6" t="s">
        <v>35</v>
      </c>
    </row>
    <row r="494" spans="1:3" x14ac:dyDescent="0.2">
      <c r="A494" s="6">
        <v>492</v>
      </c>
      <c r="B494" s="6">
        <f t="shared" ca="1" si="7"/>
        <v>0.66052632837648373</v>
      </c>
      <c r="C494" s="6" t="s">
        <v>34</v>
      </c>
    </row>
    <row r="495" spans="1:3" x14ac:dyDescent="0.2">
      <c r="A495" s="6">
        <v>493</v>
      </c>
      <c r="B495" s="6">
        <f t="shared" ca="1" si="7"/>
        <v>0.69095901265534665</v>
      </c>
      <c r="C495" s="6" t="s">
        <v>35</v>
      </c>
    </row>
    <row r="496" spans="1:3" x14ac:dyDescent="0.2">
      <c r="A496" s="6">
        <v>494</v>
      </c>
      <c r="B496" s="6">
        <f t="shared" ca="1" si="7"/>
        <v>0.59331135586741379</v>
      </c>
      <c r="C496" s="6" t="s">
        <v>35</v>
      </c>
    </row>
    <row r="497" spans="1:3" x14ac:dyDescent="0.2">
      <c r="A497" s="6">
        <v>495</v>
      </c>
      <c r="B497" s="6">
        <f t="shared" ca="1" si="7"/>
        <v>0.67238650313925652</v>
      </c>
      <c r="C497" s="6" t="s">
        <v>34</v>
      </c>
    </row>
    <row r="498" spans="1:3" x14ac:dyDescent="0.2">
      <c r="A498" s="6">
        <v>496</v>
      </c>
      <c r="B498" s="6">
        <f t="shared" ca="1" si="7"/>
        <v>0.75308917462713865</v>
      </c>
      <c r="C498" s="6" t="s">
        <v>34</v>
      </c>
    </row>
    <row r="499" spans="1:3" x14ac:dyDescent="0.2">
      <c r="A499" s="6">
        <v>497</v>
      </c>
      <c r="B499" s="6">
        <f t="shared" ca="1" si="7"/>
        <v>0.59855601989775864</v>
      </c>
      <c r="C499" s="6" t="s">
        <v>34</v>
      </c>
    </row>
    <row r="500" spans="1:3" x14ac:dyDescent="0.2">
      <c r="A500" s="6">
        <v>498</v>
      </c>
      <c r="B500" s="6">
        <f t="shared" ca="1" si="7"/>
        <v>0.36937663582072278</v>
      </c>
      <c r="C500" s="6" t="s">
        <v>35</v>
      </c>
    </row>
    <row r="501" spans="1:3" x14ac:dyDescent="0.2">
      <c r="A501" s="6">
        <v>499</v>
      </c>
      <c r="B501" s="6">
        <f t="shared" ca="1" si="7"/>
        <v>0.69532198273575396</v>
      </c>
      <c r="C501" s="6" t="s">
        <v>34</v>
      </c>
    </row>
    <row r="502" spans="1:3" x14ac:dyDescent="0.2">
      <c r="A502" s="6">
        <v>500</v>
      </c>
      <c r="B502" s="6">
        <f t="shared" ca="1" si="7"/>
        <v>0.6803765519074636</v>
      </c>
      <c r="C502" s="6" t="s">
        <v>34</v>
      </c>
    </row>
    <row r="503" spans="1:3" x14ac:dyDescent="0.2">
      <c r="A503" s="6">
        <v>501</v>
      </c>
      <c r="B503" s="6">
        <f t="shared" ca="1" si="7"/>
        <v>0.976145865009034</v>
      </c>
      <c r="C503" s="6" t="s">
        <v>35</v>
      </c>
    </row>
    <row r="504" spans="1:3" x14ac:dyDescent="0.2">
      <c r="A504" s="6">
        <v>502</v>
      </c>
      <c r="B504" s="6">
        <f t="shared" ca="1" si="7"/>
        <v>0.67239847069672332</v>
      </c>
      <c r="C504" s="6" t="s">
        <v>35</v>
      </c>
    </row>
    <row r="505" spans="1:3" x14ac:dyDescent="0.2">
      <c r="A505" s="6">
        <v>503</v>
      </c>
      <c r="B505" s="6">
        <f t="shared" ca="1" si="7"/>
        <v>0.49068026981797702</v>
      </c>
      <c r="C505" s="6" t="s">
        <v>35</v>
      </c>
    </row>
    <row r="506" spans="1:3" x14ac:dyDescent="0.2">
      <c r="A506" s="6">
        <v>504</v>
      </c>
      <c r="B506" s="6">
        <f t="shared" ca="1" si="7"/>
        <v>0.81634910375329528</v>
      </c>
      <c r="C506" s="6" t="s">
        <v>35</v>
      </c>
    </row>
    <row r="507" spans="1:3" x14ac:dyDescent="0.2">
      <c r="A507" s="6">
        <v>505</v>
      </c>
      <c r="B507" s="6">
        <f t="shared" ca="1" si="7"/>
        <v>0.58676786578557505</v>
      </c>
      <c r="C507" s="6" t="s">
        <v>34</v>
      </c>
    </row>
    <row r="508" spans="1:3" x14ac:dyDescent="0.2">
      <c r="A508" s="6">
        <v>506</v>
      </c>
      <c r="B508" s="6">
        <f t="shared" ca="1" si="7"/>
        <v>0.81137324732717886</v>
      </c>
      <c r="C508" s="6" t="s">
        <v>34</v>
      </c>
    </row>
    <row r="509" spans="1:3" x14ac:dyDescent="0.2">
      <c r="A509" s="6">
        <v>507</v>
      </c>
      <c r="B509" s="6">
        <f t="shared" ca="1" si="7"/>
        <v>0.70311913143346139</v>
      </c>
      <c r="C509" s="6" t="s">
        <v>34</v>
      </c>
    </row>
    <row r="510" spans="1:3" x14ac:dyDescent="0.2">
      <c r="A510" s="6">
        <v>508</v>
      </c>
      <c r="B510" s="6">
        <f t="shared" ca="1" si="7"/>
        <v>0.90237365472606901</v>
      </c>
      <c r="C510" s="6" t="s">
        <v>35</v>
      </c>
    </row>
    <row r="511" spans="1:3" x14ac:dyDescent="0.2">
      <c r="A511" s="6">
        <v>509</v>
      </c>
      <c r="B511" s="6">
        <f t="shared" ca="1" si="7"/>
        <v>0.58187188833348003</v>
      </c>
      <c r="C511" s="6" t="s">
        <v>34</v>
      </c>
    </row>
    <row r="512" spans="1:3" x14ac:dyDescent="0.2">
      <c r="A512" s="6">
        <v>510</v>
      </c>
      <c r="B512" s="6">
        <f t="shared" ca="1" si="7"/>
        <v>0.79270490107248515</v>
      </c>
      <c r="C512" s="6" t="s">
        <v>34</v>
      </c>
    </row>
    <row r="513" spans="1:3" x14ac:dyDescent="0.2">
      <c r="A513" s="6">
        <v>511</v>
      </c>
      <c r="B513" s="6">
        <f t="shared" ca="1" si="7"/>
        <v>0.82028894097374572</v>
      </c>
      <c r="C513" s="6" t="s">
        <v>34</v>
      </c>
    </row>
    <row r="514" spans="1:3" x14ac:dyDescent="0.2">
      <c r="A514" s="6">
        <v>512</v>
      </c>
      <c r="B514" s="6">
        <f t="shared" ca="1" si="7"/>
        <v>0.5304758908799011</v>
      </c>
      <c r="C514" s="6" t="s">
        <v>34</v>
      </c>
    </row>
    <row r="515" spans="1:3" x14ac:dyDescent="0.2">
      <c r="A515" s="6">
        <v>513</v>
      </c>
      <c r="B515" s="6">
        <f t="shared" ca="1" si="7"/>
        <v>0.60075594184711767</v>
      </c>
      <c r="C515" s="6" t="s">
        <v>34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0.75432519248502605</v>
      </c>
      <c r="C516" s="6" t="s">
        <v>35</v>
      </c>
    </row>
    <row r="517" spans="1:3" x14ac:dyDescent="0.2">
      <c r="A517" s="6">
        <v>515</v>
      </c>
      <c r="B517" s="6">
        <f t="shared" ca="1" si="8"/>
        <v>0.5896660056824492</v>
      </c>
      <c r="C517" s="6" t="s">
        <v>34</v>
      </c>
    </row>
    <row r="518" spans="1:3" x14ac:dyDescent="0.2">
      <c r="A518" s="6">
        <v>516</v>
      </c>
      <c r="B518" s="6">
        <f t="shared" ca="1" si="8"/>
        <v>0.75431325783429204</v>
      </c>
      <c r="C518" s="6" t="s">
        <v>34</v>
      </c>
    </row>
    <row r="519" spans="1:3" x14ac:dyDescent="0.2">
      <c r="A519" s="6">
        <v>517</v>
      </c>
      <c r="B519" s="6">
        <f t="shared" ca="1" si="8"/>
        <v>0.88822703875350695</v>
      </c>
      <c r="C519" s="6" t="s">
        <v>34</v>
      </c>
    </row>
    <row r="520" spans="1:3" x14ac:dyDescent="0.2">
      <c r="A520" s="6">
        <v>518</v>
      </c>
      <c r="B520" s="6">
        <f t="shared" ca="1" si="8"/>
        <v>0.80936649124370152</v>
      </c>
      <c r="C520" s="6" t="s">
        <v>35</v>
      </c>
    </row>
    <row r="521" spans="1:3" x14ac:dyDescent="0.2">
      <c r="A521" s="6">
        <v>519</v>
      </c>
      <c r="B521" s="6">
        <f t="shared" ca="1" si="8"/>
        <v>0.83284125918866359</v>
      </c>
      <c r="C521" s="6" t="s">
        <v>34</v>
      </c>
    </row>
    <row r="522" spans="1:3" x14ac:dyDescent="0.2">
      <c r="A522" s="6">
        <v>520</v>
      </c>
      <c r="B522" s="6">
        <f t="shared" ca="1" si="8"/>
        <v>0.63225020088560213</v>
      </c>
      <c r="C522" s="6" t="s">
        <v>35</v>
      </c>
    </row>
    <row r="523" spans="1:3" x14ac:dyDescent="0.2">
      <c r="A523" s="6">
        <v>521</v>
      </c>
      <c r="B523" s="6">
        <f t="shared" ca="1" si="8"/>
        <v>1.0344595711630191</v>
      </c>
      <c r="C523" s="6" t="s">
        <v>35</v>
      </c>
    </row>
    <row r="524" spans="1:3" x14ac:dyDescent="0.2">
      <c r="A524" s="6">
        <v>522</v>
      </c>
      <c r="B524" s="6">
        <f t="shared" ca="1" si="8"/>
        <v>0.85148249844649004</v>
      </c>
      <c r="C524" s="6" t="s">
        <v>34</v>
      </c>
    </row>
    <row r="525" spans="1:3" x14ac:dyDescent="0.2">
      <c r="A525" s="6">
        <v>523</v>
      </c>
      <c r="B525" s="6">
        <f t="shared" ca="1" si="8"/>
        <v>0.70183947368755484</v>
      </c>
      <c r="C525" s="6" t="s">
        <v>34</v>
      </c>
    </row>
    <row r="526" spans="1:3" x14ac:dyDescent="0.2">
      <c r="A526" s="6">
        <v>524</v>
      </c>
      <c r="B526" s="6">
        <f t="shared" ca="1" si="8"/>
        <v>0.4035998401093458</v>
      </c>
      <c r="C526" s="6" t="s">
        <v>35</v>
      </c>
    </row>
    <row r="527" spans="1:3" x14ac:dyDescent="0.2">
      <c r="A527" s="6">
        <v>525</v>
      </c>
      <c r="B527" s="6">
        <f t="shared" ca="1" si="8"/>
        <v>0.74853003142718588</v>
      </c>
      <c r="C527" s="6" t="s">
        <v>34</v>
      </c>
    </row>
    <row r="528" spans="1:3" x14ac:dyDescent="0.2">
      <c r="A528" s="6">
        <v>526</v>
      </c>
      <c r="B528" s="6">
        <f t="shared" ca="1" si="8"/>
        <v>0.47567480073911084</v>
      </c>
      <c r="C528" s="6" t="s">
        <v>35</v>
      </c>
    </row>
    <row r="529" spans="1:3" x14ac:dyDescent="0.2">
      <c r="A529" s="6">
        <v>527</v>
      </c>
      <c r="B529" s="6">
        <f t="shared" ca="1" si="8"/>
        <v>0.66056255899395866</v>
      </c>
      <c r="C529" s="6" t="s">
        <v>35</v>
      </c>
    </row>
    <row r="530" spans="1:3" x14ac:dyDescent="0.2">
      <c r="A530" s="6">
        <v>528</v>
      </c>
      <c r="B530" s="6">
        <f t="shared" ca="1" si="8"/>
        <v>0.76224777809230315</v>
      </c>
      <c r="C530" s="6" t="s">
        <v>34</v>
      </c>
    </row>
    <row r="531" spans="1:3" x14ac:dyDescent="0.2">
      <c r="A531" s="6">
        <v>529</v>
      </c>
      <c r="B531" s="6">
        <f t="shared" ca="1" si="8"/>
        <v>0.63213045178705851</v>
      </c>
      <c r="C531" s="6" t="s">
        <v>34</v>
      </c>
    </row>
    <row r="532" spans="1:3" x14ac:dyDescent="0.2">
      <c r="A532" s="6">
        <v>530</v>
      </c>
      <c r="B532" s="6">
        <f t="shared" ca="1" si="8"/>
        <v>0.52938845029922232</v>
      </c>
      <c r="C532" s="6" t="s">
        <v>35</v>
      </c>
    </row>
    <row r="533" spans="1:3" x14ac:dyDescent="0.2">
      <c r="A533" s="6">
        <v>531</v>
      </c>
      <c r="B533" s="6">
        <f t="shared" ca="1" si="8"/>
        <v>0.70309472630554415</v>
      </c>
      <c r="C533" s="6" t="s">
        <v>34</v>
      </c>
    </row>
    <row r="534" spans="1:3" x14ac:dyDescent="0.2">
      <c r="A534" s="6">
        <v>532</v>
      </c>
      <c r="B534" s="6">
        <f t="shared" ca="1" si="8"/>
        <v>0.86589365501994842</v>
      </c>
      <c r="C534" s="6" t="s">
        <v>35</v>
      </c>
    </row>
    <row r="535" spans="1:3" x14ac:dyDescent="0.2">
      <c r="A535" s="6">
        <v>533</v>
      </c>
      <c r="B535" s="6">
        <f t="shared" ca="1" si="8"/>
        <v>0.72775827523677128</v>
      </c>
      <c r="C535" s="6" t="s">
        <v>35</v>
      </c>
    </row>
    <row r="536" spans="1:3" x14ac:dyDescent="0.2">
      <c r="A536" s="6">
        <v>534</v>
      </c>
      <c r="B536" s="6">
        <f t="shared" ca="1" si="8"/>
        <v>0.69133975558176364</v>
      </c>
      <c r="C536" s="6" t="s">
        <v>34</v>
      </c>
    </row>
    <row r="537" spans="1:3" x14ac:dyDescent="0.2">
      <c r="A537" s="6">
        <v>535</v>
      </c>
      <c r="B537" s="6">
        <f t="shared" ca="1" si="8"/>
        <v>0.81822395115731417</v>
      </c>
      <c r="C537" s="6" t="s">
        <v>35</v>
      </c>
    </row>
    <row r="538" spans="1:3" x14ac:dyDescent="0.2">
      <c r="A538" s="6">
        <v>536</v>
      </c>
      <c r="B538" s="6">
        <f t="shared" ca="1" si="8"/>
        <v>0.522127049455956</v>
      </c>
      <c r="C538" s="6" t="s">
        <v>35</v>
      </c>
    </row>
    <row r="539" spans="1:3" x14ac:dyDescent="0.2">
      <c r="A539" s="6">
        <v>537</v>
      </c>
      <c r="B539" s="6">
        <f t="shared" ca="1" si="8"/>
        <v>0.89319935764758973</v>
      </c>
      <c r="C539" s="6" t="s">
        <v>35</v>
      </c>
    </row>
    <row r="540" spans="1:3" x14ac:dyDescent="0.2">
      <c r="A540" s="6">
        <v>538</v>
      </c>
      <c r="B540" s="6">
        <f t="shared" ca="1" si="8"/>
        <v>0.85940849021355437</v>
      </c>
      <c r="C540" s="6" t="s">
        <v>34</v>
      </c>
    </row>
    <row r="541" spans="1:3" x14ac:dyDescent="0.2">
      <c r="A541" s="6">
        <v>539</v>
      </c>
      <c r="B541" s="6">
        <f t="shared" ca="1" si="8"/>
        <v>0.58459962247984998</v>
      </c>
      <c r="C541" s="6" t="s">
        <v>35</v>
      </c>
    </row>
    <row r="542" spans="1:3" x14ac:dyDescent="0.2">
      <c r="A542" s="6">
        <v>540</v>
      </c>
      <c r="B542" s="6">
        <f t="shared" ca="1" si="8"/>
        <v>0.73671207888549506</v>
      </c>
      <c r="C542" s="6" t="s">
        <v>35</v>
      </c>
    </row>
    <row r="543" spans="1:3" x14ac:dyDescent="0.2">
      <c r="A543" s="6">
        <v>541</v>
      </c>
      <c r="B543" s="6">
        <f t="shared" ca="1" si="8"/>
        <v>0.5806194033282418</v>
      </c>
      <c r="C543" s="6" t="s">
        <v>35</v>
      </c>
    </row>
    <row r="544" spans="1:3" x14ac:dyDescent="0.2">
      <c r="A544" s="6">
        <v>542</v>
      </c>
      <c r="B544" s="6">
        <f t="shared" ca="1" si="8"/>
        <v>0.80372149927160719</v>
      </c>
      <c r="C544" s="6" t="s">
        <v>34</v>
      </c>
    </row>
    <row r="545" spans="1:3" x14ac:dyDescent="0.2">
      <c r="A545" s="6">
        <v>543</v>
      </c>
      <c r="B545" s="6">
        <f t="shared" ca="1" si="8"/>
        <v>0.69049252313559284</v>
      </c>
      <c r="C545" s="6" t="s">
        <v>34</v>
      </c>
    </row>
    <row r="546" spans="1:3" x14ac:dyDescent="0.2">
      <c r="A546" s="6">
        <v>544</v>
      </c>
      <c r="B546" s="6">
        <f t="shared" ca="1" si="8"/>
        <v>0.71768880552945458</v>
      </c>
      <c r="C546" s="6" t="s">
        <v>34</v>
      </c>
    </row>
    <row r="547" spans="1:3" x14ac:dyDescent="0.2">
      <c r="A547" s="6">
        <v>545</v>
      </c>
      <c r="B547" s="6">
        <f t="shared" ca="1" si="8"/>
        <v>0.69220665274521798</v>
      </c>
      <c r="C547" s="6" t="s">
        <v>35</v>
      </c>
    </row>
    <row r="548" spans="1:3" x14ac:dyDescent="0.2">
      <c r="A548" s="6">
        <v>546</v>
      </c>
      <c r="B548" s="6">
        <f t="shared" ca="1" si="8"/>
        <v>0.72352731591647446</v>
      </c>
      <c r="C548" s="6" t="s">
        <v>35</v>
      </c>
    </row>
    <row r="549" spans="1:3" x14ac:dyDescent="0.2">
      <c r="A549" s="6">
        <v>547</v>
      </c>
      <c r="B549" s="6">
        <f t="shared" ca="1" si="8"/>
        <v>0.5101926758448474</v>
      </c>
      <c r="C549" s="6" t="s">
        <v>34</v>
      </c>
    </row>
    <row r="550" spans="1:3" x14ac:dyDescent="0.2">
      <c r="A550" s="6">
        <v>548</v>
      </c>
      <c r="B550" s="6">
        <f t="shared" ca="1" si="8"/>
        <v>0.69755120417368754</v>
      </c>
      <c r="C550" s="6" t="s">
        <v>34</v>
      </c>
    </row>
    <row r="551" spans="1:3" x14ac:dyDescent="0.2">
      <c r="A551" s="6">
        <v>549</v>
      </c>
      <c r="B551" s="6">
        <f t="shared" ca="1" si="8"/>
        <v>0.88248199644145586</v>
      </c>
      <c r="C551" s="6" t="s">
        <v>35</v>
      </c>
    </row>
    <row r="552" spans="1:3" x14ac:dyDescent="0.2">
      <c r="A552" s="6">
        <v>550</v>
      </c>
      <c r="B552" s="6">
        <f t="shared" ca="1" si="8"/>
        <v>0.9385208953193318</v>
      </c>
      <c r="C552" s="6" t="s">
        <v>34</v>
      </c>
    </row>
    <row r="553" spans="1:3" x14ac:dyDescent="0.2">
      <c r="A553" s="6">
        <v>551</v>
      </c>
      <c r="B553" s="6">
        <f t="shared" ca="1" si="8"/>
        <v>0.2199325725335039</v>
      </c>
      <c r="C553" s="6" t="s">
        <v>35</v>
      </c>
    </row>
    <row r="554" spans="1:3" x14ac:dyDescent="0.2">
      <c r="A554" s="6">
        <v>552</v>
      </c>
      <c r="B554" s="6">
        <f t="shared" ca="1" si="8"/>
        <v>0.43232982113475854</v>
      </c>
      <c r="C554" s="6" t="s">
        <v>35</v>
      </c>
    </row>
    <row r="555" spans="1:3" x14ac:dyDescent="0.2">
      <c r="A555" s="6">
        <v>553</v>
      </c>
      <c r="B555" s="6">
        <f t="shared" ca="1" si="8"/>
        <v>0.7320655287021387</v>
      </c>
      <c r="C555" s="6" t="s">
        <v>35</v>
      </c>
    </row>
    <row r="556" spans="1:3" x14ac:dyDescent="0.2">
      <c r="A556" s="6">
        <v>554</v>
      </c>
      <c r="B556" s="6">
        <f t="shared" ca="1" si="8"/>
        <v>0.7177847786027588</v>
      </c>
      <c r="C556" s="6" t="s">
        <v>34</v>
      </c>
    </row>
    <row r="557" spans="1:3" x14ac:dyDescent="0.2">
      <c r="A557" s="6">
        <v>555</v>
      </c>
      <c r="B557" s="6">
        <f t="shared" ca="1" si="8"/>
        <v>0.62501772219433638</v>
      </c>
      <c r="C557" s="6" t="s">
        <v>35</v>
      </c>
    </row>
    <row r="558" spans="1:3" x14ac:dyDescent="0.2">
      <c r="A558" s="6">
        <v>556</v>
      </c>
      <c r="B558" s="6">
        <f t="shared" ca="1" si="8"/>
        <v>0.7836445591544775</v>
      </c>
      <c r="C558" s="6" t="s">
        <v>34</v>
      </c>
    </row>
    <row r="559" spans="1:3" x14ac:dyDescent="0.2">
      <c r="A559" s="6">
        <v>557</v>
      </c>
      <c r="B559" s="6">
        <f t="shared" ca="1" si="8"/>
        <v>0.77692778520501016</v>
      </c>
      <c r="C559" s="6" t="s">
        <v>34</v>
      </c>
    </row>
    <row r="560" spans="1:3" x14ac:dyDescent="0.2">
      <c r="A560" s="6">
        <v>558</v>
      </c>
      <c r="B560" s="6">
        <f t="shared" ca="1" si="8"/>
        <v>0.50188991589073306</v>
      </c>
      <c r="C560" s="6" t="s">
        <v>35</v>
      </c>
    </row>
    <row r="561" spans="1:3" x14ac:dyDescent="0.2">
      <c r="A561" s="6">
        <v>559</v>
      </c>
      <c r="B561" s="6">
        <f t="shared" ca="1" si="8"/>
        <v>0.57276837036621298</v>
      </c>
      <c r="C561" s="6" t="s">
        <v>34</v>
      </c>
    </row>
    <row r="562" spans="1:3" x14ac:dyDescent="0.2">
      <c r="A562" s="6">
        <v>560</v>
      </c>
      <c r="B562" s="6">
        <f t="shared" ca="1" si="8"/>
        <v>0.6619666369110877</v>
      </c>
      <c r="C562" s="6" t="s">
        <v>35</v>
      </c>
    </row>
    <row r="563" spans="1:3" x14ac:dyDescent="0.2">
      <c r="A563" s="6">
        <v>561</v>
      </c>
      <c r="B563" s="6">
        <f t="shared" ca="1" si="8"/>
        <v>0.55714480697947444</v>
      </c>
      <c r="C563" s="6" t="s">
        <v>35</v>
      </c>
    </row>
    <row r="564" spans="1:3" x14ac:dyDescent="0.2">
      <c r="A564" s="6">
        <v>562</v>
      </c>
      <c r="B564" s="6">
        <f t="shared" ca="1" si="8"/>
        <v>0.61756359367972691</v>
      </c>
      <c r="C564" s="6" t="s">
        <v>35</v>
      </c>
    </row>
    <row r="565" spans="1:3" x14ac:dyDescent="0.2">
      <c r="A565" s="6">
        <v>563</v>
      </c>
      <c r="B565" s="6">
        <f t="shared" ca="1" si="8"/>
        <v>0.47425953823794026</v>
      </c>
      <c r="C565" s="6" t="s">
        <v>35</v>
      </c>
    </row>
    <row r="566" spans="1:3" x14ac:dyDescent="0.2">
      <c r="A566" s="6">
        <v>564</v>
      </c>
      <c r="B566" s="6">
        <f t="shared" ca="1" si="8"/>
        <v>0.59231266623645284</v>
      </c>
      <c r="C566" s="6" t="s">
        <v>35</v>
      </c>
    </row>
    <row r="567" spans="1:3" x14ac:dyDescent="0.2">
      <c r="A567" s="6">
        <v>565</v>
      </c>
      <c r="B567" s="6">
        <f t="shared" ca="1" si="8"/>
        <v>0.6456812981546679</v>
      </c>
      <c r="C567" s="6" t="s">
        <v>35</v>
      </c>
    </row>
    <row r="568" spans="1:3" x14ac:dyDescent="0.2">
      <c r="A568" s="6">
        <v>566</v>
      </c>
      <c r="B568" s="6">
        <f t="shared" ca="1" si="8"/>
        <v>0.69521681329628593</v>
      </c>
      <c r="C568" s="6" t="s">
        <v>34</v>
      </c>
    </row>
    <row r="569" spans="1:3" x14ac:dyDescent="0.2">
      <c r="A569" s="6">
        <v>567</v>
      </c>
      <c r="B569" s="6">
        <f t="shared" ca="1" si="8"/>
        <v>0.66904589945201398</v>
      </c>
      <c r="C569" s="6" t="s">
        <v>34</v>
      </c>
    </row>
    <row r="570" spans="1:3" x14ac:dyDescent="0.2">
      <c r="A570" s="6">
        <v>568</v>
      </c>
      <c r="B570" s="6">
        <f t="shared" ca="1" si="8"/>
        <v>0.86367025395363595</v>
      </c>
      <c r="C570" s="6" t="s">
        <v>34</v>
      </c>
    </row>
    <row r="571" spans="1:3" x14ac:dyDescent="0.2">
      <c r="A571" s="6">
        <v>569</v>
      </c>
      <c r="B571" s="6">
        <f t="shared" ca="1" si="8"/>
        <v>0.76610132762091188</v>
      </c>
      <c r="C571" s="6" t="s">
        <v>35</v>
      </c>
    </row>
    <row r="572" spans="1:3" x14ac:dyDescent="0.2">
      <c r="A572" s="6">
        <v>570</v>
      </c>
      <c r="B572" s="6">
        <f t="shared" ca="1" si="8"/>
        <v>0.86558882982269036</v>
      </c>
      <c r="C572" s="6" t="s">
        <v>34</v>
      </c>
    </row>
    <row r="573" spans="1:3" x14ac:dyDescent="0.2">
      <c r="A573" s="6">
        <v>571</v>
      </c>
      <c r="B573" s="6">
        <f t="shared" ca="1" si="8"/>
        <v>0.54856986330952118</v>
      </c>
      <c r="C573" s="6" t="s">
        <v>35</v>
      </c>
    </row>
    <row r="574" spans="1:3" x14ac:dyDescent="0.2">
      <c r="A574" s="6">
        <v>572</v>
      </c>
      <c r="B574" s="6">
        <f t="shared" ca="1" si="8"/>
        <v>0.53990053123116066</v>
      </c>
      <c r="C574" s="6" t="s">
        <v>34</v>
      </c>
    </row>
    <row r="575" spans="1:3" x14ac:dyDescent="0.2">
      <c r="A575" s="6">
        <v>573</v>
      </c>
      <c r="B575" s="6">
        <f t="shared" ca="1" si="8"/>
        <v>0.81369411226867217</v>
      </c>
      <c r="C575" s="6" t="s">
        <v>34</v>
      </c>
    </row>
    <row r="576" spans="1:3" x14ac:dyDescent="0.2">
      <c r="A576" s="6">
        <v>574</v>
      </c>
      <c r="B576" s="6">
        <f t="shared" ca="1" si="8"/>
        <v>0.54337832465242197</v>
      </c>
      <c r="C576" s="6" t="s">
        <v>34</v>
      </c>
    </row>
    <row r="577" spans="1:3" x14ac:dyDescent="0.2">
      <c r="A577" s="6">
        <v>575</v>
      </c>
      <c r="B577" s="6">
        <f t="shared" ca="1" si="8"/>
        <v>0.67478893144545637</v>
      </c>
      <c r="C577" s="6" t="s">
        <v>35</v>
      </c>
    </row>
    <row r="578" spans="1:3" x14ac:dyDescent="0.2">
      <c r="A578" s="6">
        <v>576</v>
      </c>
      <c r="B578" s="6">
        <f t="shared" ca="1" si="8"/>
        <v>0.35477584747276336</v>
      </c>
      <c r="C578" s="6" t="s">
        <v>35</v>
      </c>
    </row>
    <row r="579" spans="1:3" x14ac:dyDescent="0.2">
      <c r="A579" s="6">
        <v>577</v>
      </c>
      <c r="B579" s="6">
        <f t="shared" ca="1" si="8"/>
        <v>0.62152668109372922</v>
      </c>
      <c r="C579" s="6" t="s">
        <v>35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0.79671341159346043</v>
      </c>
      <c r="C580" s="6" t="s">
        <v>34</v>
      </c>
    </row>
    <row r="581" spans="1:3" x14ac:dyDescent="0.2">
      <c r="A581" s="6">
        <v>579</v>
      </c>
      <c r="B581" s="6">
        <f t="shared" ca="1" si="9"/>
        <v>0.74180198878382675</v>
      </c>
      <c r="C581" s="6" t="s">
        <v>34</v>
      </c>
    </row>
    <row r="582" spans="1:3" x14ac:dyDescent="0.2">
      <c r="A582" s="6">
        <v>580</v>
      </c>
      <c r="B582" s="6">
        <f t="shared" ca="1" si="9"/>
        <v>0.77155395514265668</v>
      </c>
      <c r="C582" s="6" t="s">
        <v>34</v>
      </c>
    </row>
    <row r="583" spans="1:3" x14ac:dyDescent="0.2">
      <c r="A583" s="6">
        <v>581</v>
      </c>
      <c r="B583" s="6">
        <f t="shared" ca="1" si="9"/>
        <v>0.47169676446154285</v>
      </c>
      <c r="C583" s="6" t="s">
        <v>35</v>
      </c>
    </row>
    <row r="584" spans="1:3" x14ac:dyDescent="0.2">
      <c r="A584" s="6">
        <v>582</v>
      </c>
      <c r="B584" s="6">
        <f t="shared" ca="1" si="9"/>
        <v>0.73261469263961321</v>
      </c>
      <c r="C584" s="6" t="s">
        <v>34</v>
      </c>
    </row>
    <row r="585" spans="1:3" x14ac:dyDescent="0.2">
      <c r="A585" s="6">
        <v>583</v>
      </c>
      <c r="B585" s="6">
        <f t="shared" ca="1" si="9"/>
        <v>0.88270453907450186</v>
      </c>
      <c r="C585" s="6" t="s">
        <v>35</v>
      </c>
    </row>
    <row r="586" spans="1:3" x14ac:dyDescent="0.2">
      <c r="A586" s="6">
        <v>584</v>
      </c>
      <c r="B586" s="6">
        <f t="shared" ca="1" si="9"/>
        <v>0.54864811552279436</v>
      </c>
      <c r="C586" s="6" t="s">
        <v>34</v>
      </c>
    </row>
    <row r="587" spans="1:3" x14ac:dyDescent="0.2">
      <c r="A587" s="6">
        <v>585</v>
      </c>
      <c r="B587" s="6">
        <f t="shared" ca="1" si="9"/>
        <v>0.8793705433786364</v>
      </c>
      <c r="C587" s="6" t="s">
        <v>35</v>
      </c>
    </row>
    <row r="588" spans="1:3" x14ac:dyDescent="0.2">
      <c r="A588" s="6">
        <v>586</v>
      </c>
      <c r="B588" s="6">
        <f t="shared" ca="1" si="9"/>
        <v>0.44458772596641755</v>
      </c>
      <c r="C588" s="6" t="s">
        <v>35</v>
      </c>
    </row>
    <row r="589" spans="1:3" x14ac:dyDescent="0.2">
      <c r="A589" s="6">
        <v>587</v>
      </c>
      <c r="B589" s="6">
        <f t="shared" ca="1" si="9"/>
        <v>0.69340297485494473</v>
      </c>
      <c r="C589" s="6" t="s">
        <v>34</v>
      </c>
    </row>
    <row r="590" spans="1:3" x14ac:dyDescent="0.2">
      <c r="A590" s="6">
        <v>588</v>
      </c>
      <c r="B590" s="6">
        <f t="shared" ca="1" si="9"/>
        <v>0.89716741357336538</v>
      </c>
      <c r="C590" s="6" t="s">
        <v>35</v>
      </c>
    </row>
    <row r="591" spans="1:3" x14ac:dyDescent="0.2">
      <c r="A591" s="6">
        <v>589</v>
      </c>
      <c r="B591" s="6">
        <f t="shared" ca="1" si="9"/>
        <v>0.58291398540292472</v>
      </c>
      <c r="C591" s="6" t="s">
        <v>35</v>
      </c>
    </row>
    <row r="592" spans="1:3" x14ac:dyDescent="0.2">
      <c r="A592" s="6">
        <v>590</v>
      </c>
      <c r="B592" s="6">
        <f t="shared" ca="1" si="9"/>
        <v>0.79572338927605069</v>
      </c>
      <c r="C592" s="6" t="s">
        <v>34</v>
      </c>
    </row>
    <row r="593" spans="1:3" x14ac:dyDescent="0.2">
      <c r="A593" s="6">
        <v>591</v>
      </c>
      <c r="B593" s="6">
        <f t="shared" ca="1" si="9"/>
        <v>0.4387263448434976</v>
      </c>
      <c r="C593" s="6" t="s">
        <v>35</v>
      </c>
    </row>
    <row r="594" spans="1:3" x14ac:dyDescent="0.2">
      <c r="A594" s="6">
        <v>592</v>
      </c>
      <c r="B594" s="6">
        <f t="shared" ca="1" si="9"/>
        <v>0.66893768456575309</v>
      </c>
      <c r="C594" s="6" t="s">
        <v>34</v>
      </c>
    </row>
    <row r="595" spans="1:3" x14ac:dyDescent="0.2">
      <c r="A595" s="6">
        <v>593</v>
      </c>
      <c r="B595" s="6">
        <f t="shared" ca="1" si="9"/>
        <v>0.91954765262535909</v>
      </c>
      <c r="C595" s="6" t="s">
        <v>35</v>
      </c>
    </row>
    <row r="596" spans="1:3" x14ac:dyDescent="0.2">
      <c r="A596" s="6">
        <v>594</v>
      </c>
      <c r="B596" s="6">
        <f t="shared" ca="1" si="9"/>
        <v>0.68765607462041933</v>
      </c>
      <c r="C596" s="6" t="s">
        <v>34</v>
      </c>
    </row>
    <row r="597" spans="1:3" x14ac:dyDescent="0.2">
      <c r="A597" s="6">
        <v>595</v>
      </c>
      <c r="B597" s="6">
        <f t="shared" ca="1" si="9"/>
        <v>0.64554393081999173</v>
      </c>
      <c r="C597" s="6" t="s">
        <v>34</v>
      </c>
    </row>
    <row r="598" spans="1:3" x14ac:dyDescent="0.2">
      <c r="A598" s="6">
        <v>596</v>
      </c>
      <c r="B598" s="6">
        <f t="shared" ca="1" si="9"/>
        <v>0.79872899210803106</v>
      </c>
      <c r="C598" s="6" t="s">
        <v>34</v>
      </c>
    </row>
    <row r="599" spans="1:3" x14ac:dyDescent="0.2">
      <c r="A599" s="6">
        <v>597</v>
      </c>
      <c r="B599" s="6">
        <f t="shared" ca="1" si="9"/>
        <v>0.70471087241154418</v>
      </c>
      <c r="C599" s="6" t="s">
        <v>34</v>
      </c>
    </row>
    <row r="600" spans="1:3" x14ac:dyDescent="0.2">
      <c r="A600" s="6">
        <v>598</v>
      </c>
      <c r="B600" s="6">
        <f t="shared" ca="1" si="9"/>
        <v>0.44393949203412131</v>
      </c>
      <c r="C600" s="6" t="s">
        <v>35</v>
      </c>
    </row>
    <row r="601" spans="1:3" x14ac:dyDescent="0.2">
      <c r="A601" s="6">
        <v>599</v>
      </c>
      <c r="B601" s="6">
        <f t="shared" ca="1" si="9"/>
        <v>0.66747119499507213</v>
      </c>
      <c r="C601" s="6" t="s">
        <v>34</v>
      </c>
    </row>
    <row r="602" spans="1:3" x14ac:dyDescent="0.2">
      <c r="A602" s="6">
        <v>600</v>
      </c>
      <c r="B602" s="6">
        <f t="shared" ca="1" si="9"/>
        <v>0.59729600187790877</v>
      </c>
      <c r="C602" s="6" t="s">
        <v>34</v>
      </c>
    </row>
    <row r="603" spans="1:3" x14ac:dyDescent="0.2">
      <c r="A603" s="6">
        <v>601</v>
      </c>
      <c r="B603" s="6">
        <f t="shared" ca="1" si="9"/>
        <v>0.68805390800113697</v>
      </c>
      <c r="C603" s="6" t="s">
        <v>35</v>
      </c>
    </row>
    <row r="604" spans="1:3" x14ac:dyDescent="0.2">
      <c r="A604" s="6">
        <v>602</v>
      </c>
      <c r="B604" s="6">
        <f t="shared" ca="1" si="9"/>
        <v>0.58694125111467765</v>
      </c>
      <c r="C604" s="6" t="s">
        <v>35</v>
      </c>
    </row>
    <row r="605" spans="1:3" x14ac:dyDescent="0.2">
      <c r="A605" s="6">
        <v>603</v>
      </c>
      <c r="B605" s="6">
        <f t="shared" ca="1" si="9"/>
        <v>0.81348138980640239</v>
      </c>
      <c r="C605" s="6" t="s">
        <v>35</v>
      </c>
    </row>
    <row r="606" spans="1:3" x14ac:dyDescent="0.2">
      <c r="A606" s="6">
        <v>604</v>
      </c>
      <c r="B606" s="6">
        <f t="shared" ca="1" si="9"/>
        <v>0.46809833989206007</v>
      </c>
      <c r="C606" s="6" t="s">
        <v>34</v>
      </c>
    </row>
    <row r="607" spans="1:3" x14ac:dyDescent="0.2">
      <c r="A607" s="6">
        <v>605</v>
      </c>
      <c r="B607" s="6">
        <f t="shared" ca="1" si="9"/>
        <v>0.33086345136260126</v>
      </c>
      <c r="C607" s="6" t="s">
        <v>35</v>
      </c>
    </row>
    <row r="608" spans="1:3" x14ac:dyDescent="0.2">
      <c r="A608" s="6">
        <v>606</v>
      </c>
      <c r="B608" s="6">
        <f t="shared" ca="1" si="9"/>
        <v>0.62850130864632647</v>
      </c>
      <c r="C608" s="6" t="s">
        <v>34</v>
      </c>
    </row>
    <row r="609" spans="1:3" x14ac:dyDescent="0.2">
      <c r="A609" s="6">
        <v>607</v>
      </c>
      <c r="B609" s="6">
        <f t="shared" ca="1" si="9"/>
        <v>0.42406929621495726</v>
      </c>
      <c r="C609" s="6" t="s">
        <v>35</v>
      </c>
    </row>
    <row r="610" spans="1:3" x14ac:dyDescent="0.2">
      <c r="A610" s="6">
        <v>608</v>
      </c>
      <c r="B610" s="6">
        <f t="shared" ca="1" si="9"/>
        <v>0.64727497913026955</v>
      </c>
      <c r="C610" s="6" t="s">
        <v>34</v>
      </c>
    </row>
    <row r="611" spans="1:3" x14ac:dyDescent="0.2">
      <c r="A611" s="6">
        <v>609</v>
      </c>
      <c r="B611" s="6">
        <f t="shared" ca="1" si="9"/>
        <v>0.6467549529075447</v>
      </c>
      <c r="C611" s="6" t="s">
        <v>35</v>
      </c>
    </row>
    <row r="612" spans="1:3" x14ac:dyDescent="0.2">
      <c r="A612" s="6">
        <v>610</v>
      </c>
      <c r="B612" s="6">
        <f t="shared" ca="1" si="9"/>
        <v>0.51125918890404698</v>
      </c>
      <c r="C612" s="6" t="s">
        <v>35</v>
      </c>
    </row>
    <row r="613" spans="1:3" x14ac:dyDescent="0.2">
      <c r="A613" s="6">
        <v>611</v>
      </c>
      <c r="B613" s="6">
        <f t="shared" ca="1" si="9"/>
        <v>0.69328389106776911</v>
      </c>
      <c r="C613" s="6" t="s">
        <v>34</v>
      </c>
    </row>
    <row r="614" spans="1:3" x14ac:dyDescent="0.2">
      <c r="A614" s="6">
        <v>612</v>
      </c>
      <c r="B614" s="6">
        <f t="shared" ca="1" si="9"/>
        <v>0.71658828591838397</v>
      </c>
      <c r="C614" s="6" t="s">
        <v>34</v>
      </c>
    </row>
    <row r="615" spans="1:3" x14ac:dyDescent="0.2">
      <c r="A615" s="6">
        <v>613</v>
      </c>
      <c r="B615" s="6">
        <f t="shared" ca="1" si="9"/>
        <v>0.42801191453425014</v>
      </c>
      <c r="C615" s="6" t="s">
        <v>35</v>
      </c>
    </row>
    <row r="616" spans="1:3" x14ac:dyDescent="0.2">
      <c r="A616" s="6">
        <v>614</v>
      </c>
      <c r="B616" s="6">
        <f t="shared" ca="1" si="9"/>
        <v>0.50361758446931804</v>
      </c>
      <c r="C616" s="6" t="s">
        <v>35</v>
      </c>
    </row>
    <row r="617" spans="1:3" x14ac:dyDescent="0.2">
      <c r="A617" s="6">
        <v>615</v>
      </c>
      <c r="B617" s="6">
        <f t="shared" ca="1" si="9"/>
        <v>0.47643952725709876</v>
      </c>
      <c r="C617" s="6" t="s">
        <v>35</v>
      </c>
    </row>
    <row r="618" spans="1:3" x14ac:dyDescent="0.2">
      <c r="A618" s="6">
        <v>616</v>
      </c>
      <c r="B618" s="6">
        <f t="shared" ca="1" si="9"/>
        <v>0.71558463284385243</v>
      </c>
      <c r="C618" s="6" t="s">
        <v>34</v>
      </c>
    </row>
    <row r="619" spans="1:3" x14ac:dyDescent="0.2">
      <c r="A619" s="6">
        <v>617</v>
      </c>
      <c r="B619" s="6">
        <f t="shared" ca="1" si="9"/>
        <v>0.56839715593840978</v>
      </c>
      <c r="C619" s="6" t="s">
        <v>34</v>
      </c>
    </row>
    <row r="620" spans="1:3" x14ac:dyDescent="0.2">
      <c r="A620" s="6">
        <v>618</v>
      </c>
      <c r="B620" s="6">
        <f t="shared" ca="1" si="9"/>
        <v>0.70916275739175416</v>
      </c>
      <c r="C620" s="6" t="s">
        <v>34</v>
      </c>
    </row>
    <row r="621" spans="1:3" x14ac:dyDescent="0.2">
      <c r="A621" s="6">
        <v>619</v>
      </c>
      <c r="B621" s="6">
        <f t="shared" ca="1" si="9"/>
        <v>0.55720673144493038</v>
      </c>
      <c r="C621" s="6" t="s">
        <v>35</v>
      </c>
    </row>
    <row r="622" spans="1:3" x14ac:dyDescent="0.2">
      <c r="A622" s="6">
        <v>620</v>
      </c>
      <c r="B622" s="6">
        <f t="shared" ca="1" si="9"/>
        <v>0.63775156710964287</v>
      </c>
      <c r="C622" s="6" t="s">
        <v>35</v>
      </c>
    </row>
    <row r="623" spans="1:3" x14ac:dyDescent="0.2">
      <c r="A623" s="6">
        <v>621</v>
      </c>
      <c r="B623" s="6">
        <f t="shared" ca="1" si="9"/>
        <v>0.68613234633676501</v>
      </c>
      <c r="C623" s="6" t="s">
        <v>34</v>
      </c>
    </row>
    <row r="624" spans="1:3" x14ac:dyDescent="0.2">
      <c r="A624" s="6">
        <v>622</v>
      </c>
      <c r="B624" s="6">
        <f t="shared" ca="1" si="9"/>
        <v>0.56986252508603097</v>
      </c>
      <c r="C624" s="6" t="s">
        <v>34</v>
      </c>
    </row>
    <row r="625" spans="1:3" x14ac:dyDescent="0.2">
      <c r="A625" s="6">
        <v>623</v>
      </c>
      <c r="B625" s="6">
        <f t="shared" ca="1" si="9"/>
        <v>0.72292234327694427</v>
      </c>
      <c r="C625" s="6" t="s">
        <v>34</v>
      </c>
    </row>
    <row r="626" spans="1:3" x14ac:dyDescent="0.2">
      <c r="A626" s="6">
        <v>624</v>
      </c>
      <c r="B626" s="6">
        <f t="shared" ca="1" si="9"/>
        <v>0.59874355767287402</v>
      </c>
      <c r="C626" s="6" t="s">
        <v>35</v>
      </c>
    </row>
    <row r="627" spans="1:3" x14ac:dyDescent="0.2">
      <c r="A627" s="6">
        <v>625</v>
      </c>
      <c r="B627" s="6">
        <f t="shared" ca="1" si="9"/>
        <v>0.76347769829441303</v>
      </c>
      <c r="C627" s="6" t="s">
        <v>34</v>
      </c>
    </row>
    <row r="628" spans="1:3" x14ac:dyDescent="0.2">
      <c r="A628" s="6">
        <v>626</v>
      </c>
      <c r="B628" s="6">
        <f t="shared" ca="1" si="9"/>
        <v>0.38483279589019037</v>
      </c>
      <c r="C628" s="6" t="s">
        <v>35</v>
      </c>
    </row>
    <row r="629" spans="1:3" x14ac:dyDescent="0.2">
      <c r="A629" s="6">
        <v>627</v>
      </c>
      <c r="B629" s="6">
        <f t="shared" ca="1" si="9"/>
        <v>0.50828675875823515</v>
      </c>
      <c r="C629" s="6" t="s">
        <v>35</v>
      </c>
    </row>
    <row r="630" spans="1:3" x14ac:dyDescent="0.2">
      <c r="A630" s="6">
        <v>628</v>
      </c>
      <c r="B630" s="6">
        <f t="shared" ca="1" si="9"/>
        <v>0.53101720456943591</v>
      </c>
      <c r="C630" s="6" t="s">
        <v>35</v>
      </c>
    </row>
    <row r="631" spans="1:3" x14ac:dyDescent="0.2">
      <c r="A631" s="6">
        <v>629</v>
      </c>
      <c r="B631" s="6">
        <f t="shared" ca="1" si="9"/>
        <v>0.46540510440009825</v>
      </c>
      <c r="C631" s="6" t="s">
        <v>35</v>
      </c>
    </row>
    <row r="632" spans="1:3" x14ac:dyDescent="0.2">
      <c r="A632" s="6">
        <v>630</v>
      </c>
      <c r="B632" s="6">
        <f t="shared" ca="1" si="9"/>
        <v>0.80538804851843349</v>
      </c>
      <c r="C632" s="6" t="s">
        <v>34</v>
      </c>
    </row>
    <row r="633" spans="1:3" x14ac:dyDescent="0.2">
      <c r="A633" s="6">
        <v>631</v>
      </c>
      <c r="B633" s="6">
        <f t="shared" ca="1" si="9"/>
        <v>0.58444855523130435</v>
      </c>
      <c r="C633" s="6" t="s">
        <v>34</v>
      </c>
    </row>
    <row r="634" spans="1:3" x14ac:dyDescent="0.2">
      <c r="A634" s="6">
        <v>632</v>
      </c>
      <c r="B634" s="6">
        <f t="shared" ca="1" si="9"/>
        <v>0.46827252283755244</v>
      </c>
      <c r="C634" s="6" t="s">
        <v>35</v>
      </c>
    </row>
    <row r="635" spans="1:3" x14ac:dyDescent="0.2">
      <c r="A635" s="6">
        <v>633</v>
      </c>
      <c r="B635" s="6">
        <f t="shared" ca="1" si="9"/>
        <v>0.56720850248915444</v>
      </c>
      <c r="C635" s="6" t="s">
        <v>34</v>
      </c>
    </row>
    <row r="636" spans="1:3" x14ac:dyDescent="0.2">
      <c r="A636" s="6">
        <v>634</v>
      </c>
      <c r="B636" s="6">
        <f t="shared" ca="1" si="9"/>
        <v>0.72132007291342415</v>
      </c>
      <c r="C636" s="6" t="s">
        <v>34</v>
      </c>
    </row>
    <row r="637" spans="1:3" x14ac:dyDescent="0.2">
      <c r="A637" s="6">
        <v>635</v>
      </c>
      <c r="B637" s="6">
        <f t="shared" ca="1" si="9"/>
        <v>0.59663933735582975</v>
      </c>
      <c r="C637" s="6" t="s">
        <v>34</v>
      </c>
    </row>
    <row r="638" spans="1:3" x14ac:dyDescent="0.2">
      <c r="A638" s="6">
        <v>636</v>
      </c>
      <c r="B638" s="6">
        <f t="shared" ca="1" si="9"/>
        <v>0.92569554151335898</v>
      </c>
      <c r="C638" s="6" t="s">
        <v>35</v>
      </c>
    </row>
    <row r="639" spans="1:3" x14ac:dyDescent="0.2">
      <c r="A639" s="6">
        <v>637</v>
      </c>
      <c r="B639" s="6">
        <f t="shared" ca="1" si="9"/>
        <v>0.60995921012008836</v>
      </c>
      <c r="C639" s="6" t="s">
        <v>35</v>
      </c>
    </row>
    <row r="640" spans="1:3" x14ac:dyDescent="0.2">
      <c r="A640" s="6">
        <v>638</v>
      </c>
      <c r="B640" s="6">
        <f t="shared" ca="1" si="9"/>
        <v>0.60417356712260339</v>
      </c>
      <c r="C640" s="6" t="s">
        <v>34</v>
      </c>
    </row>
    <row r="641" spans="1:3" x14ac:dyDescent="0.2">
      <c r="A641" s="6">
        <v>639</v>
      </c>
      <c r="B641" s="6">
        <f t="shared" ca="1" si="9"/>
        <v>0.62124309104395159</v>
      </c>
      <c r="C641" s="6" t="s">
        <v>35</v>
      </c>
    </row>
    <row r="642" spans="1:3" x14ac:dyDescent="0.2">
      <c r="A642" s="6">
        <v>640</v>
      </c>
      <c r="B642" s="6">
        <f t="shared" ca="1" si="9"/>
        <v>0.80601364474804149</v>
      </c>
      <c r="C642" s="6" t="s">
        <v>34</v>
      </c>
    </row>
    <row r="643" spans="1:3" x14ac:dyDescent="0.2">
      <c r="A643" s="6">
        <v>641</v>
      </c>
      <c r="B643" s="6">
        <f t="shared" ca="1" si="9"/>
        <v>0.76161771023532199</v>
      </c>
      <c r="C643" s="6" t="s">
        <v>34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0.50416025605119785</v>
      </c>
      <c r="C644" s="6" t="s">
        <v>35</v>
      </c>
    </row>
    <row r="645" spans="1:3" x14ac:dyDescent="0.2">
      <c r="A645" s="6">
        <v>643</v>
      </c>
      <c r="B645" s="6">
        <f t="shared" ca="1" si="10"/>
        <v>0.73777750119723828</v>
      </c>
      <c r="C645" s="6" t="s">
        <v>34</v>
      </c>
    </row>
    <row r="646" spans="1:3" x14ac:dyDescent="0.2">
      <c r="A646" s="6">
        <v>644</v>
      </c>
      <c r="B646" s="6">
        <f t="shared" ca="1" si="10"/>
        <v>0.57669638449874883</v>
      </c>
      <c r="C646" s="6" t="s">
        <v>35</v>
      </c>
    </row>
    <row r="647" spans="1:3" x14ac:dyDescent="0.2">
      <c r="A647" s="6">
        <v>645</v>
      </c>
      <c r="B647" s="6">
        <f t="shared" ca="1" si="10"/>
        <v>0.68203311031092995</v>
      </c>
      <c r="C647" s="6" t="s">
        <v>35</v>
      </c>
    </row>
    <row r="648" spans="1:3" x14ac:dyDescent="0.2">
      <c r="A648" s="6">
        <v>646</v>
      </c>
      <c r="B648" s="6">
        <f t="shared" ca="1" si="10"/>
        <v>0.50490741582088305</v>
      </c>
      <c r="C648" s="6" t="s">
        <v>35</v>
      </c>
    </row>
    <row r="649" spans="1:3" x14ac:dyDescent="0.2">
      <c r="A649" s="6">
        <v>647</v>
      </c>
      <c r="B649" s="6">
        <f t="shared" ca="1" si="10"/>
        <v>0.71380730457441366</v>
      </c>
      <c r="C649" s="6" t="s">
        <v>34</v>
      </c>
    </row>
    <row r="650" spans="1:3" x14ac:dyDescent="0.2">
      <c r="A650" s="6">
        <v>648</v>
      </c>
      <c r="B650" s="6">
        <f t="shared" ca="1" si="10"/>
        <v>0.5546790527190516</v>
      </c>
      <c r="C650" s="6" t="s">
        <v>34</v>
      </c>
    </row>
    <row r="651" spans="1:3" x14ac:dyDescent="0.2">
      <c r="A651" s="6">
        <v>649</v>
      </c>
      <c r="B651" s="6">
        <f t="shared" ca="1" si="10"/>
        <v>0.68808524827928574</v>
      </c>
      <c r="C651" s="6" t="s">
        <v>34</v>
      </c>
    </row>
    <row r="652" spans="1:3" x14ac:dyDescent="0.2">
      <c r="A652" s="6">
        <v>650</v>
      </c>
      <c r="B652" s="6">
        <f t="shared" ca="1" si="10"/>
        <v>0.80823844253817334</v>
      </c>
      <c r="C652" s="6" t="s">
        <v>34</v>
      </c>
    </row>
    <row r="653" spans="1:3" x14ac:dyDescent="0.2">
      <c r="A653" s="6">
        <v>651</v>
      </c>
      <c r="B653" s="6">
        <f t="shared" ca="1" si="10"/>
        <v>0.84430062704517572</v>
      </c>
      <c r="C653" s="6" t="s">
        <v>35</v>
      </c>
    </row>
    <row r="654" spans="1:3" x14ac:dyDescent="0.2">
      <c r="A654" s="6">
        <v>652</v>
      </c>
      <c r="B654" s="6">
        <f t="shared" ca="1" si="10"/>
        <v>0.608978825192244</v>
      </c>
      <c r="C654" s="6" t="s">
        <v>35</v>
      </c>
    </row>
    <row r="655" spans="1:3" x14ac:dyDescent="0.2">
      <c r="A655" s="6">
        <v>653</v>
      </c>
      <c r="B655" s="6">
        <f t="shared" ca="1" si="10"/>
        <v>0.41857174289137516</v>
      </c>
      <c r="C655" s="6" t="s">
        <v>35</v>
      </c>
    </row>
    <row r="656" spans="1:3" x14ac:dyDescent="0.2">
      <c r="A656" s="6">
        <v>654</v>
      </c>
      <c r="B656" s="6">
        <f t="shared" ca="1" si="10"/>
        <v>0.79699578795510428</v>
      </c>
      <c r="C656" s="6" t="s">
        <v>35</v>
      </c>
    </row>
    <row r="657" spans="1:3" x14ac:dyDescent="0.2">
      <c r="A657" s="6">
        <v>655</v>
      </c>
      <c r="B657" s="6">
        <f t="shared" ca="1" si="10"/>
        <v>0.84522662598503273</v>
      </c>
      <c r="C657" s="6" t="s">
        <v>35</v>
      </c>
    </row>
    <row r="658" spans="1:3" x14ac:dyDescent="0.2">
      <c r="A658" s="6">
        <v>656</v>
      </c>
      <c r="B658" s="6">
        <f t="shared" ca="1" si="10"/>
        <v>0.90757362569312305</v>
      </c>
      <c r="C658" s="6" t="s">
        <v>35</v>
      </c>
    </row>
    <row r="659" spans="1:3" x14ac:dyDescent="0.2">
      <c r="A659" s="6">
        <v>657</v>
      </c>
      <c r="B659" s="6">
        <f t="shared" ca="1" si="10"/>
        <v>0.68493866823983451</v>
      </c>
      <c r="C659" s="6" t="s">
        <v>34</v>
      </c>
    </row>
    <row r="660" spans="1:3" x14ac:dyDescent="0.2">
      <c r="A660" s="6">
        <v>658</v>
      </c>
      <c r="B660" s="6">
        <f t="shared" ca="1" si="10"/>
        <v>0.73421202652432405</v>
      </c>
      <c r="C660" s="6" t="s">
        <v>35</v>
      </c>
    </row>
    <row r="661" spans="1:3" x14ac:dyDescent="0.2">
      <c r="A661" s="6">
        <v>659</v>
      </c>
      <c r="B661" s="6">
        <f t="shared" ca="1" si="10"/>
        <v>0.6838669281786568</v>
      </c>
      <c r="C661" s="6" t="s">
        <v>34</v>
      </c>
    </row>
    <row r="662" spans="1:3" x14ac:dyDescent="0.2">
      <c r="A662" s="6">
        <v>660</v>
      </c>
      <c r="B662" s="6">
        <f t="shared" ca="1" si="10"/>
        <v>0.64336830625236108</v>
      </c>
      <c r="C662" s="6" t="s">
        <v>35</v>
      </c>
    </row>
    <row r="663" spans="1:3" x14ac:dyDescent="0.2">
      <c r="A663" s="6">
        <v>661</v>
      </c>
      <c r="B663" s="6">
        <f t="shared" ca="1" si="10"/>
        <v>0.67345139313509406</v>
      </c>
      <c r="C663" s="6" t="s">
        <v>34</v>
      </c>
    </row>
    <row r="664" spans="1:3" x14ac:dyDescent="0.2">
      <c r="A664" s="6">
        <v>662</v>
      </c>
      <c r="B664" s="6">
        <f t="shared" ca="1" si="10"/>
        <v>0.66147120827380579</v>
      </c>
      <c r="C664" s="6" t="s">
        <v>35</v>
      </c>
    </row>
    <row r="665" spans="1:3" x14ac:dyDescent="0.2">
      <c r="A665" s="6">
        <v>663</v>
      </c>
      <c r="B665" s="6">
        <f t="shared" ca="1" si="10"/>
        <v>0.53148896468766527</v>
      </c>
      <c r="C665" s="6" t="s">
        <v>35</v>
      </c>
    </row>
    <row r="666" spans="1:3" x14ac:dyDescent="0.2">
      <c r="A666" s="6">
        <v>664</v>
      </c>
      <c r="B666" s="6">
        <f t="shared" ca="1" si="10"/>
        <v>0.62164178626514222</v>
      </c>
      <c r="C666" s="6" t="s">
        <v>34</v>
      </c>
    </row>
    <row r="667" spans="1:3" x14ac:dyDescent="0.2">
      <c r="A667" s="6">
        <v>665</v>
      </c>
      <c r="B667" s="6">
        <f t="shared" ca="1" si="10"/>
        <v>0.73879121285279203</v>
      </c>
      <c r="C667" s="6" t="s">
        <v>35</v>
      </c>
    </row>
    <row r="668" spans="1:3" x14ac:dyDescent="0.2">
      <c r="A668" s="6">
        <v>666</v>
      </c>
      <c r="B668" s="6">
        <f t="shared" ca="1" si="10"/>
        <v>0.39116898825830371</v>
      </c>
      <c r="C668" s="6" t="s">
        <v>35</v>
      </c>
    </row>
    <row r="669" spans="1:3" x14ac:dyDescent="0.2">
      <c r="A669" s="6">
        <v>667</v>
      </c>
      <c r="B669" s="6">
        <f t="shared" ca="1" si="10"/>
        <v>0.55434446466481291</v>
      </c>
      <c r="C669" s="6" t="s">
        <v>34</v>
      </c>
    </row>
    <row r="670" spans="1:3" x14ac:dyDescent="0.2">
      <c r="A670" s="6">
        <v>668</v>
      </c>
      <c r="B670" s="6">
        <f t="shared" ca="1" si="10"/>
        <v>0.29561113693740509</v>
      </c>
      <c r="C670" s="6" t="s">
        <v>35</v>
      </c>
    </row>
    <row r="671" spans="1:3" x14ac:dyDescent="0.2">
      <c r="A671" s="6">
        <v>669</v>
      </c>
      <c r="B671" s="6">
        <f t="shared" ca="1" si="10"/>
        <v>0.55834081479074849</v>
      </c>
      <c r="C671" s="6" t="s">
        <v>35</v>
      </c>
    </row>
    <row r="672" spans="1:3" x14ac:dyDescent="0.2">
      <c r="A672" s="6">
        <v>670</v>
      </c>
      <c r="B672" s="6">
        <f t="shared" ca="1" si="10"/>
        <v>0.80670643274694076</v>
      </c>
      <c r="C672" s="6" t="s">
        <v>35</v>
      </c>
    </row>
    <row r="673" spans="1:3" x14ac:dyDescent="0.2">
      <c r="A673" s="6">
        <v>671</v>
      </c>
      <c r="B673" s="6">
        <f t="shared" ca="1" si="10"/>
        <v>0.78090147850091751</v>
      </c>
      <c r="C673" s="6" t="s">
        <v>35</v>
      </c>
    </row>
    <row r="674" spans="1:3" x14ac:dyDescent="0.2">
      <c r="A674" s="6">
        <v>672</v>
      </c>
      <c r="B674" s="6">
        <f t="shared" ca="1" si="10"/>
        <v>0.40643389840989019</v>
      </c>
      <c r="C674" s="6" t="s">
        <v>35</v>
      </c>
    </row>
    <row r="675" spans="1:3" x14ac:dyDescent="0.2">
      <c r="A675" s="6">
        <v>673</v>
      </c>
      <c r="B675" s="6">
        <f t="shared" ca="1" si="10"/>
        <v>0.54506301668919066</v>
      </c>
      <c r="C675" s="6" t="s">
        <v>35</v>
      </c>
    </row>
    <row r="676" spans="1:3" x14ac:dyDescent="0.2">
      <c r="A676" s="6">
        <v>674</v>
      </c>
      <c r="B676" s="6">
        <f t="shared" ca="1" si="10"/>
        <v>0.64857788446494014</v>
      </c>
      <c r="C676" s="6" t="s">
        <v>34</v>
      </c>
    </row>
    <row r="677" spans="1:3" x14ac:dyDescent="0.2">
      <c r="A677" s="6">
        <v>675</v>
      </c>
      <c r="B677" s="6">
        <f t="shared" ca="1" si="10"/>
        <v>0.47640716903686581</v>
      </c>
      <c r="C677" s="6" t="s">
        <v>35</v>
      </c>
    </row>
    <row r="678" spans="1:3" x14ac:dyDescent="0.2">
      <c r="A678" s="6">
        <v>676</v>
      </c>
      <c r="B678" s="6">
        <f t="shared" ca="1" si="10"/>
        <v>0.80945111315485985</v>
      </c>
      <c r="C678" s="6" t="s">
        <v>34</v>
      </c>
    </row>
    <row r="679" spans="1:3" x14ac:dyDescent="0.2">
      <c r="A679" s="6">
        <v>677</v>
      </c>
      <c r="B679" s="6">
        <f t="shared" ca="1" si="10"/>
        <v>0.5837581674709702</v>
      </c>
      <c r="C679" s="6" t="s">
        <v>35</v>
      </c>
    </row>
    <row r="680" spans="1:3" x14ac:dyDescent="0.2">
      <c r="A680" s="6">
        <v>678</v>
      </c>
      <c r="B680" s="6">
        <f t="shared" ca="1" si="10"/>
        <v>0.73748230958931549</v>
      </c>
      <c r="C680" s="6" t="s">
        <v>34</v>
      </c>
    </row>
    <row r="681" spans="1:3" x14ac:dyDescent="0.2">
      <c r="A681" s="6">
        <v>679</v>
      </c>
      <c r="B681" s="6">
        <f t="shared" ca="1" si="10"/>
        <v>0.63227173739368925</v>
      </c>
      <c r="C681" s="6" t="s">
        <v>35</v>
      </c>
    </row>
    <row r="682" spans="1:3" x14ac:dyDescent="0.2">
      <c r="A682" s="6">
        <v>680</v>
      </c>
      <c r="B682" s="6">
        <f t="shared" ca="1" si="10"/>
        <v>0.64098651383593552</v>
      </c>
      <c r="C682" s="6" t="s">
        <v>35</v>
      </c>
    </row>
    <row r="683" spans="1:3" x14ac:dyDescent="0.2">
      <c r="A683" s="6">
        <v>681</v>
      </c>
      <c r="B683" s="6">
        <f t="shared" ca="1" si="10"/>
        <v>0.61542948410913911</v>
      </c>
      <c r="C683" s="6" t="s">
        <v>35</v>
      </c>
    </row>
    <row r="684" spans="1:3" x14ac:dyDescent="0.2">
      <c r="A684" s="6">
        <v>682</v>
      </c>
      <c r="B684" s="6">
        <f t="shared" ca="1" si="10"/>
        <v>0.82700561495550762</v>
      </c>
      <c r="C684" s="6" t="s">
        <v>35</v>
      </c>
    </row>
    <row r="685" spans="1:3" x14ac:dyDescent="0.2">
      <c r="A685" s="6">
        <v>683</v>
      </c>
      <c r="B685" s="6">
        <f t="shared" ca="1" si="10"/>
        <v>0.5374109228515217</v>
      </c>
      <c r="C685" s="6" t="s">
        <v>35</v>
      </c>
    </row>
    <row r="686" spans="1:3" x14ac:dyDescent="0.2">
      <c r="A686" s="6">
        <v>684</v>
      </c>
      <c r="B686" s="6">
        <f t="shared" ca="1" si="10"/>
        <v>0.58769048406447411</v>
      </c>
      <c r="C686" s="6" t="s">
        <v>35</v>
      </c>
    </row>
    <row r="687" spans="1:3" x14ac:dyDescent="0.2">
      <c r="A687" s="6">
        <v>685</v>
      </c>
      <c r="B687" s="6">
        <f t="shared" ca="1" si="10"/>
        <v>0.83609209531124573</v>
      </c>
      <c r="C687" s="6" t="s">
        <v>34</v>
      </c>
    </row>
    <row r="688" spans="1:3" x14ac:dyDescent="0.2">
      <c r="A688" s="6">
        <v>686</v>
      </c>
      <c r="B688" s="6">
        <f t="shared" ca="1" si="10"/>
        <v>0.41990534709642546</v>
      </c>
      <c r="C688" s="6" t="s">
        <v>35</v>
      </c>
    </row>
    <row r="689" spans="1:3" x14ac:dyDescent="0.2">
      <c r="A689" s="6">
        <v>687</v>
      </c>
      <c r="B689" s="6">
        <f t="shared" ca="1" si="10"/>
        <v>0.66050480759754504</v>
      </c>
      <c r="C689" s="6" t="s">
        <v>35</v>
      </c>
    </row>
    <row r="690" spans="1:3" x14ac:dyDescent="0.2">
      <c r="A690" s="6">
        <v>688</v>
      </c>
      <c r="B690" s="6">
        <f t="shared" ca="1" si="10"/>
        <v>0.52179749595007408</v>
      </c>
      <c r="C690" s="6" t="s">
        <v>35</v>
      </c>
    </row>
    <row r="691" spans="1:3" x14ac:dyDescent="0.2">
      <c r="A691" s="6">
        <v>689</v>
      </c>
      <c r="B691" s="6">
        <f t="shared" ca="1" si="10"/>
        <v>0.74181073202465608</v>
      </c>
      <c r="C691" s="6" t="s">
        <v>35</v>
      </c>
    </row>
    <row r="692" spans="1:3" x14ac:dyDescent="0.2">
      <c r="A692" s="6">
        <v>690</v>
      </c>
      <c r="B692" s="6">
        <f t="shared" ca="1" si="10"/>
        <v>0.68156459168759254</v>
      </c>
      <c r="C692" s="6" t="s">
        <v>34</v>
      </c>
    </row>
    <row r="693" spans="1:3" x14ac:dyDescent="0.2">
      <c r="A693" s="6">
        <v>691</v>
      </c>
      <c r="B693" s="6">
        <f t="shared" ca="1" si="10"/>
        <v>0.77975947451390049</v>
      </c>
      <c r="C693" s="6" t="s">
        <v>34</v>
      </c>
    </row>
    <row r="694" spans="1:3" x14ac:dyDescent="0.2">
      <c r="A694" s="6">
        <v>692</v>
      </c>
      <c r="B694" s="6">
        <f t="shared" ca="1" si="10"/>
        <v>0.59485694791706445</v>
      </c>
      <c r="C694" s="6" t="s">
        <v>34</v>
      </c>
    </row>
    <row r="695" spans="1:3" x14ac:dyDescent="0.2">
      <c r="A695" s="6">
        <v>693</v>
      </c>
      <c r="B695" s="6">
        <f t="shared" ca="1" si="10"/>
        <v>0.70953074929506998</v>
      </c>
      <c r="C695" s="6" t="s">
        <v>34</v>
      </c>
    </row>
    <row r="696" spans="1:3" x14ac:dyDescent="0.2">
      <c r="A696" s="6">
        <v>694</v>
      </c>
      <c r="B696" s="6">
        <f t="shared" ca="1" si="10"/>
        <v>0.55279062425999315</v>
      </c>
      <c r="C696" s="6" t="s">
        <v>35</v>
      </c>
    </row>
    <row r="697" spans="1:3" x14ac:dyDescent="0.2">
      <c r="A697" s="6">
        <v>695</v>
      </c>
      <c r="B697" s="6">
        <f t="shared" ca="1" si="10"/>
        <v>0.46075652566795255</v>
      </c>
      <c r="C697" s="6" t="s">
        <v>35</v>
      </c>
    </row>
    <row r="698" spans="1:3" x14ac:dyDescent="0.2">
      <c r="A698" s="6">
        <v>696</v>
      </c>
      <c r="B698" s="6">
        <f t="shared" ca="1" si="10"/>
        <v>0.61104996691669389</v>
      </c>
      <c r="C698" s="6" t="s">
        <v>35</v>
      </c>
    </row>
    <row r="699" spans="1:3" x14ac:dyDescent="0.2">
      <c r="A699" s="6">
        <v>697</v>
      </c>
      <c r="B699" s="6">
        <f t="shared" ca="1" si="10"/>
        <v>0.65580515285700991</v>
      </c>
      <c r="C699" s="6" t="s">
        <v>35</v>
      </c>
    </row>
    <row r="700" spans="1:3" x14ac:dyDescent="0.2">
      <c r="A700" s="6">
        <v>698</v>
      </c>
      <c r="B700" s="6">
        <f t="shared" ca="1" si="10"/>
        <v>0.75053676660755009</v>
      </c>
      <c r="C700" s="6" t="s">
        <v>34</v>
      </c>
    </row>
    <row r="701" spans="1:3" x14ac:dyDescent="0.2">
      <c r="A701" s="6">
        <v>699</v>
      </c>
      <c r="B701" s="6">
        <f t="shared" ca="1" si="10"/>
        <v>0.45683940766343278</v>
      </c>
      <c r="C701" s="6" t="s">
        <v>35</v>
      </c>
    </row>
    <row r="702" spans="1:3" x14ac:dyDescent="0.2">
      <c r="A702" s="6">
        <v>700</v>
      </c>
      <c r="B702" s="6">
        <f t="shared" ca="1" si="10"/>
        <v>0.79338163488776881</v>
      </c>
      <c r="C702" s="6" t="s">
        <v>35</v>
      </c>
    </row>
    <row r="703" spans="1:3" x14ac:dyDescent="0.2">
      <c r="A703" s="6">
        <v>701</v>
      </c>
      <c r="B703" s="6">
        <f t="shared" ca="1" si="10"/>
        <v>0.68781475558620431</v>
      </c>
      <c r="C703" s="6" t="s">
        <v>35</v>
      </c>
    </row>
    <row r="704" spans="1:3" x14ac:dyDescent="0.2">
      <c r="A704" s="6">
        <v>702</v>
      </c>
      <c r="B704" s="6">
        <f t="shared" ca="1" si="10"/>
        <v>0.6272191668062117</v>
      </c>
      <c r="C704" s="6" t="s">
        <v>35</v>
      </c>
    </row>
    <row r="705" spans="1:3" x14ac:dyDescent="0.2">
      <c r="A705" s="6">
        <v>703</v>
      </c>
      <c r="B705" s="6">
        <f t="shared" ca="1" si="10"/>
        <v>0.63318316845650102</v>
      </c>
      <c r="C705" s="6" t="s">
        <v>34</v>
      </c>
    </row>
    <row r="706" spans="1:3" x14ac:dyDescent="0.2">
      <c r="A706" s="6">
        <v>704</v>
      </c>
      <c r="B706" s="6">
        <f t="shared" ca="1" si="10"/>
        <v>0.76687307920674874</v>
      </c>
      <c r="C706" s="6" t="s">
        <v>34</v>
      </c>
    </row>
    <row r="707" spans="1:3" x14ac:dyDescent="0.2">
      <c r="A707" s="6">
        <v>705</v>
      </c>
      <c r="B707" s="6">
        <f t="shared" ca="1" si="10"/>
        <v>0.52224176871474881</v>
      </c>
      <c r="C707" s="6" t="s">
        <v>35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0.59447298375430579</v>
      </c>
      <c r="C708" s="6" t="s">
        <v>35</v>
      </c>
    </row>
    <row r="709" spans="1:3" x14ac:dyDescent="0.2">
      <c r="A709" s="6">
        <v>707</v>
      </c>
      <c r="B709" s="6">
        <f t="shared" ca="1" si="11"/>
        <v>0.4945583197793349</v>
      </c>
      <c r="C709" s="6" t="s">
        <v>35</v>
      </c>
    </row>
    <row r="710" spans="1:3" x14ac:dyDescent="0.2">
      <c r="A710" s="6">
        <v>708</v>
      </c>
      <c r="B710" s="6">
        <f t="shared" ca="1" si="11"/>
        <v>0.74101403537582211</v>
      </c>
      <c r="C710" s="6" t="s">
        <v>34</v>
      </c>
    </row>
    <row r="711" spans="1:3" x14ac:dyDescent="0.2">
      <c r="A711" s="6">
        <v>709</v>
      </c>
      <c r="B711" s="6">
        <f t="shared" ca="1" si="11"/>
        <v>0.69738677723136955</v>
      </c>
      <c r="C711" s="6" t="s">
        <v>34</v>
      </c>
    </row>
    <row r="712" spans="1:3" x14ac:dyDescent="0.2">
      <c r="A712" s="6">
        <v>710</v>
      </c>
      <c r="B712" s="6">
        <f t="shared" ca="1" si="11"/>
        <v>0.84840810237173647</v>
      </c>
      <c r="C712" s="6" t="s">
        <v>34</v>
      </c>
    </row>
    <row r="713" spans="1:3" x14ac:dyDescent="0.2">
      <c r="A713" s="6">
        <v>711</v>
      </c>
      <c r="B713" s="6">
        <f t="shared" ca="1" si="11"/>
        <v>0.52423296727463486</v>
      </c>
      <c r="C713" s="6" t="s">
        <v>35</v>
      </c>
    </row>
    <row r="714" spans="1:3" x14ac:dyDescent="0.2">
      <c r="A714" s="6">
        <v>712</v>
      </c>
      <c r="B714" s="6">
        <f t="shared" ca="1" si="11"/>
        <v>0.65490035537550273</v>
      </c>
      <c r="C714" s="6" t="s">
        <v>34</v>
      </c>
    </row>
    <row r="715" spans="1:3" x14ac:dyDescent="0.2">
      <c r="A715" s="6">
        <v>713</v>
      </c>
      <c r="B715" s="6">
        <f t="shared" ca="1" si="11"/>
        <v>0.6150400900580123</v>
      </c>
      <c r="C715" s="6" t="s">
        <v>35</v>
      </c>
    </row>
    <row r="716" spans="1:3" x14ac:dyDescent="0.2">
      <c r="A716" s="6">
        <v>714</v>
      </c>
      <c r="B716" s="6">
        <f t="shared" ca="1" si="11"/>
        <v>0.50790532701945312</v>
      </c>
      <c r="C716" s="6" t="s">
        <v>35</v>
      </c>
    </row>
    <row r="717" spans="1:3" x14ac:dyDescent="0.2">
      <c r="A717" s="6">
        <v>715</v>
      </c>
      <c r="B717" s="6">
        <f t="shared" ca="1" si="11"/>
        <v>0.67127568135844706</v>
      </c>
      <c r="C717" s="6" t="s">
        <v>35</v>
      </c>
    </row>
    <row r="718" spans="1:3" x14ac:dyDescent="0.2">
      <c r="A718" s="6">
        <v>716</v>
      </c>
      <c r="B718" s="6">
        <f t="shared" ca="1" si="11"/>
        <v>0.62958066072794594</v>
      </c>
      <c r="C718" s="6" t="s">
        <v>34</v>
      </c>
    </row>
    <row r="719" spans="1:3" x14ac:dyDescent="0.2">
      <c r="A719" s="6">
        <v>717</v>
      </c>
      <c r="B719" s="6">
        <f t="shared" ca="1" si="11"/>
        <v>0.81241510370644499</v>
      </c>
      <c r="C719" s="6" t="s">
        <v>35</v>
      </c>
    </row>
    <row r="720" spans="1:3" x14ac:dyDescent="0.2">
      <c r="A720" s="6">
        <v>718</v>
      </c>
      <c r="B720" s="6">
        <f t="shared" ca="1" si="11"/>
        <v>0.47492613753374735</v>
      </c>
      <c r="C720" s="6" t="s">
        <v>35</v>
      </c>
    </row>
    <row r="721" spans="1:3" x14ac:dyDescent="0.2">
      <c r="A721" s="6">
        <v>719</v>
      </c>
      <c r="B721" s="6">
        <f t="shared" ca="1" si="11"/>
        <v>0.13889536296361527</v>
      </c>
      <c r="C721" s="6" t="s">
        <v>35</v>
      </c>
    </row>
    <row r="722" spans="1:3" x14ac:dyDescent="0.2">
      <c r="A722" s="6">
        <v>720</v>
      </c>
      <c r="B722" s="6">
        <f t="shared" ca="1" si="11"/>
        <v>0.45048268005294068</v>
      </c>
      <c r="C722" s="6" t="s">
        <v>35</v>
      </c>
    </row>
    <row r="723" spans="1:3" x14ac:dyDescent="0.2">
      <c r="A723" s="6">
        <v>721</v>
      </c>
      <c r="B723" s="6">
        <f t="shared" ca="1" si="11"/>
        <v>0.76008279583119809</v>
      </c>
      <c r="C723" s="6" t="s">
        <v>34</v>
      </c>
    </row>
    <row r="724" spans="1:3" x14ac:dyDescent="0.2">
      <c r="A724" s="6">
        <v>722</v>
      </c>
      <c r="B724" s="6">
        <f t="shared" ca="1" si="11"/>
        <v>0.49935578752427368</v>
      </c>
      <c r="C724" s="6" t="s">
        <v>35</v>
      </c>
    </row>
    <row r="725" spans="1:3" x14ac:dyDescent="0.2">
      <c r="A725" s="6">
        <v>723</v>
      </c>
      <c r="B725" s="6">
        <f t="shared" ca="1" si="11"/>
        <v>0.78953935252774565</v>
      </c>
      <c r="C725" s="6" t="s">
        <v>34</v>
      </c>
    </row>
    <row r="726" spans="1:3" x14ac:dyDescent="0.2">
      <c r="A726" s="6">
        <v>724</v>
      </c>
      <c r="B726" s="6">
        <f t="shared" ca="1" si="11"/>
        <v>0.50609265774039902</v>
      </c>
      <c r="C726" s="6" t="s">
        <v>34</v>
      </c>
    </row>
    <row r="727" spans="1:3" x14ac:dyDescent="0.2">
      <c r="A727" s="6">
        <v>725</v>
      </c>
      <c r="B727" s="6">
        <f t="shared" ca="1" si="11"/>
        <v>0.9862773923562167</v>
      </c>
      <c r="C727" s="6" t="s">
        <v>35</v>
      </c>
    </row>
    <row r="728" spans="1:3" x14ac:dyDescent="0.2">
      <c r="A728" s="6">
        <v>726</v>
      </c>
      <c r="B728" s="6">
        <f t="shared" ca="1" si="11"/>
        <v>0.51856474780087491</v>
      </c>
      <c r="C728" s="6" t="s">
        <v>35</v>
      </c>
    </row>
    <row r="729" spans="1:3" x14ac:dyDescent="0.2">
      <c r="A729" s="6">
        <v>727</v>
      </c>
      <c r="B729" s="6">
        <f t="shared" ca="1" si="11"/>
        <v>0.61347837526022042</v>
      </c>
      <c r="C729" s="6" t="s">
        <v>34</v>
      </c>
    </row>
    <row r="730" spans="1:3" x14ac:dyDescent="0.2">
      <c r="A730" s="6">
        <v>728</v>
      </c>
      <c r="B730" s="6">
        <f t="shared" ca="1" si="11"/>
        <v>0.64771722910764473</v>
      </c>
      <c r="C730" s="6" t="s">
        <v>35</v>
      </c>
    </row>
    <row r="731" spans="1:3" x14ac:dyDescent="0.2">
      <c r="A731" s="6">
        <v>729</v>
      </c>
      <c r="B731" s="6">
        <f t="shared" ca="1" si="11"/>
        <v>0.70560346845137145</v>
      </c>
      <c r="C731" s="6" t="s">
        <v>34</v>
      </c>
    </row>
    <row r="732" spans="1:3" x14ac:dyDescent="0.2">
      <c r="A732" s="6">
        <v>730</v>
      </c>
      <c r="B732" s="6">
        <f t="shared" ca="1" si="11"/>
        <v>0.96034347460435043</v>
      </c>
      <c r="C732" s="6" t="s">
        <v>34</v>
      </c>
    </row>
    <row r="733" spans="1:3" x14ac:dyDescent="0.2">
      <c r="A733" s="6">
        <v>731</v>
      </c>
      <c r="B733" s="6">
        <f t="shared" ca="1" si="11"/>
        <v>0.70347876511880569</v>
      </c>
      <c r="C733" s="6" t="s">
        <v>34</v>
      </c>
    </row>
    <row r="734" spans="1:3" x14ac:dyDescent="0.2">
      <c r="A734" s="6">
        <v>732</v>
      </c>
      <c r="B734" s="6">
        <f t="shared" ca="1" si="11"/>
        <v>0.7446600828111426</v>
      </c>
      <c r="C734" s="6" t="s">
        <v>35</v>
      </c>
    </row>
    <row r="735" spans="1:3" x14ac:dyDescent="0.2">
      <c r="A735" s="6">
        <v>733</v>
      </c>
      <c r="B735" s="6">
        <f t="shared" ca="1" si="11"/>
        <v>0.60685630247244915</v>
      </c>
      <c r="C735" s="6" t="s">
        <v>35</v>
      </c>
    </row>
    <row r="736" spans="1:3" x14ac:dyDescent="0.2">
      <c r="A736" s="6">
        <v>734</v>
      </c>
      <c r="B736" s="6">
        <f t="shared" ca="1" si="11"/>
        <v>0.65891593758793954</v>
      </c>
      <c r="C736" s="6" t="s">
        <v>35</v>
      </c>
    </row>
    <row r="737" spans="1:3" x14ac:dyDescent="0.2">
      <c r="A737" s="6">
        <v>735</v>
      </c>
      <c r="B737" s="6">
        <f t="shared" ca="1" si="11"/>
        <v>0.7353260982566141</v>
      </c>
      <c r="C737" s="6" t="s">
        <v>34</v>
      </c>
    </row>
    <row r="738" spans="1:3" x14ac:dyDescent="0.2">
      <c r="A738" s="6">
        <v>736</v>
      </c>
      <c r="B738" s="6">
        <f t="shared" ca="1" si="11"/>
        <v>0.68779778394062285</v>
      </c>
      <c r="C738" s="6" t="s">
        <v>34</v>
      </c>
    </row>
    <row r="739" spans="1:3" x14ac:dyDescent="0.2">
      <c r="A739" s="6">
        <v>737</v>
      </c>
      <c r="B739" s="6">
        <f t="shared" ca="1" si="11"/>
        <v>0.50228123351669918</v>
      </c>
      <c r="C739" s="6" t="s">
        <v>35</v>
      </c>
    </row>
    <row r="740" spans="1:3" x14ac:dyDescent="0.2">
      <c r="A740" s="6">
        <v>738</v>
      </c>
      <c r="B740" s="6">
        <f t="shared" ca="1" si="11"/>
        <v>0.70085845145878145</v>
      </c>
      <c r="C740" s="6" t="s">
        <v>35</v>
      </c>
    </row>
    <row r="741" spans="1:3" x14ac:dyDescent="0.2">
      <c r="A741" s="6">
        <v>739</v>
      </c>
      <c r="B741" s="6">
        <f t="shared" ca="1" si="11"/>
        <v>0.73894362295978333</v>
      </c>
      <c r="C741" s="6" t="s">
        <v>34</v>
      </c>
    </row>
    <row r="742" spans="1:3" x14ac:dyDescent="0.2">
      <c r="A742" s="6">
        <v>740</v>
      </c>
      <c r="B742" s="6">
        <f t="shared" ca="1" si="11"/>
        <v>0.63434729175755511</v>
      </c>
      <c r="C742" s="6" t="s">
        <v>35</v>
      </c>
    </row>
    <row r="743" spans="1:3" x14ac:dyDescent="0.2">
      <c r="A743" s="6">
        <v>741</v>
      </c>
      <c r="B743" s="6">
        <f t="shared" ca="1" si="11"/>
        <v>0.59717846018725163</v>
      </c>
      <c r="C743" s="6" t="s">
        <v>35</v>
      </c>
    </row>
    <row r="744" spans="1:3" x14ac:dyDescent="0.2">
      <c r="A744" s="6">
        <v>742</v>
      </c>
      <c r="B744" s="6">
        <f t="shared" ca="1" si="11"/>
        <v>0.47628068223221293</v>
      </c>
      <c r="C744" s="6" t="s">
        <v>35</v>
      </c>
    </row>
    <row r="745" spans="1:3" x14ac:dyDescent="0.2">
      <c r="A745" s="6">
        <v>743</v>
      </c>
      <c r="B745" s="6">
        <f t="shared" ca="1" si="11"/>
        <v>0.75285316911775635</v>
      </c>
      <c r="C745" s="6" t="s">
        <v>35</v>
      </c>
    </row>
    <row r="746" spans="1:3" x14ac:dyDescent="0.2">
      <c r="A746" s="6">
        <v>744</v>
      </c>
      <c r="B746" s="6">
        <f t="shared" ca="1" si="11"/>
        <v>0.60525405456578574</v>
      </c>
      <c r="C746" s="6" t="s">
        <v>35</v>
      </c>
    </row>
    <row r="747" spans="1:3" x14ac:dyDescent="0.2">
      <c r="A747" s="6">
        <v>745</v>
      </c>
      <c r="B747" s="6">
        <f t="shared" ca="1" si="11"/>
        <v>0.50023939182633181</v>
      </c>
      <c r="C747" s="6" t="s">
        <v>35</v>
      </c>
    </row>
    <row r="748" spans="1:3" x14ac:dyDescent="0.2">
      <c r="A748" s="6">
        <v>746</v>
      </c>
      <c r="B748" s="6">
        <f t="shared" ca="1" si="11"/>
        <v>0.66472459796480288</v>
      </c>
      <c r="C748" s="6" t="s">
        <v>34</v>
      </c>
    </row>
    <row r="749" spans="1:3" x14ac:dyDescent="0.2">
      <c r="A749" s="6">
        <v>747</v>
      </c>
      <c r="B749" s="6">
        <f t="shared" ca="1" si="11"/>
        <v>0.5347335425666675</v>
      </c>
      <c r="C749" s="6" t="s">
        <v>34</v>
      </c>
    </row>
    <row r="750" spans="1:3" x14ac:dyDescent="0.2">
      <c r="A750" s="6">
        <v>748</v>
      </c>
      <c r="B750" s="6">
        <f t="shared" ca="1" si="11"/>
        <v>0.62288194918154915</v>
      </c>
      <c r="C750" s="6" t="s">
        <v>35</v>
      </c>
    </row>
    <row r="751" spans="1:3" x14ac:dyDescent="0.2">
      <c r="A751" s="6">
        <v>749</v>
      </c>
      <c r="B751" s="6">
        <f t="shared" ca="1" si="11"/>
        <v>0.8396570970595284</v>
      </c>
      <c r="C751" s="6" t="s">
        <v>34</v>
      </c>
    </row>
    <row r="752" spans="1:3" x14ac:dyDescent="0.2">
      <c r="A752" s="6">
        <v>750</v>
      </c>
      <c r="B752" s="6">
        <f t="shared" ca="1" si="11"/>
        <v>0.68028370776556535</v>
      </c>
      <c r="C752" s="6" t="s">
        <v>35</v>
      </c>
    </row>
    <row r="753" spans="1:3" x14ac:dyDescent="0.2">
      <c r="A753" s="6">
        <v>751</v>
      </c>
      <c r="B753" s="6">
        <f t="shared" ca="1" si="11"/>
        <v>0.77229028584659654</v>
      </c>
      <c r="C753" s="6" t="s">
        <v>34</v>
      </c>
    </row>
    <row r="754" spans="1:3" x14ac:dyDescent="0.2">
      <c r="A754" s="6">
        <v>752</v>
      </c>
      <c r="B754" s="6">
        <f t="shared" ca="1" si="11"/>
        <v>0.73683688929422153</v>
      </c>
      <c r="C754" s="6" t="s">
        <v>34</v>
      </c>
    </row>
    <row r="755" spans="1:3" x14ac:dyDescent="0.2">
      <c r="A755" s="6">
        <v>753</v>
      </c>
      <c r="B755" s="6">
        <f t="shared" ca="1" si="11"/>
        <v>0.77154952977291125</v>
      </c>
      <c r="C755" s="6" t="s">
        <v>34</v>
      </c>
    </row>
    <row r="756" spans="1:3" x14ac:dyDescent="0.2">
      <c r="A756" s="6">
        <v>754</v>
      </c>
      <c r="B756" s="6">
        <f t="shared" ca="1" si="11"/>
        <v>0.58182035490757611</v>
      </c>
      <c r="C756" s="6" t="s">
        <v>34</v>
      </c>
    </row>
    <row r="757" spans="1:3" x14ac:dyDescent="0.2">
      <c r="A757" s="6">
        <v>755</v>
      </c>
      <c r="B757" s="6">
        <f t="shared" ca="1" si="11"/>
        <v>0.4193923920123378</v>
      </c>
      <c r="C757" s="6" t="s">
        <v>35</v>
      </c>
    </row>
    <row r="758" spans="1:3" x14ac:dyDescent="0.2">
      <c r="A758" s="6">
        <v>756</v>
      </c>
      <c r="B758" s="6">
        <f t="shared" ca="1" si="11"/>
        <v>0.67231951247215338</v>
      </c>
      <c r="C758" s="6" t="s">
        <v>34</v>
      </c>
    </row>
    <row r="759" spans="1:3" x14ac:dyDescent="0.2">
      <c r="A759" s="6">
        <v>757</v>
      </c>
      <c r="B759" s="6">
        <f t="shared" ca="1" si="11"/>
        <v>0.64536387504337289</v>
      </c>
      <c r="C759" s="6" t="s">
        <v>34</v>
      </c>
    </row>
    <row r="760" spans="1:3" x14ac:dyDescent="0.2">
      <c r="A760" s="6">
        <v>758</v>
      </c>
      <c r="B760" s="6">
        <f t="shared" ca="1" si="11"/>
        <v>0.71463245205321624</v>
      </c>
      <c r="C760" s="6" t="s">
        <v>34</v>
      </c>
    </row>
    <row r="761" spans="1:3" x14ac:dyDescent="0.2">
      <c r="A761" s="6">
        <v>759</v>
      </c>
      <c r="B761" s="6">
        <f t="shared" ca="1" si="11"/>
        <v>0.80013804450127657</v>
      </c>
      <c r="C761" s="6" t="s">
        <v>35</v>
      </c>
    </row>
    <row r="762" spans="1:3" x14ac:dyDescent="0.2">
      <c r="A762" s="6">
        <v>760</v>
      </c>
      <c r="B762" s="6">
        <f t="shared" ca="1" si="11"/>
        <v>0.67063700052850317</v>
      </c>
      <c r="C762" s="6" t="s">
        <v>34</v>
      </c>
    </row>
    <row r="763" spans="1:3" x14ac:dyDescent="0.2">
      <c r="A763" s="6">
        <v>761</v>
      </c>
      <c r="B763" s="6">
        <f t="shared" ca="1" si="11"/>
        <v>0.60987938576912326</v>
      </c>
      <c r="C763" s="6" t="s">
        <v>35</v>
      </c>
    </row>
    <row r="764" spans="1:3" x14ac:dyDescent="0.2">
      <c r="A764" s="6">
        <v>762</v>
      </c>
      <c r="B764" s="6">
        <f t="shared" ca="1" si="11"/>
        <v>0.81004473683962519</v>
      </c>
      <c r="C764" s="6" t="s">
        <v>35</v>
      </c>
    </row>
    <row r="765" spans="1:3" x14ac:dyDescent="0.2">
      <c r="A765" s="6">
        <v>763</v>
      </c>
      <c r="B765" s="6">
        <f t="shared" ca="1" si="11"/>
        <v>0.42619378270337271</v>
      </c>
      <c r="C765" s="6" t="s">
        <v>35</v>
      </c>
    </row>
    <row r="766" spans="1:3" x14ac:dyDescent="0.2">
      <c r="A766" s="6">
        <v>764</v>
      </c>
      <c r="B766" s="6">
        <f t="shared" ca="1" si="11"/>
        <v>0.38225928572556905</v>
      </c>
      <c r="C766" s="6" t="s">
        <v>35</v>
      </c>
    </row>
    <row r="767" spans="1:3" x14ac:dyDescent="0.2">
      <c r="A767" s="6">
        <v>765</v>
      </c>
      <c r="B767" s="6">
        <f t="shared" ca="1" si="11"/>
        <v>0.16680204356387385</v>
      </c>
      <c r="C767" s="6" t="s">
        <v>35</v>
      </c>
    </row>
    <row r="768" spans="1:3" x14ac:dyDescent="0.2">
      <c r="A768" s="6">
        <v>766</v>
      </c>
      <c r="B768" s="6">
        <f t="shared" ca="1" si="11"/>
        <v>0.45026369804343619</v>
      </c>
      <c r="C768" s="6" t="s">
        <v>35</v>
      </c>
    </row>
    <row r="769" spans="1:3" x14ac:dyDescent="0.2">
      <c r="A769" s="6">
        <v>767</v>
      </c>
      <c r="B769" s="6">
        <f t="shared" ca="1" si="11"/>
        <v>0.63165699477575232</v>
      </c>
      <c r="C769" s="6" t="s">
        <v>34</v>
      </c>
    </row>
    <row r="770" spans="1:3" x14ac:dyDescent="0.2">
      <c r="A770" s="6">
        <v>768</v>
      </c>
      <c r="B770" s="6">
        <f t="shared" ca="1" si="11"/>
        <v>0.79937276441481442</v>
      </c>
      <c r="C770" s="6" t="s">
        <v>34</v>
      </c>
    </row>
    <row r="771" spans="1:3" x14ac:dyDescent="0.2">
      <c r="A771" s="6">
        <v>769</v>
      </c>
      <c r="B771" s="6">
        <f t="shared" ca="1" si="11"/>
        <v>0.39145693309997165</v>
      </c>
      <c r="C771" s="6" t="s">
        <v>35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0.68430727841785055</v>
      </c>
      <c r="C772" s="6" t="s">
        <v>34</v>
      </c>
    </row>
    <row r="773" spans="1:3" x14ac:dyDescent="0.2">
      <c r="A773" s="6">
        <v>771</v>
      </c>
      <c r="B773" s="6">
        <f t="shared" ca="1" si="12"/>
        <v>0.45856280762207635</v>
      </c>
      <c r="C773" s="6" t="s">
        <v>35</v>
      </c>
    </row>
    <row r="774" spans="1:3" x14ac:dyDescent="0.2">
      <c r="A774" s="6">
        <v>772</v>
      </c>
      <c r="B774" s="6">
        <f t="shared" ca="1" si="12"/>
        <v>0.51903749514523834</v>
      </c>
      <c r="C774" s="6" t="s">
        <v>35</v>
      </c>
    </row>
    <row r="775" spans="1:3" x14ac:dyDescent="0.2">
      <c r="A775" s="6">
        <v>773</v>
      </c>
      <c r="B775" s="6">
        <f t="shared" ca="1" si="12"/>
        <v>0.68396454885539038</v>
      </c>
      <c r="C775" s="6" t="s">
        <v>35</v>
      </c>
    </row>
    <row r="776" spans="1:3" x14ac:dyDescent="0.2">
      <c r="A776" s="6">
        <v>774</v>
      </c>
      <c r="B776" s="6">
        <f t="shared" ca="1" si="12"/>
        <v>0.5547221566644619</v>
      </c>
      <c r="C776" s="6" t="s">
        <v>35</v>
      </c>
    </row>
    <row r="777" spans="1:3" x14ac:dyDescent="0.2">
      <c r="A777" s="6">
        <v>775</v>
      </c>
      <c r="B777" s="6">
        <f t="shared" ca="1" si="12"/>
        <v>0.70426288280561122</v>
      </c>
      <c r="C777" s="6" t="s">
        <v>34</v>
      </c>
    </row>
    <row r="778" spans="1:3" x14ac:dyDescent="0.2">
      <c r="A778" s="6">
        <v>776</v>
      </c>
      <c r="B778" s="6">
        <f t="shared" ca="1" si="12"/>
        <v>0.69585252396614017</v>
      </c>
      <c r="C778" s="6" t="s">
        <v>35</v>
      </c>
    </row>
    <row r="779" spans="1:3" x14ac:dyDescent="0.2">
      <c r="A779" s="6">
        <v>777</v>
      </c>
      <c r="B779" s="6">
        <f t="shared" ca="1" si="12"/>
        <v>0.83987755268128383</v>
      </c>
      <c r="C779" s="6" t="s">
        <v>34</v>
      </c>
    </row>
    <row r="780" spans="1:3" x14ac:dyDescent="0.2">
      <c r="A780" s="6">
        <v>778</v>
      </c>
      <c r="B780" s="6">
        <f t="shared" ca="1" si="12"/>
        <v>0.63613964078632235</v>
      </c>
      <c r="C780" s="6" t="s">
        <v>34</v>
      </c>
    </row>
    <row r="781" spans="1:3" x14ac:dyDescent="0.2">
      <c r="A781" s="6">
        <v>779</v>
      </c>
      <c r="B781" s="6">
        <f t="shared" ca="1" si="12"/>
        <v>0.74029411992667804</v>
      </c>
      <c r="C781" s="6" t="s">
        <v>34</v>
      </c>
    </row>
    <row r="782" spans="1:3" x14ac:dyDescent="0.2">
      <c r="A782" s="6">
        <v>780</v>
      </c>
      <c r="B782" s="6">
        <f t="shared" ca="1" si="12"/>
        <v>0.69013932455888027</v>
      </c>
      <c r="C782" s="6" t="s">
        <v>34</v>
      </c>
    </row>
    <row r="783" spans="1:3" x14ac:dyDescent="0.2">
      <c r="A783" s="6">
        <v>781</v>
      </c>
      <c r="B783" s="6">
        <f t="shared" ca="1" si="12"/>
        <v>0.70757378881536681</v>
      </c>
      <c r="C783" s="6" t="s">
        <v>34</v>
      </c>
    </row>
    <row r="784" spans="1:3" x14ac:dyDescent="0.2">
      <c r="A784" s="6">
        <v>782</v>
      </c>
      <c r="B784" s="6">
        <f t="shared" ca="1" si="12"/>
        <v>0.70961819399368564</v>
      </c>
      <c r="C784" s="6" t="s">
        <v>34</v>
      </c>
    </row>
    <row r="785" spans="1:3" x14ac:dyDescent="0.2">
      <c r="A785" s="6">
        <v>783</v>
      </c>
      <c r="B785" s="6">
        <f t="shared" ca="1" si="12"/>
        <v>0.73712262612777846</v>
      </c>
      <c r="C785" s="6" t="s">
        <v>34</v>
      </c>
    </row>
    <row r="786" spans="1:3" x14ac:dyDescent="0.2">
      <c r="A786" s="6">
        <v>784</v>
      </c>
      <c r="B786" s="6">
        <f t="shared" ca="1" si="12"/>
        <v>0.57051249265073201</v>
      </c>
      <c r="C786" s="6" t="s">
        <v>35</v>
      </c>
    </row>
    <row r="787" spans="1:3" x14ac:dyDescent="0.2">
      <c r="A787" s="6">
        <v>785</v>
      </c>
      <c r="B787" s="6">
        <f t="shared" ca="1" si="12"/>
        <v>0.81098648079752844</v>
      </c>
      <c r="C787" s="6" t="s">
        <v>35</v>
      </c>
    </row>
    <row r="788" spans="1:3" x14ac:dyDescent="0.2">
      <c r="A788" s="6">
        <v>786</v>
      </c>
      <c r="B788" s="6">
        <f t="shared" ca="1" si="12"/>
        <v>0.46558317089829282</v>
      </c>
      <c r="C788" s="6" t="s">
        <v>35</v>
      </c>
    </row>
    <row r="789" spans="1:3" x14ac:dyDescent="0.2">
      <c r="A789" s="6">
        <v>787</v>
      </c>
      <c r="B789" s="6">
        <f t="shared" ca="1" si="12"/>
        <v>0.74023941600432785</v>
      </c>
      <c r="C789" s="6" t="s">
        <v>34</v>
      </c>
    </row>
    <row r="790" spans="1:3" x14ac:dyDescent="0.2">
      <c r="A790" s="6">
        <v>788</v>
      </c>
      <c r="B790" s="6">
        <f t="shared" ca="1" si="12"/>
        <v>0.31431930266988722</v>
      </c>
      <c r="C790" s="6" t="s">
        <v>35</v>
      </c>
    </row>
    <row r="791" spans="1:3" x14ac:dyDescent="0.2">
      <c r="A791" s="6">
        <v>789</v>
      </c>
      <c r="B791" s="6">
        <f t="shared" ca="1" si="12"/>
        <v>0.60777834771183925</v>
      </c>
      <c r="C791" s="6" t="s">
        <v>34</v>
      </c>
    </row>
    <row r="792" spans="1:3" x14ac:dyDescent="0.2">
      <c r="A792" s="6">
        <v>790</v>
      </c>
      <c r="B792" s="6">
        <f t="shared" ca="1" si="12"/>
        <v>0.74583402701429069</v>
      </c>
      <c r="C792" s="6" t="s">
        <v>34</v>
      </c>
    </row>
    <row r="793" spans="1:3" x14ac:dyDescent="0.2">
      <c r="A793" s="6">
        <v>791</v>
      </c>
      <c r="B793" s="6">
        <f t="shared" ca="1" si="12"/>
        <v>0.82492522619351416</v>
      </c>
      <c r="C793" s="6" t="s">
        <v>35</v>
      </c>
    </row>
    <row r="794" spans="1:3" x14ac:dyDescent="0.2">
      <c r="A794" s="6">
        <v>792</v>
      </c>
      <c r="B794" s="6">
        <f t="shared" ca="1" si="12"/>
        <v>0.73034719024969041</v>
      </c>
      <c r="C794" s="6" t="s">
        <v>35</v>
      </c>
    </row>
    <row r="795" spans="1:3" x14ac:dyDescent="0.2">
      <c r="A795" s="6">
        <v>793</v>
      </c>
      <c r="B795" s="6">
        <f t="shared" ca="1" si="12"/>
        <v>0.44719215755911906</v>
      </c>
      <c r="C795" s="6" t="s">
        <v>34</v>
      </c>
    </row>
    <row r="796" spans="1:3" x14ac:dyDescent="0.2">
      <c r="A796" s="6">
        <v>794</v>
      </c>
      <c r="B796" s="6">
        <f t="shared" ca="1" si="12"/>
        <v>0.69926246407841897</v>
      </c>
      <c r="C796" s="6" t="s">
        <v>35</v>
      </c>
    </row>
    <row r="797" spans="1:3" x14ac:dyDescent="0.2">
      <c r="A797" s="6">
        <v>795</v>
      </c>
      <c r="B797" s="6">
        <f t="shared" ca="1" si="12"/>
        <v>0.36280551978646447</v>
      </c>
      <c r="C797" s="6" t="s">
        <v>35</v>
      </c>
    </row>
    <row r="798" spans="1:3" x14ac:dyDescent="0.2">
      <c r="A798" s="6">
        <v>796</v>
      </c>
      <c r="B798" s="6">
        <f t="shared" ca="1" si="12"/>
        <v>0.73523433422353746</v>
      </c>
      <c r="C798" s="6" t="s">
        <v>35</v>
      </c>
    </row>
    <row r="799" spans="1:3" x14ac:dyDescent="0.2">
      <c r="A799" s="6">
        <v>797</v>
      </c>
      <c r="B799" s="6">
        <f t="shared" ca="1" si="12"/>
        <v>0.74763318646603916</v>
      </c>
      <c r="C799" s="6" t="s">
        <v>35</v>
      </c>
    </row>
    <row r="800" spans="1:3" x14ac:dyDescent="0.2">
      <c r="A800" s="6">
        <v>798</v>
      </c>
      <c r="B800" s="6">
        <f t="shared" ca="1" si="12"/>
        <v>0.67444234305612172</v>
      </c>
      <c r="C800" s="6" t="s">
        <v>34</v>
      </c>
    </row>
    <row r="801" spans="1:3" x14ac:dyDescent="0.2">
      <c r="A801" s="6">
        <v>799</v>
      </c>
      <c r="B801" s="6">
        <f t="shared" ca="1" si="12"/>
        <v>0.29927741264517116</v>
      </c>
      <c r="C801" s="6" t="s">
        <v>35</v>
      </c>
    </row>
    <row r="802" spans="1:3" x14ac:dyDescent="0.2">
      <c r="A802" s="6">
        <v>800</v>
      </c>
      <c r="B802" s="6">
        <f t="shared" ca="1" si="12"/>
        <v>0.66494558427887418</v>
      </c>
      <c r="C802" s="6" t="s">
        <v>35</v>
      </c>
    </row>
    <row r="803" spans="1:3" x14ac:dyDescent="0.2">
      <c r="A803" s="6">
        <v>801</v>
      </c>
      <c r="B803" s="6">
        <f t="shared" ca="1" si="12"/>
        <v>0.48666648562505921</v>
      </c>
      <c r="C803" s="6" t="s">
        <v>35</v>
      </c>
    </row>
    <row r="804" spans="1:3" x14ac:dyDescent="0.2">
      <c r="A804" s="6">
        <v>802</v>
      </c>
      <c r="B804" s="6">
        <f t="shared" ca="1" si="12"/>
        <v>0.60905944055950889</v>
      </c>
      <c r="C804" s="6" t="s">
        <v>35</v>
      </c>
    </row>
    <row r="805" spans="1:3" x14ac:dyDescent="0.2">
      <c r="A805" s="6">
        <v>803</v>
      </c>
      <c r="B805" s="6">
        <f t="shared" ca="1" si="12"/>
        <v>0.69843405642012268</v>
      </c>
      <c r="C805" s="6" t="s">
        <v>34</v>
      </c>
    </row>
    <row r="806" spans="1:3" x14ac:dyDescent="0.2">
      <c r="A806" s="6">
        <v>804</v>
      </c>
      <c r="B806" s="6">
        <f t="shared" ca="1" si="12"/>
        <v>0.69666767856125156</v>
      </c>
      <c r="C806" s="6" t="s">
        <v>35</v>
      </c>
    </row>
    <row r="807" spans="1:3" x14ac:dyDescent="0.2">
      <c r="A807" s="6">
        <v>805</v>
      </c>
      <c r="B807" s="6">
        <f t="shared" ca="1" si="12"/>
        <v>0.59545774485861747</v>
      </c>
      <c r="C807" s="6" t="s">
        <v>34</v>
      </c>
    </row>
    <row r="808" spans="1:3" x14ac:dyDescent="0.2">
      <c r="A808" s="6">
        <v>806</v>
      </c>
      <c r="B808" s="6">
        <f t="shared" ca="1" si="12"/>
        <v>0.74484645712505093</v>
      </c>
      <c r="C808" s="6" t="s">
        <v>35</v>
      </c>
    </row>
    <row r="809" spans="1:3" x14ac:dyDescent="0.2">
      <c r="A809" s="6">
        <v>807</v>
      </c>
      <c r="B809" s="6">
        <f t="shared" ca="1" si="12"/>
        <v>0.6948808565078145</v>
      </c>
      <c r="C809" s="6" t="s">
        <v>34</v>
      </c>
    </row>
    <row r="810" spans="1:3" x14ac:dyDescent="0.2">
      <c r="A810" s="6">
        <v>808</v>
      </c>
      <c r="B810" s="6">
        <f t="shared" ca="1" si="12"/>
        <v>0.6863862286849195</v>
      </c>
      <c r="C810" s="6" t="s">
        <v>34</v>
      </c>
    </row>
    <row r="811" spans="1:3" x14ac:dyDescent="0.2">
      <c r="A811" s="6">
        <v>809</v>
      </c>
      <c r="B811" s="6">
        <f t="shared" ca="1" si="12"/>
        <v>0.67291374640878276</v>
      </c>
      <c r="C811" s="6" t="s">
        <v>34</v>
      </c>
    </row>
    <row r="812" spans="1:3" x14ac:dyDescent="0.2">
      <c r="A812" s="6">
        <v>810</v>
      </c>
      <c r="B812" s="6">
        <f t="shared" ca="1" si="12"/>
        <v>0.81115863645611141</v>
      </c>
      <c r="C812" s="6" t="s">
        <v>34</v>
      </c>
    </row>
    <row r="813" spans="1:3" x14ac:dyDescent="0.2">
      <c r="A813" s="6">
        <v>811</v>
      </c>
      <c r="B813" s="6">
        <f t="shared" ca="1" si="12"/>
        <v>0.37358948474184472</v>
      </c>
      <c r="C813" s="6" t="s">
        <v>35</v>
      </c>
    </row>
    <row r="814" spans="1:3" x14ac:dyDescent="0.2">
      <c r="A814" s="6">
        <v>812</v>
      </c>
      <c r="B814" s="6">
        <f t="shared" ca="1" si="12"/>
        <v>0.62000821973793996</v>
      </c>
      <c r="C814" s="6" t="s">
        <v>34</v>
      </c>
    </row>
    <row r="815" spans="1:3" x14ac:dyDescent="0.2">
      <c r="A815" s="6">
        <v>813</v>
      </c>
      <c r="B815" s="6">
        <f t="shared" ca="1" si="12"/>
        <v>0.64713021606519816</v>
      </c>
      <c r="C815" s="6" t="s">
        <v>34</v>
      </c>
    </row>
    <row r="816" spans="1:3" x14ac:dyDescent="0.2">
      <c r="A816" s="6">
        <v>814</v>
      </c>
      <c r="B816" s="6">
        <f t="shared" ca="1" si="12"/>
        <v>0.81041642366707767</v>
      </c>
      <c r="C816" s="6" t="s">
        <v>35</v>
      </c>
    </row>
    <row r="817" spans="1:3" x14ac:dyDescent="0.2">
      <c r="A817" s="6">
        <v>815</v>
      </c>
      <c r="B817" s="6">
        <f t="shared" ca="1" si="12"/>
        <v>0.56209948633450135</v>
      </c>
      <c r="C817" s="6" t="s">
        <v>35</v>
      </c>
    </row>
    <row r="818" spans="1:3" x14ac:dyDescent="0.2">
      <c r="A818" s="6">
        <v>816</v>
      </c>
      <c r="B818" s="6">
        <f t="shared" ca="1" si="12"/>
        <v>0.31660082729690708</v>
      </c>
      <c r="C818" s="6" t="s">
        <v>35</v>
      </c>
    </row>
    <row r="819" spans="1:3" x14ac:dyDescent="0.2">
      <c r="A819" s="6">
        <v>817</v>
      </c>
      <c r="B819" s="6">
        <f t="shared" ca="1" si="12"/>
        <v>0.59004778130943203</v>
      </c>
      <c r="C819" s="6" t="s">
        <v>35</v>
      </c>
    </row>
    <row r="820" spans="1:3" x14ac:dyDescent="0.2">
      <c r="A820" s="6">
        <v>818</v>
      </c>
      <c r="B820" s="6">
        <f t="shared" ca="1" si="12"/>
        <v>0.47538404504209369</v>
      </c>
      <c r="C820" s="6" t="s">
        <v>35</v>
      </c>
    </row>
    <row r="821" spans="1:3" x14ac:dyDescent="0.2">
      <c r="A821" s="6">
        <v>819</v>
      </c>
      <c r="B821" s="6">
        <f t="shared" ca="1" si="12"/>
        <v>0.76160854735305084</v>
      </c>
      <c r="C821" s="6" t="s">
        <v>35</v>
      </c>
    </row>
    <row r="822" spans="1:3" x14ac:dyDescent="0.2">
      <c r="A822" s="6">
        <v>820</v>
      </c>
      <c r="B822" s="6">
        <f t="shared" ca="1" si="12"/>
        <v>0.67979495082913266</v>
      </c>
      <c r="C822" s="6" t="s">
        <v>35</v>
      </c>
    </row>
    <row r="823" spans="1:3" x14ac:dyDescent="0.2">
      <c r="A823" s="6">
        <v>821</v>
      </c>
      <c r="B823" s="6">
        <f t="shared" ca="1" si="12"/>
        <v>0.7873013259432774</v>
      </c>
      <c r="C823" s="6" t="s">
        <v>34</v>
      </c>
    </row>
    <row r="824" spans="1:3" x14ac:dyDescent="0.2">
      <c r="A824" s="6">
        <v>822</v>
      </c>
      <c r="B824" s="6">
        <f t="shared" ca="1" si="12"/>
        <v>0.55637573338925139</v>
      </c>
      <c r="C824" s="6" t="s">
        <v>35</v>
      </c>
    </row>
    <row r="825" spans="1:3" x14ac:dyDescent="0.2">
      <c r="A825" s="6">
        <v>823</v>
      </c>
      <c r="B825" s="6">
        <f t="shared" ca="1" si="12"/>
        <v>0.7636906347715372</v>
      </c>
      <c r="C825" s="6" t="s">
        <v>34</v>
      </c>
    </row>
    <row r="826" spans="1:3" x14ac:dyDescent="0.2">
      <c r="A826" s="6">
        <v>824</v>
      </c>
      <c r="B826" s="6">
        <f t="shared" ca="1" si="12"/>
        <v>0.63489318223667712</v>
      </c>
      <c r="C826" s="6" t="s">
        <v>34</v>
      </c>
    </row>
    <row r="827" spans="1:3" x14ac:dyDescent="0.2">
      <c r="A827" s="6">
        <v>825</v>
      </c>
      <c r="B827" s="6">
        <f t="shared" ca="1" si="12"/>
        <v>0.74324248263904491</v>
      </c>
      <c r="C827" s="6" t="s">
        <v>34</v>
      </c>
    </row>
    <row r="828" spans="1:3" x14ac:dyDescent="0.2">
      <c r="A828" s="6">
        <v>826</v>
      </c>
      <c r="B828" s="6">
        <f t="shared" ca="1" si="12"/>
        <v>0.56382889386132595</v>
      </c>
      <c r="C828" s="6" t="s">
        <v>35</v>
      </c>
    </row>
    <row r="829" spans="1:3" x14ac:dyDescent="0.2">
      <c r="A829" s="6">
        <v>827</v>
      </c>
      <c r="B829" s="6">
        <f t="shared" ca="1" si="12"/>
        <v>0.66970199782566353</v>
      </c>
      <c r="C829" s="6" t="s">
        <v>35</v>
      </c>
    </row>
    <row r="830" spans="1:3" x14ac:dyDescent="0.2">
      <c r="A830" s="6">
        <v>828</v>
      </c>
      <c r="B830" s="6">
        <f t="shared" ca="1" si="12"/>
        <v>0.62773492853626511</v>
      </c>
      <c r="C830" s="6" t="s">
        <v>35</v>
      </c>
    </row>
    <row r="831" spans="1:3" x14ac:dyDescent="0.2">
      <c r="A831" s="6">
        <v>829</v>
      </c>
      <c r="B831" s="6">
        <f t="shared" ca="1" si="12"/>
        <v>0.63616083859890582</v>
      </c>
      <c r="C831" s="6" t="s">
        <v>34</v>
      </c>
    </row>
    <row r="832" spans="1:3" x14ac:dyDescent="0.2">
      <c r="A832" s="6">
        <v>830</v>
      </c>
      <c r="B832" s="6">
        <f t="shared" ca="1" si="12"/>
        <v>0.32598083940298533</v>
      </c>
      <c r="C832" s="6" t="s">
        <v>35</v>
      </c>
    </row>
    <row r="833" spans="1:3" x14ac:dyDescent="0.2">
      <c r="A833" s="6">
        <v>831</v>
      </c>
      <c r="B833" s="6">
        <f t="shared" ca="1" si="12"/>
        <v>0.64704221624831937</v>
      </c>
      <c r="C833" s="6" t="s">
        <v>35</v>
      </c>
    </row>
    <row r="834" spans="1:3" x14ac:dyDescent="0.2">
      <c r="A834" s="6">
        <v>832</v>
      </c>
      <c r="B834" s="6">
        <f t="shared" ca="1" si="12"/>
        <v>0.57799060918630563</v>
      </c>
      <c r="C834" s="6" t="s">
        <v>35</v>
      </c>
    </row>
    <row r="835" spans="1:3" x14ac:dyDescent="0.2">
      <c r="A835" s="6">
        <v>833</v>
      </c>
      <c r="B835" s="6">
        <f t="shared" ca="1" si="12"/>
        <v>0.69880182917203704</v>
      </c>
      <c r="C835" s="6" t="s">
        <v>34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0.8075377866125214</v>
      </c>
      <c r="C836" s="6" t="s">
        <v>35</v>
      </c>
    </row>
    <row r="837" spans="1:3" x14ac:dyDescent="0.2">
      <c r="A837" s="6">
        <v>835</v>
      </c>
      <c r="B837" s="6">
        <f t="shared" ca="1" si="13"/>
        <v>0.66995201048555397</v>
      </c>
      <c r="C837" s="6" t="s">
        <v>34</v>
      </c>
    </row>
    <row r="838" spans="1:3" x14ac:dyDescent="0.2">
      <c r="A838" s="6">
        <v>836</v>
      </c>
      <c r="B838" s="6">
        <f t="shared" ca="1" si="13"/>
        <v>0.64734553519730298</v>
      </c>
      <c r="C838" s="6" t="s">
        <v>35</v>
      </c>
    </row>
    <row r="839" spans="1:3" x14ac:dyDescent="0.2">
      <c r="A839" s="6">
        <v>837</v>
      </c>
      <c r="B839" s="6">
        <f t="shared" ca="1" si="13"/>
        <v>0.63889731085725654</v>
      </c>
      <c r="C839" s="6" t="s">
        <v>34</v>
      </c>
    </row>
    <row r="840" spans="1:3" x14ac:dyDescent="0.2">
      <c r="A840" s="6">
        <v>838</v>
      </c>
      <c r="B840" s="6">
        <f t="shared" ca="1" si="13"/>
        <v>0.45144295868566875</v>
      </c>
      <c r="C840" s="6" t="s">
        <v>35</v>
      </c>
    </row>
    <row r="841" spans="1:3" x14ac:dyDescent="0.2">
      <c r="A841" s="6">
        <v>839</v>
      </c>
      <c r="B841" s="6">
        <f t="shared" ca="1" si="13"/>
        <v>0.66994825176407669</v>
      </c>
      <c r="C841" s="6" t="s">
        <v>34</v>
      </c>
    </row>
    <row r="842" spans="1:3" x14ac:dyDescent="0.2">
      <c r="A842" s="6">
        <v>840</v>
      </c>
      <c r="B842" s="6">
        <f t="shared" ca="1" si="13"/>
        <v>0.58953240380085203</v>
      </c>
      <c r="C842" s="6" t="s">
        <v>34</v>
      </c>
    </row>
    <row r="843" spans="1:3" x14ac:dyDescent="0.2">
      <c r="A843" s="6">
        <v>841</v>
      </c>
      <c r="B843" s="6">
        <f t="shared" ca="1" si="13"/>
        <v>0.67198657135526763</v>
      </c>
      <c r="C843" s="6" t="s">
        <v>34</v>
      </c>
    </row>
    <row r="844" spans="1:3" x14ac:dyDescent="0.2">
      <c r="A844" s="6">
        <v>842</v>
      </c>
      <c r="B844" s="6">
        <f t="shared" ca="1" si="13"/>
        <v>0.45269488765282395</v>
      </c>
      <c r="C844" s="6" t="s">
        <v>35</v>
      </c>
    </row>
    <row r="845" spans="1:3" x14ac:dyDescent="0.2">
      <c r="A845" s="6">
        <v>843</v>
      </c>
      <c r="B845" s="6">
        <f t="shared" ca="1" si="13"/>
        <v>0.77094237282829803</v>
      </c>
      <c r="C845" s="6" t="s">
        <v>35</v>
      </c>
    </row>
    <row r="846" spans="1:3" x14ac:dyDescent="0.2">
      <c r="A846" s="6">
        <v>844</v>
      </c>
      <c r="B846" s="6">
        <f t="shared" ca="1" si="13"/>
        <v>0.47493367835220712</v>
      </c>
      <c r="C846" s="6" t="s">
        <v>35</v>
      </c>
    </row>
    <row r="847" spans="1:3" x14ac:dyDescent="0.2">
      <c r="A847" s="6">
        <v>845</v>
      </c>
      <c r="B847" s="6">
        <f t="shared" ca="1" si="13"/>
        <v>0.59772314821832595</v>
      </c>
      <c r="C847" s="6" t="s">
        <v>35</v>
      </c>
    </row>
    <row r="848" spans="1:3" x14ac:dyDescent="0.2">
      <c r="A848" s="6">
        <v>846</v>
      </c>
      <c r="B848" s="6">
        <f t="shared" ca="1" si="13"/>
        <v>0.45755797683638355</v>
      </c>
      <c r="C848" s="6" t="s">
        <v>35</v>
      </c>
    </row>
    <row r="849" spans="1:3" x14ac:dyDescent="0.2">
      <c r="A849" s="6">
        <v>847</v>
      </c>
      <c r="B849" s="6">
        <f t="shared" ca="1" si="13"/>
        <v>0.45455901300181312</v>
      </c>
      <c r="C849" s="6" t="s">
        <v>34</v>
      </c>
    </row>
    <row r="850" spans="1:3" x14ac:dyDescent="0.2">
      <c r="A850" s="6">
        <v>848</v>
      </c>
      <c r="B850" s="6">
        <f t="shared" ca="1" si="13"/>
        <v>0.54451795970569561</v>
      </c>
      <c r="C850" s="6" t="s">
        <v>35</v>
      </c>
    </row>
    <row r="851" spans="1:3" x14ac:dyDescent="0.2">
      <c r="A851" s="6">
        <v>849</v>
      </c>
      <c r="B851" s="6">
        <f t="shared" ca="1" si="13"/>
        <v>0.68536146199689929</v>
      </c>
      <c r="C851" s="6" t="s">
        <v>34</v>
      </c>
    </row>
    <row r="852" spans="1:3" x14ac:dyDescent="0.2">
      <c r="A852" s="6">
        <v>850</v>
      </c>
      <c r="B852" s="6">
        <f t="shared" ca="1" si="13"/>
        <v>0.5491613077128632</v>
      </c>
      <c r="C852" s="6" t="s">
        <v>35</v>
      </c>
    </row>
    <row r="853" spans="1:3" x14ac:dyDescent="0.2">
      <c r="A853" s="6">
        <v>851</v>
      </c>
      <c r="B853" s="6">
        <f t="shared" ca="1" si="13"/>
        <v>0.47954629260188947</v>
      </c>
      <c r="C853" s="6" t="s">
        <v>35</v>
      </c>
    </row>
    <row r="854" spans="1:3" x14ac:dyDescent="0.2">
      <c r="A854" s="6">
        <v>852</v>
      </c>
      <c r="B854" s="6">
        <f t="shared" ca="1" si="13"/>
        <v>0.60779301321856261</v>
      </c>
      <c r="C854" s="6" t="s">
        <v>35</v>
      </c>
    </row>
    <row r="855" spans="1:3" x14ac:dyDescent="0.2">
      <c r="A855" s="6">
        <v>853</v>
      </c>
      <c r="B855" s="6">
        <f t="shared" ca="1" si="13"/>
        <v>0.60987512527091459</v>
      </c>
      <c r="C855" s="6" t="s">
        <v>35</v>
      </c>
    </row>
    <row r="856" spans="1:3" x14ac:dyDescent="0.2">
      <c r="A856" s="6">
        <v>854</v>
      </c>
      <c r="B856" s="6">
        <f t="shared" ca="1" si="13"/>
        <v>0.66036393517972414</v>
      </c>
      <c r="C856" s="6" t="s">
        <v>35</v>
      </c>
    </row>
    <row r="857" spans="1:3" x14ac:dyDescent="0.2">
      <c r="A857" s="6">
        <v>855</v>
      </c>
      <c r="B857" s="6">
        <f t="shared" ca="1" si="13"/>
        <v>0.71471233089650243</v>
      </c>
      <c r="C857" s="6" t="s">
        <v>34</v>
      </c>
    </row>
    <row r="858" spans="1:3" x14ac:dyDescent="0.2">
      <c r="A858" s="6">
        <v>856</v>
      </c>
      <c r="B858" s="6">
        <f t="shared" ca="1" si="13"/>
        <v>0.69477073989156446</v>
      </c>
      <c r="C858" s="6" t="s">
        <v>34</v>
      </c>
    </row>
    <row r="859" spans="1:3" x14ac:dyDescent="0.2">
      <c r="A859" s="6">
        <v>857</v>
      </c>
      <c r="B859" s="6">
        <f t="shared" ca="1" si="13"/>
        <v>0.60536866298795189</v>
      </c>
      <c r="C859" s="6" t="s">
        <v>35</v>
      </c>
    </row>
    <row r="860" spans="1:3" x14ac:dyDescent="0.2">
      <c r="A860" s="6">
        <v>858</v>
      </c>
      <c r="B860" s="6">
        <f t="shared" ca="1" si="13"/>
        <v>0.57270584304882788</v>
      </c>
      <c r="C860" s="6" t="s">
        <v>35</v>
      </c>
    </row>
    <row r="861" spans="1:3" x14ac:dyDescent="0.2">
      <c r="A861" s="6">
        <v>859</v>
      </c>
      <c r="B861" s="6">
        <f t="shared" ca="1" si="13"/>
        <v>0.29451439954713782</v>
      </c>
      <c r="C861" s="6" t="s">
        <v>35</v>
      </c>
    </row>
    <row r="862" spans="1:3" x14ac:dyDescent="0.2">
      <c r="A862" s="6">
        <v>860</v>
      </c>
      <c r="B862" s="6">
        <f t="shared" ca="1" si="13"/>
        <v>0.62057193178979331</v>
      </c>
      <c r="C862" s="6" t="s">
        <v>35</v>
      </c>
    </row>
    <row r="863" spans="1:3" x14ac:dyDescent="0.2">
      <c r="A863" s="6">
        <v>861</v>
      </c>
      <c r="B863" s="6">
        <f t="shared" ca="1" si="13"/>
        <v>0.56929086120226147</v>
      </c>
      <c r="C863" s="6" t="s">
        <v>34</v>
      </c>
    </row>
    <row r="864" spans="1:3" x14ac:dyDescent="0.2">
      <c r="A864" s="6">
        <v>862</v>
      </c>
      <c r="B864" s="6">
        <f t="shared" ca="1" si="13"/>
        <v>0.64005444941717871</v>
      </c>
      <c r="C864" s="6" t="s">
        <v>35</v>
      </c>
    </row>
    <row r="865" spans="1:3" x14ac:dyDescent="0.2">
      <c r="A865" s="6">
        <v>863</v>
      </c>
      <c r="B865" s="6">
        <f t="shared" ca="1" si="13"/>
        <v>0.66398061252523277</v>
      </c>
      <c r="C865" s="6" t="s">
        <v>35</v>
      </c>
    </row>
    <row r="866" spans="1:3" x14ac:dyDescent="0.2">
      <c r="A866" s="6">
        <v>864</v>
      </c>
      <c r="B866" s="6">
        <f t="shared" ca="1" si="13"/>
        <v>0.62641496375053185</v>
      </c>
      <c r="C866" s="6" t="s">
        <v>35</v>
      </c>
    </row>
    <row r="867" spans="1:3" x14ac:dyDescent="0.2">
      <c r="A867" s="6">
        <v>865</v>
      </c>
      <c r="B867" s="6">
        <f t="shared" ca="1" si="13"/>
        <v>0.62930216615671974</v>
      </c>
      <c r="C867" s="6" t="s">
        <v>35</v>
      </c>
    </row>
    <row r="868" spans="1:3" x14ac:dyDescent="0.2">
      <c r="A868" s="6">
        <v>866</v>
      </c>
      <c r="B868" s="6">
        <f t="shared" ca="1" si="13"/>
        <v>0.71745487779763595</v>
      </c>
      <c r="C868" s="6" t="s">
        <v>35</v>
      </c>
    </row>
    <row r="869" spans="1:3" x14ac:dyDescent="0.2">
      <c r="A869" s="6">
        <v>867</v>
      </c>
      <c r="B869" s="6">
        <f t="shared" ca="1" si="13"/>
        <v>0.68821069820246095</v>
      </c>
      <c r="C869" s="6" t="s">
        <v>35</v>
      </c>
    </row>
    <row r="870" spans="1:3" x14ac:dyDescent="0.2">
      <c r="A870" s="6">
        <v>868</v>
      </c>
      <c r="B870" s="6">
        <f t="shared" ca="1" si="13"/>
        <v>0.44894107037646031</v>
      </c>
      <c r="C870" s="6" t="s">
        <v>35</v>
      </c>
    </row>
    <row r="871" spans="1:3" x14ac:dyDescent="0.2">
      <c r="A871" s="6">
        <v>869</v>
      </c>
      <c r="B871" s="6">
        <f t="shared" ca="1" si="13"/>
        <v>0.74353395310045589</v>
      </c>
      <c r="C871" s="6" t="s">
        <v>35</v>
      </c>
    </row>
    <row r="872" spans="1:3" x14ac:dyDescent="0.2">
      <c r="A872" s="6">
        <v>870</v>
      </c>
      <c r="B872" s="6">
        <f t="shared" ca="1" si="13"/>
        <v>0.82013030451768199</v>
      </c>
      <c r="C872" s="6" t="s">
        <v>35</v>
      </c>
    </row>
    <row r="873" spans="1:3" x14ac:dyDescent="0.2">
      <c r="A873" s="6">
        <v>871</v>
      </c>
      <c r="B873" s="6">
        <f t="shared" ca="1" si="13"/>
        <v>0.68037537568984652</v>
      </c>
      <c r="C873" s="6" t="s">
        <v>34</v>
      </c>
    </row>
    <row r="874" spans="1:3" x14ac:dyDescent="0.2">
      <c r="A874" s="6">
        <v>872</v>
      </c>
      <c r="B874" s="6">
        <f t="shared" ca="1" si="13"/>
        <v>0.77298590992298666</v>
      </c>
      <c r="C874" s="6" t="s">
        <v>34</v>
      </c>
    </row>
    <row r="875" spans="1:3" x14ac:dyDescent="0.2">
      <c r="A875" s="6">
        <v>873</v>
      </c>
      <c r="B875" s="6">
        <f t="shared" ca="1" si="13"/>
        <v>0.66327276604182295</v>
      </c>
      <c r="C875" s="6" t="s">
        <v>34</v>
      </c>
    </row>
    <row r="876" spans="1:3" x14ac:dyDescent="0.2">
      <c r="A876" s="6">
        <v>874</v>
      </c>
      <c r="B876" s="6">
        <f t="shared" ca="1" si="13"/>
        <v>0.72346038950652514</v>
      </c>
      <c r="C876" s="6" t="s">
        <v>35</v>
      </c>
    </row>
    <row r="877" spans="1:3" x14ac:dyDescent="0.2">
      <c r="A877" s="6">
        <v>875</v>
      </c>
      <c r="B877" s="6">
        <f t="shared" ca="1" si="13"/>
        <v>0.75883886655242261</v>
      </c>
      <c r="C877" s="6" t="s">
        <v>35</v>
      </c>
    </row>
    <row r="878" spans="1:3" x14ac:dyDescent="0.2">
      <c r="A878" s="6">
        <v>876</v>
      </c>
      <c r="B878" s="6">
        <f t="shared" ca="1" si="13"/>
        <v>0.71621191447901544</v>
      </c>
      <c r="C878" s="6" t="s">
        <v>34</v>
      </c>
    </row>
    <row r="879" spans="1:3" x14ac:dyDescent="0.2">
      <c r="A879" s="6">
        <v>877</v>
      </c>
      <c r="B879" s="6">
        <f t="shared" ca="1" si="13"/>
        <v>0.72504835210212515</v>
      </c>
      <c r="C879" s="6" t="s">
        <v>35</v>
      </c>
    </row>
    <row r="880" spans="1:3" x14ac:dyDescent="0.2">
      <c r="A880" s="6">
        <v>878</v>
      </c>
      <c r="B880" s="6">
        <f t="shared" ca="1" si="13"/>
        <v>0.54152395024743105</v>
      </c>
      <c r="C880" s="6" t="s">
        <v>35</v>
      </c>
    </row>
    <row r="881" spans="1:3" x14ac:dyDescent="0.2">
      <c r="A881" s="6">
        <v>879</v>
      </c>
      <c r="B881" s="6">
        <f t="shared" ca="1" si="13"/>
        <v>0.78180770861142035</v>
      </c>
      <c r="C881" s="6" t="s">
        <v>34</v>
      </c>
    </row>
    <row r="882" spans="1:3" x14ac:dyDescent="0.2">
      <c r="A882" s="6">
        <v>880</v>
      </c>
      <c r="B882" s="6">
        <f t="shared" ca="1" si="13"/>
        <v>0.59611268284673924</v>
      </c>
      <c r="C882" s="6" t="s">
        <v>34</v>
      </c>
    </row>
    <row r="883" spans="1:3" x14ac:dyDescent="0.2">
      <c r="A883" s="6">
        <v>881</v>
      </c>
      <c r="B883" s="6">
        <f t="shared" ca="1" si="13"/>
        <v>0.66669765381504797</v>
      </c>
      <c r="C883" s="6" t="s">
        <v>34</v>
      </c>
    </row>
    <row r="884" spans="1:3" x14ac:dyDescent="0.2">
      <c r="A884" s="6">
        <v>882</v>
      </c>
      <c r="B884" s="6">
        <f t="shared" ca="1" si="13"/>
        <v>0.64142794383253998</v>
      </c>
      <c r="C884" s="6" t="s">
        <v>34</v>
      </c>
    </row>
    <row r="885" spans="1:3" x14ac:dyDescent="0.2">
      <c r="A885" s="6">
        <v>883</v>
      </c>
      <c r="B885" s="6">
        <f t="shared" ca="1" si="13"/>
        <v>0.44625099342133256</v>
      </c>
      <c r="C885" s="6" t="s">
        <v>35</v>
      </c>
    </row>
    <row r="886" spans="1:3" x14ac:dyDescent="0.2">
      <c r="A886" s="6">
        <v>884</v>
      </c>
      <c r="B886" s="6">
        <f t="shared" ca="1" si="13"/>
        <v>0.59964371864497934</v>
      </c>
      <c r="C886" s="6" t="s">
        <v>35</v>
      </c>
    </row>
    <row r="887" spans="1:3" x14ac:dyDescent="0.2">
      <c r="A887" s="6">
        <v>885</v>
      </c>
      <c r="B887" s="6">
        <f t="shared" ca="1" si="13"/>
        <v>0.29737204582262244</v>
      </c>
      <c r="C887" s="6" t="s">
        <v>35</v>
      </c>
    </row>
    <row r="888" spans="1:3" x14ac:dyDescent="0.2">
      <c r="A888" s="6">
        <v>886</v>
      </c>
      <c r="B888" s="6">
        <f t="shared" ca="1" si="13"/>
        <v>0.78005852828254896</v>
      </c>
      <c r="C888" s="6" t="s">
        <v>34</v>
      </c>
    </row>
    <row r="889" spans="1:3" x14ac:dyDescent="0.2">
      <c r="A889" s="6">
        <v>887</v>
      </c>
      <c r="B889" s="6">
        <f t="shared" ca="1" si="13"/>
        <v>0.69883580907448806</v>
      </c>
      <c r="C889" s="6" t="s">
        <v>34</v>
      </c>
    </row>
    <row r="890" spans="1:3" x14ac:dyDescent="0.2">
      <c r="A890" s="6">
        <v>888</v>
      </c>
      <c r="B890" s="6">
        <f t="shared" ca="1" si="13"/>
        <v>0.72060556154227717</v>
      </c>
      <c r="C890" s="6" t="s">
        <v>34</v>
      </c>
    </row>
    <row r="891" spans="1:3" x14ac:dyDescent="0.2">
      <c r="A891" s="6">
        <v>889</v>
      </c>
      <c r="B891" s="6">
        <f t="shared" ca="1" si="13"/>
        <v>0.66845012503951629</v>
      </c>
      <c r="C891" s="6" t="s">
        <v>35</v>
      </c>
    </row>
    <row r="892" spans="1:3" x14ac:dyDescent="0.2">
      <c r="A892" s="6">
        <v>890</v>
      </c>
      <c r="B892" s="6">
        <f t="shared" ca="1" si="13"/>
        <v>0.68111868510488538</v>
      </c>
      <c r="C892" s="6" t="s">
        <v>35</v>
      </c>
    </row>
    <row r="893" spans="1:3" x14ac:dyDescent="0.2">
      <c r="A893" s="6">
        <v>891</v>
      </c>
      <c r="B893" s="6">
        <f t="shared" ca="1" si="13"/>
        <v>0.60904314278801952</v>
      </c>
      <c r="C893" s="6" t="s">
        <v>35</v>
      </c>
    </row>
    <row r="894" spans="1:3" x14ac:dyDescent="0.2">
      <c r="A894" s="6">
        <v>892</v>
      </c>
      <c r="B894" s="6">
        <f t="shared" ca="1" si="13"/>
        <v>0.64493126217750907</v>
      </c>
      <c r="C894" s="6" t="s">
        <v>34</v>
      </c>
    </row>
    <row r="895" spans="1:3" x14ac:dyDescent="0.2">
      <c r="A895" s="6">
        <v>893</v>
      </c>
      <c r="B895" s="6">
        <f t="shared" ca="1" si="13"/>
        <v>0.74892519898985699</v>
      </c>
      <c r="C895" s="6" t="s">
        <v>35</v>
      </c>
    </row>
    <row r="896" spans="1:3" x14ac:dyDescent="0.2">
      <c r="A896" s="6">
        <v>894</v>
      </c>
      <c r="B896" s="6">
        <f t="shared" ca="1" si="13"/>
        <v>0.86450903196486206</v>
      </c>
      <c r="C896" s="6" t="s">
        <v>34</v>
      </c>
    </row>
    <row r="897" spans="1:3" x14ac:dyDescent="0.2">
      <c r="A897" s="6">
        <v>895</v>
      </c>
      <c r="B897" s="6">
        <f t="shared" ca="1" si="13"/>
        <v>0.64293473501398868</v>
      </c>
      <c r="C897" s="6" t="s">
        <v>35</v>
      </c>
    </row>
    <row r="898" spans="1:3" x14ac:dyDescent="0.2">
      <c r="A898" s="6">
        <v>896</v>
      </c>
      <c r="B898" s="6">
        <f t="shared" ca="1" si="13"/>
        <v>0.8305817785717966</v>
      </c>
      <c r="C898" s="6" t="s">
        <v>34</v>
      </c>
    </row>
    <row r="899" spans="1:3" x14ac:dyDescent="0.2">
      <c r="A899" s="6">
        <v>897</v>
      </c>
      <c r="B899" s="6">
        <f t="shared" ca="1" si="13"/>
        <v>0.74607617391191727</v>
      </c>
      <c r="C899" s="6" t="s">
        <v>34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0.66363836979166868</v>
      </c>
      <c r="C900" s="6" t="s">
        <v>34</v>
      </c>
    </row>
    <row r="901" spans="1:3" x14ac:dyDescent="0.2">
      <c r="A901" s="6">
        <v>899</v>
      </c>
      <c r="B901" s="6">
        <f t="shared" ca="1" si="14"/>
        <v>0.6733280728435096</v>
      </c>
      <c r="C901" s="6" t="s">
        <v>35</v>
      </c>
    </row>
    <row r="902" spans="1:3" x14ac:dyDescent="0.2">
      <c r="A902" s="6">
        <v>900</v>
      </c>
      <c r="B902" s="6">
        <f t="shared" ca="1" si="14"/>
        <v>0.53095217696009178</v>
      </c>
      <c r="C902" s="6" t="s">
        <v>34</v>
      </c>
    </row>
    <row r="903" spans="1:3" x14ac:dyDescent="0.2">
      <c r="A903" s="6">
        <v>901</v>
      </c>
      <c r="B903" s="6">
        <f t="shared" ca="1" si="14"/>
        <v>0.56033493096872145</v>
      </c>
      <c r="C903" s="6" t="s">
        <v>34</v>
      </c>
    </row>
    <row r="904" spans="1:3" x14ac:dyDescent="0.2">
      <c r="A904" s="6">
        <v>902</v>
      </c>
      <c r="B904" s="6">
        <f t="shared" ca="1" si="14"/>
        <v>0.66028491868906081</v>
      </c>
      <c r="C904" s="6" t="s">
        <v>34</v>
      </c>
    </row>
    <row r="905" spans="1:3" x14ac:dyDescent="0.2">
      <c r="A905" s="6">
        <v>903</v>
      </c>
      <c r="B905" s="6">
        <f t="shared" ca="1" si="14"/>
        <v>0.53882207815984628</v>
      </c>
      <c r="C905" s="6" t="s">
        <v>34</v>
      </c>
    </row>
    <row r="906" spans="1:3" x14ac:dyDescent="0.2">
      <c r="A906" s="6">
        <v>904</v>
      </c>
      <c r="B906" s="6">
        <f t="shared" ca="1" si="14"/>
        <v>0.64213690465423912</v>
      </c>
      <c r="C906" s="6" t="s">
        <v>34</v>
      </c>
    </row>
    <row r="907" spans="1:3" x14ac:dyDescent="0.2">
      <c r="A907" s="6">
        <v>905</v>
      </c>
      <c r="B907" s="6">
        <f t="shared" ca="1" si="14"/>
        <v>0.58090755878181288</v>
      </c>
      <c r="C907" s="6" t="s">
        <v>35</v>
      </c>
    </row>
    <row r="908" spans="1:3" x14ac:dyDescent="0.2">
      <c r="A908" s="6">
        <v>906</v>
      </c>
      <c r="B908" s="6">
        <f t="shared" ca="1" si="14"/>
        <v>0.6405841532131642</v>
      </c>
      <c r="C908" s="6" t="s">
        <v>35</v>
      </c>
    </row>
    <row r="909" spans="1:3" x14ac:dyDescent="0.2">
      <c r="A909" s="6">
        <v>907</v>
      </c>
      <c r="B909" s="6">
        <f t="shared" ca="1" si="14"/>
        <v>0.46505510875417383</v>
      </c>
      <c r="C909" s="6" t="s">
        <v>35</v>
      </c>
    </row>
    <row r="910" spans="1:3" x14ac:dyDescent="0.2">
      <c r="A910" s="6">
        <v>908</v>
      </c>
      <c r="B910" s="6">
        <f t="shared" ca="1" si="14"/>
        <v>0.82748177767748654</v>
      </c>
      <c r="C910" s="6" t="s">
        <v>35</v>
      </c>
    </row>
    <row r="911" spans="1:3" x14ac:dyDescent="0.2">
      <c r="A911" s="6">
        <v>909</v>
      </c>
      <c r="B911" s="6">
        <f t="shared" ca="1" si="14"/>
        <v>0.53435276444208091</v>
      </c>
      <c r="C911" s="6" t="s">
        <v>35</v>
      </c>
    </row>
    <row r="912" spans="1:3" x14ac:dyDescent="0.2">
      <c r="A912" s="6">
        <v>910</v>
      </c>
      <c r="B912" s="6">
        <f t="shared" ca="1" si="14"/>
        <v>0.82178563784482905</v>
      </c>
      <c r="C912" s="6" t="s">
        <v>34</v>
      </c>
    </row>
    <row r="913" spans="1:3" x14ac:dyDescent="0.2">
      <c r="A913" s="6">
        <v>911</v>
      </c>
      <c r="B913" s="6">
        <f t="shared" ca="1" si="14"/>
        <v>0.87432361498903699</v>
      </c>
      <c r="C913" s="6" t="s">
        <v>35</v>
      </c>
    </row>
    <row r="914" spans="1:3" x14ac:dyDescent="0.2">
      <c r="A914" s="6">
        <v>912</v>
      </c>
      <c r="B914" s="6">
        <f t="shared" ca="1" si="14"/>
        <v>0.69374295736253111</v>
      </c>
      <c r="C914" s="6" t="s">
        <v>35</v>
      </c>
    </row>
    <row r="915" spans="1:3" x14ac:dyDescent="0.2">
      <c r="A915" s="6">
        <v>913</v>
      </c>
      <c r="B915" s="6">
        <f t="shared" ca="1" si="14"/>
        <v>0.70341714936372457</v>
      </c>
      <c r="C915" s="6" t="s">
        <v>35</v>
      </c>
    </row>
    <row r="916" spans="1:3" x14ac:dyDescent="0.2">
      <c r="A916" s="6">
        <v>914</v>
      </c>
      <c r="B916" s="6">
        <f t="shared" ca="1" si="14"/>
        <v>0.69117543776429835</v>
      </c>
      <c r="C916" s="6" t="s">
        <v>34</v>
      </c>
    </row>
    <row r="917" spans="1:3" x14ac:dyDescent="0.2">
      <c r="A917" s="6">
        <v>915</v>
      </c>
      <c r="B917" s="6">
        <f t="shared" ca="1" si="14"/>
        <v>0.63579089739375483</v>
      </c>
      <c r="C917" s="6" t="s">
        <v>35</v>
      </c>
    </row>
    <row r="918" spans="1:3" x14ac:dyDescent="0.2">
      <c r="A918" s="6">
        <v>916</v>
      </c>
      <c r="B918" s="6">
        <f t="shared" ca="1" si="14"/>
        <v>0.75873635543459894</v>
      </c>
      <c r="C918" s="6" t="s">
        <v>34</v>
      </c>
    </row>
    <row r="919" spans="1:3" x14ac:dyDescent="0.2">
      <c r="A919" s="6">
        <v>917</v>
      </c>
      <c r="B919" s="6">
        <f t="shared" ca="1" si="14"/>
        <v>0.55356479335901598</v>
      </c>
      <c r="C919" s="6" t="s">
        <v>35</v>
      </c>
    </row>
    <row r="920" spans="1:3" x14ac:dyDescent="0.2">
      <c r="A920" s="6">
        <v>918</v>
      </c>
      <c r="B920" s="6">
        <f t="shared" ca="1" si="14"/>
        <v>0.73301145774953924</v>
      </c>
      <c r="C920" s="6" t="s">
        <v>34</v>
      </c>
    </row>
    <row r="921" spans="1:3" x14ac:dyDescent="0.2">
      <c r="A921" s="6">
        <v>919</v>
      </c>
      <c r="B921" s="6">
        <f t="shared" ca="1" si="14"/>
        <v>0.56098109162259358</v>
      </c>
      <c r="C921" s="6" t="s">
        <v>35</v>
      </c>
    </row>
    <row r="922" spans="1:3" x14ac:dyDescent="0.2">
      <c r="A922" s="6">
        <v>920</v>
      </c>
      <c r="B922" s="6">
        <f t="shared" ca="1" si="14"/>
        <v>0.66802810173273186</v>
      </c>
      <c r="C922" s="6" t="s">
        <v>34</v>
      </c>
    </row>
    <row r="923" spans="1:3" x14ac:dyDescent="0.2">
      <c r="A923" s="6">
        <v>921</v>
      </c>
      <c r="B923" s="6">
        <f t="shared" ca="1" si="14"/>
        <v>0.78353310024946221</v>
      </c>
      <c r="C923" s="6" t="s">
        <v>34</v>
      </c>
    </row>
    <row r="924" spans="1:3" x14ac:dyDescent="0.2">
      <c r="A924" s="6">
        <v>922</v>
      </c>
      <c r="B924" s="6">
        <f t="shared" ca="1" si="14"/>
        <v>1.0460677254214641</v>
      </c>
      <c r="C924" s="6" t="s">
        <v>35</v>
      </c>
    </row>
    <row r="925" spans="1:3" x14ac:dyDescent="0.2">
      <c r="A925" s="6">
        <v>923</v>
      </c>
      <c r="B925" s="6">
        <f t="shared" ca="1" si="14"/>
        <v>0.6482057122131385</v>
      </c>
      <c r="C925" s="6" t="s">
        <v>35</v>
      </c>
    </row>
    <row r="926" spans="1:3" x14ac:dyDescent="0.2">
      <c r="A926" s="6">
        <v>924</v>
      </c>
      <c r="B926" s="6">
        <f t="shared" ca="1" si="14"/>
        <v>0.43641509910911314</v>
      </c>
      <c r="C926" s="6" t="s">
        <v>35</v>
      </c>
    </row>
    <row r="927" spans="1:3" x14ac:dyDescent="0.2">
      <c r="A927" s="6">
        <v>925</v>
      </c>
      <c r="B927" s="6">
        <f t="shared" ca="1" si="14"/>
        <v>0.67691825860020383</v>
      </c>
      <c r="C927" s="6" t="s">
        <v>34</v>
      </c>
    </row>
    <row r="928" spans="1:3" x14ac:dyDescent="0.2">
      <c r="A928" s="6">
        <v>926</v>
      </c>
      <c r="B928" s="6">
        <f t="shared" ca="1" si="14"/>
        <v>0.67134941436134454</v>
      </c>
      <c r="C928" s="6" t="s">
        <v>34</v>
      </c>
    </row>
    <row r="929" spans="1:3" x14ac:dyDescent="0.2">
      <c r="A929" s="6">
        <v>927</v>
      </c>
      <c r="B929" s="6">
        <f t="shared" ca="1" si="14"/>
        <v>0.50491025890076402</v>
      </c>
      <c r="C929" s="6" t="s">
        <v>34</v>
      </c>
    </row>
    <row r="930" spans="1:3" x14ac:dyDescent="0.2">
      <c r="A930" s="6">
        <v>928</v>
      </c>
      <c r="B930" s="6">
        <f t="shared" ca="1" si="14"/>
        <v>0.70521962345561184</v>
      </c>
      <c r="C930" s="6" t="s">
        <v>34</v>
      </c>
    </row>
    <row r="931" spans="1:3" x14ac:dyDescent="0.2">
      <c r="A931" s="6">
        <v>929</v>
      </c>
      <c r="B931" s="6">
        <f t="shared" ca="1" si="14"/>
        <v>0.69763187581174591</v>
      </c>
      <c r="C931" s="6" t="s">
        <v>34</v>
      </c>
    </row>
    <row r="932" spans="1:3" x14ac:dyDescent="0.2">
      <c r="A932" s="6">
        <v>930</v>
      </c>
      <c r="B932" s="6">
        <f t="shared" ca="1" si="14"/>
        <v>0.76126925702321457</v>
      </c>
      <c r="C932" s="6" t="s">
        <v>34</v>
      </c>
    </row>
    <row r="933" spans="1:3" x14ac:dyDescent="0.2">
      <c r="A933" s="6">
        <v>931</v>
      </c>
      <c r="B933" s="6">
        <f t="shared" ca="1" si="14"/>
        <v>0.58294616562193224</v>
      </c>
      <c r="C933" s="6" t="s">
        <v>35</v>
      </c>
    </row>
    <row r="934" spans="1:3" x14ac:dyDescent="0.2">
      <c r="A934" s="6">
        <v>932</v>
      </c>
      <c r="B934" s="6">
        <f t="shared" ca="1" si="14"/>
        <v>0.73099420047800612</v>
      </c>
      <c r="C934" s="6" t="s">
        <v>34</v>
      </c>
    </row>
    <row r="935" spans="1:3" x14ac:dyDescent="0.2">
      <c r="A935" s="6">
        <v>933</v>
      </c>
      <c r="B935" s="6">
        <f t="shared" ca="1" si="14"/>
        <v>0.55736445370202681</v>
      </c>
      <c r="C935" s="6" t="s">
        <v>35</v>
      </c>
    </row>
    <row r="936" spans="1:3" x14ac:dyDescent="0.2">
      <c r="A936" s="6">
        <v>934</v>
      </c>
      <c r="B936" s="6">
        <f t="shared" ca="1" si="14"/>
        <v>0.67271746609075389</v>
      </c>
      <c r="C936" s="6" t="s">
        <v>34</v>
      </c>
    </row>
    <row r="937" spans="1:3" x14ac:dyDescent="0.2">
      <c r="A937" s="6">
        <v>935</v>
      </c>
      <c r="B937" s="6">
        <f t="shared" ca="1" si="14"/>
        <v>0.6386427403884849</v>
      </c>
      <c r="C937" s="6" t="s">
        <v>34</v>
      </c>
    </row>
    <row r="938" spans="1:3" x14ac:dyDescent="0.2">
      <c r="A938" s="6">
        <v>936</v>
      </c>
      <c r="B938" s="6">
        <f t="shared" ca="1" si="14"/>
        <v>0.51563051095455481</v>
      </c>
      <c r="C938" s="6" t="s">
        <v>35</v>
      </c>
    </row>
    <row r="939" spans="1:3" x14ac:dyDescent="0.2">
      <c r="A939" s="6">
        <v>937</v>
      </c>
      <c r="B939" s="6">
        <f t="shared" ca="1" si="14"/>
        <v>0.5823981704551987</v>
      </c>
      <c r="C939" s="6" t="s">
        <v>35</v>
      </c>
    </row>
    <row r="940" spans="1:3" x14ac:dyDescent="0.2">
      <c r="A940" s="6">
        <v>938</v>
      </c>
      <c r="B940" s="6">
        <f t="shared" ca="1" si="14"/>
        <v>0.54843692421121282</v>
      </c>
      <c r="C940" s="6" t="s">
        <v>34</v>
      </c>
    </row>
    <row r="941" spans="1:3" x14ac:dyDescent="0.2">
      <c r="A941" s="6">
        <v>939</v>
      </c>
      <c r="B941" s="6">
        <f t="shared" ca="1" si="14"/>
        <v>0.64949246608676181</v>
      </c>
      <c r="C941" s="6" t="s">
        <v>34</v>
      </c>
    </row>
    <row r="942" spans="1:3" x14ac:dyDescent="0.2">
      <c r="A942" s="6">
        <v>940</v>
      </c>
      <c r="B942" s="6">
        <f t="shared" ca="1" si="14"/>
        <v>0.72907757743849333</v>
      </c>
      <c r="C942" s="6" t="s">
        <v>35</v>
      </c>
    </row>
    <row r="943" spans="1:3" x14ac:dyDescent="0.2">
      <c r="A943" s="6">
        <v>941</v>
      </c>
      <c r="B943" s="6">
        <f t="shared" ca="1" si="14"/>
        <v>0.46303751809235649</v>
      </c>
      <c r="C943" s="6" t="s">
        <v>35</v>
      </c>
    </row>
    <row r="944" spans="1:3" x14ac:dyDescent="0.2">
      <c r="A944" s="6">
        <v>942</v>
      </c>
      <c r="B944" s="6">
        <f t="shared" ca="1" si="14"/>
        <v>0.57833873937420111</v>
      </c>
      <c r="C944" s="6" t="s">
        <v>35</v>
      </c>
    </row>
    <row r="945" spans="1:3" x14ac:dyDescent="0.2">
      <c r="A945" s="6">
        <v>943</v>
      </c>
      <c r="B945" s="6">
        <f t="shared" ca="1" si="14"/>
        <v>0.41333806265185641</v>
      </c>
      <c r="C945" s="6" t="s">
        <v>35</v>
      </c>
    </row>
    <row r="946" spans="1:3" x14ac:dyDescent="0.2">
      <c r="A946" s="6">
        <v>944</v>
      </c>
      <c r="B946" s="6">
        <f t="shared" ca="1" si="14"/>
        <v>0.515033102594602</v>
      </c>
      <c r="C946" s="6" t="s">
        <v>35</v>
      </c>
    </row>
    <row r="947" spans="1:3" x14ac:dyDescent="0.2">
      <c r="A947" s="6">
        <v>945</v>
      </c>
      <c r="B947" s="6">
        <f t="shared" ca="1" si="14"/>
        <v>0.71317631875783605</v>
      </c>
      <c r="C947" s="6" t="s">
        <v>34</v>
      </c>
    </row>
    <row r="948" spans="1:3" x14ac:dyDescent="0.2">
      <c r="A948" s="6">
        <v>946</v>
      </c>
      <c r="B948" s="6">
        <f t="shared" ca="1" si="14"/>
        <v>0.6059457764297701</v>
      </c>
      <c r="C948" s="6" t="s">
        <v>35</v>
      </c>
    </row>
    <row r="949" spans="1:3" x14ac:dyDescent="0.2">
      <c r="A949" s="6">
        <v>947</v>
      </c>
      <c r="B949" s="6">
        <f t="shared" ca="1" si="14"/>
        <v>0.6811080243600165</v>
      </c>
      <c r="C949" s="6" t="s">
        <v>34</v>
      </c>
    </row>
    <row r="950" spans="1:3" x14ac:dyDescent="0.2">
      <c r="A950" s="6">
        <v>948</v>
      </c>
      <c r="B950" s="6">
        <f t="shared" ca="1" si="14"/>
        <v>0.74764363556693336</v>
      </c>
      <c r="C950" s="6" t="s">
        <v>35</v>
      </c>
    </row>
    <row r="951" spans="1:3" x14ac:dyDescent="0.2">
      <c r="A951" s="6">
        <v>949</v>
      </c>
      <c r="B951" s="6">
        <f t="shared" ca="1" si="14"/>
        <v>0.85950773726605301</v>
      </c>
      <c r="C951" s="6" t="s">
        <v>34</v>
      </c>
    </row>
    <row r="952" spans="1:3" x14ac:dyDescent="0.2">
      <c r="A952" s="6">
        <v>950</v>
      </c>
      <c r="B952" s="6">
        <f t="shared" ca="1" si="14"/>
        <v>0.73398012490474529</v>
      </c>
      <c r="C952" s="6" t="s">
        <v>34</v>
      </c>
    </row>
    <row r="953" spans="1:3" x14ac:dyDescent="0.2">
      <c r="A953" s="6">
        <v>951</v>
      </c>
      <c r="B953" s="6">
        <f t="shared" ca="1" si="14"/>
        <v>0.53314531639920415</v>
      </c>
      <c r="C953" s="6" t="s">
        <v>35</v>
      </c>
    </row>
    <row r="954" spans="1:3" x14ac:dyDescent="0.2">
      <c r="A954" s="6">
        <v>952</v>
      </c>
      <c r="B954" s="6">
        <f t="shared" ca="1" si="14"/>
        <v>0.82925106822581884</v>
      </c>
      <c r="C954" s="6" t="s">
        <v>35</v>
      </c>
    </row>
    <row r="955" spans="1:3" x14ac:dyDescent="0.2">
      <c r="A955" s="6">
        <v>953</v>
      </c>
      <c r="B955" s="6">
        <f t="shared" ca="1" si="14"/>
        <v>0.69755647832910694</v>
      </c>
      <c r="C955" s="6" t="s">
        <v>34</v>
      </c>
    </row>
    <row r="956" spans="1:3" x14ac:dyDescent="0.2">
      <c r="A956" s="6">
        <v>954</v>
      </c>
      <c r="B956" s="6">
        <f t="shared" ca="1" si="14"/>
        <v>0.58931975800234615</v>
      </c>
      <c r="C956" s="6" t="s">
        <v>35</v>
      </c>
    </row>
    <row r="957" spans="1:3" x14ac:dyDescent="0.2">
      <c r="A957" s="6">
        <v>955</v>
      </c>
      <c r="B957" s="6">
        <f t="shared" ca="1" si="14"/>
        <v>0.6736859350268618</v>
      </c>
      <c r="C957" s="6" t="s">
        <v>34</v>
      </c>
    </row>
    <row r="958" spans="1:3" x14ac:dyDescent="0.2">
      <c r="A958" s="6">
        <v>956</v>
      </c>
      <c r="B958" s="6">
        <f t="shared" ca="1" si="14"/>
        <v>0.59781151947050037</v>
      </c>
      <c r="C958" s="6" t="s">
        <v>34</v>
      </c>
    </row>
    <row r="959" spans="1:3" x14ac:dyDescent="0.2">
      <c r="A959" s="6">
        <v>957</v>
      </c>
      <c r="B959" s="6">
        <f t="shared" ca="1" si="14"/>
        <v>0.52138988029290623</v>
      </c>
      <c r="C959" s="6" t="s">
        <v>35</v>
      </c>
    </row>
    <row r="960" spans="1:3" x14ac:dyDescent="0.2">
      <c r="A960" s="6">
        <v>958</v>
      </c>
      <c r="B960" s="6">
        <f t="shared" ca="1" si="14"/>
        <v>0.81853854503531109</v>
      </c>
      <c r="C960" s="6" t="s">
        <v>34</v>
      </c>
    </row>
    <row r="961" spans="1:3" x14ac:dyDescent="0.2">
      <c r="A961" s="6">
        <v>959</v>
      </c>
      <c r="B961" s="6">
        <f t="shared" ca="1" si="14"/>
        <v>0.72590271679250495</v>
      </c>
      <c r="C961" s="6" t="s">
        <v>35</v>
      </c>
    </row>
    <row r="962" spans="1:3" x14ac:dyDescent="0.2">
      <c r="A962" s="6">
        <v>960</v>
      </c>
      <c r="B962" s="6">
        <f t="shared" ca="1" si="14"/>
        <v>0.37732887879222798</v>
      </c>
      <c r="C962" s="6" t="s">
        <v>35</v>
      </c>
    </row>
    <row r="963" spans="1:3" x14ac:dyDescent="0.2">
      <c r="A963" s="6">
        <v>961</v>
      </c>
      <c r="B963" s="6">
        <f t="shared" ca="1" si="14"/>
        <v>0.79569784151032419</v>
      </c>
      <c r="C963" s="6" t="s">
        <v>34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0.78165850962492367</v>
      </c>
      <c r="C964" s="6" t="s">
        <v>34</v>
      </c>
    </row>
    <row r="965" spans="1:3" x14ac:dyDescent="0.2">
      <c r="A965" s="6">
        <v>963</v>
      </c>
      <c r="B965" s="6">
        <f t="shared" ca="1" si="15"/>
        <v>0.72884518643640295</v>
      </c>
      <c r="C965" s="6" t="s">
        <v>34</v>
      </c>
    </row>
    <row r="966" spans="1:3" x14ac:dyDescent="0.2">
      <c r="A966" s="6">
        <v>964</v>
      </c>
      <c r="B966" s="6">
        <f t="shared" ca="1" si="15"/>
        <v>0.6287325949695356</v>
      </c>
      <c r="C966" s="6" t="s">
        <v>34</v>
      </c>
    </row>
    <row r="967" spans="1:3" x14ac:dyDescent="0.2">
      <c r="A967" s="6">
        <v>965</v>
      </c>
      <c r="B967" s="6">
        <f t="shared" ca="1" si="15"/>
        <v>0.83250990549652815</v>
      </c>
      <c r="C967" s="6" t="s">
        <v>34</v>
      </c>
    </row>
    <row r="968" spans="1:3" x14ac:dyDescent="0.2">
      <c r="A968" s="6">
        <v>966</v>
      </c>
      <c r="B968" s="6">
        <f t="shared" ca="1" si="15"/>
        <v>0.74035764471763221</v>
      </c>
      <c r="C968" s="6" t="s">
        <v>34</v>
      </c>
    </row>
    <row r="969" spans="1:3" x14ac:dyDescent="0.2">
      <c r="A969" s="6">
        <v>967</v>
      </c>
      <c r="B969" s="6">
        <f t="shared" ca="1" si="15"/>
        <v>0.6531233351826814</v>
      </c>
      <c r="C969" s="6" t="s">
        <v>34</v>
      </c>
    </row>
    <row r="970" spans="1:3" x14ac:dyDescent="0.2">
      <c r="A970" s="6">
        <v>968</v>
      </c>
      <c r="B970" s="6">
        <f t="shared" ca="1" si="15"/>
        <v>0.66691129503015756</v>
      </c>
      <c r="C970" s="6" t="s">
        <v>34</v>
      </c>
    </row>
    <row r="971" spans="1:3" x14ac:dyDescent="0.2">
      <c r="A971" s="6">
        <v>969</v>
      </c>
      <c r="B971" s="6">
        <f t="shared" ca="1" si="15"/>
        <v>0.50399546755064917</v>
      </c>
      <c r="C971" s="6" t="s">
        <v>35</v>
      </c>
    </row>
    <row r="972" spans="1:3" x14ac:dyDescent="0.2">
      <c r="A972" s="6">
        <v>970</v>
      </c>
      <c r="B972" s="6">
        <f t="shared" ca="1" si="15"/>
        <v>0.60414551457670729</v>
      </c>
      <c r="C972" s="6" t="s">
        <v>35</v>
      </c>
    </row>
    <row r="973" spans="1:3" x14ac:dyDescent="0.2">
      <c r="A973" s="6">
        <v>971</v>
      </c>
      <c r="B973" s="6">
        <f t="shared" ca="1" si="15"/>
        <v>0.73344082909103492</v>
      </c>
      <c r="C973" s="6" t="s">
        <v>34</v>
      </c>
    </row>
    <row r="974" spans="1:3" x14ac:dyDescent="0.2">
      <c r="A974" s="6">
        <v>972</v>
      </c>
      <c r="B974" s="6">
        <f t="shared" ca="1" si="15"/>
        <v>0.55682537039066715</v>
      </c>
      <c r="C974" s="6" t="s">
        <v>35</v>
      </c>
    </row>
    <row r="975" spans="1:3" x14ac:dyDescent="0.2">
      <c r="A975" s="6">
        <v>973</v>
      </c>
      <c r="B975" s="6">
        <f t="shared" ca="1" si="15"/>
        <v>0.69193259044162514</v>
      </c>
      <c r="C975" s="6" t="s">
        <v>34</v>
      </c>
    </row>
    <row r="976" spans="1:3" x14ac:dyDescent="0.2">
      <c r="A976" s="6">
        <v>974</v>
      </c>
      <c r="B976" s="6">
        <f t="shared" ca="1" si="15"/>
        <v>0.79297934287082827</v>
      </c>
      <c r="C976" s="6" t="s">
        <v>34</v>
      </c>
    </row>
    <row r="977" spans="1:3" x14ac:dyDescent="0.2">
      <c r="A977" s="6">
        <v>975</v>
      </c>
      <c r="B977" s="6">
        <f t="shared" ca="1" si="15"/>
        <v>0.49669478092294406</v>
      </c>
      <c r="C977" s="6" t="s">
        <v>34</v>
      </c>
    </row>
    <row r="978" spans="1:3" x14ac:dyDescent="0.2">
      <c r="A978" s="6">
        <v>976</v>
      </c>
      <c r="B978" s="6">
        <f t="shared" ca="1" si="15"/>
        <v>0.72119521234518602</v>
      </c>
      <c r="C978" s="6" t="s">
        <v>34</v>
      </c>
    </row>
    <row r="979" spans="1:3" x14ac:dyDescent="0.2">
      <c r="A979" s="6">
        <v>977</v>
      </c>
      <c r="B979" s="6">
        <f t="shared" ca="1" si="15"/>
        <v>0.61013914704456096</v>
      </c>
      <c r="C979" s="6" t="s">
        <v>34</v>
      </c>
    </row>
    <row r="980" spans="1:3" x14ac:dyDescent="0.2">
      <c r="A980" s="6">
        <v>978</v>
      </c>
      <c r="B980" s="6">
        <f t="shared" ca="1" si="15"/>
        <v>0.77890161732270191</v>
      </c>
      <c r="C980" s="6" t="s">
        <v>34</v>
      </c>
    </row>
    <row r="981" spans="1:3" x14ac:dyDescent="0.2">
      <c r="A981" s="6">
        <v>979</v>
      </c>
      <c r="B981" s="6">
        <f t="shared" ca="1" si="15"/>
        <v>0.71374801052835668</v>
      </c>
      <c r="C981" s="6" t="s">
        <v>34</v>
      </c>
    </row>
    <row r="982" spans="1:3" x14ac:dyDescent="0.2">
      <c r="A982" s="6">
        <v>980</v>
      </c>
      <c r="B982" s="6">
        <f t="shared" ca="1" si="15"/>
        <v>0.53076102468611741</v>
      </c>
      <c r="C982" s="6" t="s">
        <v>35</v>
      </c>
    </row>
    <row r="983" spans="1:3" x14ac:dyDescent="0.2">
      <c r="A983" s="6">
        <v>981</v>
      </c>
      <c r="B983" s="6">
        <f t="shared" ca="1" si="15"/>
        <v>0.27098091637434807</v>
      </c>
      <c r="C983" s="6" t="s">
        <v>35</v>
      </c>
    </row>
    <row r="984" spans="1:3" x14ac:dyDescent="0.2">
      <c r="A984" s="6">
        <v>982</v>
      </c>
      <c r="B984" s="6">
        <f t="shared" ca="1" si="15"/>
        <v>0.58936365909275623</v>
      </c>
      <c r="C984" s="6" t="s">
        <v>34</v>
      </c>
    </row>
    <row r="985" spans="1:3" x14ac:dyDescent="0.2">
      <c r="A985" s="6">
        <v>983</v>
      </c>
      <c r="B985" s="6">
        <f t="shared" ca="1" si="15"/>
        <v>0.73805131261287493</v>
      </c>
      <c r="C985" s="6" t="s">
        <v>34</v>
      </c>
    </row>
    <row r="986" spans="1:3" x14ac:dyDescent="0.2">
      <c r="A986" s="6">
        <v>984</v>
      </c>
      <c r="B986" s="6">
        <f t="shared" ca="1" si="15"/>
        <v>0.65165322846077522</v>
      </c>
      <c r="C986" s="6" t="s">
        <v>35</v>
      </c>
    </row>
    <row r="987" spans="1:3" x14ac:dyDescent="0.2">
      <c r="A987" s="6">
        <v>985</v>
      </c>
      <c r="B987" s="6">
        <f t="shared" ca="1" si="15"/>
        <v>0.48273159855856845</v>
      </c>
      <c r="C987" s="6" t="s">
        <v>35</v>
      </c>
    </row>
    <row r="988" spans="1:3" x14ac:dyDescent="0.2">
      <c r="A988" s="6">
        <v>986</v>
      </c>
      <c r="B988" s="6">
        <f t="shared" ca="1" si="15"/>
        <v>0.82631278183677015</v>
      </c>
      <c r="C988" s="6" t="s">
        <v>34</v>
      </c>
    </row>
    <row r="989" spans="1:3" x14ac:dyDescent="0.2">
      <c r="A989" s="6">
        <v>987</v>
      </c>
      <c r="B989" s="6">
        <f t="shared" ca="1" si="15"/>
        <v>0.58591319624033289</v>
      </c>
      <c r="C989" s="6" t="s">
        <v>35</v>
      </c>
    </row>
    <row r="990" spans="1:3" x14ac:dyDescent="0.2">
      <c r="A990" s="6">
        <v>988</v>
      </c>
      <c r="B990" s="6">
        <f t="shared" ca="1" si="15"/>
        <v>0.34272442186879604</v>
      </c>
      <c r="C990" s="6" t="s">
        <v>35</v>
      </c>
    </row>
    <row r="991" spans="1:3" x14ac:dyDescent="0.2">
      <c r="A991" s="6">
        <v>989</v>
      </c>
      <c r="B991" s="6">
        <f t="shared" ca="1" si="15"/>
        <v>1.0198055753254742</v>
      </c>
      <c r="C991" s="6" t="s">
        <v>34</v>
      </c>
    </row>
    <row r="992" spans="1:3" x14ac:dyDescent="0.2">
      <c r="A992" s="6">
        <v>990</v>
      </c>
      <c r="B992" s="6">
        <f t="shared" ca="1" si="15"/>
        <v>0.49397384643759623</v>
      </c>
      <c r="C992" s="6" t="s">
        <v>35</v>
      </c>
    </row>
    <row r="993" spans="1:3" x14ac:dyDescent="0.2">
      <c r="A993" s="6">
        <v>991</v>
      </c>
      <c r="B993" s="6">
        <f t="shared" ca="1" si="15"/>
        <v>0.63948552147495541</v>
      </c>
      <c r="C993" s="6" t="s">
        <v>34</v>
      </c>
    </row>
    <row r="994" spans="1:3" x14ac:dyDescent="0.2">
      <c r="A994" s="6">
        <v>992</v>
      </c>
      <c r="B994" s="6">
        <f t="shared" ca="1" si="15"/>
        <v>0.47267167816834454</v>
      </c>
      <c r="C994" s="6" t="s">
        <v>35</v>
      </c>
    </row>
    <row r="995" spans="1:3" x14ac:dyDescent="0.2">
      <c r="A995" s="6">
        <v>993</v>
      </c>
      <c r="B995" s="6">
        <f t="shared" ca="1" si="15"/>
        <v>0.8276642303286218</v>
      </c>
      <c r="C995" s="6" t="s">
        <v>34</v>
      </c>
    </row>
    <row r="996" spans="1:3" x14ac:dyDescent="0.2">
      <c r="A996" s="6">
        <v>994</v>
      </c>
      <c r="B996" s="6">
        <f t="shared" ca="1" si="15"/>
        <v>0.70820868680827709</v>
      </c>
      <c r="C996" s="6" t="s">
        <v>34</v>
      </c>
    </row>
    <row r="997" spans="1:3" x14ac:dyDescent="0.2">
      <c r="A997" s="6">
        <v>995</v>
      </c>
      <c r="B997" s="6">
        <f t="shared" ca="1" si="15"/>
        <v>0.51869505177199415</v>
      </c>
      <c r="C997" s="6" t="s">
        <v>35</v>
      </c>
    </row>
    <row r="998" spans="1:3" x14ac:dyDescent="0.2">
      <c r="A998" s="6">
        <v>996</v>
      </c>
      <c r="B998" s="6">
        <f t="shared" ca="1" si="15"/>
        <v>0.81228708952143647</v>
      </c>
      <c r="C998" s="6" t="s">
        <v>34</v>
      </c>
    </row>
    <row r="999" spans="1:3" x14ac:dyDescent="0.2">
      <c r="A999" s="6">
        <v>997</v>
      </c>
      <c r="B999" s="6">
        <f t="shared" ca="1" si="15"/>
        <v>0.63505593725317955</v>
      </c>
      <c r="C999" s="6" t="s">
        <v>35</v>
      </c>
    </row>
    <row r="1000" spans="1:3" x14ac:dyDescent="0.2">
      <c r="A1000" s="6">
        <v>998</v>
      </c>
      <c r="B1000" s="6">
        <f t="shared" ca="1" si="15"/>
        <v>0.70736787719610361</v>
      </c>
      <c r="C1000" s="6" t="s">
        <v>35</v>
      </c>
    </row>
    <row r="1001" spans="1:3" x14ac:dyDescent="0.2">
      <c r="A1001" s="6">
        <v>999</v>
      </c>
      <c r="B1001" s="6">
        <f t="shared" ca="1" si="15"/>
        <v>0.78007663678019845</v>
      </c>
      <c r="C1001" s="6" t="s">
        <v>35</v>
      </c>
    </row>
    <row r="1002" spans="1:3" x14ac:dyDescent="0.2">
      <c r="A1002" s="6">
        <v>1000</v>
      </c>
      <c r="B1002" s="6">
        <f t="shared" ca="1" si="15"/>
        <v>0.42861783672131581</v>
      </c>
      <c r="C1002" s="6" t="s">
        <v>35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6A96-1048-844A-B684-5BD79593FBB9}">
  <sheetPr codeName="Sheet5">
    <tabColor rgb="FFFF0000"/>
  </sheetPr>
  <dimension ref="A2:C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3" x14ac:dyDescent="0.2">
      <c r="B2" s="6" t="s">
        <v>36</v>
      </c>
      <c r="C2" s="6" t="s">
        <v>11</v>
      </c>
    </row>
    <row r="3" spans="1:3" x14ac:dyDescent="0.2">
      <c r="A3" s="6">
        <v>1</v>
      </c>
      <c r="B3" s="6">
        <f ca="1">IF(C3="Bomb",_xlfn.NORM.INV(RAND(),0.7,0.07),1-_xlfn.NORM.INV(RAND(),0.7,0.07))</f>
        <v>0.70371636329666964</v>
      </c>
      <c r="C3" s="6" t="str">
        <f ca="1">IF(RAND()&lt;0.5,"Bomb","Bird")</f>
        <v>Bomb</v>
      </c>
    </row>
    <row r="4" spans="1:3" x14ac:dyDescent="0.2">
      <c r="A4" s="6">
        <v>2</v>
      </c>
    </row>
    <row r="5" spans="1:3" x14ac:dyDescent="0.2">
      <c r="A5" s="6">
        <v>3</v>
      </c>
    </row>
    <row r="6" spans="1:3" x14ac:dyDescent="0.2">
      <c r="A6" s="6">
        <v>4</v>
      </c>
    </row>
    <row r="7" spans="1:3" x14ac:dyDescent="0.2">
      <c r="A7" s="6">
        <v>5</v>
      </c>
    </row>
    <row r="8" spans="1:3" x14ac:dyDescent="0.2">
      <c r="A8" s="6">
        <v>6</v>
      </c>
    </row>
    <row r="9" spans="1:3" x14ac:dyDescent="0.2">
      <c r="A9" s="6">
        <v>7</v>
      </c>
    </row>
    <row r="10" spans="1:3" x14ac:dyDescent="0.2">
      <c r="A10" s="6">
        <v>8</v>
      </c>
    </row>
    <row r="11" spans="1:3" x14ac:dyDescent="0.2">
      <c r="A11" s="6">
        <v>9</v>
      </c>
    </row>
    <row r="12" spans="1:3" x14ac:dyDescent="0.2">
      <c r="A12" s="6">
        <v>10</v>
      </c>
    </row>
    <row r="13" spans="1:3" x14ac:dyDescent="0.2">
      <c r="A13" s="6">
        <v>11</v>
      </c>
    </row>
    <row r="14" spans="1:3" x14ac:dyDescent="0.2">
      <c r="A14" s="6">
        <v>12</v>
      </c>
    </row>
    <row r="15" spans="1:3" x14ac:dyDescent="0.2">
      <c r="A15" s="6">
        <v>13</v>
      </c>
    </row>
    <row r="16" spans="1:3" x14ac:dyDescent="0.2">
      <c r="A16" s="6">
        <v>14</v>
      </c>
    </row>
    <row r="17" spans="1:1" x14ac:dyDescent="0.2">
      <c r="A17" s="6">
        <v>15</v>
      </c>
    </row>
    <row r="18" spans="1:1" x14ac:dyDescent="0.2">
      <c r="A18" s="6">
        <v>16</v>
      </c>
    </row>
    <row r="19" spans="1:1" x14ac:dyDescent="0.2">
      <c r="A19" s="6">
        <v>17</v>
      </c>
    </row>
    <row r="20" spans="1:1" x14ac:dyDescent="0.2">
      <c r="A20" s="6">
        <v>18</v>
      </c>
    </row>
    <row r="21" spans="1:1" x14ac:dyDescent="0.2">
      <c r="A21" s="6">
        <v>19</v>
      </c>
    </row>
    <row r="22" spans="1:1" x14ac:dyDescent="0.2">
      <c r="A22" s="6">
        <v>20</v>
      </c>
    </row>
    <row r="23" spans="1:1" x14ac:dyDescent="0.2">
      <c r="A23" s="6">
        <v>21</v>
      </c>
    </row>
    <row r="24" spans="1:1" x14ac:dyDescent="0.2">
      <c r="A24" s="6">
        <v>22</v>
      </c>
    </row>
    <row r="25" spans="1:1" x14ac:dyDescent="0.2">
      <c r="A25" s="6">
        <v>23</v>
      </c>
    </row>
    <row r="26" spans="1:1" x14ac:dyDescent="0.2">
      <c r="A26" s="6">
        <v>24</v>
      </c>
    </row>
    <row r="27" spans="1:1" x14ac:dyDescent="0.2">
      <c r="A27" s="6">
        <v>25</v>
      </c>
    </row>
    <row r="28" spans="1:1" x14ac:dyDescent="0.2">
      <c r="A28" s="6">
        <v>26</v>
      </c>
    </row>
    <row r="29" spans="1:1" x14ac:dyDescent="0.2">
      <c r="A29" s="6">
        <v>27</v>
      </c>
    </row>
    <row r="30" spans="1:1" x14ac:dyDescent="0.2">
      <c r="A30" s="6">
        <v>28</v>
      </c>
    </row>
    <row r="31" spans="1:1" x14ac:dyDescent="0.2">
      <c r="A31" s="6">
        <v>29</v>
      </c>
    </row>
    <row r="32" spans="1:1" x14ac:dyDescent="0.2">
      <c r="A32" s="6">
        <v>30</v>
      </c>
    </row>
    <row r="33" spans="1:1" x14ac:dyDescent="0.2">
      <c r="A33" s="6">
        <v>31</v>
      </c>
    </row>
    <row r="34" spans="1:1" x14ac:dyDescent="0.2">
      <c r="A34" s="6">
        <v>32</v>
      </c>
    </row>
    <row r="35" spans="1:1" x14ac:dyDescent="0.2">
      <c r="A35" s="6">
        <v>33</v>
      </c>
    </row>
    <row r="36" spans="1:1" x14ac:dyDescent="0.2">
      <c r="A36" s="6">
        <v>34</v>
      </c>
    </row>
    <row r="37" spans="1:1" x14ac:dyDescent="0.2">
      <c r="A37" s="6">
        <v>35</v>
      </c>
    </row>
    <row r="38" spans="1:1" x14ac:dyDescent="0.2">
      <c r="A38" s="6">
        <v>36</v>
      </c>
    </row>
    <row r="39" spans="1:1" x14ac:dyDescent="0.2">
      <c r="A39" s="6">
        <v>37</v>
      </c>
    </row>
    <row r="40" spans="1:1" x14ac:dyDescent="0.2">
      <c r="A40" s="6">
        <v>38</v>
      </c>
    </row>
    <row r="41" spans="1:1" x14ac:dyDescent="0.2">
      <c r="A41" s="6">
        <v>39</v>
      </c>
    </row>
    <row r="42" spans="1:1" x14ac:dyDescent="0.2">
      <c r="A42" s="6">
        <v>40</v>
      </c>
    </row>
    <row r="43" spans="1:1" x14ac:dyDescent="0.2">
      <c r="A43" s="6">
        <v>41</v>
      </c>
    </row>
    <row r="44" spans="1:1" x14ac:dyDescent="0.2">
      <c r="A44" s="6">
        <v>42</v>
      </c>
    </row>
    <row r="45" spans="1:1" x14ac:dyDescent="0.2">
      <c r="A45" s="6">
        <v>43</v>
      </c>
    </row>
    <row r="46" spans="1:1" x14ac:dyDescent="0.2">
      <c r="A46" s="6">
        <v>44</v>
      </c>
    </row>
    <row r="47" spans="1:1" x14ac:dyDescent="0.2">
      <c r="A47" s="6">
        <v>45</v>
      </c>
    </row>
    <row r="48" spans="1:1" x14ac:dyDescent="0.2">
      <c r="A48" s="6">
        <v>46</v>
      </c>
    </row>
    <row r="49" spans="1:1" x14ac:dyDescent="0.2">
      <c r="A49" s="6">
        <v>47</v>
      </c>
    </row>
    <row r="50" spans="1:1" x14ac:dyDescent="0.2">
      <c r="A50" s="6">
        <v>48</v>
      </c>
    </row>
    <row r="51" spans="1:1" x14ac:dyDescent="0.2">
      <c r="A51" s="6">
        <v>49</v>
      </c>
    </row>
    <row r="52" spans="1:1" x14ac:dyDescent="0.2">
      <c r="A52" s="6">
        <v>50</v>
      </c>
    </row>
    <row r="53" spans="1:1" x14ac:dyDescent="0.2">
      <c r="A53" s="6">
        <v>51</v>
      </c>
    </row>
    <row r="54" spans="1:1" x14ac:dyDescent="0.2">
      <c r="A54" s="6">
        <v>52</v>
      </c>
    </row>
    <row r="55" spans="1:1" x14ac:dyDescent="0.2">
      <c r="A55" s="6">
        <v>53</v>
      </c>
    </row>
    <row r="56" spans="1:1" x14ac:dyDescent="0.2">
      <c r="A56" s="6">
        <v>54</v>
      </c>
    </row>
    <row r="57" spans="1:1" x14ac:dyDescent="0.2">
      <c r="A57" s="6">
        <v>55</v>
      </c>
    </row>
    <row r="58" spans="1:1" x14ac:dyDescent="0.2">
      <c r="A58" s="6">
        <v>56</v>
      </c>
    </row>
    <row r="59" spans="1:1" x14ac:dyDescent="0.2">
      <c r="A59" s="6">
        <v>57</v>
      </c>
    </row>
    <row r="60" spans="1:1" x14ac:dyDescent="0.2">
      <c r="A60" s="6">
        <v>58</v>
      </c>
    </row>
    <row r="61" spans="1:1" x14ac:dyDescent="0.2">
      <c r="A61" s="6">
        <v>59</v>
      </c>
    </row>
    <row r="62" spans="1:1" x14ac:dyDescent="0.2">
      <c r="A62" s="6">
        <v>60</v>
      </c>
    </row>
    <row r="63" spans="1:1" x14ac:dyDescent="0.2">
      <c r="A63" s="6">
        <v>61</v>
      </c>
    </row>
    <row r="64" spans="1:1" x14ac:dyDescent="0.2">
      <c r="A64" s="6">
        <v>62</v>
      </c>
    </row>
    <row r="65" spans="1:1" x14ac:dyDescent="0.2">
      <c r="A65" s="6">
        <v>63</v>
      </c>
    </row>
    <row r="66" spans="1:1" x14ac:dyDescent="0.2">
      <c r="A66" s="6">
        <v>64</v>
      </c>
    </row>
    <row r="67" spans="1:1" x14ac:dyDescent="0.2">
      <c r="A67" s="6">
        <v>65</v>
      </c>
    </row>
    <row r="68" spans="1:1" x14ac:dyDescent="0.2">
      <c r="A68" s="6">
        <v>66</v>
      </c>
    </row>
    <row r="69" spans="1:1" x14ac:dyDescent="0.2">
      <c r="A69" s="6">
        <v>67</v>
      </c>
    </row>
    <row r="70" spans="1:1" x14ac:dyDescent="0.2">
      <c r="A70" s="6">
        <v>68</v>
      </c>
    </row>
    <row r="71" spans="1:1" x14ac:dyDescent="0.2">
      <c r="A71" s="6">
        <v>69</v>
      </c>
    </row>
    <row r="72" spans="1:1" x14ac:dyDescent="0.2">
      <c r="A72" s="6">
        <v>70</v>
      </c>
    </row>
    <row r="73" spans="1:1" x14ac:dyDescent="0.2">
      <c r="A73" s="6">
        <v>71</v>
      </c>
    </row>
    <row r="74" spans="1:1" x14ac:dyDescent="0.2">
      <c r="A74" s="6">
        <v>72</v>
      </c>
    </row>
    <row r="75" spans="1:1" x14ac:dyDescent="0.2">
      <c r="A75" s="6">
        <v>73</v>
      </c>
    </row>
    <row r="76" spans="1:1" x14ac:dyDescent="0.2">
      <c r="A76" s="6">
        <v>74</v>
      </c>
    </row>
    <row r="77" spans="1:1" x14ac:dyDescent="0.2">
      <c r="A77" s="6">
        <v>75</v>
      </c>
    </row>
    <row r="78" spans="1:1" x14ac:dyDescent="0.2">
      <c r="A78" s="6">
        <v>76</v>
      </c>
    </row>
    <row r="79" spans="1:1" x14ac:dyDescent="0.2">
      <c r="A79" s="6">
        <v>77</v>
      </c>
    </row>
    <row r="80" spans="1:1" x14ac:dyDescent="0.2">
      <c r="A80" s="6">
        <v>78</v>
      </c>
    </row>
    <row r="81" spans="1:1" x14ac:dyDescent="0.2">
      <c r="A81" s="6">
        <v>79</v>
      </c>
    </row>
    <row r="82" spans="1:1" x14ac:dyDescent="0.2">
      <c r="A82" s="6">
        <v>80</v>
      </c>
    </row>
    <row r="83" spans="1:1" x14ac:dyDescent="0.2">
      <c r="A83" s="6">
        <v>81</v>
      </c>
    </row>
    <row r="84" spans="1:1" x14ac:dyDescent="0.2">
      <c r="A84" s="6">
        <v>82</v>
      </c>
    </row>
    <row r="85" spans="1:1" x14ac:dyDescent="0.2">
      <c r="A85" s="6">
        <v>83</v>
      </c>
    </row>
    <row r="86" spans="1:1" x14ac:dyDescent="0.2">
      <c r="A86" s="6">
        <v>84</v>
      </c>
    </row>
    <row r="87" spans="1:1" x14ac:dyDescent="0.2">
      <c r="A87" s="6">
        <v>85</v>
      </c>
    </row>
    <row r="88" spans="1:1" x14ac:dyDescent="0.2">
      <c r="A88" s="6">
        <v>86</v>
      </c>
    </row>
    <row r="89" spans="1:1" x14ac:dyDescent="0.2">
      <c r="A89" s="6">
        <v>87</v>
      </c>
    </row>
    <row r="90" spans="1:1" x14ac:dyDescent="0.2">
      <c r="A90" s="6">
        <v>88</v>
      </c>
    </row>
    <row r="91" spans="1:1" x14ac:dyDescent="0.2">
      <c r="A91" s="6">
        <v>89</v>
      </c>
    </row>
    <row r="92" spans="1:1" x14ac:dyDescent="0.2">
      <c r="A92" s="6">
        <v>90</v>
      </c>
    </row>
    <row r="93" spans="1:1" x14ac:dyDescent="0.2">
      <c r="A93" s="6">
        <v>91</v>
      </c>
    </row>
    <row r="94" spans="1:1" x14ac:dyDescent="0.2">
      <c r="A94" s="6">
        <v>92</v>
      </c>
    </row>
    <row r="95" spans="1:1" x14ac:dyDescent="0.2">
      <c r="A95" s="6">
        <v>93</v>
      </c>
    </row>
    <row r="96" spans="1:1" x14ac:dyDescent="0.2">
      <c r="A96" s="6">
        <v>94</v>
      </c>
    </row>
    <row r="97" spans="1:1" x14ac:dyDescent="0.2">
      <c r="A97" s="6">
        <v>95</v>
      </c>
    </row>
    <row r="98" spans="1:1" x14ac:dyDescent="0.2">
      <c r="A98" s="6">
        <v>96</v>
      </c>
    </row>
    <row r="99" spans="1:1" x14ac:dyDescent="0.2">
      <c r="A99" s="6">
        <v>97</v>
      </c>
    </row>
    <row r="100" spans="1:1" x14ac:dyDescent="0.2">
      <c r="A100" s="6">
        <v>98</v>
      </c>
    </row>
    <row r="101" spans="1:1" x14ac:dyDescent="0.2">
      <c r="A101" s="6">
        <v>99</v>
      </c>
    </row>
    <row r="102" spans="1:1" x14ac:dyDescent="0.2">
      <c r="A102" s="6">
        <v>100</v>
      </c>
    </row>
    <row r="103" spans="1:1" x14ac:dyDescent="0.2">
      <c r="A103" s="6">
        <v>101</v>
      </c>
    </row>
    <row r="104" spans="1:1" x14ac:dyDescent="0.2">
      <c r="A104" s="6">
        <v>102</v>
      </c>
    </row>
    <row r="105" spans="1:1" x14ac:dyDescent="0.2">
      <c r="A105" s="6">
        <v>103</v>
      </c>
    </row>
    <row r="106" spans="1:1" x14ac:dyDescent="0.2">
      <c r="A106" s="6">
        <v>104</v>
      </c>
    </row>
    <row r="107" spans="1:1" x14ac:dyDescent="0.2">
      <c r="A107" s="6">
        <v>105</v>
      </c>
    </row>
    <row r="108" spans="1:1" x14ac:dyDescent="0.2">
      <c r="A108" s="6">
        <v>106</v>
      </c>
    </row>
    <row r="109" spans="1:1" x14ac:dyDescent="0.2">
      <c r="A109" s="6">
        <v>107</v>
      </c>
    </row>
    <row r="110" spans="1:1" x14ac:dyDescent="0.2">
      <c r="A110" s="6">
        <v>108</v>
      </c>
    </row>
    <row r="111" spans="1:1" x14ac:dyDescent="0.2">
      <c r="A111" s="6">
        <v>109</v>
      </c>
    </row>
    <row r="112" spans="1:1" x14ac:dyDescent="0.2">
      <c r="A112" s="6">
        <v>110</v>
      </c>
    </row>
    <row r="113" spans="1:1" x14ac:dyDescent="0.2">
      <c r="A113" s="6">
        <v>111</v>
      </c>
    </row>
    <row r="114" spans="1:1" x14ac:dyDescent="0.2">
      <c r="A114" s="6">
        <v>112</v>
      </c>
    </row>
    <row r="115" spans="1:1" x14ac:dyDescent="0.2">
      <c r="A115" s="6">
        <v>113</v>
      </c>
    </row>
    <row r="116" spans="1:1" x14ac:dyDescent="0.2">
      <c r="A116" s="6">
        <v>114</v>
      </c>
    </row>
    <row r="117" spans="1:1" x14ac:dyDescent="0.2">
      <c r="A117" s="6">
        <v>115</v>
      </c>
    </row>
    <row r="118" spans="1:1" x14ac:dyDescent="0.2">
      <c r="A118" s="6">
        <v>116</v>
      </c>
    </row>
    <row r="119" spans="1:1" x14ac:dyDescent="0.2">
      <c r="A119" s="6">
        <v>117</v>
      </c>
    </row>
    <row r="120" spans="1:1" x14ac:dyDescent="0.2">
      <c r="A120" s="6">
        <v>118</v>
      </c>
    </row>
    <row r="121" spans="1:1" x14ac:dyDescent="0.2">
      <c r="A121" s="6">
        <v>119</v>
      </c>
    </row>
    <row r="122" spans="1:1" x14ac:dyDescent="0.2">
      <c r="A122" s="6">
        <v>120</v>
      </c>
    </row>
    <row r="123" spans="1:1" x14ac:dyDescent="0.2">
      <c r="A123" s="6">
        <v>121</v>
      </c>
    </row>
    <row r="124" spans="1:1" x14ac:dyDescent="0.2">
      <c r="A124" s="6">
        <v>122</v>
      </c>
    </row>
    <row r="125" spans="1:1" x14ac:dyDescent="0.2">
      <c r="A125" s="6">
        <v>123</v>
      </c>
    </row>
    <row r="126" spans="1:1" x14ac:dyDescent="0.2">
      <c r="A126" s="6">
        <v>124</v>
      </c>
    </row>
    <row r="127" spans="1:1" x14ac:dyDescent="0.2">
      <c r="A127" s="6">
        <v>125</v>
      </c>
    </row>
    <row r="128" spans="1:1" x14ac:dyDescent="0.2">
      <c r="A128" s="6">
        <v>126</v>
      </c>
    </row>
    <row r="129" spans="1:1" x14ac:dyDescent="0.2">
      <c r="A129" s="6">
        <v>127</v>
      </c>
    </row>
    <row r="130" spans="1:1" x14ac:dyDescent="0.2">
      <c r="A130" s="6">
        <v>128</v>
      </c>
    </row>
    <row r="131" spans="1:1" x14ac:dyDescent="0.2">
      <c r="A131" s="6">
        <v>129</v>
      </c>
    </row>
    <row r="132" spans="1:1" x14ac:dyDescent="0.2">
      <c r="A132" s="6">
        <v>130</v>
      </c>
    </row>
    <row r="133" spans="1:1" x14ac:dyDescent="0.2">
      <c r="A133" s="6">
        <v>131</v>
      </c>
    </row>
    <row r="134" spans="1:1" x14ac:dyDescent="0.2">
      <c r="A134" s="6">
        <v>132</v>
      </c>
    </row>
    <row r="135" spans="1:1" x14ac:dyDescent="0.2">
      <c r="A135" s="6">
        <v>133</v>
      </c>
    </row>
    <row r="136" spans="1:1" x14ac:dyDescent="0.2">
      <c r="A136" s="6">
        <v>134</v>
      </c>
    </row>
    <row r="137" spans="1:1" x14ac:dyDescent="0.2">
      <c r="A137" s="6">
        <v>135</v>
      </c>
    </row>
    <row r="138" spans="1:1" x14ac:dyDescent="0.2">
      <c r="A138" s="6">
        <v>136</v>
      </c>
    </row>
    <row r="139" spans="1:1" x14ac:dyDescent="0.2">
      <c r="A139" s="6">
        <v>137</v>
      </c>
    </row>
    <row r="140" spans="1:1" x14ac:dyDescent="0.2">
      <c r="A140" s="6">
        <v>138</v>
      </c>
    </row>
    <row r="141" spans="1:1" x14ac:dyDescent="0.2">
      <c r="A141" s="6">
        <v>139</v>
      </c>
    </row>
    <row r="142" spans="1:1" x14ac:dyDescent="0.2">
      <c r="A142" s="6">
        <v>140</v>
      </c>
    </row>
    <row r="143" spans="1:1" x14ac:dyDescent="0.2">
      <c r="A143" s="6">
        <v>141</v>
      </c>
    </row>
    <row r="144" spans="1:1" x14ac:dyDescent="0.2">
      <c r="A144" s="6">
        <v>142</v>
      </c>
    </row>
    <row r="145" spans="1:1" x14ac:dyDescent="0.2">
      <c r="A145" s="6">
        <v>143</v>
      </c>
    </row>
    <row r="146" spans="1:1" x14ac:dyDescent="0.2">
      <c r="A146" s="6">
        <v>144</v>
      </c>
    </row>
    <row r="147" spans="1:1" x14ac:dyDescent="0.2">
      <c r="A147" s="6">
        <v>145</v>
      </c>
    </row>
    <row r="148" spans="1:1" x14ac:dyDescent="0.2">
      <c r="A148" s="6">
        <v>146</v>
      </c>
    </row>
    <row r="149" spans="1:1" x14ac:dyDescent="0.2">
      <c r="A149" s="6">
        <v>147</v>
      </c>
    </row>
    <row r="150" spans="1:1" x14ac:dyDescent="0.2">
      <c r="A150" s="6">
        <v>148</v>
      </c>
    </row>
    <row r="151" spans="1:1" x14ac:dyDescent="0.2">
      <c r="A151" s="6">
        <v>149</v>
      </c>
    </row>
    <row r="152" spans="1:1" x14ac:dyDescent="0.2">
      <c r="A152" s="6">
        <v>150</v>
      </c>
    </row>
    <row r="153" spans="1:1" x14ac:dyDescent="0.2">
      <c r="A153" s="6">
        <v>151</v>
      </c>
    </row>
    <row r="154" spans="1:1" x14ac:dyDescent="0.2">
      <c r="A154" s="6">
        <v>152</v>
      </c>
    </row>
    <row r="155" spans="1:1" x14ac:dyDescent="0.2">
      <c r="A155" s="6">
        <v>153</v>
      </c>
    </row>
    <row r="156" spans="1:1" x14ac:dyDescent="0.2">
      <c r="A156" s="6">
        <v>154</v>
      </c>
    </row>
    <row r="157" spans="1:1" x14ac:dyDescent="0.2">
      <c r="A157" s="6">
        <v>155</v>
      </c>
    </row>
    <row r="158" spans="1:1" x14ac:dyDescent="0.2">
      <c r="A158" s="6">
        <v>156</v>
      </c>
    </row>
    <row r="159" spans="1:1" x14ac:dyDescent="0.2">
      <c r="A159" s="6">
        <v>157</v>
      </c>
    </row>
    <row r="160" spans="1:1" x14ac:dyDescent="0.2">
      <c r="A160" s="6">
        <v>158</v>
      </c>
    </row>
    <row r="161" spans="1:1" x14ac:dyDescent="0.2">
      <c r="A161" s="6">
        <v>159</v>
      </c>
    </row>
    <row r="162" spans="1:1" x14ac:dyDescent="0.2">
      <c r="A162" s="6">
        <v>160</v>
      </c>
    </row>
    <row r="163" spans="1:1" x14ac:dyDescent="0.2">
      <c r="A163" s="6">
        <v>161</v>
      </c>
    </row>
    <row r="164" spans="1:1" x14ac:dyDescent="0.2">
      <c r="A164" s="6">
        <v>162</v>
      </c>
    </row>
    <row r="165" spans="1:1" x14ac:dyDescent="0.2">
      <c r="A165" s="6">
        <v>163</v>
      </c>
    </row>
    <row r="166" spans="1:1" x14ac:dyDescent="0.2">
      <c r="A166" s="6">
        <v>164</v>
      </c>
    </row>
    <row r="167" spans="1:1" x14ac:dyDescent="0.2">
      <c r="A167" s="6">
        <v>165</v>
      </c>
    </row>
    <row r="168" spans="1:1" x14ac:dyDescent="0.2">
      <c r="A168" s="6">
        <v>166</v>
      </c>
    </row>
    <row r="169" spans="1:1" x14ac:dyDescent="0.2">
      <c r="A169" s="6">
        <v>167</v>
      </c>
    </row>
    <row r="170" spans="1:1" x14ac:dyDescent="0.2">
      <c r="A170" s="6">
        <v>168</v>
      </c>
    </row>
    <row r="171" spans="1:1" x14ac:dyDescent="0.2">
      <c r="A171" s="6">
        <v>169</v>
      </c>
    </row>
    <row r="172" spans="1:1" x14ac:dyDescent="0.2">
      <c r="A172" s="6">
        <v>170</v>
      </c>
    </row>
    <row r="173" spans="1:1" x14ac:dyDescent="0.2">
      <c r="A173" s="6">
        <v>171</v>
      </c>
    </row>
    <row r="174" spans="1:1" x14ac:dyDescent="0.2">
      <c r="A174" s="6">
        <v>172</v>
      </c>
    </row>
    <row r="175" spans="1:1" x14ac:dyDescent="0.2">
      <c r="A175" s="6">
        <v>173</v>
      </c>
    </row>
    <row r="176" spans="1:1" x14ac:dyDescent="0.2">
      <c r="A176" s="6">
        <v>174</v>
      </c>
    </row>
    <row r="177" spans="1:1" x14ac:dyDescent="0.2">
      <c r="A177" s="6">
        <v>175</v>
      </c>
    </row>
    <row r="178" spans="1:1" x14ac:dyDescent="0.2">
      <c r="A178" s="6">
        <v>176</v>
      </c>
    </row>
    <row r="179" spans="1:1" x14ac:dyDescent="0.2">
      <c r="A179" s="6">
        <v>177</v>
      </c>
    </row>
    <row r="180" spans="1:1" x14ac:dyDescent="0.2">
      <c r="A180" s="6">
        <v>178</v>
      </c>
    </row>
    <row r="181" spans="1:1" x14ac:dyDescent="0.2">
      <c r="A181" s="6">
        <v>179</v>
      </c>
    </row>
    <row r="182" spans="1:1" x14ac:dyDescent="0.2">
      <c r="A182" s="6">
        <v>180</v>
      </c>
    </row>
    <row r="183" spans="1:1" x14ac:dyDescent="0.2">
      <c r="A183" s="6">
        <v>181</v>
      </c>
    </row>
    <row r="184" spans="1:1" x14ac:dyDescent="0.2">
      <c r="A184" s="6">
        <v>182</v>
      </c>
    </row>
    <row r="185" spans="1:1" x14ac:dyDescent="0.2">
      <c r="A185" s="6">
        <v>183</v>
      </c>
    </row>
    <row r="186" spans="1:1" x14ac:dyDescent="0.2">
      <c r="A186" s="6">
        <v>184</v>
      </c>
    </row>
    <row r="187" spans="1:1" x14ac:dyDescent="0.2">
      <c r="A187" s="6">
        <v>185</v>
      </c>
    </row>
    <row r="188" spans="1:1" x14ac:dyDescent="0.2">
      <c r="A188" s="6">
        <v>186</v>
      </c>
    </row>
    <row r="189" spans="1:1" x14ac:dyDescent="0.2">
      <c r="A189" s="6">
        <v>187</v>
      </c>
    </row>
    <row r="190" spans="1:1" x14ac:dyDescent="0.2">
      <c r="A190" s="6">
        <v>188</v>
      </c>
    </row>
    <row r="191" spans="1:1" x14ac:dyDescent="0.2">
      <c r="A191" s="6">
        <v>189</v>
      </c>
    </row>
    <row r="192" spans="1:1" x14ac:dyDescent="0.2">
      <c r="A192" s="6">
        <v>190</v>
      </c>
    </row>
    <row r="193" spans="1:1" x14ac:dyDescent="0.2">
      <c r="A193" s="6">
        <v>191</v>
      </c>
    </row>
    <row r="194" spans="1:1" x14ac:dyDescent="0.2">
      <c r="A194" s="6">
        <v>192</v>
      </c>
    </row>
    <row r="195" spans="1:1" x14ac:dyDescent="0.2">
      <c r="A195" s="6">
        <v>193</v>
      </c>
    </row>
    <row r="196" spans="1:1" x14ac:dyDescent="0.2">
      <c r="A196" s="6">
        <v>194</v>
      </c>
    </row>
    <row r="197" spans="1:1" x14ac:dyDescent="0.2">
      <c r="A197" s="6">
        <v>195</v>
      </c>
    </row>
    <row r="198" spans="1:1" x14ac:dyDescent="0.2">
      <c r="A198" s="6">
        <v>196</v>
      </c>
    </row>
    <row r="199" spans="1:1" x14ac:dyDescent="0.2">
      <c r="A199" s="6">
        <v>197</v>
      </c>
    </row>
    <row r="200" spans="1:1" x14ac:dyDescent="0.2">
      <c r="A200" s="6">
        <v>198</v>
      </c>
    </row>
    <row r="201" spans="1:1" x14ac:dyDescent="0.2">
      <c r="A201" s="6">
        <v>199</v>
      </c>
    </row>
    <row r="202" spans="1:1" x14ac:dyDescent="0.2">
      <c r="A202" s="6">
        <v>200</v>
      </c>
    </row>
    <row r="203" spans="1:1" x14ac:dyDescent="0.2">
      <c r="A203" s="6">
        <v>201</v>
      </c>
    </row>
    <row r="204" spans="1:1" x14ac:dyDescent="0.2">
      <c r="A204" s="6">
        <v>202</v>
      </c>
    </row>
    <row r="205" spans="1:1" x14ac:dyDescent="0.2">
      <c r="A205" s="6">
        <v>203</v>
      </c>
    </row>
    <row r="206" spans="1:1" x14ac:dyDescent="0.2">
      <c r="A206" s="6">
        <v>204</v>
      </c>
    </row>
    <row r="207" spans="1:1" x14ac:dyDescent="0.2">
      <c r="A207" s="6">
        <v>205</v>
      </c>
    </row>
    <row r="208" spans="1:1" x14ac:dyDescent="0.2">
      <c r="A208" s="6">
        <v>206</v>
      </c>
    </row>
    <row r="209" spans="1:1" x14ac:dyDescent="0.2">
      <c r="A209" s="6">
        <v>207</v>
      </c>
    </row>
    <row r="210" spans="1:1" x14ac:dyDescent="0.2">
      <c r="A210" s="6">
        <v>208</v>
      </c>
    </row>
    <row r="211" spans="1:1" x14ac:dyDescent="0.2">
      <c r="A211" s="6">
        <v>209</v>
      </c>
    </row>
    <row r="212" spans="1:1" x14ac:dyDescent="0.2">
      <c r="A212" s="6">
        <v>210</v>
      </c>
    </row>
    <row r="213" spans="1:1" x14ac:dyDescent="0.2">
      <c r="A213" s="6">
        <v>211</v>
      </c>
    </row>
    <row r="214" spans="1:1" x14ac:dyDescent="0.2">
      <c r="A214" s="6">
        <v>212</v>
      </c>
    </row>
    <row r="215" spans="1:1" x14ac:dyDescent="0.2">
      <c r="A215" s="6">
        <v>213</v>
      </c>
    </row>
    <row r="216" spans="1:1" x14ac:dyDescent="0.2">
      <c r="A216" s="6">
        <v>214</v>
      </c>
    </row>
    <row r="217" spans="1:1" x14ac:dyDescent="0.2">
      <c r="A217" s="6">
        <v>215</v>
      </c>
    </row>
    <row r="218" spans="1:1" x14ac:dyDescent="0.2">
      <c r="A218" s="6">
        <v>216</v>
      </c>
    </row>
    <row r="219" spans="1:1" x14ac:dyDescent="0.2">
      <c r="A219" s="6">
        <v>217</v>
      </c>
    </row>
    <row r="220" spans="1:1" x14ac:dyDescent="0.2">
      <c r="A220" s="6">
        <v>218</v>
      </c>
    </row>
    <row r="221" spans="1:1" x14ac:dyDescent="0.2">
      <c r="A221" s="6">
        <v>219</v>
      </c>
    </row>
    <row r="222" spans="1:1" x14ac:dyDescent="0.2">
      <c r="A222" s="6">
        <v>220</v>
      </c>
    </row>
    <row r="223" spans="1:1" x14ac:dyDescent="0.2">
      <c r="A223" s="6">
        <v>221</v>
      </c>
    </row>
    <row r="224" spans="1:1" x14ac:dyDescent="0.2">
      <c r="A224" s="6">
        <v>222</v>
      </c>
    </row>
    <row r="225" spans="1:1" x14ac:dyDescent="0.2">
      <c r="A225" s="6">
        <v>223</v>
      </c>
    </row>
    <row r="226" spans="1:1" x14ac:dyDescent="0.2">
      <c r="A226" s="6">
        <v>224</v>
      </c>
    </row>
    <row r="227" spans="1:1" x14ac:dyDescent="0.2">
      <c r="A227" s="6">
        <v>225</v>
      </c>
    </row>
    <row r="228" spans="1:1" x14ac:dyDescent="0.2">
      <c r="A228" s="6">
        <v>226</v>
      </c>
    </row>
    <row r="229" spans="1:1" x14ac:dyDescent="0.2">
      <c r="A229" s="6">
        <v>227</v>
      </c>
    </row>
    <row r="230" spans="1:1" x14ac:dyDescent="0.2">
      <c r="A230" s="6">
        <v>228</v>
      </c>
    </row>
    <row r="231" spans="1:1" x14ac:dyDescent="0.2">
      <c r="A231" s="6">
        <v>229</v>
      </c>
    </row>
    <row r="232" spans="1:1" x14ac:dyDescent="0.2">
      <c r="A232" s="6">
        <v>230</v>
      </c>
    </row>
    <row r="233" spans="1:1" x14ac:dyDescent="0.2">
      <c r="A233" s="6">
        <v>231</v>
      </c>
    </row>
    <row r="234" spans="1:1" x14ac:dyDescent="0.2">
      <c r="A234" s="6">
        <v>232</v>
      </c>
    </row>
    <row r="235" spans="1:1" x14ac:dyDescent="0.2">
      <c r="A235" s="6">
        <v>233</v>
      </c>
    </row>
    <row r="236" spans="1:1" x14ac:dyDescent="0.2">
      <c r="A236" s="6">
        <v>234</v>
      </c>
    </row>
    <row r="237" spans="1:1" x14ac:dyDescent="0.2">
      <c r="A237" s="6">
        <v>235</v>
      </c>
    </row>
    <row r="238" spans="1:1" x14ac:dyDescent="0.2">
      <c r="A238" s="6">
        <v>236</v>
      </c>
    </row>
    <row r="239" spans="1:1" x14ac:dyDescent="0.2">
      <c r="A239" s="6">
        <v>237</v>
      </c>
    </row>
    <row r="240" spans="1:1" x14ac:dyDescent="0.2">
      <c r="A240" s="6">
        <v>238</v>
      </c>
    </row>
    <row r="241" spans="1:1" x14ac:dyDescent="0.2">
      <c r="A241" s="6">
        <v>239</v>
      </c>
    </row>
    <row r="242" spans="1:1" x14ac:dyDescent="0.2">
      <c r="A242" s="6">
        <v>240</v>
      </c>
    </row>
    <row r="243" spans="1:1" x14ac:dyDescent="0.2">
      <c r="A243" s="6">
        <v>241</v>
      </c>
    </row>
    <row r="244" spans="1:1" x14ac:dyDescent="0.2">
      <c r="A244" s="6">
        <v>242</v>
      </c>
    </row>
    <row r="245" spans="1:1" x14ac:dyDescent="0.2">
      <c r="A245" s="6">
        <v>243</v>
      </c>
    </row>
    <row r="246" spans="1:1" x14ac:dyDescent="0.2">
      <c r="A246" s="6">
        <v>244</v>
      </c>
    </row>
    <row r="247" spans="1:1" x14ac:dyDescent="0.2">
      <c r="A247" s="6">
        <v>245</v>
      </c>
    </row>
    <row r="248" spans="1:1" x14ac:dyDescent="0.2">
      <c r="A248" s="6">
        <v>246</v>
      </c>
    </row>
    <row r="249" spans="1:1" x14ac:dyDescent="0.2">
      <c r="A249" s="6">
        <v>247</v>
      </c>
    </row>
    <row r="250" spans="1:1" x14ac:dyDescent="0.2">
      <c r="A250" s="6">
        <v>248</v>
      </c>
    </row>
    <row r="251" spans="1:1" x14ac:dyDescent="0.2">
      <c r="A251" s="6">
        <v>249</v>
      </c>
    </row>
    <row r="252" spans="1:1" x14ac:dyDescent="0.2">
      <c r="A252" s="6">
        <v>250</v>
      </c>
    </row>
    <row r="253" spans="1:1" x14ac:dyDescent="0.2">
      <c r="A253" s="6">
        <v>251</v>
      </c>
    </row>
    <row r="254" spans="1:1" x14ac:dyDescent="0.2">
      <c r="A254" s="6">
        <v>252</v>
      </c>
    </row>
    <row r="255" spans="1:1" x14ac:dyDescent="0.2">
      <c r="A255" s="6">
        <v>253</v>
      </c>
    </row>
    <row r="256" spans="1:1" x14ac:dyDescent="0.2">
      <c r="A256" s="6">
        <v>254</v>
      </c>
    </row>
    <row r="257" spans="1:1" x14ac:dyDescent="0.2">
      <c r="A257" s="6">
        <v>255</v>
      </c>
    </row>
    <row r="258" spans="1:1" x14ac:dyDescent="0.2">
      <c r="A258" s="6">
        <v>256</v>
      </c>
    </row>
    <row r="259" spans="1:1" x14ac:dyDescent="0.2">
      <c r="A259" s="6">
        <v>257</v>
      </c>
    </row>
    <row r="260" spans="1:1" x14ac:dyDescent="0.2">
      <c r="A260" s="6">
        <v>258</v>
      </c>
    </row>
    <row r="261" spans="1:1" x14ac:dyDescent="0.2">
      <c r="A261" s="6">
        <v>259</v>
      </c>
    </row>
    <row r="262" spans="1:1" x14ac:dyDescent="0.2">
      <c r="A262" s="6">
        <v>260</v>
      </c>
    </row>
    <row r="263" spans="1:1" x14ac:dyDescent="0.2">
      <c r="A263" s="6">
        <v>261</v>
      </c>
    </row>
    <row r="264" spans="1:1" x14ac:dyDescent="0.2">
      <c r="A264" s="6">
        <v>262</v>
      </c>
    </row>
    <row r="265" spans="1:1" x14ac:dyDescent="0.2">
      <c r="A265" s="6">
        <v>263</v>
      </c>
    </row>
    <row r="266" spans="1:1" x14ac:dyDescent="0.2">
      <c r="A266" s="6">
        <v>264</v>
      </c>
    </row>
    <row r="267" spans="1:1" x14ac:dyDescent="0.2">
      <c r="A267" s="6">
        <v>265</v>
      </c>
    </row>
    <row r="268" spans="1:1" x14ac:dyDescent="0.2">
      <c r="A268" s="6">
        <v>266</v>
      </c>
    </row>
    <row r="269" spans="1:1" x14ac:dyDescent="0.2">
      <c r="A269" s="6">
        <v>267</v>
      </c>
    </row>
    <row r="270" spans="1:1" x14ac:dyDescent="0.2">
      <c r="A270" s="6">
        <v>268</v>
      </c>
    </row>
    <row r="271" spans="1:1" x14ac:dyDescent="0.2">
      <c r="A271" s="6">
        <v>269</v>
      </c>
    </row>
    <row r="272" spans="1:1" x14ac:dyDescent="0.2">
      <c r="A272" s="6">
        <v>270</v>
      </c>
    </row>
    <row r="273" spans="1:1" x14ac:dyDescent="0.2">
      <c r="A273" s="6">
        <v>271</v>
      </c>
    </row>
    <row r="274" spans="1:1" x14ac:dyDescent="0.2">
      <c r="A274" s="6">
        <v>272</v>
      </c>
    </row>
    <row r="275" spans="1:1" x14ac:dyDescent="0.2">
      <c r="A275" s="6">
        <v>273</v>
      </c>
    </row>
    <row r="276" spans="1:1" x14ac:dyDescent="0.2">
      <c r="A276" s="6">
        <v>274</v>
      </c>
    </row>
    <row r="277" spans="1:1" x14ac:dyDescent="0.2">
      <c r="A277" s="6">
        <v>275</v>
      </c>
    </row>
    <row r="278" spans="1:1" x14ac:dyDescent="0.2">
      <c r="A278" s="6">
        <v>276</v>
      </c>
    </row>
    <row r="279" spans="1:1" x14ac:dyDescent="0.2">
      <c r="A279" s="6">
        <v>277</v>
      </c>
    </row>
    <row r="280" spans="1:1" x14ac:dyDescent="0.2">
      <c r="A280" s="6">
        <v>278</v>
      </c>
    </row>
    <row r="281" spans="1:1" x14ac:dyDescent="0.2">
      <c r="A281" s="6">
        <v>279</v>
      </c>
    </row>
    <row r="282" spans="1:1" x14ac:dyDescent="0.2">
      <c r="A282" s="6">
        <v>280</v>
      </c>
    </row>
    <row r="283" spans="1:1" x14ac:dyDescent="0.2">
      <c r="A283" s="6">
        <v>281</v>
      </c>
    </row>
    <row r="284" spans="1:1" x14ac:dyDescent="0.2">
      <c r="A284" s="6">
        <v>282</v>
      </c>
    </row>
    <row r="285" spans="1:1" x14ac:dyDescent="0.2">
      <c r="A285" s="6">
        <v>283</v>
      </c>
    </row>
    <row r="286" spans="1:1" x14ac:dyDescent="0.2">
      <c r="A286" s="6">
        <v>284</v>
      </c>
    </row>
    <row r="287" spans="1:1" x14ac:dyDescent="0.2">
      <c r="A287" s="6">
        <v>285</v>
      </c>
    </row>
    <row r="288" spans="1:1" x14ac:dyDescent="0.2">
      <c r="A288" s="6">
        <v>286</v>
      </c>
    </row>
    <row r="289" spans="1:1" x14ac:dyDescent="0.2">
      <c r="A289" s="6">
        <v>287</v>
      </c>
    </row>
    <row r="290" spans="1:1" x14ac:dyDescent="0.2">
      <c r="A290" s="6">
        <v>288</v>
      </c>
    </row>
    <row r="291" spans="1:1" x14ac:dyDescent="0.2">
      <c r="A291" s="6">
        <v>289</v>
      </c>
    </row>
    <row r="292" spans="1:1" x14ac:dyDescent="0.2">
      <c r="A292" s="6">
        <v>290</v>
      </c>
    </row>
    <row r="293" spans="1:1" x14ac:dyDescent="0.2">
      <c r="A293" s="6">
        <v>291</v>
      </c>
    </row>
    <row r="294" spans="1:1" x14ac:dyDescent="0.2">
      <c r="A294" s="6">
        <v>292</v>
      </c>
    </row>
    <row r="295" spans="1:1" x14ac:dyDescent="0.2">
      <c r="A295" s="6">
        <v>293</v>
      </c>
    </row>
    <row r="296" spans="1:1" x14ac:dyDescent="0.2">
      <c r="A296" s="6">
        <v>294</v>
      </c>
    </row>
    <row r="297" spans="1:1" x14ac:dyDescent="0.2">
      <c r="A297" s="6">
        <v>295</v>
      </c>
    </row>
    <row r="298" spans="1:1" x14ac:dyDescent="0.2">
      <c r="A298" s="6">
        <v>296</v>
      </c>
    </row>
    <row r="299" spans="1:1" x14ac:dyDescent="0.2">
      <c r="A299" s="6">
        <v>297</v>
      </c>
    </row>
    <row r="300" spans="1:1" x14ac:dyDescent="0.2">
      <c r="A300" s="6">
        <v>298</v>
      </c>
    </row>
    <row r="301" spans="1:1" x14ac:dyDescent="0.2">
      <c r="A301" s="6">
        <v>299</v>
      </c>
    </row>
    <row r="302" spans="1:1" x14ac:dyDescent="0.2">
      <c r="A302" s="6">
        <v>300</v>
      </c>
    </row>
    <row r="303" spans="1:1" x14ac:dyDescent="0.2">
      <c r="A303" s="6">
        <v>301</v>
      </c>
    </row>
    <row r="304" spans="1:1" x14ac:dyDescent="0.2">
      <c r="A304" s="6">
        <v>302</v>
      </c>
    </row>
    <row r="305" spans="1:1" x14ac:dyDescent="0.2">
      <c r="A305" s="6">
        <v>303</v>
      </c>
    </row>
    <row r="306" spans="1:1" x14ac:dyDescent="0.2">
      <c r="A306" s="6">
        <v>304</v>
      </c>
    </row>
    <row r="307" spans="1:1" x14ac:dyDescent="0.2">
      <c r="A307" s="6">
        <v>305</v>
      </c>
    </row>
    <row r="308" spans="1:1" x14ac:dyDescent="0.2">
      <c r="A308" s="6">
        <v>306</v>
      </c>
    </row>
    <row r="309" spans="1:1" x14ac:dyDescent="0.2">
      <c r="A309" s="6">
        <v>307</v>
      </c>
    </row>
    <row r="310" spans="1:1" x14ac:dyDescent="0.2">
      <c r="A310" s="6">
        <v>308</v>
      </c>
    </row>
    <row r="311" spans="1:1" x14ac:dyDescent="0.2">
      <c r="A311" s="6">
        <v>309</v>
      </c>
    </row>
    <row r="312" spans="1:1" x14ac:dyDescent="0.2">
      <c r="A312" s="6">
        <v>310</v>
      </c>
    </row>
    <row r="313" spans="1:1" x14ac:dyDescent="0.2">
      <c r="A313" s="6">
        <v>311</v>
      </c>
    </row>
    <row r="314" spans="1:1" x14ac:dyDescent="0.2">
      <c r="A314" s="6">
        <v>312</v>
      </c>
    </row>
    <row r="315" spans="1:1" x14ac:dyDescent="0.2">
      <c r="A315" s="6">
        <v>313</v>
      </c>
    </row>
    <row r="316" spans="1:1" x14ac:dyDescent="0.2">
      <c r="A316" s="6">
        <v>314</v>
      </c>
    </row>
    <row r="317" spans="1:1" x14ac:dyDescent="0.2">
      <c r="A317" s="6">
        <v>315</v>
      </c>
    </row>
    <row r="318" spans="1:1" x14ac:dyDescent="0.2">
      <c r="A318" s="6">
        <v>316</v>
      </c>
    </row>
    <row r="319" spans="1:1" x14ac:dyDescent="0.2">
      <c r="A319" s="6">
        <v>317</v>
      </c>
    </row>
    <row r="320" spans="1:1" x14ac:dyDescent="0.2">
      <c r="A320" s="6">
        <v>318</v>
      </c>
    </row>
    <row r="321" spans="1:1" x14ac:dyDescent="0.2">
      <c r="A321" s="6">
        <v>319</v>
      </c>
    </row>
    <row r="322" spans="1:1" x14ac:dyDescent="0.2">
      <c r="A322" s="6">
        <v>320</v>
      </c>
    </row>
    <row r="323" spans="1:1" x14ac:dyDescent="0.2">
      <c r="A323" s="6">
        <v>321</v>
      </c>
    </row>
    <row r="324" spans="1:1" x14ac:dyDescent="0.2">
      <c r="A324" s="6">
        <v>322</v>
      </c>
    </row>
    <row r="325" spans="1:1" x14ac:dyDescent="0.2">
      <c r="A325" s="6">
        <v>323</v>
      </c>
    </row>
    <row r="326" spans="1:1" x14ac:dyDescent="0.2">
      <c r="A326" s="6">
        <v>324</v>
      </c>
    </row>
    <row r="327" spans="1:1" x14ac:dyDescent="0.2">
      <c r="A327" s="6">
        <v>325</v>
      </c>
    </row>
    <row r="328" spans="1:1" x14ac:dyDescent="0.2">
      <c r="A328" s="6">
        <v>326</v>
      </c>
    </row>
    <row r="329" spans="1:1" x14ac:dyDescent="0.2">
      <c r="A329" s="6">
        <v>327</v>
      </c>
    </row>
    <row r="330" spans="1:1" x14ac:dyDescent="0.2">
      <c r="A330" s="6">
        <v>328</v>
      </c>
    </row>
    <row r="331" spans="1:1" x14ac:dyDescent="0.2">
      <c r="A331" s="6">
        <v>329</v>
      </c>
    </row>
    <row r="332" spans="1:1" x14ac:dyDescent="0.2">
      <c r="A332" s="6">
        <v>330</v>
      </c>
    </row>
    <row r="333" spans="1:1" x14ac:dyDescent="0.2">
      <c r="A333" s="6">
        <v>331</v>
      </c>
    </row>
    <row r="334" spans="1:1" x14ac:dyDescent="0.2">
      <c r="A334" s="6">
        <v>332</v>
      </c>
    </row>
    <row r="335" spans="1:1" x14ac:dyDescent="0.2">
      <c r="A335" s="6">
        <v>333</v>
      </c>
    </row>
    <row r="336" spans="1:1" x14ac:dyDescent="0.2">
      <c r="A336" s="6">
        <v>334</v>
      </c>
    </row>
    <row r="337" spans="1:1" x14ac:dyDescent="0.2">
      <c r="A337" s="6">
        <v>335</v>
      </c>
    </row>
    <row r="338" spans="1:1" x14ac:dyDescent="0.2">
      <c r="A338" s="6">
        <v>336</v>
      </c>
    </row>
    <row r="339" spans="1:1" x14ac:dyDescent="0.2">
      <c r="A339" s="6">
        <v>337</v>
      </c>
    </row>
    <row r="340" spans="1:1" x14ac:dyDescent="0.2">
      <c r="A340" s="6">
        <v>338</v>
      </c>
    </row>
    <row r="341" spans="1:1" x14ac:dyDescent="0.2">
      <c r="A341" s="6">
        <v>339</v>
      </c>
    </row>
    <row r="342" spans="1:1" x14ac:dyDescent="0.2">
      <c r="A342" s="6">
        <v>340</v>
      </c>
    </row>
    <row r="343" spans="1:1" x14ac:dyDescent="0.2">
      <c r="A343" s="6">
        <v>341</v>
      </c>
    </row>
    <row r="344" spans="1:1" x14ac:dyDescent="0.2">
      <c r="A344" s="6">
        <v>342</v>
      </c>
    </row>
    <row r="345" spans="1:1" x14ac:dyDescent="0.2">
      <c r="A345" s="6">
        <v>343</v>
      </c>
    </row>
    <row r="346" spans="1:1" x14ac:dyDescent="0.2">
      <c r="A346" s="6">
        <v>344</v>
      </c>
    </row>
    <row r="347" spans="1:1" x14ac:dyDescent="0.2">
      <c r="A347" s="6">
        <v>345</v>
      </c>
    </row>
    <row r="348" spans="1:1" x14ac:dyDescent="0.2">
      <c r="A348" s="6">
        <v>346</v>
      </c>
    </row>
    <row r="349" spans="1:1" x14ac:dyDescent="0.2">
      <c r="A349" s="6">
        <v>347</v>
      </c>
    </row>
    <row r="350" spans="1:1" x14ac:dyDescent="0.2">
      <c r="A350" s="6">
        <v>348</v>
      </c>
    </row>
    <row r="351" spans="1:1" x14ac:dyDescent="0.2">
      <c r="A351" s="6">
        <v>349</v>
      </c>
    </row>
    <row r="352" spans="1:1" x14ac:dyDescent="0.2">
      <c r="A352" s="6">
        <v>350</v>
      </c>
    </row>
    <row r="353" spans="1:1" x14ac:dyDescent="0.2">
      <c r="A353" s="6">
        <v>351</v>
      </c>
    </row>
    <row r="354" spans="1:1" x14ac:dyDescent="0.2">
      <c r="A354" s="6">
        <v>352</v>
      </c>
    </row>
    <row r="355" spans="1:1" x14ac:dyDescent="0.2">
      <c r="A355" s="6">
        <v>353</v>
      </c>
    </row>
    <row r="356" spans="1:1" x14ac:dyDescent="0.2">
      <c r="A356" s="6">
        <v>354</v>
      </c>
    </row>
    <row r="357" spans="1:1" x14ac:dyDescent="0.2">
      <c r="A357" s="6">
        <v>355</v>
      </c>
    </row>
    <row r="358" spans="1:1" x14ac:dyDescent="0.2">
      <c r="A358" s="6">
        <v>356</v>
      </c>
    </row>
    <row r="359" spans="1:1" x14ac:dyDescent="0.2">
      <c r="A359" s="6">
        <v>357</v>
      </c>
    </row>
    <row r="360" spans="1:1" x14ac:dyDescent="0.2">
      <c r="A360" s="6">
        <v>358</v>
      </c>
    </row>
    <row r="361" spans="1:1" x14ac:dyDescent="0.2">
      <c r="A361" s="6">
        <v>359</v>
      </c>
    </row>
    <row r="362" spans="1:1" x14ac:dyDescent="0.2">
      <c r="A362" s="6">
        <v>360</v>
      </c>
    </row>
    <row r="363" spans="1:1" x14ac:dyDescent="0.2">
      <c r="A363" s="6">
        <v>361</v>
      </c>
    </row>
    <row r="364" spans="1:1" x14ac:dyDescent="0.2">
      <c r="A364" s="6">
        <v>362</v>
      </c>
    </row>
    <row r="365" spans="1:1" x14ac:dyDescent="0.2">
      <c r="A365" s="6">
        <v>363</v>
      </c>
    </row>
    <row r="366" spans="1:1" x14ac:dyDescent="0.2">
      <c r="A366" s="6">
        <v>364</v>
      </c>
    </row>
    <row r="367" spans="1:1" x14ac:dyDescent="0.2">
      <c r="A367" s="6">
        <v>365</v>
      </c>
    </row>
    <row r="368" spans="1:1" x14ac:dyDescent="0.2">
      <c r="A368" s="6">
        <v>366</v>
      </c>
    </row>
    <row r="369" spans="1:1" x14ac:dyDescent="0.2">
      <c r="A369" s="6">
        <v>367</v>
      </c>
    </row>
    <row r="370" spans="1:1" x14ac:dyDescent="0.2">
      <c r="A370" s="6">
        <v>368</v>
      </c>
    </row>
    <row r="371" spans="1:1" x14ac:dyDescent="0.2">
      <c r="A371" s="6">
        <v>369</v>
      </c>
    </row>
    <row r="372" spans="1:1" x14ac:dyDescent="0.2">
      <c r="A372" s="6">
        <v>370</v>
      </c>
    </row>
    <row r="373" spans="1:1" x14ac:dyDescent="0.2">
      <c r="A373" s="6">
        <v>371</v>
      </c>
    </row>
    <row r="374" spans="1:1" x14ac:dyDescent="0.2">
      <c r="A374" s="6">
        <v>372</v>
      </c>
    </row>
    <row r="375" spans="1:1" x14ac:dyDescent="0.2">
      <c r="A375" s="6">
        <v>373</v>
      </c>
    </row>
    <row r="376" spans="1:1" x14ac:dyDescent="0.2">
      <c r="A376" s="6">
        <v>374</v>
      </c>
    </row>
    <row r="377" spans="1:1" x14ac:dyDescent="0.2">
      <c r="A377" s="6">
        <v>375</v>
      </c>
    </row>
    <row r="378" spans="1:1" x14ac:dyDescent="0.2">
      <c r="A378" s="6">
        <v>376</v>
      </c>
    </row>
    <row r="379" spans="1:1" x14ac:dyDescent="0.2">
      <c r="A379" s="6">
        <v>377</v>
      </c>
    </row>
    <row r="380" spans="1:1" x14ac:dyDescent="0.2">
      <c r="A380" s="6">
        <v>378</v>
      </c>
    </row>
    <row r="381" spans="1:1" x14ac:dyDescent="0.2">
      <c r="A381" s="6">
        <v>379</v>
      </c>
    </row>
    <row r="382" spans="1:1" x14ac:dyDescent="0.2">
      <c r="A382" s="6">
        <v>380</v>
      </c>
    </row>
    <row r="383" spans="1:1" x14ac:dyDescent="0.2">
      <c r="A383" s="6">
        <v>381</v>
      </c>
    </row>
    <row r="384" spans="1:1" x14ac:dyDescent="0.2">
      <c r="A384" s="6">
        <v>382</v>
      </c>
    </row>
    <row r="385" spans="1:1" x14ac:dyDescent="0.2">
      <c r="A385" s="6">
        <v>383</v>
      </c>
    </row>
    <row r="386" spans="1:1" x14ac:dyDescent="0.2">
      <c r="A386" s="6">
        <v>384</v>
      </c>
    </row>
    <row r="387" spans="1:1" x14ac:dyDescent="0.2">
      <c r="A387" s="6">
        <v>385</v>
      </c>
    </row>
    <row r="388" spans="1:1" x14ac:dyDescent="0.2">
      <c r="A388" s="6">
        <v>386</v>
      </c>
    </row>
    <row r="389" spans="1:1" x14ac:dyDescent="0.2">
      <c r="A389" s="6">
        <v>387</v>
      </c>
    </row>
    <row r="390" spans="1:1" x14ac:dyDescent="0.2">
      <c r="A390" s="6">
        <v>388</v>
      </c>
    </row>
    <row r="391" spans="1:1" x14ac:dyDescent="0.2">
      <c r="A391" s="6">
        <v>389</v>
      </c>
    </row>
    <row r="392" spans="1:1" x14ac:dyDescent="0.2">
      <c r="A392" s="6">
        <v>390</v>
      </c>
    </row>
    <row r="393" spans="1:1" x14ac:dyDescent="0.2">
      <c r="A393" s="6">
        <v>391</v>
      </c>
    </row>
    <row r="394" spans="1:1" x14ac:dyDescent="0.2">
      <c r="A394" s="6">
        <v>392</v>
      </c>
    </row>
    <row r="395" spans="1:1" x14ac:dyDescent="0.2">
      <c r="A395" s="6">
        <v>393</v>
      </c>
    </row>
    <row r="396" spans="1:1" x14ac:dyDescent="0.2">
      <c r="A396" s="6">
        <v>394</v>
      </c>
    </row>
    <row r="397" spans="1:1" x14ac:dyDescent="0.2">
      <c r="A397" s="6">
        <v>395</v>
      </c>
    </row>
    <row r="398" spans="1:1" x14ac:dyDescent="0.2">
      <c r="A398" s="6">
        <v>396</v>
      </c>
    </row>
    <row r="399" spans="1:1" x14ac:dyDescent="0.2">
      <c r="A399" s="6">
        <v>397</v>
      </c>
    </row>
    <row r="400" spans="1:1" x14ac:dyDescent="0.2">
      <c r="A400" s="6">
        <v>398</v>
      </c>
    </row>
    <row r="401" spans="1:1" x14ac:dyDescent="0.2">
      <c r="A401" s="6">
        <v>399</v>
      </c>
    </row>
    <row r="402" spans="1:1" x14ac:dyDescent="0.2">
      <c r="A402" s="6">
        <v>400</v>
      </c>
    </row>
    <row r="403" spans="1:1" x14ac:dyDescent="0.2">
      <c r="A403" s="6">
        <v>401</v>
      </c>
    </row>
    <row r="404" spans="1:1" x14ac:dyDescent="0.2">
      <c r="A404" s="6">
        <v>402</v>
      </c>
    </row>
    <row r="405" spans="1:1" x14ac:dyDescent="0.2">
      <c r="A405" s="6">
        <v>403</v>
      </c>
    </row>
    <row r="406" spans="1:1" x14ac:dyDescent="0.2">
      <c r="A406" s="6">
        <v>404</v>
      </c>
    </row>
    <row r="407" spans="1:1" x14ac:dyDescent="0.2">
      <c r="A407" s="6">
        <v>405</v>
      </c>
    </row>
    <row r="408" spans="1:1" x14ac:dyDescent="0.2">
      <c r="A408" s="6">
        <v>406</v>
      </c>
    </row>
    <row r="409" spans="1:1" x14ac:dyDescent="0.2">
      <c r="A409" s="6">
        <v>407</v>
      </c>
    </row>
    <row r="410" spans="1:1" x14ac:dyDescent="0.2">
      <c r="A410" s="6">
        <v>408</v>
      </c>
    </row>
    <row r="411" spans="1:1" x14ac:dyDescent="0.2">
      <c r="A411" s="6">
        <v>409</v>
      </c>
    </row>
    <row r="412" spans="1:1" x14ac:dyDescent="0.2">
      <c r="A412" s="6">
        <v>410</v>
      </c>
    </row>
    <row r="413" spans="1:1" x14ac:dyDescent="0.2">
      <c r="A413" s="6">
        <v>411</v>
      </c>
    </row>
    <row r="414" spans="1:1" x14ac:dyDescent="0.2">
      <c r="A414" s="6">
        <v>412</v>
      </c>
    </row>
    <row r="415" spans="1:1" x14ac:dyDescent="0.2">
      <c r="A415" s="6">
        <v>413</v>
      </c>
    </row>
    <row r="416" spans="1:1" x14ac:dyDescent="0.2">
      <c r="A416" s="6">
        <v>414</v>
      </c>
    </row>
    <row r="417" spans="1:1" x14ac:dyDescent="0.2">
      <c r="A417" s="6">
        <v>415</v>
      </c>
    </row>
    <row r="418" spans="1:1" x14ac:dyDescent="0.2">
      <c r="A418" s="6">
        <v>416</v>
      </c>
    </row>
    <row r="419" spans="1:1" x14ac:dyDescent="0.2">
      <c r="A419" s="6">
        <v>417</v>
      </c>
    </row>
    <row r="420" spans="1:1" x14ac:dyDescent="0.2">
      <c r="A420" s="6">
        <v>418</v>
      </c>
    </row>
    <row r="421" spans="1:1" x14ac:dyDescent="0.2">
      <c r="A421" s="6">
        <v>419</v>
      </c>
    </row>
    <row r="422" spans="1:1" x14ac:dyDescent="0.2">
      <c r="A422" s="6">
        <v>420</v>
      </c>
    </row>
    <row r="423" spans="1:1" x14ac:dyDescent="0.2">
      <c r="A423" s="6">
        <v>421</v>
      </c>
    </row>
    <row r="424" spans="1:1" x14ac:dyDescent="0.2">
      <c r="A424" s="6">
        <v>422</v>
      </c>
    </row>
    <row r="425" spans="1:1" x14ac:dyDescent="0.2">
      <c r="A425" s="6">
        <v>423</v>
      </c>
    </row>
    <row r="426" spans="1:1" x14ac:dyDescent="0.2">
      <c r="A426" s="6">
        <v>424</v>
      </c>
    </row>
    <row r="427" spans="1:1" x14ac:dyDescent="0.2">
      <c r="A427" s="6">
        <v>425</v>
      </c>
    </row>
    <row r="428" spans="1:1" x14ac:dyDescent="0.2">
      <c r="A428" s="6">
        <v>426</v>
      </c>
    </row>
    <row r="429" spans="1:1" x14ac:dyDescent="0.2">
      <c r="A429" s="6">
        <v>427</v>
      </c>
    </row>
    <row r="430" spans="1:1" x14ac:dyDescent="0.2">
      <c r="A430" s="6">
        <v>428</v>
      </c>
    </row>
    <row r="431" spans="1:1" x14ac:dyDescent="0.2">
      <c r="A431" s="6">
        <v>429</v>
      </c>
    </row>
    <row r="432" spans="1:1" x14ac:dyDescent="0.2">
      <c r="A432" s="6">
        <v>430</v>
      </c>
    </row>
    <row r="433" spans="1:1" x14ac:dyDescent="0.2">
      <c r="A433" s="6">
        <v>431</v>
      </c>
    </row>
    <row r="434" spans="1:1" x14ac:dyDescent="0.2">
      <c r="A434" s="6">
        <v>432</v>
      </c>
    </row>
    <row r="435" spans="1:1" x14ac:dyDescent="0.2">
      <c r="A435" s="6">
        <v>433</v>
      </c>
    </row>
    <row r="436" spans="1:1" x14ac:dyDescent="0.2">
      <c r="A436" s="6">
        <v>434</v>
      </c>
    </row>
    <row r="437" spans="1:1" x14ac:dyDescent="0.2">
      <c r="A437" s="6">
        <v>435</v>
      </c>
    </row>
    <row r="438" spans="1:1" x14ac:dyDescent="0.2">
      <c r="A438" s="6">
        <v>436</v>
      </c>
    </row>
    <row r="439" spans="1:1" x14ac:dyDescent="0.2">
      <c r="A439" s="6">
        <v>437</v>
      </c>
    </row>
    <row r="440" spans="1:1" x14ac:dyDescent="0.2">
      <c r="A440" s="6">
        <v>438</v>
      </c>
    </row>
    <row r="441" spans="1:1" x14ac:dyDescent="0.2">
      <c r="A441" s="6">
        <v>439</v>
      </c>
    </row>
    <row r="442" spans="1:1" x14ac:dyDescent="0.2">
      <c r="A442" s="6">
        <v>440</v>
      </c>
    </row>
    <row r="443" spans="1:1" x14ac:dyDescent="0.2">
      <c r="A443" s="6">
        <v>441</v>
      </c>
    </row>
    <row r="444" spans="1:1" x14ac:dyDescent="0.2">
      <c r="A444" s="6">
        <v>442</v>
      </c>
    </row>
    <row r="445" spans="1:1" x14ac:dyDescent="0.2">
      <c r="A445" s="6">
        <v>443</v>
      </c>
    </row>
    <row r="446" spans="1:1" x14ac:dyDescent="0.2">
      <c r="A446" s="6">
        <v>444</v>
      </c>
    </row>
    <row r="447" spans="1:1" x14ac:dyDescent="0.2">
      <c r="A447" s="6">
        <v>445</v>
      </c>
    </row>
    <row r="448" spans="1:1" x14ac:dyDescent="0.2">
      <c r="A448" s="6">
        <v>446</v>
      </c>
    </row>
    <row r="449" spans="1:1" x14ac:dyDescent="0.2">
      <c r="A449" s="6">
        <v>447</v>
      </c>
    </row>
    <row r="450" spans="1:1" x14ac:dyDescent="0.2">
      <c r="A450" s="6">
        <v>448</v>
      </c>
    </row>
    <row r="451" spans="1:1" x14ac:dyDescent="0.2">
      <c r="A451" s="6">
        <v>449</v>
      </c>
    </row>
    <row r="452" spans="1:1" x14ac:dyDescent="0.2">
      <c r="A452" s="6">
        <v>450</v>
      </c>
    </row>
    <row r="453" spans="1:1" x14ac:dyDescent="0.2">
      <c r="A453" s="6">
        <v>451</v>
      </c>
    </row>
    <row r="454" spans="1:1" x14ac:dyDescent="0.2">
      <c r="A454" s="6">
        <v>452</v>
      </c>
    </row>
    <row r="455" spans="1:1" x14ac:dyDescent="0.2">
      <c r="A455" s="6">
        <v>453</v>
      </c>
    </row>
    <row r="456" spans="1:1" x14ac:dyDescent="0.2">
      <c r="A456" s="6">
        <v>454</v>
      </c>
    </row>
    <row r="457" spans="1:1" x14ac:dyDescent="0.2">
      <c r="A457" s="6">
        <v>455</v>
      </c>
    </row>
    <row r="458" spans="1:1" x14ac:dyDescent="0.2">
      <c r="A458" s="6">
        <v>456</v>
      </c>
    </row>
    <row r="459" spans="1:1" x14ac:dyDescent="0.2">
      <c r="A459" s="6">
        <v>457</v>
      </c>
    </row>
    <row r="460" spans="1:1" x14ac:dyDescent="0.2">
      <c r="A460" s="6">
        <v>458</v>
      </c>
    </row>
    <row r="461" spans="1:1" x14ac:dyDescent="0.2">
      <c r="A461" s="6">
        <v>459</v>
      </c>
    </row>
    <row r="462" spans="1:1" x14ac:dyDescent="0.2">
      <c r="A462" s="6">
        <v>460</v>
      </c>
    </row>
    <row r="463" spans="1:1" x14ac:dyDescent="0.2">
      <c r="A463" s="6">
        <v>461</v>
      </c>
    </row>
    <row r="464" spans="1:1" x14ac:dyDescent="0.2">
      <c r="A464" s="6">
        <v>462</v>
      </c>
    </row>
    <row r="465" spans="1:1" x14ac:dyDescent="0.2">
      <c r="A465" s="6">
        <v>463</v>
      </c>
    </row>
    <row r="466" spans="1:1" x14ac:dyDescent="0.2">
      <c r="A466" s="6">
        <v>464</v>
      </c>
    </row>
    <row r="467" spans="1:1" x14ac:dyDescent="0.2">
      <c r="A467" s="6">
        <v>465</v>
      </c>
    </row>
    <row r="468" spans="1:1" x14ac:dyDescent="0.2">
      <c r="A468" s="6">
        <v>466</v>
      </c>
    </row>
    <row r="469" spans="1:1" x14ac:dyDescent="0.2">
      <c r="A469" s="6">
        <v>467</v>
      </c>
    </row>
    <row r="470" spans="1:1" x14ac:dyDescent="0.2">
      <c r="A470" s="6">
        <v>468</v>
      </c>
    </row>
    <row r="471" spans="1:1" x14ac:dyDescent="0.2">
      <c r="A471" s="6">
        <v>469</v>
      </c>
    </row>
    <row r="472" spans="1:1" x14ac:dyDescent="0.2">
      <c r="A472" s="6">
        <v>470</v>
      </c>
    </row>
    <row r="473" spans="1:1" x14ac:dyDescent="0.2">
      <c r="A473" s="6">
        <v>471</v>
      </c>
    </row>
    <row r="474" spans="1:1" x14ac:dyDescent="0.2">
      <c r="A474" s="6">
        <v>472</v>
      </c>
    </row>
    <row r="475" spans="1:1" x14ac:dyDescent="0.2">
      <c r="A475" s="6">
        <v>473</v>
      </c>
    </row>
    <row r="476" spans="1:1" x14ac:dyDescent="0.2">
      <c r="A476" s="6">
        <v>474</v>
      </c>
    </row>
    <row r="477" spans="1:1" x14ac:dyDescent="0.2">
      <c r="A477" s="6">
        <v>475</v>
      </c>
    </row>
    <row r="478" spans="1:1" x14ac:dyDescent="0.2">
      <c r="A478" s="6">
        <v>476</v>
      </c>
    </row>
    <row r="479" spans="1:1" x14ac:dyDescent="0.2">
      <c r="A479" s="6">
        <v>477</v>
      </c>
    </row>
    <row r="480" spans="1:1" x14ac:dyDescent="0.2">
      <c r="A480" s="6">
        <v>478</v>
      </c>
    </row>
    <row r="481" spans="1:1" x14ac:dyDescent="0.2">
      <c r="A481" s="6">
        <v>479</v>
      </c>
    </row>
    <row r="482" spans="1:1" x14ac:dyDescent="0.2">
      <c r="A482" s="6">
        <v>480</v>
      </c>
    </row>
    <row r="483" spans="1:1" x14ac:dyDescent="0.2">
      <c r="A483" s="6">
        <v>481</v>
      </c>
    </row>
    <row r="484" spans="1:1" x14ac:dyDescent="0.2">
      <c r="A484" s="6">
        <v>482</v>
      </c>
    </row>
    <row r="485" spans="1:1" x14ac:dyDescent="0.2">
      <c r="A485" s="6">
        <v>483</v>
      </c>
    </row>
    <row r="486" spans="1:1" x14ac:dyDescent="0.2">
      <c r="A486" s="6">
        <v>484</v>
      </c>
    </row>
    <row r="487" spans="1:1" x14ac:dyDescent="0.2">
      <c r="A487" s="6">
        <v>485</v>
      </c>
    </row>
    <row r="488" spans="1:1" x14ac:dyDescent="0.2">
      <c r="A488" s="6">
        <v>486</v>
      </c>
    </row>
    <row r="489" spans="1:1" x14ac:dyDescent="0.2">
      <c r="A489" s="6">
        <v>487</v>
      </c>
    </row>
    <row r="490" spans="1:1" x14ac:dyDescent="0.2">
      <c r="A490" s="6">
        <v>488</v>
      </c>
    </row>
    <row r="491" spans="1:1" x14ac:dyDescent="0.2">
      <c r="A491" s="6">
        <v>489</v>
      </c>
    </row>
    <row r="492" spans="1:1" x14ac:dyDescent="0.2">
      <c r="A492" s="6">
        <v>490</v>
      </c>
    </row>
    <row r="493" spans="1:1" x14ac:dyDescent="0.2">
      <c r="A493" s="6">
        <v>491</v>
      </c>
    </row>
    <row r="494" spans="1:1" x14ac:dyDescent="0.2">
      <c r="A494" s="6">
        <v>492</v>
      </c>
    </row>
    <row r="495" spans="1:1" x14ac:dyDescent="0.2">
      <c r="A495" s="6">
        <v>493</v>
      </c>
    </row>
    <row r="496" spans="1:1" x14ac:dyDescent="0.2">
      <c r="A496" s="6">
        <v>494</v>
      </c>
    </row>
    <row r="497" spans="1:1" x14ac:dyDescent="0.2">
      <c r="A497" s="6">
        <v>495</v>
      </c>
    </row>
    <row r="498" spans="1:1" x14ac:dyDescent="0.2">
      <c r="A498" s="6">
        <v>496</v>
      </c>
    </row>
    <row r="499" spans="1:1" x14ac:dyDescent="0.2">
      <c r="A499" s="6">
        <v>497</v>
      </c>
    </row>
    <row r="500" spans="1:1" x14ac:dyDescent="0.2">
      <c r="A500" s="6">
        <v>498</v>
      </c>
    </row>
    <row r="501" spans="1:1" x14ac:dyDescent="0.2">
      <c r="A501" s="6">
        <v>499</v>
      </c>
    </row>
    <row r="502" spans="1:1" x14ac:dyDescent="0.2">
      <c r="A502" s="6">
        <v>500</v>
      </c>
    </row>
    <row r="503" spans="1:1" x14ac:dyDescent="0.2">
      <c r="A503" s="6">
        <v>501</v>
      </c>
    </row>
    <row r="504" spans="1:1" x14ac:dyDescent="0.2">
      <c r="A504" s="6">
        <v>502</v>
      </c>
    </row>
    <row r="505" spans="1:1" x14ac:dyDescent="0.2">
      <c r="A505" s="6">
        <v>503</v>
      </c>
    </row>
    <row r="506" spans="1:1" x14ac:dyDescent="0.2">
      <c r="A506" s="6">
        <v>504</v>
      </c>
    </row>
    <row r="507" spans="1:1" x14ac:dyDescent="0.2">
      <c r="A507" s="6">
        <v>505</v>
      </c>
    </row>
    <row r="508" spans="1:1" x14ac:dyDescent="0.2">
      <c r="A508" s="6">
        <v>506</v>
      </c>
    </row>
    <row r="509" spans="1:1" x14ac:dyDescent="0.2">
      <c r="A509" s="6">
        <v>507</v>
      </c>
    </row>
    <row r="510" spans="1:1" x14ac:dyDescent="0.2">
      <c r="A510" s="6">
        <v>508</v>
      </c>
    </row>
    <row r="511" spans="1:1" x14ac:dyDescent="0.2">
      <c r="A511" s="6">
        <v>509</v>
      </c>
    </row>
    <row r="512" spans="1:1" x14ac:dyDescent="0.2">
      <c r="A512" s="6">
        <v>510</v>
      </c>
    </row>
    <row r="513" spans="1:1" x14ac:dyDescent="0.2">
      <c r="A513" s="6">
        <v>511</v>
      </c>
    </row>
    <row r="514" spans="1:1" x14ac:dyDescent="0.2">
      <c r="A514" s="6">
        <v>512</v>
      </c>
    </row>
    <row r="515" spans="1:1" x14ac:dyDescent="0.2">
      <c r="A515" s="6">
        <v>513</v>
      </c>
    </row>
    <row r="516" spans="1:1" x14ac:dyDescent="0.2">
      <c r="A516" s="6">
        <v>514</v>
      </c>
    </row>
    <row r="517" spans="1:1" x14ac:dyDescent="0.2">
      <c r="A517" s="6">
        <v>515</v>
      </c>
    </row>
    <row r="518" spans="1:1" x14ac:dyDescent="0.2">
      <c r="A518" s="6">
        <v>516</v>
      </c>
    </row>
    <row r="519" spans="1:1" x14ac:dyDescent="0.2">
      <c r="A519" s="6">
        <v>517</v>
      </c>
    </row>
    <row r="520" spans="1:1" x14ac:dyDescent="0.2">
      <c r="A520" s="6">
        <v>518</v>
      </c>
    </row>
    <row r="521" spans="1:1" x14ac:dyDescent="0.2">
      <c r="A521" s="6">
        <v>519</v>
      </c>
    </row>
    <row r="522" spans="1:1" x14ac:dyDescent="0.2">
      <c r="A522" s="6">
        <v>520</v>
      </c>
    </row>
    <row r="523" spans="1:1" x14ac:dyDescent="0.2">
      <c r="A523" s="6">
        <v>521</v>
      </c>
    </row>
    <row r="524" spans="1:1" x14ac:dyDescent="0.2">
      <c r="A524" s="6">
        <v>522</v>
      </c>
    </row>
    <row r="525" spans="1:1" x14ac:dyDescent="0.2">
      <c r="A525" s="6">
        <v>523</v>
      </c>
    </row>
    <row r="526" spans="1:1" x14ac:dyDescent="0.2">
      <c r="A526" s="6">
        <v>524</v>
      </c>
    </row>
    <row r="527" spans="1:1" x14ac:dyDescent="0.2">
      <c r="A527" s="6">
        <v>525</v>
      </c>
    </row>
    <row r="528" spans="1:1" x14ac:dyDescent="0.2">
      <c r="A528" s="6">
        <v>526</v>
      </c>
    </row>
    <row r="529" spans="1:1" x14ac:dyDescent="0.2">
      <c r="A529" s="6">
        <v>527</v>
      </c>
    </row>
    <row r="530" spans="1:1" x14ac:dyDescent="0.2">
      <c r="A530" s="6">
        <v>528</v>
      </c>
    </row>
    <row r="531" spans="1:1" x14ac:dyDescent="0.2">
      <c r="A531" s="6">
        <v>529</v>
      </c>
    </row>
    <row r="532" spans="1:1" x14ac:dyDescent="0.2">
      <c r="A532" s="6">
        <v>530</v>
      </c>
    </row>
    <row r="533" spans="1:1" x14ac:dyDescent="0.2">
      <c r="A533" s="6">
        <v>531</v>
      </c>
    </row>
    <row r="534" spans="1:1" x14ac:dyDescent="0.2">
      <c r="A534" s="6">
        <v>532</v>
      </c>
    </row>
    <row r="535" spans="1:1" x14ac:dyDescent="0.2">
      <c r="A535" s="6">
        <v>533</v>
      </c>
    </row>
    <row r="536" spans="1:1" x14ac:dyDescent="0.2">
      <c r="A536" s="6">
        <v>534</v>
      </c>
    </row>
    <row r="537" spans="1:1" x14ac:dyDescent="0.2">
      <c r="A537" s="6">
        <v>535</v>
      </c>
    </row>
    <row r="538" spans="1:1" x14ac:dyDescent="0.2">
      <c r="A538" s="6">
        <v>536</v>
      </c>
    </row>
    <row r="539" spans="1:1" x14ac:dyDescent="0.2">
      <c r="A539" s="6">
        <v>537</v>
      </c>
    </row>
    <row r="540" spans="1:1" x14ac:dyDescent="0.2">
      <c r="A540" s="6">
        <v>538</v>
      </c>
    </row>
    <row r="541" spans="1:1" x14ac:dyDescent="0.2">
      <c r="A541" s="6">
        <v>539</v>
      </c>
    </row>
    <row r="542" spans="1:1" x14ac:dyDescent="0.2">
      <c r="A542" s="6">
        <v>540</v>
      </c>
    </row>
    <row r="543" spans="1:1" x14ac:dyDescent="0.2">
      <c r="A543" s="6">
        <v>541</v>
      </c>
    </row>
    <row r="544" spans="1:1" x14ac:dyDescent="0.2">
      <c r="A544" s="6">
        <v>542</v>
      </c>
    </row>
    <row r="545" spans="1:1" x14ac:dyDescent="0.2">
      <c r="A545" s="6">
        <v>543</v>
      </c>
    </row>
    <row r="546" spans="1:1" x14ac:dyDescent="0.2">
      <c r="A546" s="6">
        <v>544</v>
      </c>
    </row>
    <row r="547" spans="1:1" x14ac:dyDescent="0.2">
      <c r="A547" s="6">
        <v>545</v>
      </c>
    </row>
    <row r="548" spans="1:1" x14ac:dyDescent="0.2">
      <c r="A548" s="6">
        <v>546</v>
      </c>
    </row>
    <row r="549" spans="1:1" x14ac:dyDescent="0.2">
      <c r="A549" s="6">
        <v>547</v>
      </c>
    </row>
    <row r="550" spans="1:1" x14ac:dyDescent="0.2">
      <c r="A550" s="6">
        <v>548</v>
      </c>
    </row>
    <row r="551" spans="1:1" x14ac:dyDescent="0.2">
      <c r="A551" s="6">
        <v>549</v>
      </c>
    </row>
    <row r="552" spans="1:1" x14ac:dyDescent="0.2">
      <c r="A552" s="6">
        <v>550</v>
      </c>
    </row>
    <row r="553" spans="1:1" x14ac:dyDescent="0.2">
      <c r="A553" s="6">
        <v>551</v>
      </c>
    </row>
    <row r="554" spans="1:1" x14ac:dyDescent="0.2">
      <c r="A554" s="6">
        <v>552</v>
      </c>
    </row>
    <row r="555" spans="1:1" x14ac:dyDescent="0.2">
      <c r="A555" s="6">
        <v>553</v>
      </c>
    </row>
    <row r="556" spans="1:1" x14ac:dyDescent="0.2">
      <c r="A556" s="6">
        <v>554</v>
      </c>
    </row>
    <row r="557" spans="1:1" x14ac:dyDescent="0.2">
      <c r="A557" s="6">
        <v>555</v>
      </c>
    </row>
    <row r="558" spans="1:1" x14ac:dyDescent="0.2">
      <c r="A558" s="6">
        <v>556</v>
      </c>
    </row>
    <row r="559" spans="1:1" x14ac:dyDescent="0.2">
      <c r="A559" s="6">
        <v>557</v>
      </c>
    </row>
    <row r="560" spans="1:1" x14ac:dyDescent="0.2">
      <c r="A560" s="6">
        <v>558</v>
      </c>
    </row>
    <row r="561" spans="1:1" x14ac:dyDescent="0.2">
      <c r="A561" s="6">
        <v>559</v>
      </c>
    </row>
    <row r="562" spans="1:1" x14ac:dyDescent="0.2">
      <c r="A562" s="6">
        <v>560</v>
      </c>
    </row>
    <row r="563" spans="1:1" x14ac:dyDescent="0.2">
      <c r="A563" s="6">
        <v>561</v>
      </c>
    </row>
    <row r="564" spans="1:1" x14ac:dyDescent="0.2">
      <c r="A564" s="6">
        <v>562</v>
      </c>
    </row>
    <row r="565" spans="1:1" x14ac:dyDescent="0.2">
      <c r="A565" s="6">
        <v>563</v>
      </c>
    </row>
    <row r="566" spans="1:1" x14ac:dyDescent="0.2">
      <c r="A566" s="6">
        <v>564</v>
      </c>
    </row>
    <row r="567" spans="1:1" x14ac:dyDescent="0.2">
      <c r="A567" s="6">
        <v>565</v>
      </c>
    </row>
    <row r="568" spans="1:1" x14ac:dyDescent="0.2">
      <c r="A568" s="6">
        <v>566</v>
      </c>
    </row>
    <row r="569" spans="1:1" x14ac:dyDescent="0.2">
      <c r="A569" s="6">
        <v>567</v>
      </c>
    </row>
    <row r="570" spans="1:1" x14ac:dyDescent="0.2">
      <c r="A570" s="6">
        <v>568</v>
      </c>
    </row>
    <row r="571" spans="1:1" x14ac:dyDescent="0.2">
      <c r="A571" s="6">
        <v>569</v>
      </c>
    </row>
    <row r="572" spans="1:1" x14ac:dyDescent="0.2">
      <c r="A572" s="6">
        <v>570</v>
      </c>
    </row>
    <row r="573" spans="1:1" x14ac:dyDescent="0.2">
      <c r="A573" s="6">
        <v>571</v>
      </c>
    </row>
    <row r="574" spans="1:1" x14ac:dyDescent="0.2">
      <c r="A574" s="6">
        <v>572</v>
      </c>
    </row>
    <row r="575" spans="1:1" x14ac:dyDescent="0.2">
      <c r="A575" s="6">
        <v>573</v>
      </c>
    </row>
    <row r="576" spans="1:1" x14ac:dyDescent="0.2">
      <c r="A576" s="6">
        <v>574</v>
      </c>
    </row>
    <row r="577" spans="1:1" x14ac:dyDescent="0.2">
      <c r="A577" s="6">
        <v>575</v>
      </c>
    </row>
    <row r="578" spans="1:1" x14ac:dyDescent="0.2">
      <c r="A578" s="6">
        <v>576</v>
      </c>
    </row>
    <row r="579" spans="1:1" x14ac:dyDescent="0.2">
      <c r="A579" s="6">
        <v>577</v>
      </c>
    </row>
    <row r="580" spans="1:1" x14ac:dyDescent="0.2">
      <c r="A580" s="6">
        <v>578</v>
      </c>
    </row>
    <row r="581" spans="1:1" x14ac:dyDescent="0.2">
      <c r="A581" s="6">
        <v>579</v>
      </c>
    </row>
    <row r="582" spans="1:1" x14ac:dyDescent="0.2">
      <c r="A582" s="6">
        <v>580</v>
      </c>
    </row>
    <row r="583" spans="1:1" x14ac:dyDescent="0.2">
      <c r="A583" s="6">
        <v>581</v>
      </c>
    </row>
    <row r="584" spans="1:1" x14ac:dyDescent="0.2">
      <c r="A584" s="6">
        <v>582</v>
      </c>
    </row>
    <row r="585" spans="1:1" x14ac:dyDescent="0.2">
      <c r="A585" s="6">
        <v>583</v>
      </c>
    </row>
    <row r="586" spans="1:1" x14ac:dyDescent="0.2">
      <c r="A586" s="6">
        <v>584</v>
      </c>
    </row>
    <row r="587" spans="1:1" x14ac:dyDescent="0.2">
      <c r="A587" s="6">
        <v>585</v>
      </c>
    </row>
    <row r="588" spans="1:1" x14ac:dyDescent="0.2">
      <c r="A588" s="6">
        <v>586</v>
      </c>
    </row>
    <row r="589" spans="1:1" x14ac:dyDescent="0.2">
      <c r="A589" s="6">
        <v>587</v>
      </c>
    </row>
    <row r="590" spans="1:1" x14ac:dyDescent="0.2">
      <c r="A590" s="6">
        <v>588</v>
      </c>
    </row>
    <row r="591" spans="1:1" x14ac:dyDescent="0.2">
      <c r="A591" s="6">
        <v>589</v>
      </c>
    </row>
    <row r="592" spans="1:1" x14ac:dyDescent="0.2">
      <c r="A592" s="6">
        <v>590</v>
      </c>
    </row>
    <row r="593" spans="1:1" x14ac:dyDescent="0.2">
      <c r="A593" s="6">
        <v>591</v>
      </c>
    </row>
    <row r="594" spans="1:1" x14ac:dyDescent="0.2">
      <c r="A594" s="6">
        <v>592</v>
      </c>
    </row>
    <row r="595" spans="1:1" x14ac:dyDescent="0.2">
      <c r="A595" s="6">
        <v>593</v>
      </c>
    </row>
    <row r="596" spans="1:1" x14ac:dyDescent="0.2">
      <c r="A596" s="6">
        <v>594</v>
      </c>
    </row>
    <row r="597" spans="1:1" x14ac:dyDescent="0.2">
      <c r="A597" s="6">
        <v>595</v>
      </c>
    </row>
    <row r="598" spans="1:1" x14ac:dyDescent="0.2">
      <c r="A598" s="6">
        <v>596</v>
      </c>
    </row>
    <row r="599" spans="1:1" x14ac:dyDescent="0.2">
      <c r="A599" s="6">
        <v>597</v>
      </c>
    </row>
    <row r="600" spans="1:1" x14ac:dyDescent="0.2">
      <c r="A600" s="6">
        <v>598</v>
      </c>
    </row>
    <row r="601" spans="1:1" x14ac:dyDescent="0.2">
      <c r="A601" s="6">
        <v>599</v>
      </c>
    </row>
    <row r="602" spans="1:1" x14ac:dyDescent="0.2">
      <c r="A602" s="6">
        <v>600</v>
      </c>
    </row>
    <row r="603" spans="1:1" x14ac:dyDescent="0.2">
      <c r="A603" s="6">
        <v>601</v>
      </c>
    </row>
    <row r="604" spans="1:1" x14ac:dyDescent="0.2">
      <c r="A604" s="6">
        <v>602</v>
      </c>
    </row>
    <row r="605" spans="1:1" x14ac:dyDescent="0.2">
      <c r="A605" s="6">
        <v>603</v>
      </c>
    </row>
    <row r="606" spans="1:1" x14ac:dyDescent="0.2">
      <c r="A606" s="6">
        <v>604</v>
      </c>
    </row>
    <row r="607" spans="1:1" x14ac:dyDescent="0.2">
      <c r="A607" s="6">
        <v>605</v>
      </c>
    </row>
    <row r="608" spans="1:1" x14ac:dyDescent="0.2">
      <c r="A608" s="6">
        <v>606</v>
      </c>
    </row>
    <row r="609" spans="1:1" x14ac:dyDescent="0.2">
      <c r="A609" s="6">
        <v>607</v>
      </c>
    </row>
    <row r="610" spans="1:1" x14ac:dyDescent="0.2">
      <c r="A610" s="6">
        <v>608</v>
      </c>
    </row>
    <row r="611" spans="1:1" x14ac:dyDescent="0.2">
      <c r="A611" s="6">
        <v>609</v>
      </c>
    </row>
    <row r="612" spans="1:1" x14ac:dyDescent="0.2">
      <c r="A612" s="6">
        <v>610</v>
      </c>
    </row>
    <row r="613" spans="1:1" x14ac:dyDescent="0.2">
      <c r="A613" s="6">
        <v>611</v>
      </c>
    </row>
    <row r="614" spans="1:1" x14ac:dyDescent="0.2">
      <c r="A614" s="6">
        <v>612</v>
      </c>
    </row>
    <row r="615" spans="1:1" x14ac:dyDescent="0.2">
      <c r="A615" s="6">
        <v>613</v>
      </c>
    </row>
    <row r="616" spans="1:1" x14ac:dyDescent="0.2">
      <c r="A616" s="6">
        <v>614</v>
      </c>
    </row>
    <row r="617" spans="1:1" x14ac:dyDescent="0.2">
      <c r="A617" s="6">
        <v>615</v>
      </c>
    </row>
    <row r="618" spans="1:1" x14ac:dyDescent="0.2">
      <c r="A618" s="6">
        <v>616</v>
      </c>
    </row>
    <row r="619" spans="1:1" x14ac:dyDescent="0.2">
      <c r="A619" s="6">
        <v>617</v>
      </c>
    </row>
    <row r="620" spans="1:1" x14ac:dyDescent="0.2">
      <c r="A620" s="6">
        <v>618</v>
      </c>
    </row>
    <row r="621" spans="1:1" x14ac:dyDescent="0.2">
      <c r="A621" s="6">
        <v>619</v>
      </c>
    </row>
    <row r="622" spans="1:1" x14ac:dyDescent="0.2">
      <c r="A622" s="6">
        <v>620</v>
      </c>
    </row>
    <row r="623" spans="1:1" x14ac:dyDescent="0.2">
      <c r="A623" s="6">
        <v>621</v>
      </c>
    </row>
    <row r="624" spans="1:1" x14ac:dyDescent="0.2">
      <c r="A624" s="6">
        <v>622</v>
      </c>
    </row>
    <row r="625" spans="1:1" x14ac:dyDescent="0.2">
      <c r="A625" s="6">
        <v>623</v>
      </c>
    </row>
    <row r="626" spans="1:1" x14ac:dyDescent="0.2">
      <c r="A626" s="6">
        <v>624</v>
      </c>
    </row>
    <row r="627" spans="1:1" x14ac:dyDescent="0.2">
      <c r="A627" s="6">
        <v>625</v>
      </c>
    </row>
    <row r="628" spans="1:1" x14ac:dyDescent="0.2">
      <c r="A628" s="6">
        <v>626</v>
      </c>
    </row>
    <row r="629" spans="1:1" x14ac:dyDescent="0.2">
      <c r="A629" s="6">
        <v>627</v>
      </c>
    </row>
    <row r="630" spans="1:1" x14ac:dyDescent="0.2">
      <c r="A630" s="6">
        <v>628</v>
      </c>
    </row>
    <row r="631" spans="1:1" x14ac:dyDescent="0.2">
      <c r="A631" s="6">
        <v>629</v>
      </c>
    </row>
    <row r="632" spans="1:1" x14ac:dyDescent="0.2">
      <c r="A632" s="6">
        <v>630</v>
      </c>
    </row>
    <row r="633" spans="1:1" x14ac:dyDescent="0.2">
      <c r="A633" s="6">
        <v>631</v>
      </c>
    </row>
    <row r="634" spans="1:1" x14ac:dyDescent="0.2">
      <c r="A634" s="6">
        <v>632</v>
      </c>
    </row>
    <row r="635" spans="1:1" x14ac:dyDescent="0.2">
      <c r="A635" s="6">
        <v>633</v>
      </c>
    </row>
    <row r="636" spans="1:1" x14ac:dyDescent="0.2">
      <c r="A636" s="6">
        <v>634</v>
      </c>
    </row>
    <row r="637" spans="1:1" x14ac:dyDescent="0.2">
      <c r="A637" s="6">
        <v>635</v>
      </c>
    </row>
    <row r="638" spans="1:1" x14ac:dyDescent="0.2">
      <c r="A638" s="6">
        <v>636</v>
      </c>
    </row>
    <row r="639" spans="1:1" x14ac:dyDescent="0.2">
      <c r="A639" s="6">
        <v>637</v>
      </c>
    </row>
    <row r="640" spans="1:1" x14ac:dyDescent="0.2">
      <c r="A640" s="6">
        <v>638</v>
      </c>
    </row>
    <row r="641" spans="1:1" x14ac:dyDescent="0.2">
      <c r="A641" s="6">
        <v>639</v>
      </c>
    </row>
    <row r="642" spans="1:1" x14ac:dyDescent="0.2">
      <c r="A642" s="6">
        <v>640</v>
      </c>
    </row>
    <row r="643" spans="1:1" x14ac:dyDescent="0.2">
      <c r="A643" s="6">
        <v>641</v>
      </c>
    </row>
    <row r="644" spans="1:1" x14ac:dyDescent="0.2">
      <c r="A644" s="6">
        <v>642</v>
      </c>
    </row>
    <row r="645" spans="1:1" x14ac:dyDescent="0.2">
      <c r="A645" s="6">
        <v>643</v>
      </c>
    </row>
    <row r="646" spans="1:1" x14ac:dyDescent="0.2">
      <c r="A646" s="6">
        <v>644</v>
      </c>
    </row>
    <row r="647" spans="1:1" x14ac:dyDescent="0.2">
      <c r="A647" s="6">
        <v>645</v>
      </c>
    </row>
    <row r="648" spans="1:1" x14ac:dyDescent="0.2">
      <c r="A648" s="6">
        <v>646</v>
      </c>
    </row>
    <row r="649" spans="1:1" x14ac:dyDescent="0.2">
      <c r="A649" s="6">
        <v>647</v>
      </c>
    </row>
    <row r="650" spans="1:1" x14ac:dyDescent="0.2">
      <c r="A650" s="6">
        <v>648</v>
      </c>
    </row>
    <row r="651" spans="1:1" x14ac:dyDescent="0.2">
      <c r="A651" s="6">
        <v>649</v>
      </c>
    </row>
    <row r="652" spans="1:1" x14ac:dyDescent="0.2">
      <c r="A652" s="6">
        <v>650</v>
      </c>
    </row>
    <row r="653" spans="1:1" x14ac:dyDescent="0.2">
      <c r="A653" s="6">
        <v>651</v>
      </c>
    </row>
    <row r="654" spans="1:1" x14ac:dyDescent="0.2">
      <c r="A654" s="6">
        <v>652</v>
      </c>
    </row>
    <row r="655" spans="1:1" x14ac:dyDescent="0.2">
      <c r="A655" s="6">
        <v>653</v>
      </c>
    </row>
    <row r="656" spans="1:1" x14ac:dyDescent="0.2">
      <c r="A656" s="6">
        <v>654</v>
      </c>
    </row>
    <row r="657" spans="1:1" x14ac:dyDescent="0.2">
      <c r="A657" s="6">
        <v>655</v>
      </c>
    </row>
    <row r="658" spans="1:1" x14ac:dyDescent="0.2">
      <c r="A658" s="6">
        <v>656</v>
      </c>
    </row>
    <row r="659" spans="1:1" x14ac:dyDescent="0.2">
      <c r="A659" s="6">
        <v>657</v>
      </c>
    </row>
    <row r="660" spans="1:1" x14ac:dyDescent="0.2">
      <c r="A660" s="6">
        <v>658</v>
      </c>
    </row>
    <row r="661" spans="1:1" x14ac:dyDescent="0.2">
      <c r="A661" s="6">
        <v>659</v>
      </c>
    </row>
    <row r="662" spans="1:1" x14ac:dyDescent="0.2">
      <c r="A662" s="6">
        <v>660</v>
      </c>
    </row>
    <row r="663" spans="1:1" x14ac:dyDescent="0.2">
      <c r="A663" s="6">
        <v>661</v>
      </c>
    </row>
    <row r="664" spans="1:1" x14ac:dyDescent="0.2">
      <c r="A664" s="6">
        <v>662</v>
      </c>
    </row>
    <row r="665" spans="1:1" x14ac:dyDescent="0.2">
      <c r="A665" s="6">
        <v>663</v>
      </c>
    </row>
    <row r="666" spans="1:1" x14ac:dyDescent="0.2">
      <c r="A666" s="6">
        <v>664</v>
      </c>
    </row>
    <row r="667" spans="1:1" x14ac:dyDescent="0.2">
      <c r="A667" s="6">
        <v>665</v>
      </c>
    </row>
    <row r="668" spans="1:1" x14ac:dyDescent="0.2">
      <c r="A668" s="6">
        <v>666</v>
      </c>
    </row>
    <row r="669" spans="1:1" x14ac:dyDescent="0.2">
      <c r="A669" s="6">
        <v>667</v>
      </c>
    </row>
    <row r="670" spans="1:1" x14ac:dyDescent="0.2">
      <c r="A670" s="6">
        <v>668</v>
      </c>
    </row>
    <row r="671" spans="1:1" x14ac:dyDescent="0.2">
      <c r="A671" s="6">
        <v>669</v>
      </c>
    </row>
    <row r="672" spans="1:1" x14ac:dyDescent="0.2">
      <c r="A672" s="6">
        <v>670</v>
      </c>
    </row>
    <row r="673" spans="1:1" x14ac:dyDescent="0.2">
      <c r="A673" s="6">
        <v>671</v>
      </c>
    </row>
    <row r="674" spans="1:1" x14ac:dyDescent="0.2">
      <c r="A674" s="6">
        <v>672</v>
      </c>
    </row>
    <row r="675" spans="1:1" x14ac:dyDescent="0.2">
      <c r="A675" s="6">
        <v>673</v>
      </c>
    </row>
    <row r="676" spans="1:1" x14ac:dyDescent="0.2">
      <c r="A676" s="6">
        <v>674</v>
      </c>
    </row>
    <row r="677" spans="1:1" x14ac:dyDescent="0.2">
      <c r="A677" s="6">
        <v>675</v>
      </c>
    </row>
    <row r="678" spans="1:1" x14ac:dyDescent="0.2">
      <c r="A678" s="6">
        <v>676</v>
      </c>
    </row>
    <row r="679" spans="1:1" x14ac:dyDescent="0.2">
      <c r="A679" s="6">
        <v>677</v>
      </c>
    </row>
    <row r="680" spans="1:1" x14ac:dyDescent="0.2">
      <c r="A680" s="6">
        <v>678</v>
      </c>
    </row>
    <row r="681" spans="1:1" x14ac:dyDescent="0.2">
      <c r="A681" s="6">
        <v>679</v>
      </c>
    </row>
    <row r="682" spans="1:1" x14ac:dyDescent="0.2">
      <c r="A682" s="6">
        <v>680</v>
      </c>
    </row>
    <row r="683" spans="1:1" x14ac:dyDescent="0.2">
      <c r="A683" s="6">
        <v>681</v>
      </c>
    </row>
    <row r="684" spans="1:1" x14ac:dyDescent="0.2">
      <c r="A684" s="6">
        <v>682</v>
      </c>
    </row>
    <row r="685" spans="1:1" x14ac:dyDescent="0.2">
      <c r="A685" s="6">
        <v>683</v>
      </c>
    </row>
    <row r="686" spans="1:1" x14ac:dyDescent="0.2">
      <c r="A686" s="6">
        <v>684</v>
      </c>
    </row>
    <row r="687" spans="1:1" x14ac:dyDescent="0.2">
      <c r="A687" s="6">
        <v>685</v>
      </c>
    </row>
    <row r="688" spans="1:1" x14ac:dyDescent="0.2">
      <c r="A688" s="6">
        <v>686</v>
      </c>
    </row>
    <row r="689" spans="1:1" x14ac:dyDescent="0.2">
      <c r="A689" s="6">
        <v>687</v>
      </c>
    </row>
    <row r="690" spans="1:1" x14ac:dyDescent="0.2">
      <c r="A690" s="6">
        <v>688</v>
      </c>
    </row>
    <row r="691" spans="1:1" x14ac:dyDescent="0.2">
      <c r="A691" s="6">
        <v>689</v>
      </c>
    </row>
    <row r="692" spans="1:1" x14ac:dyDescent="0.2">
      <c r="A692" s="6">
        <v>690</v>
      </c>
    </row>
    <row r="693" spans="1:1" x14ac:dyDescent="0.2">
      <c r="A693" s="6">
        <v>691</v>
      </c>
    </row>
    <row r="694" spans="1:1" x14ac:dyDescent="0.2">
      <c r="A694" s="6">
        <v>692</v>
      </c>
    </row>
    <row r="695" spans="1:1" x14ac:dyDescent="0.2">
      <c r="A695" s="6">
        <v>693</v>
      </c>
    </row>
    <row r="696" spans="1:1" x14ac:dyDescent="0.2">
      <c r="A696" s="6">
        <v>694</v>
      </c>
    </row>
    <row r="697" spans="1:1" x14ac:dyDescent="0.2">
      <c r="A697" s="6">
        <v>695</v>
      </c>
    </row>
    <row r="698" spans="1:1" x14ac:dyDescent="0.2">
      <c r="A698" s="6">
        <v>696</v>
      </c>
    </row>
    <row r="699" spans="1:1" x14ac:dyDescent="0.2">
      <c r="A699" s="6">
        <v>697</v>
      </c>
    </row>
    <row r="700" spans="1:1" x14ac:dyDescent="0.2">
      <c r="A700" s="6">
        <v>698</v>
      </c>
    </row>
    <row r="701" spans="1:1" x14ac:dyDescent="0.2">
      <c r="A701" s="6">
        <v>699</v>
      </c>
    </row>
    <row r="702" spans="1:1" x14ac:dyDescent="0.2">
      <c r="A702" s="6">
        <v>700</v>
      </c>
    </row>
    <row r="703" spans="1:1" x14ac:dyDescent="0.2">
      <c r="A703" s="6">
        <v>701</v>
      </c>
    </row>
    <row r="704" spans="1:1" x14ac:dyDescent="0.2">
      <c r="A704" s="6">
        <v>702</v>
      </c>
    </row>
    <row r="705" spans="1:1" x14ac:dyDescent="0.2">
      <c r="A705" s="6">
        <v>703</v>
      </c>
    </row>
    <row r="706" spans="1:1" x14ac:dyDescent="0.2">
      <c r="A706" s="6">
        <v>704</v>
      </c>
    </row>
    <row r="707" spans="1:1" x14ac:dyDescent="0.2">
      <c r="A707" s="6">
        <v>705</v>
      </c>
    </row>
    <row r="708" spans="1:1" x14ac:dyDescent="0.2">
      <c r="A708" s="6">
        <v>706</v>
      </c>
    </row>
    <row r="709" spans="1:1" x14ac:dyDescent="0.2">
      <c r="A709" s="6">
        <v>707</v>
      </c>
    </row>
    <row r="710" spans="1:1" x14ac:dyDescent="0.2">
      <c r="A710" s="6">
        <v>708</v>
      </c>
    </row>
    <row r="711" spans="1:1" x14ac:dyDescent="0.2">
      <c r="A711" s="6">
        <v>709</v>
      </c>
    </row>
    <row r="712" spans="1:1" x14ac:dyDescent="0.2">
      <c r="A712" s="6">
        <v>710</v>
      </c>
    </row>
    <row r="713" spans="1:1" x14ac:dyDescent="0.2">
      <c r="A713" s="6">
        <v>711</v>
      </c>
    </row>
    <row r="714" spans="1:1" x14ac:dyDescent="0.2">
      <c r="A714" s="6">
        <v>712</v>
      </c>
    </row>
    <row r="715" spans="1:1" x14ac:dyDescent="0.2">
      <c r="A715" s="6">
        <v>713</v>
      </c>
    </row>
    <row r="716" spans="1:1" x14ac:dyDescent="0.2">
      <c r="A716" s="6">
        <v>714</v>
      </c>
    </row>
    <row r="717" spans="1:1" x14ac:dyDescent="0.2">
      <c r="A717" s="6">
        <v>715</v>
      </c>
    </row>
    <row r="718" spans="1:1" x14ac:dyDescent="0.2">
      <c r="A718" s="6">
        <v>716</v>
      </c>
    </row>
    <row r="719" spans="1:1" x14ac:dyDescent="0.2">
      <c r="A719" s="6">
        <v>717</v>
      </c>
    </row>
    <row r="720" spans="1:1" x14ac:dyDescent="0.2">
      <c r="A720" s="6">
        <v>718</v>
      </c>
    </row>
    <row r="721" spans="1:1" x14ac:dyDescent="0.2">
      <c r="A721" s="6">
        <v>719</v>
      </c>
    </row>
    <row r="722" spans="1:1" x14ac:dyDescent="0.2">
      <c r="A722" s="6">
        <v>720</v>
      </c>
    </row>
    <row r="723" spans="1:1" x14ac:dyDescent="0.2">
      <c r="A723" s="6">
        <v>721</v>
      </c>
    </row>
    <row r="724" spans="1:1" x14ac:dyDescent="0.2">
      <c r="A724" s="6">
        <v>722</v>
      </c>
    </row>
    <row r="725" spans="1:1" x14ac:dyDescent="0.2">
      <c r="A725" s="6">
        <v>723</v>
      </c>
    </row>
    <row r="726" spans="1:1" x14ac:dyDescent="0.2">
      <c r="A726" s="6">
        <v>724</v>
      </c>
    </row>
    <row r="727" spans="1:1" x14ac:dyDescent="0.2">
      <c r="A727" s="6">
        <v>725</v>
      </c>
    </row>
    <row r="728" spans="1:1" x14ac:dyDescent="0.2">
      <c r="A728" s="6">
        <v>726</v>
      </c>
    </row>
    <row r="729" spans="1:1" x14ac:dyDescent="0.2">
      <c r="A729" s="6">
        <v>727</v>
      </c>
    </row>
    <row r="730" spans="1:1" x14ac:dyDescent="0.2">
      <c r="A730" s="6">
        <v>728</v>
      </c>
    </row>
    <row r="731" spans="1:1" x14ac:dyDescent="0.2">
      <c r="A731" s="6">
        <v>729</v>
      </c>
    </row>
    <row r="732" spans="1:1" x14ac:dyDescent="0.2">
      <c r="A732" s="6">
        <v>730</v>
      </c>
    </row>
    <row r="733" spans="1:1" x14ac:dyDescent="0.2">
      <c r="A733" s="6">
        <v>731</v>
      </c>
    </row>
    <row r="734" spans="1:1" x14ac:dyDescent="0.2">
      <c r="A734" s="6">
        <v>732</v>
      </c>
    </row>
    <row r="735" spans="1:1" x14ac:dyDescent="0.2">
      <c r="A735" s="6">
        <v>733</v>
      </c>
    </row>
    <row r="736" spans="1:1" x14ac:dyDescent="0.2">
      <c r="A736" s="6">
        <v>734</v>
      </c>
    </row>
    <row r="737" spans="1:1" x14ac:dyDescent="0.2">
      <c r="A737" s="6">
        <v>735</v>
      </c>
    </row>
    <row r="738" spans="1:1" x14ac:dyDescent="0.2">
      <c r="A738" s="6">
        <v>736</v>
      </c>
    </row>
    <row r="739" spans="1:1" x14ac:dyDescent="0.2">
      <c r="A739" s="6">
        <v>737</v>
      </c>
    </row>
    <row r="740" spans="1:1" x14ac:dyDescent="0.2">
      <c r="A740" s="6">
        <v>738</v>
      </c>
    </row>
    <row r="741" spans="1:1" x14ac:dyDescent="0.2">
      <c r="A741" s="6">
        <v>739</v>
      </c>
    </row>
    <row r="742" spans="1:1" x14ac:dyDescent="0.2">
      <c r="A742" s="6">
        <v>740</v>
      </c>
    </row>
    <row r="743" spans="1:1" x14ac:dyDescent="0.2">
      <c r="A743" s="6">
        <v>741</v>
      </c>
    </row>
    <row r="744" spans="1:1" x14ac:dyDescent="0.2">
      <c r="A744" s="6">
        <v>742</v>
      </c>
    </row>
    <row r="745" spans="1:1" x14ac:dyDescent="0.2">
      <c r="A745" s="6">
        <v>743</v>
      </c>
    </row>
    <row r="746" spans="1:1" x14ac:dyDescent="0.2">
      <c r="A746" s="6">
        <v>744</v>
      </c>
    </row>
    <row r="747" spans="1:1" x14ac:dyDescent="0.2">
      <c r="A747" s="6">
        <v>745</v>
      </c>
    </row>
    <row r="748" spans="1:1" x14ac:dyDescent="0.2">
      <c r="A748" s="6">
        <v>746</v>
      </c>
    </row>
    <row r="749" spans="1:1" x14ac:dyDescent="0.2">
      <c r="A749" s="6">
        <v>747</v>
      </c>
    </row>
    <row r="750" spans="1:1" x14ac:dyDescent="0.2">
      <c r="A750" s="6">
        <v>748</v>
      </c>
    </row>
    <row r="751" spans="1:1" x14ac:dyDescent="0.2">
      <c r="A751" s="6">
        <v>749</v>
      </c>
    </row>
    <row r="752" spans="1:1" x14ac:dyDescent="0.2">
      <c r="A752" s="6">
        <v>750</v>
      </c>
    </row>
    <row r="753" spans="1:1" x14ac:dyDescent="0.2">
      <c r="A753" s="6">
        <v>751</v>
      </c>
    </row>
    <row r="754" spans="1:1" x14ac:dyDescent="0.2">
      <c r="A754" s="6">
        <v>752</v>
      </c>
    </row>
    <row r="755" spans="1:1" x14ac:dyDescent="0.2">
      <c r="A755" s="6">
        <v>753</v>
      </c>
    </row>
    <row r="756" spans="1:1" x14ac:dyDescent="0.2">
      <c r="A756" s="6">
        <v>754</v>
      </c>
    </row>
    <row r="757" spans="1:1" x14ac:dyDescent="0.2">
      <c r="A757" s="6">
        <v>755</v>
      </c>
    </row>
    <row r="758" spans="1:1" x14ac:dyDescent="0.2">
      <c r="A758" s="6">
        <v>756</v>
      </c>
    </row>
    <row r="759" spans="1:1" x14ac:dyDescent="0.2">
      <c r="A759" s="6">
        <v>757</v>
      </c>
    </row>
    <row r="760" spans="1:1" x14ac:dyDescent="0.2">
      <c r="A760" s="6">
        <v>758</v>
      </c>
    </row>
    <row r="761" spans="1:1" x14ac:dyDescent="0.2">
      <c r="A761" s="6">
        <v>759</v>
      </c>
    </row>
    <row r="762" spans="1:1" x14ac:dyDescent="0.2">
      <c r="A762" s="6">
        <v>760</v>
      </c>
    </row>
    <row r="763" spans="1:1" x14ac:dyDescent="0.2">
      <c r="A763" s="6">
        <v>761</v>
      </c>
    </row>
    <row r="764" spans="1:1" x14ac:dyDescent="0.2">
      <c r="A764" s="6">
        <v>762</v>
      </c>
    </row>
    <row r="765" spans="1:1" x14ac:dyDescent="0.2">
      <c r="A765" s="6">
        <v>763</v>
      </c>
    </row>
    <row r="766" spans="1:1" x14ac:dyDescent="0.2">
      <c r="A766" s="6">
        <v>764</v>
      </c>
    </row>
    <row r="767" spans="1:1" x14ac:dyDescent="0.2">
      <c r="A767" s="6">
        <v>765</v>
      </c>
    </row>
    <row r="768" spans="1:1" x14ac:dyDescent="0.2">
      <c r="A768" s="6">
        <v>766</v>
      </c>
    </row>
    <row r="769" spans="1:1" x14ac:dyDescent="0.2">
      <c r="A769" s="6">
        <v>767</v>
      </c>
    </row>
    <row r="770" spans="1:1" x14ac:dyDescent="0.2">
      <c r="A770" s="6">
        <v>768</v>
      </c>
    </row>
    <row r="771" spans="1:1" x14ac:dyDescent="0.2">
      <c r="A771" s="6">
        <v>769</v>
      </c>
    </row>
    <row r="772" spans="1:1" x14ac:dyDescent="0.2">
      <c r="A772" s="6">
        <v>770</v>
      </c>
    </row>
    <row r="773" spans="1:1" x14ac:dyDescent="0.2">
      <c r="A773" s="6">
        <v>771</v>
      </c>
    </row>
    <row r="774" spans="1:1" x14ac:dyDescent="0.2">
      <c r="A774" s="6">
        <v>772</v>
      </c>
    </row>
    <row r="775" spans="1:1" x14ac:dyDescent="0.2">
      <c r="A775" s="6">
        <v>773</v>
      </c>
    </row>
    <row r="776" spans="1:1" x14ac:dyDescent="0.2">
      <c r="A776" s="6">
        <v>774</v>
      </c>
    </row>
    <row r="777" spans="1:1" x14ac:dyDescent="0.2">
      <c r="A777" s="6">
        <v>775</v>
      </c>
    </row>
    <row r="778" spans="1:1" x14ac:dyDescent="0.2">
      <c r="A778" s="6">
        <v>776</v>
      </c>
    </row>
    <row r="779" spans="1:1" x14ac:dyDescent="0.2">
      <c r="A779" s="6">
        <v>777</v>
      </c>
    </row>
    <row r="780" spans="1:1" x14ac:dyDescent="0.2">
      <c r="A780" s="6">
        <v>778</v>
      </c>
    </row>
    <row r="781" spans="1:1" x14ac:dyDescent="0.2">
      <c r="A781" s="6">
        <v>779</v>
      </c>
    </row>
    <row r="782" spans="1:1" x14ac:dyDescent="0.2">
      <c r="A782" s="6">
        <v>780</v>
      </c>
    </row>
    <row r="783" spans="1:1" x14ac:dyDescent="0.2">
      <c r="A783" s="6">
        <v>781</v>
      </c>
    </row>
    <row r="784" spans="1:1" x14ac:dyDescent="0.2">
      <c r="A784" s="6">
        <v>782</v>
      </c>
    </row>
    <row r="785" spans="1:1" x14ac:dyDescent="0.2">
      <c r="A785" s="6">
        <v>783</v>
      </c>
    </row>
    <row r="786" spans="1:1" x14ac:dyDescent="0.2">
      <c r="A786" s="6">
        <v>784</v>
      </c>
    </row>
    <row r="787" spans="1:1" x14ac:dyDescent="0.2">
      <c r="A787" s="6">
        <v>785</v>
      </c>
    </row>
    <row r="788" spans="1:1" x14ac:dyDescent="0.2">
      <c r="A788" s="6">
        <v>786</v>
      </c>
    </row>
    <row r="789" spans="1:1" x14ac:dyDescent="0.2">
      <c r="A789" s="6">
        <v>787</v>
      </c>
    </row>
    <row r="790" spans="1:1" x14ac:dyDescent="0.2">
      <c r="A790" s="6">
        <v>788</v>
      </c>
    </row>
    <row r="791" spans="1:1" x14ac:dyDescent="0.2">
      <c r="A791" s="6">
        <v>789</v>
      </c>
    </row>
    <row r="792" spans="1:1" x14ac:dyDescent="0.2">
      <c r="A792" s="6">
        <v>790</v>
      </c>
    </row>
    <row r="793" spans="1:1" x14ac:dyDescent="0.2">
      <c r="A793" s="6">
        <v>791</v>
      </c>
    </row>
    <row r="794" spans="1:1" x14ac:dyDescent="0.2">
      <c r="A794" s="6">
        <v>792</v>
      </c>
    </row>
    <row r="795" spans="1:1" x14ac:dyDescent="0.2">
      <c r="A795" s="6">
        <v>793</v>
      </c>
    </row>
    <row r="796" spans="1:1" x14ac:dyDescent="0.2">
      <c r="A796" s="6">
        <v>794</v>
      </c>
    </row>
    <row r="797" spans="1:1" x14ac:dyDescent="0.2">
      <c r="A797" s="6">
        <v>795</v>
      </c>
    </row>
    <row r="798" spans="1:1" x14ac:dyDescent="0.2">
      <c r="A798" s="6">
        <v>796</v>
      </c>
    </row>
    <row r="799" spans="1:1" x14ac:dyDescent="0.2">
      <c r="A799" s="6">
        <v>797</v>
      </c>
    </row>
    <row r="800" spans="1:1" x14ac:dyDescent="0.2">
      <c r="A800" s="6">
        <v>798</v>
      </c>
    </row>
    <row r="801" spans="1:1" x14ac:dyDescent="0.2">
      <c r="A801" s="6">
        <v>799</v>
      </c>
    </row>
    <row r="802" spans="1:1" x14ac:dyDescent="0.2">
      <c r="A802" s="6">
        <v>800</v>
      </c>
    </row>
    <row r="803" spans="1:1" x14ac:dyDescent="0.2">
      <c r="A803" s="6">
        <v>801</v>
      </c>
    </row>
    <row r="804" spans="1:1" x14ac:dyDescent="0.2">
      <c r="A804" s="6">
        <v>802</v>
      </c>
    </row>
    <row r="805" spans="1:1" x14ac:dyDescent="0.2">
      <c r="A805" s="6">
        <v>803</v>
      </c>
    </row>
    <row r="806" spans="1:1" x14ac:dyDescent="0.2">
      <c r="A806" s="6">
        <v>804</v>
      </c>
    </row>
    <row r="807" spans="1:1" x14ac:dyDescent="0.2">
      <c r="A807" s="6">
        <v>805</v>
      </c>
    </row>
    <row r="808" spans="1:1" x14ac:dyDescent="0.2">
      <c r="A808" s="6">
        <v>806</v>
      </c>
    </row>
    <row r="809" spans="1:1" x14ac:dyDescent="0.2">
      <c r="A809" s="6">
        <v>807</v>
      </c>
    </row>
    <row r="810" spans="1:1" x14ac:dyDescent="0.2">
      <c r="A810" s="6">
        <v>808</v>
      </c>
    </row>
    <row r="811" spans="1:1" x14ac:dyDescent="0.2">
      <c r="A811" s="6">
        <v>809</v>
      </c>
    </row>
    <row r="812" spans="1:1" x14ac:dyDescent="0.2">
      <c r="A812" s="6">
        <v>810</v>
      </c>
    </row>
    <row r="813" spans="1:1" x14ac:dyDescent="0.2">
      <c r="A813" s="6">
        <v>811</v>
      </c>
    </row>
    <row r="814" spans="1:1" x14ac:dyDescent="0.2">
      <c r="A814" s="6">
        <v>812</v>
      </c>
    </row>
    <row r="815" spans="1:1" x14ac:dyDescent="0.2">
      <c r="A815" s="6">
        <v>813</v>
      </c>
    </row>
    <row r="816" spans="1:1" x14ac:dyDescent="0.2">
      <c r="A816" s="6">
        <v>814</v>
      </c>
    </row>
    <row r="817" spans="1:1" x14ac:dyDescent="0.2">
      <c r="A817" s="6">
        <v>815</v>
      </c>
    </row>
    <row r="818" spans="1:1" x14ac:dyDescent="0.2">
      <c r="A818" s="6">
        <v>816</v>
      </c>
    </row>
    <row r="819" spans="1:1" x14ac:dyDescent="0.2">
      <c r="A819" s="6">
        <v>817</v>
      </c>
    </row>
    <row r="820" spans="1:1" x14ac:dyDescent="0.2">
      <c r="A820" s="6">
        <v>818</v>
      </c>
    </row>
    <row r="821" spans="1:1" x14ac:dyDescent="0.2">
      <c r="A821" s="6">
        <v>819</v>
      </c>
    </row>
    <row r="822" spans="1:1" x14ac:dyDescent="0.2">
      <c r="A822" s="6">
        <v>820</v>
      </c>
    </row>
    <row r="823" spans="1:1" x14ac:dyDescent="0.2">
      <c r="A823" s="6">
        <v>821</v>
      </c>
    </row>
    <row r="824" spans="1:1" x14ac:dyDescent="0.2">
      <c r="A824" s="6">
        <v>822</v>
      </c>
    </row>
    <row r="825" spans="1:1" x14ac:dyDescent="0.2">
      <c r="A825" s="6">
        <v>823</v>
      </c>
    </row>
    <row r="826" spans="1:1" x14ac:dyDescent="0.2">
      <c r="A826" s="6">
        <v>824</v>
      </c>
    </row>
    <row r="827" spans="1:1" x14ac:dyDescent="0.2">
      <c r="A827" s="6">
        <v>825</v>
      </c>
    </row>
    <row r="828" spans="1:1" x14ac:dyDescent="0.2">
      <c r="A828" s="6">
        <v>826</v>
      </c>
    </row>
    <row r="829" spans="1:1" x14ac:dyDescent="0.2">
      <c r="A829" s="6">
        <v>827</v>
      </c>
    </row>
    <row r="830" spans="1:1" x14ac:dyDescent="0.2">
      <c r="A830" s="6">
        <v>828</v>
      </c>
    </row>
    <row r="831" spans="1:1" x14ac:dyDescent="0.2">
      <c r="A831" s="6">
        <v>829</v>
      </c>
    </row>
    <row r="832" spans="1:1" x14ac:dyDescent="0.2">
      <c r="A832" s="6">
        <v>830</v>
      </c>
    </row>
    <row r="833" spans="1:1" x14ac:dyDescent="0.2">
      <c r="A833" s="6">
        <v>831</v>
      </c>
    </row>
    <row r="834" spans="1:1" x14ac:dyDescent="0.2">
      <c r="A834" s="6">
        <v>832</v>
      </c>
    </row>
    <row r="835" spans="1:1" x14ac:dyDescent="0.2">
      <c r="A835" s="6">
        <v>833</v>
      </c>
    </row>
    <row r="836" spans="1:1" x14ac:dyDescent="0.2">
      <c r="A836" s="6">
        <v>834</v>
      </c>
    </row>
    <row r="837" spans="1:1" x14ac:dyDescent="0.2">
      <c r="A837" s="6">
        <v>835</v>
      </c>
    </row>
    <row r="838" spans="1:1" x14ac:dyDescent="0.2">
      <c r="A838" s="6">
        <v>836</v>
      </c>
    </row>
    <row r="839" spans="1:1" x14ac:dyDescent="0.2">
      <c r="A839" s="6">
        <v>837</v>
      </c>
    </row>
    <row r="840" spans="1:1" x14ac:dyDescent="0.2">
      <c r="A840" s="6">
        <v>838</v>
      </c>
    </row>
    <row r="841" spans="1:1" x14ac:dyDescent="0.2">
      <c r="A841" s="6">
        <v>839</v>
      </c>
    </row>
    <row r="842" spans="1:1" x14ac:dyDescent="0.2">
      <c r="A842" s="6">
        <v>840</v>
      </c>
    </row>
    <row r="843" spans="1:1" x14ac:dyDescent="0.2">
      <c r="A843" s="6">
        <v>841</v>
      </c>
    </row>
    <row r="844" spans="1:1" x14ac:dyDescent="0.2">
      <c r="A844" s="6">
        <v>842</v>
      </c>
    </row>
    <row r="845" spans="1:1" x14ac:dyDescent="0.2">
      <c r="A845" s="6">
        <v>843</v>
      </c>
    </row>
    <row r="846" spans="1:1" x14ac:dyDescent="0.2">
      <c r="A846" s="6">
        <v>844</v>
      </c>
    </row>
    <row r="847" spans="1:1" x14ac:dyDescent="0.2">
      <c r="A847" s="6">
        <v>845</v>
      </c>
    </row>
    <row r="848" spans="1:1" x14ac:dyDescent="0.2">
      <c r="A848" s="6">
        <v>846</v>
      </c>
    </row>
    <row r="849" spans="1:1" x14ac:dyDescent="0.2">
      <c r="A849" s="6">
        <v>847</v>
      </c>
    </row>
    <row r="850" spans="1:1" x14ac:dyDescent="0.2">
      <c r="A850" s="6">
        <v>848</v>
      </c>
    </row>
    <row r="851" spans="1:1" x14ac:dyDescent="0.2">
      <c r="A851" s="6">
        <v>849</v>
      </c>
    </row>
    <row r="852" spans="1:1" x14ac:dyDescent="0.2">
      <c r="A852" s="6">
        <v>850</v>
      </c>
    </row>
    <row r="853" spans="1:1" x14ac:dyDescent="0.2">
      <c r="A853" s="6">
        <v>851</v>
      </c>
    </row>
    <row r="854" spans="1:1" x14ac:dyDescent="0.2">
      <c r="A854" s="6">
        <v>852</v>
      </c>
    </row>
    <row r="855" spans="1:1" x14ac:dyDescent="0.2">
      <c r="A855" s="6">
        <v>853</v>
      </c>
    </row>
    <row r="856" spans="1:1" x14ac:dyDescent="0.2">
      <c r="A856" s="6">
        <v>854</v>
      </c>
    </row>
    <row r="857" spans="1:1" x14ac:dyDescent="0.2">
      <c r="A857" s="6">
        <v>855</v>
      </c>
    </row>
    <row r="858" spans="1:1" x14ac:dyDescent="0.2">
      <c r="A858" s="6">
        <v>856</v>
      </c>
    </row>
    <row r="859" spans="1:1" x14ac:dyDescent="0.2">
      <c r="A859" s="6">
        <v>857</v>
      </c>
    </row>
    <row r="860" spans="1:1" x14ac:dyDescent="0.2">
      <c r="A860" s="6">
        <v>858</v>
      </c>
    </row>
    <row r="861" spans="1:1" x14ac:dyDescent="0.2">
      <c r="A861" s="6">
        <v>859</v>
      </c>
    </row>
    <row r="862" spans="1:1" x14ac:dyDescent="0.2">
      <c r="A862" s="6">
        <v>860</v>
      </c>
    </row>
    <row r="863" spans="1:1" x14ac:dyDescent="0.2">
      <c r="A863" s="6">
        <v>861</v>
      </c>
    </row>
    <row r="864" spans="1:1" x14ac:dyDescent="0.2">
      <c r="A864" s="6">
        <v>862</v>
      </c>
    </row>
    <row r="865" spans="1:1" x14ac:dyDescent="0.2">
      <c r="A865" s="6">
        <v>863</v>
      </c>
    </row>
    <row r="866" spans="1:1" x14ac:dyDescent="0.2">
      <c r="A866" s="6">
        <v>864</v>
      </c>
    </row>
    <row r="867" spans="1:1" x14ac:dyDescent="0.2">
      <c r="A867" s="6">
        <v>865</v>
      </c>
    </row>
    <row r="868" spans="1:1" x14ac:dyDescent="0.2">
      <c r="A868" s="6">
        <v>866</v>
      </c>
    </row>
    <row r="869" spans="1:1" x14ac:dyDescent="0.2">
      <c r="A869" s="6">
        <v>867</v>
      </c>
    </row>
    <row r="870" spans="1:1" x14ac:dyDescent="0.2">
      <c r="A870" s="6">
        <v>868</v>
      </c>
    </row>
    <row r="871" spans="1:1" x14ac:dyDescent="0.2">
      <c r="A871" s="6">
        <v>869</v>
      </c>
    </row>
    <row r="872" spans="1:1" x14ac:dyDescent="0.2">
      <c r="A872" s="6">
        <v>870</v>
      </c>
    </row>
    <row r="873" spans="1:1" x14ac:dyDescent="0.2">
      <c r="A873" s="6">
        <v>871</v>
      </c>
    </row>
    <row r="874" spans="1:1" x14ac:dyDescent="0.2">
      <c r="A874" s="6">
        <v>872</v>
      </c>
    </row>
    <row r="875" spans="1:1" x14ac:dyDescent="0.2">
      <c r="A875" s="6">
        <v>873</v>
      </c>
    </row>
    <row r="876" spans="1:1" x14ac:dyDescent="0.2">
      <c r="A876" s="6">
        <v>874</v>
      </c>
    </row>
    <row r="877" spans="1:1" x14ac:dyDescent="0.2">
      <c r="A877" s="6">
        <v>875</v>
      </c>
    </row>
    <row r="878" spans="1:1" x14ac:dyDescent="0.2">
      <c r="A878" s="6">
        <v>876</v>
      </c>
    </row>
    <row r="879" spans="1:1" x14ac:dyDescent="0.2">
      <c r="A879" s="6">
        <v>877</v>
      </c>
    </row>
    <row r="880" spans="1:1" x14ac:dyDescent="0.2">
      <c r="A880" s="6">
        <v>878</v>
      </c>
    </row>
    <row r="881" spans="1:1" x14ac:dyDescent="0.2">
      <c r="A881" s="6">
        <v>879</v>
      </c>
    </row>
    <row r="882" spans="1:1" x14ac:dyDescent="0.2">
      <c r="A882" s="6">
        <v>880</v>
      </c>
    </row>
    <row r="883" spans="1:1" x14ac:dyDescent="0.2">
      <c r="A883" s="6">
        <v>881</v>
      </c>
    </row>
    <row r="884" spans="1:1" x14ac:dyDescent="0.2">
      <c r="A884" s="6">
        <v>882</v>
      </c>
    </row>
    <row r="885" spans="1:1" x14ac:dyDescent="0.2">
      <c r="A885" s="6">
        <v>883</v>
      </c>
    </row>
    <row r="886" spans="1:1" x14ac:dyDescent="0.2">
      <c r="A886" s="6">
        <v>884</v>
      </c>
    </row>
    <row r="887" spans="1:1" x14ac:dyDescent="0.2">
      <c r="A887" s="6">
        <v>885</v>
      </c>
    </row>
    <row r="888" spans="1:1" x14ac:dyDescent="0.2">
      <c r="A888" s="6">
        <v>886</v>
      </c>
    </row>
    <row r="889" spans="1:1" x14ac:dyDescent="0.2">
      <c r="A889" s="6">
        <v>887</v>
      </c>
    </row>
    <row r="890" spans="1:1" x14ac:dyDescent="0.2">
      <c r="A890" s="6">
        <v>888</v>
      </c>
    </row>
    <row r="891" spans="1:1" x14ac:dyDescent="0.2">
      <c r="A891" s="6">
        <v>889</v>
      </c>
    </row>
    <row r="892" spans="1:1" x14ac:dyDescent="0.2">
      <c r="A892" s="6">
        <v>890</v>
      </c>
    </row>
    <row r="893" spans="1:1" x14ac:dyDescent="0.2">
      <c r="A893" s="6">
        <v>891</v>
      </c>
    </row>
    <row r="894" spans="1:1" x14ac:dyDescent="0.2">
      <c r="A894" s="6">
        <v>892</v>
      </c>
    </row>
    <row r="895" spans="1:1" x14ac:dyDescent="0.2">
      <c r="A895" s="6">
        <v>893</v>
      </c>
    </row>
    <row r="896" spans="1:1" x14ac:dyDescent="0.2">
      <c r="A896" s="6">
        <v>894</v>
      </c>
    </row>
    <row r="897" spans="1:1" x14ac:dyDescent="0.2">
      <c r="A897" s="6">
        <v>895</v>
      </c>
    </row>
    <row r="898" spans="1:1" x14ac:dyDescent="0.2">
      <c r="A898" s="6">
        <v>896</v>
      </c>
    </row>
    <row r="899" spans="1:1" x14ac:dyDescent="0.2">
      <c r="A899" s="6">
        <v>897</v>
      </c>
    </row>
    <row r="900" spans="1:1" x14ac:dyDescent="0.2">
      <c r="A900" s="6">
        <v>898</v>
      </c>
    </row>
    <row r="901" spans="1:1" x14ac:dyDescent="0.2">
      <c r="A901" s="6">
        <v>899</v>
      </c>
    </row>
    <row r="902" spans="1:1" x14ac:dyDescent="0.2">
      <c r="A902" s="6">
        <v>900</v>
      </c>
    </row>
    <row r="903" spans="1:1" x14ac:dyDescent="0.2">
      <c r="A903" s="6">
        <v>901</v>
      </c>
    </row>
    <row r="904" spans="1:1" x14ac:dyDescent="0.2">
      <c r="A904" s="6">
        <v>902</v>
      </c>
    </row>
    <row r="905" spans="1:1" x14ac:dyDescent="0.2">
      <c r="A905" s="6">
        <v>903</v>
      </c>
    </row>
    <row r="906" spans="1:1" x14ac:dyDescent="0.2">
      <c r="A906" s="6">
        <v>904</v>
      </c>
    </row>
    <row r="907" spans="1:1" x14ac:dyDescent="0.2">
      <c r="A907" s="6">
        <v>905</v>
      </c>
    </row>
    <row r="908" spans="1:1" x14ac:dyDescent="0.2">
      <c r="A908" s="6">
        <v>906</v>
      </c>
    </row>
    <row r="909" spans="1:1" x14ac:dyDescent="0.2">
      <c r="A909" s="6">
        <v>907</v>
      </c>
    </row>
    <row r="910" spans="1:1" x14ac:dyDescent="0.2">
      <c r="A910" s="6">
        <v>908</v>
      </c>
    </row>
    <row r="911" spans="1:1" x14ac:dyDescent="0.2">
      <c r="A911" s="6">
        <v>909</v>
      </c>
    </row>
    <row r="912" spans="1:1" x14ac:dyDescent="0.2">
      <c r="A912" s="6">
        <v>910</v>
      </c>
    </row>
    <row r="913" spans="1:1" x14ac:dyDescent="0.2">
      <c r="A913" s="6">
        <v>911</v>
      </c>
    </row>
    <row r="914" spans="1:1" x14ac:dyDescent="0.2">
      <c r="A914" s="6">
        <v>912</v>
      </c>
    </row>
    <row r="915" spans="1:1" x14ac:dyDescent="0.2">
      <c r="A915" s="6">
        <v>913</v>
      </c>
    </row>
    <row r="916" spans="1:1" x14ac:dyDescent="0.2">
      <c r="A916" s="6">
        <v>914</v>
      </c>
    </row>
    <row r="917" spans="1:1" x14ac:dyDescent="0.2">
      <c r="A917" s="6">
        <v>915</v>
      </c>
    </row>
    <row r="918" spans="1:1" x14ac:dyDescent="0.2">
      <c r="A918" s="6">
        <v>916</v>
      </c>
    </row>
    <row r="919" spans="1:1" x14ac:dyDescent="0.2">
      <c r="A919" s="6">
        <v>917</v>
      </c>
    </row>
    <row r="920" spans="1:1" x14ac:dyDescent="0.2">
      <c r="A920" s="6">
        <v>918</v>
      </c>
    </row>
    <row r="921" spans="1:1" x14ac:dyDescent="0.2">
      <c r="A921" s="6">
        <v>919</v>
      </c>
    </row>
    <row r="922" spans="1:1" x14ac:dyDescent="0.2">
      <c r="A922" s="6">
        <v>920</v>
      </c>
    </row>
    <row r="923" spans="1:1" x14ac:dyDescent="0.2">
      <c r="A923" s="6">
        <v>921</v>
      </c>
    </row>
    <row r="924" spans="1:1" x14ac:dyDescent="0.2">
      <c r="A924" s="6">
        <v>922</v>
      </c>
    </row>
    <row r="925" spans="1:1" x14ac:dyDescent="0.2">
      <c r="A925" s="6">
        <v>923</v>
      </c>
    </row>
    <row r="926" spans="1:1" x14ac:dyDescent="0.2">
      <c r="A926" s="6">
        <v>924</v>
      </c>
    </row>
    <row r="927" spans="1:1" x14ac:dyDescent="0.2">
      <c r="A927" s="6">
        <v>925</v>
      </c>
    </row>
    <row r="928" spans="1:1" x14ac:dyDescent="0.2">
      <c r="A928" s="6">
        <v>926</v>
      </c>
    </row>
    <row r="929" spans="1:1" x14ac:dyDescent="0.2">
      <c r="A929" s="6">
        <v>927</v>
      </c>
    </row>
    <row r="930" spans="1:1" x14ac:dyDescent="0.2">
      <c r="A930" s="6">
        <v>928</v>
      </c>
    </row>
    <row r="931" spans="1:1" x14ac:dyDescent="0.2">
      <c r="A931" s="6">
        <v>929</v>
      </c>
    </row>
    <row r="932" spans="1:1" x14ac:dyDescent="0.2">
      <c r="A932" s="6">
        <v>930</v>
      </c>
    </row>
    <row r="933" spans="1:1" x14ac:dyDescent="0.2">
      <c r="A933" s="6">
        <v>931</v>
      </c>
    </row>
    <row r="934" spans="1:1" x14ac:dyDescent="0.2">
      <c r="A934" s="6">
        <v>932</v>
      </c>
    </row>
    <row r="935" spans="1:1" x14ac:dyDescent="0.2">
      <c r="A935" s="6">
        <v>933</v>
      </c>
    </row>
    <row r="936" spans="1:1" x14ac:dyDescent="0.2">
      <c r="A936" s="6">
        <v>934</v>
      </c>
    </row>
    <row r="937" spans="1:1" x14ac:dyDescent="0.2">
      <c r="A937" s="6">
        <v>935</v>
      </c>
    </row>
    <row r="938" spans="1:1" x14ac:dyDescent="0.2">
      <c r="A938" s="6">
        <v>936</v>
      </c>
    </row>
    <row r="939" spans="1:1" x14ac:dyDescent="0.2">
      <c r="A939" s="6">
        <v>937</v>
      </c>
    </row>
    <row r="940" spans="1:1" x14ac:dyDescent="0.2">
      <c r="A940" s="6">
        <v>938</v>
      </c>
    </row>
    <row r="941" spans="1:1" x14ac:dyDescent="0.2">
      <c r="A941" s="6">
        <v>939</v>
      </c>
    </row>
    <row r="942" spans="1:1" x14ac:dyDescent="0.2">
      <c r="A942" s="6">
        <v>940</v>
      </c>
    </row>
    <row r="943" spans="1:1" x14ac:dyDescent="0.2">
      <c r="A943" s="6">
        <v>941</v>
      </c>
    </row>
    <row r="944" spans="1:1" x14ac:dyDescent="0.2">
      <c r="A944" s="6">
        <v>942</v>
      </c>
    </row>
    <row r="945" spans="1:1" x14ac:dyDescent="0.2">
      <c r="A945" s="6">
        <v>943</v>
      </c>
    </row>
    <row r="946" spans="1:1" x14ac:dyDescent="0.2">
      <c r="A946" s="6">
        <v>944</v>
      </c>
    </row>
    <row r="947" spans="1:1" x14ac:dyDescent="0.2">
      <c r="A947" s="6">
        <v>945</v>
      </c>
    </row>
    <row r="948" spans="1:1" x14ac:dyDescent="0.2">
      <c r="A948" s="6">
        <v>946</v>
      </c>
    </row>
    <row r="949" spans="1:1" x14ac:dyDescent="0.2">
      <c r="A949" s="6">
        <v>947</v>
      </c>
    </row>
    <row r="950" spans="1:1" x14ac:dyDescent="0.2">
      <c r="A950" s="6">
        <v>948</v>
      </c>
    </row>
    <row r="951" spans="1:1" x14ac:dyDescent="0.2">
      <c r="A951" s="6">
        <v>949</v>
      </c>
    </row>
    <row r="952" spans="1:1" x14ac:dyDescent="0.2">
      <c r="A952" s="6">
        <v>950</v>
      </c>
    </row>
    <row r="953" spans="1:1" x14ac:dyDescent="0.2">
      <c r="A953" s="6">
        <v>951</v>
      </c>
    </row>
    <row r="954" spans="1:1" x14ac:dyDescent="0.2">
      <c r="A954" s="6">
        <v>952</v>
      </c>
    </row>
    <row r="955" spans="1:1" x14ac:dyDescent="0.2">
      <c r="A955" s="6">
        <v>953</v>
      </c>
    </row>
    <row r="956" spans="1:1" x14ac:dyDescent="0.2">
      <c r="A956" s="6">
        <v>954</v>
      </c>
    </row>
    <row r="957" spans="1:1" x14ac:dyDescent="0.2">
      <c r="A957" s="6">
        <v>955</v>
      </c>
    </row>
    <row r="958" spans="1:1" x14ac:dyDescent="0.2">
      <c r="A958" s="6">
        <v>956</v>
      </c>
    </row>
    <row r="959" spans="1:1" x14ac:dyDescent="0.2">
      <c r="A959" s="6">
        <v>957</v>
      </c>
    </row>
    <row r="960" spans="1:1" x14ac:dyDescent="0.2">
      <c r="A960" s="6">
        <v>958</v>
      </c>
    </row>
    <row r="961" spans="1:1" x14ac:dyDescent="0.2">
      <c r="A961" s="6">
        <v>959</v>
      </c>
    </row>
    <row r="962" spans="1:1" x14ac:dyDescent="0.2">
      <c r="A962" s="6">
        <v>960</v>
      </c>
    </row>
    <row r="963" spans="1:1" x14ac:dyDescent="0.2">
      <c r="A963" s="6">
        <v>961</v>
      </c>
    </row>
    <row r="964" spans="1:1" x14ac:dyDescent="0.2">
      <c r="A964" s="6">
        <v>962</v>
      </c>
    </row>
    <row r="965" spans="1:1" x14ac:dyDescent="0.2">
      <c r="A965" s="6">
        <v>963</v>
      </c>
    </row>
    <row r="966" spans="1:1" x14ac:dyDescent="0.2">
      <c r="A966" s="6">
        <v>964</v>
      </c>
    </row>
    <row r="967" spans="1:1" x14ac:dyDescent="0.2">
      <c r="A967" s="6">
        <v>965</v>
      </c>
    </row>
    <row r="968" spans="1:1" x14ac:dyDescent="0.2">
      <c r="A968" s="6">
        <v>966</v>
      </c>
    </row>
    <row r="969" spans="1:1" x14ac:dyDescent="0.2">
      <c r="A969" s="6">
        <v>967</v>
      </c>
    </row>
    <row r="970" spans="1:1" x14ac:dyDescent="0.2">
      <c r="A970" s="6">
        <v>968</v>
      </c>
    </row>
    <row r="971" spans="1:1" x14ac:dyDescent="0.2">
      <c r="A971" s="6">
        <v>969</v>
      </c>
    </row>
    <row r="972" spans="1:1" x14ac:dyDescent="0.2">
      <c r="A972" s="6">
        <v>970</v>
      </c>
    </row>
    <row r="973" spans="1:1" x14ac:dyDescent="0.2">
      <c r="A973" s="6">
        <v>971</v>
      </c>
    </row>
    <row r="974" spans="1:1" x14ac:dyDescent="0.2">
      <c r="A974" s="6">
        <v>972</v>
      </c>
    </row>
    <row r="975" spans="1:1" x14ac:dyDescent="0.2">
      <c r="A975" s="6">
        <v>973</v>
      </c>
    </row>
    <row r="976" spans="1:1" x14ac:dyDescent="0.2">
      <c r="A976" s="6">
        <v>974</v>
      </c>
    </row>
    <row r="977" spans="1:1" x14ac:dyDescent="0.2">
      <c r="A977" s="6">
        <v>975</v>
      </c>
    </row>
    <row r="978" spans="1:1" x14ac:dyDescent="0.2">
      <c r="A978" s="6">
        <v>976</v>
      </c>
    </row>
    <row r="979" spans="1:1" x14ac:dyDescent="0.2">
      <c r="A979" s="6">
        <v>977</v>
      </c>
    </row>
    <row r="980" spans="1:1" x14ac:dyDescent="0.2">
      <c r="A980" s="6">
        <v>978</v>
      </c>
    </row>
    <row r="981" spans="1:1" x14ac:dyDescent="0.2">
      <c r="A981" s="6">
        <v>979</v>
      </c>
    </row>
    <row r="982" spans="1:1" x14ac:dyDescent="0.2">
      <c r="A982" s="6">
        <v>980</v>
      </c>
    </row>
    <row r="983" spans="1:1" x14ac:dyDescent="0.2">
      <c r="A983" s="6">
        <v>981</v>
      </c>
    </row>
    <row r="984" spans="1:1" x14ac:dyDescent="0.2">
      <c r="A984" s="6">
        <v>982</v>
      </c>
    </row>
    <row r="985" spans="1:1" x14ac:dyDescent="0.2">
      <c r="A985" s="6">
        <v>983</v>
      </c>
    </row>
    <row r="986" spans="1:1" x14ac:dyDescent="0.2">
      <c r="A986" s="6">
        <v>984</v>
      </c>
    </row>
    <row r="987" spans="1:1" x14ac:dyDescent="0.2">
      <c r="A987" s="6">
        <v>985</v>
      </c>
    </row>
    <row r="988" spans="1:1" x14ac:dyDescent="0.2">
      <c r="A988" s="6">
        <v>986</v>
      </c>
    </row>
    <row r="989" spans="1:1" x14ac:dyDescent="0.2">
      <c r="A989" s="6">
        <v>987</v>
      </c>
    </row>
    <row r="990" spans="1:1" x14ac:dyDescent="0.2">
      <c r="A990" s="6">
        <v>988</v>
      </c>
    </row>
    <row r="991" spans="1:1" x14ac:dyDescent="0.2">
      <c r="A991" s="6">
        <v>989</v>
      </c>
    </row>
    <row r="992" spans="1:1" x14ac:dyDescent="0.2">
      <c r="A992" s="6">
        <v>990</v>
      </c>
    </row>
    <row r="993" spans="1:1" x14ac:dyDescent="0.2">
      <c r="A993" s="6">
        <v>991</v>
      </c>
    </row>
    <row r="994" spans="1:1" x14ac:dyDescent="0.2">
      <c r="A994" s="6">
        <v>992</v>
      </c>
    </row>
    <row r="995" spans="1:1" x14ac:dyDescent="0.2">
      <c r="A995" s="6">
        <v>993</v>
      </c>
    </row>
    <row r="996" spans="1:1" x14ac:dyDescent="0.2">
      <c r="A996" s="6">
        <v>994</v>
      </c>
    </row>
    <row r="997" spans="1:1" x14ac:dyDescent="0.2">
      <c r="A997" s="6">
        <v>995</v>
      </c>
    </row>
    <row r="998" spans="1:1" x14ac:dyDescent="0.2">
      <c r="A998" s="6">
        <v>996</v>
      </c>
    </row>
    <row r="999" spans="1:1" x14ac:dyDescent="0.2">
      <c r="A999" s="6">
        <v>997</v>
      </c>
    </row>
    <row r="1000" spans="1:1" x14ac:dyDescent="0.2">
      <c r="A1000" s="6">
        <v>998</v>
      </c>
    </row>
    <row r="1001" spans="1:1" x14ac:dyDescent="0.2">
      <c r="A1001" s="6">
        <v>999</v>
      </c>
    </row>
    <row r="1002" spans="1:1" x14ac:dyDescent="0.2">
      <c r="A1002" s="6">
        <v>1000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45</v>
      </c>
    </row>
    <row r="2" spans="1:4" x14ac:dyDescent="0.25">
      <c r="A2" s="2" t="s">
        <v>46</v>
      </c>
      <c r="B2" s="3"/>
    </row>
    <row r="3" spans="1:4" x14ac:dyDescent="0.25">
      <c r="A3" s="2" t="s">
        <v>47</v>
      </c>
    </row>
    <row r="4" spans="1:4" x14ac:dyDescent="0.25">
      <c r="A4" s="2" t="s">
        <v>48</v>
      </c>
    </row>
    <row r="5" spans="1:4" x14ac:dyDescent="0.25">
      <c r="A5" s="2" t="s">
        <v>49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4"/>
  </cols>
  <sheetData>
    <row r="3" spans="2:4" x14ac:dyDescent="0.3">
      <c r="B3" s="14" t="s">
        <v>50</v>
      </c>
    </row>
    <row r="4" spans="2:4" x14ac:dyDescent="0.3">
      <c r="C4" s="14" t="s">
        <v>51</v>
      </c>
    </row>
    <row r="5" spans="2:4" x14ac:dyDescent="0.3">
      <c r="D5" s="15" t="s">
        <v>52</v>
      </c>
    </row>
    <row r="6" spans="2:4" x14ac:dyDescent="0.3">
      <c r="D6" s="15" t="s">
        <v>53</v>
      </c>
    </row>
    <row r="7" spans="2:4" x14ac:dyDescent="0.3">
      <c r="D7" s="15" t="s">
        <v>54</v>
      </c>
    </row>
    <row r="8" spans="2:4" x14ac:dyDescent="0.3">
      <c r="C8" s="14" t="s">
        <v>55</v>
      </c>
    </row>
    <row r="9" spans="2:4" x14ac:dyDescent="0.3">
      <c r="D9" s="15" t="s">
        <v>56</v>
      </c>
    </row>
    <row r="10" spans="2:4" x14ac:dyDescent="0.3">
      <c r="D10" s="15" t="s">
        <v>57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16"/>
  </cols>
  <sheetData>
    <row r="1" spans="1:6" x14ac:dyDescent="0.2">
      <c r="B1" s="16" t="s">
        <v>63</v>
      </c>
      <c r="C1" s="16" t="s">
        <v>64</v>
      </c>
      <c r="D1" s="16" t="s">
        <v>65</v>
      </c>
      <c r="E1" s="16" t="s">
        <v>66</v>
      </c>
      <c r="F1" s="16" t="s">
        <v>67</v>
      </c>
    </row>
    <row r="2" spans="1:6" x14ac:dyDescent="0.2">
      <c r="A2" s="16">
        <v>1</v>
      </c>
      <c r="B2" s="16">
        <v>5.0999999999999996</v>
      </c>
      <c r="C2" s="16">
        <v>3.5</v>
      </c>
      <c r="D2" s="16">
        <v>1.4</v>
      </c>
      <c r="E2" s="16">
        <v>0.2</v>
      </c>
      <c r="F2" s="16" t="s">
        <v>68</v>
      </c>
    </row>
    <row r="3" spans="1:6" x14ac:dyDescent="0.2">
      <c r="A3" s="16">
        <v>2</v>
      </c>
      <c r="B3" s="16">
        <v>4.9000000000000004</v>
      </c>
      <c r="C3" s="16">
        <v>3</v>
      </c>
      <c r="D3" s="16">
        <v>1.4</v>
      </c>
      <c r="E3" s="16">
        <v>0.2</v>
      </c>
      <c r="F3" s="16" t="s">
        <v>68</v>
      </c>
    </row>
    <row r="4" spans="1:6" x14ac:dyDescent="0.2">
      <c r="A4" s="16">
        <v>3</v>
      </c>
      <c r="B4" s="16">
        <v>4.7</v>
      </c>
      <c r="C4" s="16">
        <v>3.2</v>
      </c>
      <c r="D4" s="16">
        <v>1.3</v>
      </c>
      <c r="E4" s="16">
        <v>0.2</v>
      </c>
      <c r="F4" s="16" t="s">
        <v>68</v>
      </c>
    </row>
    <row r="5" spans="1:6" x14ac:dyDescent="0.2">
      <c r="A5" s="16">
        <v>4</v>
      </c>
      <c r="B5" s="16">
        <v>4.5999999999999996</v>
      </c>
      <c r="C5" s="16">
        <v>3.1</v>
      </c>
      <c r="D5" s="16">
        <v>1.5</v>
      </c>
      <c r="E5" s="16">
        <v>0.2</v>
      </c>
      <c r="F5" s="16" t="s">
        <v>68</v>
      </c>
    </row>
    <row r="6" spans="1:6" x14ac:dyDescent="0.2">
      <c r="A6" s="16">
        <v>5</v>
      </c>
      <c r="B6" s="16">
        <v>5</v>
      </c>
      <c r="C6" s="16">
        <v>3.6</v>
      </c>
      <c r="D6" s="16">
        <v>1.4</v>
      </c>
      <c r="E6" s="16">
        <v>0.2</v>
      </c>
      <c r="F6" s="16" t="s">
        <v>68</v>
      </c>
    </row>
    <row r="7" spans="1:6" x14ac:dyDescent="0.2">
      <c r="A7" s="16">
        <v>6</v>
      </c>
      <c r="B7" s="16">
        <v>5.4</v>
      </c>
      <c r="C7" s="16">
        <v>3.9</v>
      </c>
      <c r="D7" s="16">
        <v>1.7</v>
      </c>
      <c r="E7" s="16">
        <v>0.4</v>
      </c>
      <c r="F7" s="16" t="s">
        <v>68</v>
      </c>
    </row>
    <row r="8" spans="1:6" x14ac:dyDescent="0.2">
      <c r="A8" s="16">
        <v>7</v>
      </c>
      <c r="B8" s="16">
        <v>4.5999999999999996</v>
      </c>
      <c r="C8" s="16">
        <v>3.4</v>
      </c>
      <c r="D8" s="16">
        <v>1.4</v>
      </c>
      <c r="E8" s="16">
        <v>0.3</v>
      </c>
      <c r="F8" s="16" t="s">
        <v>68</v>
      </c>
    </row>
    <row r="9" spans="1:6" x14ac:dyDescent="0.2">
      <c r="A9" s="16">
        <v>8</v>
      </c>
      <c r="B9" s="16">
        <v>5</v>
      </c>
      <c r="C9" s="16">
        <v>3.4</v>
      </c>
      <c r="D9" s="16">
        <v>1.5</v>
      </c>
      <c r="E9" s="16">
        <v>0.2</v>
      </c>
      <c r="F9" s="16" t="s">
        <v>68</v>
      </c>
    </row>
    <row r="10" spans="1:6" x14ac:dyDescent="0.2">
      <c r="A10" s="16">
        <v>9</v>
      </c>
      <c r="B10" s="16">
        <v>4.4000000000000004</v>
      </c>
      <c r="C10" s="16">
        <v>2.9</v>
      </c>
      <c r="D10" s="16">
        <v>1.4</v>
      </c>
      <c r="E10" s="16">
        <v>0.2</v>
      </c>
      <c r="F10" s="16" t="s">
        <v>68</v>
      </c>
    </row>
    <row r="11" spans="1:6" x14ac:dyDescent="0.2">
      <c r="A11" s="16">
        <v>10</v>
      </c>
      <c r="B11" s="16">
        <v>4.9000000000000004</v>
      </c>
      <c r="C11" s="16">
        <v>3.1</v>
      </c>
      <c r="D11" s="16">
        <v>1.5</v>
      </c>
      <c r="E11" s="16">
        <v>0.1</v>
      </c>
      <c r="F11" s="16" t="s">
        <v>68</v>
      </c>
    </row>
    <row r="12" spans="1:6" x14ac:dyDescent="0.2">
      <c r="A12" s="16">
        <v>11</v>
      </c>
      <c r="B12" s="16">
        <v>5.4</v>
      </c>
      <c r="C12" s="16">
        <v>3.7</v>
      </c>
      <c r="D12" s="16">
        <v>1.5</v>
      </c>
      <c r="E12" s="16">
        <v>0.2</v>
      </c>
      <c r="F12" s="16" t="s">
        <v>68</v>
      </c>
    </row>
    <row r="13" spans="1:6" x14ac:dyDescent="0.2">
      <c r="A13" s="16">
        <v>12</v>
      </c>
      <c r="B13" s="16">
        <v>4.8</v>
      </c>
      <c r="C13" s="16">
        <v>3.4</v>
      </c>
      <c r="D13" s="16">
        <v>1.6</v>
      </c>
      <c r="E13" s="16">
        <v>0.2</v>
      </c>
      <c r="F13" s="16" t="s">
        <v>68</v>
      </c>
    </row>
    <row r="14" spans="1:6" x14ac:dyDescent="0.2">
      <c r="A14" s="16">
        <v>13</v>
      </c>
      <c r="B14" s="16">
        <v>4.8</v>
      </c>
      <c r="C14" s="16">
        <v>3</v>
      </c>
      <c r="D14" s="16">
        <v>1.4</v>
      </c>
      <c r="E14" s="16">
        <v>0.1</v>
      </c>
      <c r="F14" s="16" t="s">
        <v>68</v>
      </c>
    </row>
    <row r="15" spans="1:6" x14ac:dyDescent="0.2">
      <c r="A15" s="16">
        <v>14</v>
      </c>
      <c r="B15" s="16">
        <v>4.3</v>
      </c>
      <c r="C15" s="16">
        <v>3</v>
      </c>
      <c r="D15" s="16">
        <v>1.1000000000000001</v>
      </c>
      <c r="E15" s="16">
        <v>0.1</v>
      </c>
      <c r="F15" s="16" t="s">
        <v>68</v>
      </c>
    </row>
    <row r="16" spans="1:6" x14ac:dyDescent="0.2">
      <c r="A16" s="16">
        <v>15</v>
      </c>
      <c r="B16" s="16">
        <v>5.8</v>
      </c>
      <c r="C16" s="16">
        <v>4</v>
      </c>
      <c r="D16" s="16">
        <v>1.2</v>
      </c>
      <c r="E16" s="16">
        <v>0.2</v>
      </c>
      <c r="F16" s="16" t="s">
        <v>68</v>
      </c>
    </row>
    <row r="17" spans="1:6" x14ac:dyDescent="0.2">
      <c r="A17" s="16">
        <v>16</v>
      </c>
      <c r="B17" s="16">
        <v>5.7</v>
      </c>
      <c r="C17" s="16">
        <v>4.4000000000000004</v>
      </c>
      <c r="D17" s="16">
        <v>1.5</v>
      </c>
      <c r="E17" s="16">
        <v>0.4</v>
      </c>
      <c r="F17" s="16" t="s">
        <v>68</v>
      </c>
    </row>
    <row r="18" spans="1:6" x14ac:dyDescent="0.2">
      <c r="A18" s="16">
        <v>17</v>
      </c>
      <c r="B18" s="16">
        <v>5.4</v>
      </c>
      <c r="C18" s="16">
        <v>3.9</v>
      </c>
      <c r="D18" s="16">
        <v>1.3</v>
      </c>
      <c r="E18" s="16">
        <v>0.4</v>
      </c>
      <c r="F18" s="16" t="s">
        <v>68</v>
      </c>
    </row>
    <row r="19" spans="1:6" x14ac:dyDescent="0.2">
      <c r="A19" s="16">
        <v>18</v>
      </c>
      <c r="B19" s="16">
        <v>5.0999999999999996</v>
      </c>
      <c r="C19" s="16">
        <v>3.5</v>
      </c>
      <c r="D19" s="16">
        <v>1.4</v>
      </c>
      <c r="E19" s="16">
        <v>0.3</v>
      </c>
      <c r="F19" s="16" t="s">
        <v>68</v>
      </c>
    </row>
    <row r="20" spans="1:6" x14ac:dyDescent="0.2">
      <c r="A20" s="16">
        <v>19</v>
      </c>
      <c r="B20" s="16">
        <v>5.7</v>
      </c>
      <c r="C20" s="16">
        <v>3.8</v>
      </c>
      <c r="D20" s="16">
        <v>1.7</v>
      </c>
      <c r="E20" s="16">
        <v>0.3</v>
      </c>
      <c r="F20" s="16" t="s">
        <v>68</v>
      </c>
    </row>
    <row r="21" spans="1:6" x14ac:dyDescent="0.2">
      <c r="A21" s="16">
        <v>20</v>
      </c>
      <c r="B21" s="16">
        <v>5.0999999999999996</v>
      </c>
      <c r="C21" s="16">
        <v>3.8</v>
      </c>
      <c r="D21" s="16">
        <v>1.5</v>
      </c>
      <c r="E21" s="16">
        <v>0.3</v>
      </c>
      <c r="F21" s="16" t="s">
        <v>68</v>
      </c>
    </row>
    <row r="22" spans="1:6" x14ac:dyDescent="0.2">
      <c r="A22" s="16">
        <v>21</v>
      </c>
      <c r="B22" s="16">
        <v>5.4</v>
      </c>
      <c r="C22" s="16">
        <v>3.4</v>
      </c>
      <c r="D22" s="16">
        <v>1.7</v>
      </c>
      <c r="E22" s="16">
        <v>0.2</v>
      </c>
      <c r="F22" s="16" t="s">
        <v>68</v>
      </c>
    </row>
    <row r="23" spans="1:6" x14ac:dyDescent="0.2">
      <c r="A23" s="16">
        <v>22</v>
      </c>
      <c r="B23" s="16">
        <v>5.0999999999999996</v>
      </c>
      <c r="C23" s="16">
        <v>3.7</v>
      </c>
      <c r="D23" s="16">
        <v>1.5</v>
      </c>
      <c r="E23" s="16">
        <v>0.4</v>
      </c>
      <c r="F23" s="16" t="s">
        <v>68</v>
      </c>
    </row>
    <row r="24" spans="1:6" x14ac:dyDescent="0.2">
      <c r="A24" s="16">
        <v>23</v>
      </c>
      <c r="B24" s="16">
        <v>4.5999999999999996</v>
      </c>
      <c r="C24" s="16">
        <v>3.6</v>
      </c>
      <c r="D24" s="16">
        <v>1</v>
      </c>
      <c r="E24" s="16">
        <v>0.2</v>
      </c>
      <c r="F24" s="16" t="s">
        <v>68</v>
      </c>
    </row>
    <row r="25" spans="1:6" x14ac:dyDescent="0.2">
      <c r="A25" s="16">
        <v>24</v>
      </c>
      <c r="B25" s="16">
        <v>5.0999999999999996</v>
      </c>
      <c r="C25" s="16">
        <v>3.3</v>
      </c>
      <c r="D25" s="16">
        <v>1.7</v>
      </c>
      <c r="E25" s="16">
        <v>0.5</v>
      </c>
      <c r="F25" s="16" t="s">
        <v>68</v>
      </c>
    </row>
    <row r="26" spans="1:6" x14ac:dyDescent="0.2">
      <c r="A26" s="16">
        <v>25</v>
      </c>
      <c r="B26" s="16">
        <v>4.8</v>
      </c>
      <c r="C26" s="16">
        <v>3.4</v>
      </c>
      <c r="D26" s="16">
        <v>1.9</v>
      </c>
      <c r="E26" s="16">
        <v>0.2</v>
      </c>
      <c r="F26" s="16" t="s">
        <v>68</v>
      </c>
    </row>
    <row r="27" spans="1:6" x14ac:dyDescent="0.2">
      <c r="A27" s="16">
        <v>26</v>
      </c>
      <c r="B27" s="16">
        <v>5</v>
      </c>
      <c r="C27" s="16">
        <v>3</v>
      </c>
      <c r="D27" s="16">
        <v>1.6</v>
      </c>
      <c r="E27" s="16">
        <v>0.2</v>
      </c>
      <c r="F27" s="16" t="s">
        <v>68</v>
      </c>
    </row>
    <row r="28" spans="1:6" x14ac:dyDescent="0.2">
      <c r="A28" s="16">
        <v>27</v>
      </c>
      <c r="B28" s="16">
        <v>5</v>
      </c>
      <c r="C28" s="16">
        <v>3.4</v>
      </c>
      <c r="D28" s="16">
        <v>1.6</v>
      </c>
      <c r="E28" s="16">
        <v>0.4</v>
      </c>
      <c r="F28" s="16" t="s">
        <v>68</v>
      </c>
    </row>
    <row r="29" spans="1:6" x14ac:dyDescent="0.2">
      <c r="A29" s="16">
        <v>28</v>
      </c>
      <c r="B29" s="16">
        <v>5.2</v>
      </c>
      <c r="C29" s="16">
        <v>3.5</v>
      </c>
      <c r="D29" s="16">
        <v>1.5</v>
      </c>
      <c r="E29" s="16">
        <v>0.2</v>
      </c>
      <c r="F29" s="16" t="s">
        <v>68</v>
      </c>
    </row>
    <row r="30" spans="1:6" x14ac:dyDescent="0.2">
      <c r="A30" s="16">
        <v>29</v>
      </c>
      <c r="B30" s="16">
        <v>5.2</v>
      </c>
      <c r="C30" s="16">
        <v>3.4</v>
      </c>
      <c r="D30" s="16">
        <v>1.4</v>
      </c>
      <c r="E30" s="16">
        <v>0.2</v>
      </c>
      <c r="F30" s="16" t="s">
        <v>68</v>
      </c>
    </row>
    <row r="31" spans="1:6" x14ac:dyDescent="0.2">
      <c r="A31" s="16">
        <v>30</v>
      </c>
      <c r="B31" s="16">
        <v>4.7</v>
      </c>
      <c r="C31" s="16">
        <v>3.2</v>
      </c>
      <c r="D31" s="16">
        <v>1.6</v>
      </c>
      <c r="E31" s="16">
        <v>0.2</v>
      </c>
      <c r="F31" s="16" t="s">
        <v>68</v>
      </c>
    </row>
    <row r="32" spans="1:6" x14ac:dyDescent="0.2">
      <c r="A32" s="16">
        <v>31</v>
      </c>
      <c r="B32" s="16">
        <v>4.8</v>
      </c>
      <c r="C32" s="16">
        <v>3.1</v>
      </c>
      <c r="D32" s="16">
        <v>1.6</v>
      </c>
      <c r="E32" s="16">
        <v>0.2</v>
      </c>
      <c r="F32" s="16" t="s">
        <v>68</v>
      </c>
    </row>
    <row r="33" spans="1:6" x14ac:dyDescent="0.2">
      <c r="A33" s="16">
        <v>32</v>
      </c>
      <c r="B33" s="16">
        <v>5.4</v>
      </c>
      <c r="C33" s="16">
        <v>3.4</v>
      </c>
      <c r="D33" s="16">
        <v>1.5</v>
      </c>
      <c r="E33" s="16">
        <v>0.4</v>
      </c>
      <c r="F33" s="16" t="s">
        <v>68</v>
      </c>
    </row>
    <row r="34" spans="1:6" x14ac:dyDescent="0.2">
      <c r="A34" s="16">
        <v>33</v>
      </c>
      <c r="B34" s="16">
        <v>5.2</v>
      </c>
      <c r="C34" s="16">
        <v>4.0999999999999996</v>
      </c>
      <c r="D34" s="16">
        <v>1.5</v>
      </c>
      <c r="E34" s="16">
        <v>0.1</v>
      </c>
      <c r="F34" s="16" t="s">
        <v>68</v>
      </c>
    </row>
    <row r="35" spans="1:6" x14ac:dyDescent="0.2">
      <c r="A35" s="16">
        <v>34</v>
      </c>
      <c r="B35" s="16">
        <v>5.5</v>
      </c>
      <c r="C35" s="16">
        <v>4.2</v>
      </c>
      <c r="D35" s="16">
        <v>1.4</v>
      </c>
      <c r="E35" s="16">
        <v>0.2</v>
      </c>
      <c r="F35" s="16" t="s">
        <v>68</v>
      </c>
    </row>
    <row r="36" spans="1:6" x14ac:dyDescent="0.2">
      <c r="A36" s="16">
        <v>35</v>
      </c>
      <c r="B36" s="16">
        <v>4.9000000000000004</v>
      </c>
      <c r="C36" s="16">
        <v>3.1</v>
      </c>
      <c r="D36" s="16">
        <v>1.5</v>
      </c>
      <c r="E36" s="16">
        <v>0.2</v>
      </c>
      <c r="F36" s="16" t="s">
        <v>68</v>
      </c>
    </row>
    <row r="37" spans="1:6" x14ac:dyDescent="0.2">
      <c r="A37" s="16">
        <v>36</v>
      </c>
      <c r="B37" s="16">
        <v>5</v>
      </c>
      <c r="C37" s="16">
        <v>3.2</v>
      </c>
      <c r="D37" s="16">
        <v>1.2</v>
      </c>
      <c r="E37" s="16">
        <v>0.2</v>
      </c>
      <c r="F37" s="16" t="s">
        <v>68</v>
      </c>
    </row>
    <row r="38" spans="1:6" x14ac:dyDescent="0.2">
      <c r="A38" s="16">
        <v>37</v>
      </c>
      <c r="B38" s="16">
        <v>5.5</v>
      </c>
      <c r="C38" s="16">
        <v>3.5</v>
      </c>
      <c r="D38" s="16">
        <v>1.3</v>
      </c>
      <c r="E38" s="16">
        <v>0.2</v>
      </c>
      <c r="F38" s="16" t="s">
        <v>68</v>
      </c>
    </row>
    <row r="39" spans="1:6" x14ac:dyDescent="0.2">
      <c r="A39" s="16">
        <v>38</v>
      </c>
      <c r="B39" s="16">
        <v>4.9000000000000004</v>
      </c>
      <c r="C39" s="16">
        <v>3.6</v>
      </c>
      <c r="D39" s="16">
        <v>1.4</v>
      </c>
      <c r="E39" s="16">
        <v>0.1</v>
      </c>
      <c r="F39" s="16" t="s">
        <v>68</v>
      </c>
    </row>
    <row r="40" spans="1:6" x14ac:dyDescent="0.2">
      <c r="A40" s="16">
        <v>39</v>
      </c>
      <c r="B40" s="16">
        <v>4.4000000000000004</v>
      </c>
      <c r="C40" s="16">
        <v>3</v>
      </c>
      <c r="D40" s="16">
        <v>1.3</v>
      </c>
      <c r="E40" s="16">
        <v>0.2</v>
      </c>
      <c r="F40" s="16" t="s">
        <v>68</v>
      </c>
    </row>
    <row r="41" spans="1:6" x14ac:dyDescent="0.2">
      <c r="A41" s="16">
        <v>40</v>
      </c>
      <c r="B41" s="16">
        <v>5.0999999999999996</v>
      </c>
      <c r="C41" s="16">
        <v>3.4</v>
      </c>
      <c r="D41" s="16">
        <v>1.5</v>
      </c>
      <c r="E41" s="16">
        <v>0.2</v>
      </c>
      <c r="F41" s="16" t="s">
        <v>68</v>
      </c>
    </row>
    <row r="42" spans="1:6" x14ac:dyDescent="0.2">
      <c r="A42" s="16">
        <v>41</v>
      </c>
      <c r="B42" s="16">
        <v>5</v>
      </c>
      <c r="C42" s="16">
        <v>3.5</v>
      </c>
      <c r="D42" s="16">
        <v>1.3</v>
      </c>
      <c r="E42" s="16">
        <v>0.3</v>
      </c>
      <c r="F42" s="16" t="s">
        <v>68</v>
      </c>
    </row>
    <row r="43" spans="1:6" x14ac:dyDescent="0.2">
      <c r="A43" s="16">
        <v>42</v>
      </c>
      <c r="B43" s="16">
        <v>4.5</v>
      </c>
      <c r="C43" s="16">
        <v>2.2999999999999998</v>
      </c>
      <c r="D43" s="16">
        <v>1.3</v>
      </c>
      <c r="E43" s="16">
        <v>0.3</v>
      </c>
      <c r="F43" s="16" t="s">
        <v>68</v>
      </c>
    </row>
    <row r="44" spans="1:6" x14ac:dyDescent="0.2">
      <c r="A44" s="16">
        <v>43</v>
      </c>
      <c r="B44" s="16">
        <v>4.4000000000000004</v>
      </c>
      <c r="C44" s="16">
        <v>3.2</v>
      </c>
      <c r="D44" s="16">
        <v>1.3</v>
      </c>
      <c r="E44" s="16">
        <v>0.2</v>
      </c>
      <c r="F44" s="16" t="s">
        <v>68</v>
      </c>
    </row>
    <row r="45" spans="1:6" x14ac:dyDescent="0.2">
      <c r="A45" s="16">
        <v>44</v>
      </c>
      <c r="B45" s="16">
        <v>5</v>
      </c>
      <c r="C45" s="16">
        <v>3.5</v>
      </c>
      <c r="D45" s="16">
        <v>1.6</v>
      </c>
      <c r="E45" s="16">
        <v>0.6</v>
      </c>
      <c r="F45" s="16" t="s">
        <v>68</v>
      </c>
    </row>
    <row r="46" spans="1:6" x14ac:dyDescent="0.2">
      <c r="A46" s="16">
        <v>45</v>
      </c>
      <c r="B46" s="16">
        <v>5.0999999999999996</v>
      </c>
      <c r="C46" s="16">
        <v>3.8</v>
      </c>
      <c r="D46" s="16">
        <v>1.9</v>
      </c>
      <c r="E46" s="16">
        <v>0.4</v>
      </c>
      <c r="F46" s="16" t="s">
        <v>68</v>
      </c>
    </row>
    <row r="47" spans="1:6" x14ac:dyDescent="0.2">
      <c r="A47" s="16">
        <v>46</v>
      </c>
      <c r="B47" s="16">
        <v>4.8</v>
      </c>
      <c r="C47" s="16">
        <v>3</v>
      </c>
      <c r="D47" s="16">
        <v>1.4</v>
      </c>
      <c r="E47" s="16">
        <v>0.3</v>
      </c>
      <c r="F47" s="16" t="s">
        <v>68</v>
      </c>
    </row>
    <row r="48" spans="1:6" x14ac:dyDescent="0.2">
      <c r="A48" s="16">
        <v>47</v>
      </c>
      <c r="B48" s="16">
        <v>5.0999999999999996</v>
      </c>
      <c r="C48" s="16">
        <v>3.8</v>
      </c>
      <c r="D48" s="16">
        <v>1.6</v>
      </c>
      <c r="E48" s="16">
        <v>0.2</v>
      </c>
      <c r="F48" s="16" t="s">
        <v>68</v>
      </c>
    </row>
    <row r="49" spans="1:6" x14ac:dyDescent="0.2">
      <c r="A49" s="16">
        <v>48</v>
      </c>
      <c r="B49" s="16">
        <v>4.5999999999999996</v>
      </c>
      <c r="C49" s="16">
        <v>3.2</v>
      </c>
      <c r="D49" s="16">
        <v>1.4</v>
      </c>
      <c r="E49" s="16">
        <v>0.2</v>
      </c>
      <c r="F49" s="16" t="s">
        <v>68</v>
      </c>
    </row>
    <row r="50" spans="1:6" x14ac:dyDescent="0.2">
      <c r="A50" s="16">
        <v>49</v>
      </c>
      <c r="B50" s="16">
        <v>5.3</v>
      </c>
      <c r="C50" s="16">
        <v>3.7</v>
      </c>
      <c r="D50" s="16">
        <v>1.5</v>
      </c>
      <c r="E50" s="16">
        <v>0.2</v>
      </c>
      <c r="F50" s="16" t="s">
        <v>68</v>
      </c>
    </row>
    <row r="51" spans="1:6" x14ac:dyDescent="0.2">
      <c r="A51" s="16">
        <v>50</v>
      </c>
      <c r="B51" s="16">
        <v>5</v>
      </c>
      <c r="C51" s="16">
        <v>3.3</v>
      </c>
      <c r="D51" s="16">
        <v>1.4</v>
      </c>
      <c r="E51" s="16">
        <v>0.2</v>
      </c>
      <c r="F51" s="16" t="s">
        <v>68</v>
      </c>
    </row>
    <row r="52" spans="1:6" x14ac:dyDescent="0.2">
      <c r="A52" s="16">
        <v>51</v>
      </c>
      <c r="B52" s="16">
        <v>7</v>
      </c>
      <c r="C52" s="16">
        <v>3.2</v>
      </c>
      <c r="D52" s="16">
        <v>4.7</v>
      </c>
      <c r="E52" s="16">
        <v>1.4</v>
      </c>
      <c r="F52" s="16" t="s">
        <v>69</v>
      </c>
    </row>
    <row r="53" spans="1:6" x14ac:dyDescent="0.2">
      <c r="A53" s="16">
        <v>52</v>
      </c>
      <c r="B53" s="16">
        <v>6.4</v>
      </c>
      <c r="C53" s="16">
        <v>3.2</v>
      </c>
      <c r="D53" s="16">
        <v>4.5</v>
      </c>
      <c r="E53" s="16">
        <v>1.5</v>
      </c>
      <c r="F53" s="16" t="s">
        <v>69</v>
      </c>
    </row>
    <row r="54" spans="1:6" x14ac:dyDescent="0.2">
      <c r="A54" s="16">
        <v>53</v>
      </c>
      <c r="B54" s="16">
        <v>6.9</v>
      </c>
      <c r="C54" s="16">
        <v>3.1</v>
      </c>
      <c r="D54" s="16">
        <v>4.9000000000000004</v>
      </c>
      <c r="E54" s="16">
        <v>1.5</v>
      </c>
      <c r="F54" s="16" t="s">
        <v>69</v>
      </c>
    </row>
    <row r="55" spans="1:6" x14ac:dyDescent="0.2">
      <c r="A55" s="16">
        <v>54</v>
      </c>
      <c r="B55" s="16">
        <v>5.5</v>
      </c>
      <c r="C55" s="16">
        <v>2.2999999999999998</v>
      </c>
      <c r="D55" s="16">
        <v>4</v>
      </c>
      <c r="E55" s="16">
        <v>1.3</v>
      </c>
      <c r="F55" s="16" t="s">
        <v>69</v>
      </c>
    </row>
    <row r="56" spans="1:6" x14ac:dyDescent="0.2">
      <c r="A56" s="16">
        <v>55</v>
      </c>
      <c r="B56" s="16">
        <v>6.5</v>
      </c>
      <c r="C56" s="16">
        <v>2.8</v>
      </c>
      <c r="D56" s="16">
        <v>4.5999999999999996</v>
      </c>
      <c r="E56" s="16">
        <v>1.5</v>
      </c>
      <c r="F56" s="16" t="s">
        <v>69</v>
      </c>
    </row>
    <row r="57" spans="1:6" x14ac:dyDescent="0.2">
      <c r="A57" s="16">
        <v>56</v>
      </c>
      <c r="B57" s="16">
        <v>5.7</v>
      </c>
      <c r="C57" s="16">
        <v>2.8</v>
      </c>
      <c r="D57" s="16">
        <v>4.5</v>
      </c>
      <c r="E57" s="16">
        <v>1.3</v>
      </c>
      <c r="F57" s="16" t="s">
        <v>69</v>
      </c>
    </row>
    <row r="58" spans="1:6" x14ac:dyDescent="0.2">
      <c r="A58" s="16">
        <v>57</v>
      </c>
      <c r="B58" s="16">
        <v>6.3</v>
      </c>
      <c r="C58" s="16">
        <v>3.3</v>
      </c>
      <c r="D58" s="16">
        <v>4.7</v>
      </c>
      <c r="E58" s="16">
        <v>1.6</v>
      </c>
      <c r="F58" s="16" t="s">
        <v>69</v>
      </c>
    </row>
    <row r="59" spans="1:6" x14ac:dyDescent="0.2">
      <c r="A59" s="16">
        <v>58</v>
      </c>
      <c r="B59" s="16">
        <v>4.9000000000000004</v>
      </c>
      <c r="C59" s="16">
        <v>2.4</v>
      </c>
      <c r="D59" s="16">
        <v>3.3</v>
      </c>
      <c r="E59" s="16">
        <v>1</v>
      </c>
      <c r="F59" s="16" t="s">
        <v>69</v>
      </c>
    </row>
    <row r="60" spans="1:6" x14ac:dyDescent="0.2">
      <c r="A60" s="16">
        <v>59</v>
      </c>
      <c r="B60" s="16">
        <v>6.6</v>
      </c>
      <c r="C60" s="16">
        <v>2.9</v>
      </c>
      <c r="D60" s="16">
        <v>4.5999999999999996</v>
      </c>
      <c r="E60" s="16">
        <v>1.3</v>
      </c>
      <c r="F60" s="16" t="s">
        <v>69</v>
      </c>
    </row>
    <row r="61" spans="1:6" x14ac:dyDescent="0.2">
      <c r="A61" s="16">
        <v>60</v>
      </c>
      <c r="B61" s="16">
        <v>5.2</v>
      </c>
      <c r="C61" s="16">
        <v>2.7</v>
      </c>
      <c r="D61" s="16">
        <v>3.9</v>
      </c>
      <c r="E61" s="16">
        <v>1.4</v>
      </c>
      <c r="F61" s="16" t="s">
        <v>69</v>
      </c>
    </row>
    <row r="62" spans="1:6" x14ac:dyDescent="0.2">
      <c r="A62" s="16">
        <v>61</v>
      </c>
      <c r="B62" s="16">
        <v>5</v>
      </c>
      <c r="C62" s="16">
        <v>2</v>
      </c>
      <c r="D62" s="16">
        <v>3.5</v>
      </c>
      <c r="E62" s="16">
        <v>1</v>
      </c>
      <c r="F62" s="16" t="s">
        <v>69</v>
      </c>
    </row>
    <row r="63" spans="1:6" x14ac:dyDescent="0.2">
      <c r="A63" s="16">
        <v>62</v>
      </c>
      <c r="B63" s="16">
        <v>5.9</v>
      </c>
      <c r="C63" s="16">
        <v>3</v>
      </c>
      <c r="D63" s="16">
        <v>4.2</v>
      </c>
      <c r="E63" s="16">
        <v>1.5</v>
      </c>
      <c r="F63" s="16" t="s">
        <v>69</v>
      </c>
    </row>
    <row r="64" spans="1:6" x14ac:dyDescent="0.2">
      <c r="A64" s="16">
        <v>63</v>
      </c>
      <c r="B64" s="16">
        <v>6</v>
      </c>
      <c r="C64" s="16">
        <v>2.2000000000000002</v>
      </c>
      <c r="D64" s="16">
        <v>4</v>
      </c>
      <c r="E64" s="16">
        <v>1</v>
      </c>
      <c r="F64" s="16" t="s">
        <v>69</v>
      </c>
    </row>
    <row r="65" spans="1:6" x14ac:dyDescent="0.2">
      <c r="A65" s="16">
        <v>64</v>
      </c>
      <c r="B65" s="16">
        <v>6.1</v>
      </c>
      <c r="C65" s="16">
        <v>2.9</v>
      </c>
      <c r="D65" s="16">
        <v>4.7</v>
      </c>
      <c r="E65" s="16">
        <v>1.4</v>
      </c>
      <c r="F65" s="16" t="s">
        <v>69</v>
      </c>
    </row>
    <row r="66" spans="1:6" x14ac:dyDescent="0.2">
      <c r="A66" s="16">
        <v>65</v>
      </c>
      <c r="B66" s="16">
        <v>5.6</v>
      </c>
      <c r="C66" s="16">
        <v>2.9</v>
      </c>
      <c r="D66" s="16">
        <v>3.6</v>
      </c>
      <c r="E66" s="16">
        <v>1.3</v>
      </c>
      <c r="F66" s="16" t="s">
        <v>69</v>
      </c>
    </row>
    <row r="67" spans="1:6" x14ac:dyDescent="0.2">
      <c r="A67" s="16">
        <v>66</v>
      </c>
      <c r="B67" s="16">
        <v>6.7</v>
      </c>
      <c r="C67" s="16">
        <v>3.1</v>
      </c>
      <c r="D67" s="16">
        <v>4.4000000000000004</v>
      </c>
      <c r="E67" s="16">
        <v>1.4</v>
      </c>
      <c r="F67" s="16" t="s">
        <v>69</v>
      </c>
    </row>
    <row r="68" spans="1:6" x14ac:dyDescent="0.2">
      <c r="A68" s="16">
        <v>67</v>
      </c>
      <c r="B68" s="16">
        <v>5.6</v>
      </c>
      <c r="C68" s="16">
        <v>3</v>
      </c>
      <c r="D68" s="16">
        <v>4.5</v>
      </c>
      <c r="E68" s="16">
        <v>1.5</v>
      </c>
      <c r="F68" s="16" t="s">
        <v>69</v>
      </c>
    </row>
    <row r="69" spans="1:6" x14ac:dyDescent="0.2">
      <c r="A69" s="16">
        <v>68</v>
      </c>
      <c r="B69" s="16">
        <v>5.8</v>
      </c>
      <c r="C69" s="16">
        <v>2.7</v>
      </c>
      <c r="D69" s="16">
        <v>4.0999999999999996</v>
      </c>
      <c r="E69" s="16">
        <v>1</v>
      </c>
      <c r="F69" s="16" t="s">
        <v>69</v>
      </c>
    </row>
    <row r="70" spans="1:6" x14ac:dyDescent="0.2">
      <c r="A70" s="16">
        <v>69</v>
      </c>
      <c r="B70" s="16">
        <v>6.2</v>
      </c>
      <c r="C70" s="16">
        <v>2.2000000000000002</v>
      </c>
      <c r="D70" s="16">
        <v>4.5</v>
      </c>
      <c r="E70" s="16">
        <v>1.5</v>
      </c>
      <c r="F70" s="16" t="s">
        <v>69</v>
      </c>
    </row>
    <row r="71" spans="1:6" x14ac:dyDescent="0.2">
      <c r="A71" s="16">
        <v>70</v>
      </c>
      <c r="B71" s="16">
        <v>5.6</v>
      </c>
      <c r="C71" s="16">
        <v>2.5</v>
      </c>
      <c r="D71" s="16">
        <v>3.9</v>
      </c>
      <c r="E71" s="16">
        <v>1.1000000000000001</v>
      </c>
      <c r="F71" s="16" t="s">
        <v>69</v>
      </c>
    </row>
    <row r="72" spans="1:6" x14ac:dyDescent="0.2">
      <c r="A72" s="16">
        <v>71</v>
      </c>
      <c r="B72" s="16">
        <v>5.9</v>
      </c>
      <c r="C72" s="16">
        <v>3.2</v>
      </c>
      <c r="D72" s="16">
        <v>4.8</v>
      </c>
      <c r="E72" s="16">
        <v>1.8</v>
      </c>
      <c r="F72" s="16" t="s">
        <v>69</v>
      </c>
    </row>
    <row r="73" spans="1:6" x14ac:dyDescent="0.2">
      <c r="A73" s="16">
        <v>72</v>
      </c>
      <c r="B73" s="16">
        <v>6.1</v>
      </c>
      <c r="C73" s="16">
        <v>2.8</v>
      </c>
      <c r="D73" s="16">
        <v>4</v>
      </c>
      <c r="E73" s="16">
        <v>1.3</v>
      </c>
      <c r="F73" s="16" t="s">
        <v>69</v>
      </c>
    </row>
    <row r="74" spans="1:6" x14ac:dyDescent="0.2">
      <c r="A74" s="16">
        <v>73</v>
      </c>
      <c r="B74" s="16">
        <v>6.3</v>
      </c>
      <c r="C74" s="16">
        <v>2.5</v>
      </c>
      <c r="D74" s="16">
        <v>4.9000000000000004</v>
      </c>
      <c r="E74" s="16">
        <v>1.5</v>
      </c>
      <c r="F74" s="16" t="s">
        <v>69</v>
      </c>
    </row>
    <row r="75" spans="1:6" x14ac:dyDescent="0.2">
      <c r="A75" s="16">
        <v>74</v>
      </c>
      <c r="B75" s="16">
        <v>6.1</v>
      </c>
      <c r="C75" s="16">
        <v>2.8</v>
      </c>
      <c r="D75" s="16">
        <v>4.7</v>
      </c>
      <c r="E75" s="16">
        <v>1.2</v>
      </c>
      <c r="F75" s="16" t="s">
        <v>69</v>
      </c>
    </row>
    <row r="76" spans="1:6" x14ac:dyDescent="0.2">
      <c r="A76" s="16">
        <v>75</v>
      </c>
      <c r="B76" s="16">
        <v>6.4</v>
      </c>
      <c r="C76" s="16">
        <v>2.9</v>
      </c>
      <c r="D76" s="16">
        <v>4.3</v>
      </c>
      <c r="E76" s="16">
        <v>1.3</v>
      </c>
      <c r="F76" s="16" t="s">
        <v>69</v>
      </c>
    </row>
    <row r="77" spans="1:6" x14ac:dyDescent="0.2">
      <c r="A77" s="16">
        <v>76</v>
      </c>
      <c r="B77" s="16">
        <v>6.6</v>
      </c>
      <c r="C77" s="16">
        <v>3</v>
      </c>
      <c r="D77" s="16">
        <v>4.4000000000000004</v>
      </c>
      <c r="E77" s="16">
        <v>1.4</v>
      </c>
      <c r="F77" s="16" t="s">
        <v>69</v>
      </c>
    </row>
    <row r="78" spans="1:6" x14ac:dyDescent="0.2">
      <c r="A78" s="16">
        <v>77</v>
      </c>
      <c r="B78" s="16">
        <v>6.8</v>
      </c>
      <c r="C78" s="16">
        <v>2.8</v>
      </c>
      <c r="D78" s="16">
        <v>4.8</v>
      </c>
      <c r="E78" s="16">
        <v>1.4</v>
      </c>
      <c r="F78" s="16" t="s">
        <v>69</v>
      </c>
    </row>
    <row r="79" spans="1:6" x14ac:dyDescent="0.2">
      <c r="A79" s="16">
        <v>78</v>
      </c>
      <c r="B79" s="16">
        <v>6.7</v>
      </c>
      <c r="C79" s="16">
        <v>3</v>
      </c>
      <c r="D79" s="16">
        <v>5</v>
      </c>
      <c r="E79" s="16">
        <v>1.7</v>
      </c>
      <c r="F79" s="16" t="s">
        <v>69</v>
      </c>
    </row>
    <row r="80" spans="1:6" x14ac:dyDescent="0.2">
      <c r="A80" s="16">
        <v>79</v>
      </c>
      <c r="B80" s="16">
        <v>6</v>
      </c>
      <c r="C80" s="16">
        <v>2.9</v>
      </c>
      <c r="D80" s="16">
        <v>4.5</v>
      </c>
      <c r="E80" s="16">
        <v>1.5</v>
      </c>
      <c r="F80" s="16" t="s">
        <v>69</v>
      </c>
    </row>
    <row r="81" spans="1:6" x14ac:dyDescent="0.2">
      <c r="A81" s="16">
        <v>80</v>
      </c>
      <c r="B81" s="16">
        <v>5.7</v>
      </c>
      <c r="C81" s="16">
        <v>2.6</v>
      </c>
      <c r="D81" s="16">
        <v>3.5</v>
      </c>
      <c r="E81" s="16">
        <v>1</v>
      </c>
      <c r="F81" s="16" t="s">
        <v>69</v>
      </c>
    </row>
    <row r="82" spans="1:6" x14ac:dyDescent="0.2">
      <c r="A82" s="16">
        <v>81</v>
      </c>
      <c r="B82" s="16">
        <v>5.5</v>
      </c>
      <c r="C82" s="16">
        <v>2.4</v>
      </c>
      <c r="D82" s="16">
        <v>3.8</v>
      </c>
      <c r="E82" s="16">
        <v>1.1000000000000001</v>
      </c>
      <c r="F82" s="16" t="s">
        <v>69</v>
      </c>
    </row>
    <row r="83" spans="1:6" x14ac:dyDescent="0.2">
      <c r="A83" s="16">
        <v>82</v>
      </c>
      <c r="B83" s="16">
        <v>5.5</v>
      </c>
      <c r="C83" s="16">
        <v>2.4</v>
      </c>
      <c r="D83" s="16">
        <v>3.7</v>
      </c>
      <c r="E83" s="16">
        <v>1</v>
      </c>
      <c r="F83" s="16" t="s">
        <v>69</v>
      </c>
    </row>
    <row r="84" spans="1:6" x14ac:dyDescent="0.2">
      <c r="A84" s="16">
        <v>83</v>
      </c>
      <c r="B84" s="16">
        <v>5.8</v>
      </c>
      <c r="C84" s="16">
        <v>2.7</v>
      </c>
      <c r="D84" s="16">
        <v>3.9</v>
      </c>
      <c r="E84" s="16">
        <v>1.2</v>
      </c>
      <c r="F84" s="16" t="s">
        <v>69</v>
      </c>
    </row>
    <row r="85" spans="1:6" x14ac:dyDescent="0.2">
      <c r="A85" s="16">
        <v>84</v>
      </c>
      <c r="B85" s="16">
        <v>6</v>
      </c>
      <c r="C85" s="16">
        <v>2.7</v>
      </c>
      <c r="D85" s="16">
        <v>5.0999999999999996</v>
      </c>
      <c r="E85" s="16">
        <v>1.6</v>
      </c>
      <c r="F85" s="16" t="s">
        <v>69</v>
      </c>
    </row>
    <row r="86" spans="1:6" x14ac:dyDescent="0.2">
      <c r="A86" s="16">
        <v>85</v>
      </c>
      <c r="B86" s="16">
        <v>5.4</v>
      </c>
      <c r="C86" s="16">
        <v>3</v>
      </c>
      <c r="D86" s="16">
        <v>4.5</v>
      </c>
      <c r="E86" s="16">
        <v>1.5</v>
      </c>
      <c r="F86" s="16" t="s">
        <v>69</v>
      </c>
    </row>
    <row r="87" spans="1:6" x14ac:dyDescent="0.2">
      <c r="A87" s="16">
        <v>86</v>
      </c>
      <c r="B87" s="16">
        <v>6</v>
      </c>
      <c r="C87" s="16">
        <v>3.4</v>
      </c>
      <c r="D87" s="16">
        <v>4.5</v>
      </c>
      <c r="E87" s="16">
        <v>1.6</v>
      </c>
      <c r="F87" s="16" t="s">
        <v>69</v>
      </c>
    </row>
    <row r="88" spans="1:6" x14ac:dyDescent="0.2">
      <c r="A88" s="16">
        <v>87</v>
      </c>
      <c r="B88" s="16">
        <v>6.7</v>
      </c>
      <c r="C88" s="16">
        <v>3.1</v>
      </c>
      <c r="D88" s="16">
        <v>4.7</v>
      </c>
      <c r="E88" s="16">
        <v>1.5</v>
      </c>
      <c r="F88" s="16" t="s">
        <v>69</v>
      </c>
    </row>
    <row r="89" spans="1:6" x14ac:dyDescent="0.2">
      <c r="A89" s="16">
        <v>88</v>
      </c>
      <c r="B89" s="16">
        <v>6.3</v>
      </c>
      <c r="C89" s="16">
        <v>2.2999999999999998</v>
      </c>
      <c r="D89" s="16">
        <v>4.4000000000000004</v>
      </c>
      <c r="E89" s="16">
        <v>1.3</v>
      </c>
      <c r="F89" s="16" t="s">
        <v>69</v>
      </c>
    </row>
    <row r="90" spans="1:6" x14ac:dyDescent="0.2">
      <c r="A90" s="16">
        <v>89</v>
      </c>
      <c r="B90" s="16">
        <v>5.6</v>
      </c>
      <c r="C90" s="16">
        <v>3</v>
      </c>
      <c r="D90" s="16">
        <v>4.0999999999999996</v>
      </c>
      <c r="E90" s="16">
        <v>1.3</v>
      </c>
      <c r="F90" s="16" t="s">
        <v>69</v>
      </c>
    </row>
    <row r="91" spans="1:6" x14ac:dyDescent="0.2">
      <c r="A91" s="16">
        <v>90</v>
      </c>
      <c r="B91" s="16">
        <v>5.5</v>
      </c>
      <c r="C91" s="16">
        <v>2.5</v>
      </c>
      <c r="D91" s="16">
        <v>4</v>
      </c>
      <c r="E91" s="16">
        <v>1.3</v>
      </c>
      <c r="F91" s="16" t="s">
        <v>69</v>
      </c>
    </row>
    <row r="92" spans="1:6" x14ac:dyDescent="0.2">
      <c r="A92" s="16">
        <v>91</v>
      </c>
      <c r="B92" s="16">
        <v>5.5</v>
      </c>
      <c r="C92" s="16">
        <v>2.6</v>
      </c>
      <c r="D92" s="16">
        <v>4.4000000000000004</v>
      </c>
      <c r="E92" s="16">
        <v>1.2</v>
      </c>
      <c r="F92" s="16" t="s">
        <v>69</v>
      </c>
    </row>
    <row r="93" spans="1:6" x14ac:dyDescent="0.2">
      <c r="A93" s="16">
        <v>92</v>
      </c>
      <c r="B93" s="16">
        <v>6.1</v>
      </c>
      <c r="C93" s="16">
        <v>3</v>
      </c>
      <c r="D93" s="16">
        <v>4.5999999999999996</v>
      </c>
      <c r="E93" s="16">
        <v>1.4</v>
      </c>
      <c r="F93" s="16" t="s">
        <v>69</v>
      </c>
    </row>
    <row r="94" spans="1:6" x14ac:dyDescent="0.2">
      <c r="A94" s="16">
        <v>93</v>
      </c>
      <c r="B94" s="16">
        <v>5.8</v>
      </c>
      <c r="C94" s="16">
        <v>2.6</v>
      </c>
      <c r="D94" s="16">
        <v>4</v>
      </c>
      <c r="E94" s="16">
        <v>1.2</v>
      </c>
      <c r="F94" s="16" t="s">
        <v>69</v>
      </c>
    </row>
    <row r="95" spans="1:6" x14ac:dyDescent="0.2">
      <c r="A95" s="16">
        <v>94</v>
      </c>
      <c r="B95" s="16">
        <v>5</v>
      </c>
      <c r="C95" s="16">
        <v>2.2999999999999998</v>
      </c>
      <c r="D95" s="16">
        <v>3.3</v>
      </c>
      <c r="E95" s="16">
        <v>1</v>
      </c>
      <c r="F95" s="16" t="s">
        <v>69</v>
      </c>
    </row>
    <row r="96" spans="1:6" x14ac:dyDescent="0.2">
      <c r="A96" s="16">
        <v>95</v>
      </c>
      <c r="B96" s="16">
        <v>5.6</v>
      </c>
      <c r="C96" s="16">
        <v>2.7</v>
      </c>
      <c r="D96" s="16">
        <v>4.2</v>
      </c>
      <c r="E96" s="16">
        <v>1.3</v>
      </c>
      <c r="F96" s="16" t="s">
        <v>69</v>
      </c>
    </row>
    <row r="97" spans="1:6" x14ac:dyDescent="0.2">
      <c r="A97" s="16">
        <v>96</v>
      </c>
      <c r="B97" s="16">
        <v>5.7</v>
      </c>
      <c r="C97" s="16">
        <v>3</v>
      </c>
      <c r="D97" s="16">
        <v>4.2</v>
      </c>
      <c r="E97" s="16">
        <v>1.2</v>
      </c>
      <c r="F97" s="16" t="s">
        <v>69</v>
      </c>
    </row>
    <row r="98" spans="1:6" x14ac:dyDescent="0.2">
      <c r="A98" s="16">
        <v>97</v>
      </c>
      <c r="B98" s="16">
        <v>5.7</v>
      </c>
      <c r="C98" s="16">
        <v>2.9</v>
      </c>
      <c r="D98" s="16">
        <v>4.2</v>
      </c>
      <c r="E98" s="16">
        <v>1.3</v>
      </c>
      <c r="F98" s="16" t="s">
        <v>69</v>
      </c>
    </row>
    <row r="99" spans="1:6" x14ac:dyDescent="0.2">
      <c r="A99" s="16">
        <v>98</v>
      </c>
      <c r="B99" s="16">
        <v>6.2</v>
      </c>
      <c r="C99" s="16">
        <v>2.9</v>
      </c>
      <c r="D99" s="16">
        <v>4.3</v>
      </c>
      <c r="E99" s="16">
        <v>1.3</v>
      </c>
      <c r="F99" s="16" t="s">
        <v>69</v>
      </c>
    </row>
    <row r="100" spans="1:6" x14ac:dyDescent="0.2">
      <c r="A100" s="16">
        <v>99</v>
      </c>
      <c r="B100" s="16">
        <v>5.0999999999999996</v>
      </c>
      <c r="C100" s="16">
        <v>2.5</v>
      </c>
      <c r="D100" s="16">
        <v>3</v>
      </c>
      <c r="E100" s="16">
        <v>1.1000000000000001</v>
      </c>
      <c r="F100" s="16" t="s">
        <v>69</v>
      </c>
    </row>
    <row r="101" spans="1:6" x14ac:dyDescent="0.2">
      <c r="A101" s="16">
        <v>100</v>
      </c>
      <c r="B101" s="16">
        <v>5.7</v>
      </c>
      <c r="C101" s="16">
        <v>2.8</v>
      </c>
      <c r="D101" s="16">
        <v>4.0999999999999996</v>
      </c>
      <c r="E101" s="16">
        <v>1.3</v>
      </c>
      <c r="F101" s="16" t="s">
        <v>69</v>
      </c>
    </row>
    <row r="102" spans="1:6" x14ac:dyDescent="0.2">
      <c r="A102" s="16">
        <v>101</v>
      </c>
      <c r="B102" s="16">
        <v>6.3</v>
      </c>
      <c r="C102" s="16">
        <v>3.3</v>
      </c>
      <c r="D102" s="16">
        <v>6</v>
      </c>
      <c r="E102" s="16">
        <v>2.5</v>
      </c>
      <c r="F102" s="16" t="s">
        <v>70</v>
      </c>
    </row>
    <row r="103" spans="1:6" x14ac:dyDescent="0.2">
      <c r="A103" s="16">
        <v>102</v>
      </c>
      <c r="B103" s="16">
        <v>5.8</v>
      </c>
      <c r="C103" s="16">
        <v>2.7</v>
      </c>
      <c r="D103" s="16">
        <v>5.0999999999999996</v>
      </c>
      <c r="E103" s="16">
        <v>1.9</v>
      </c>
      <c r="F103" s="16" t="s">
        <v>70</v>
      </c>
    </row>
    <row r="104" spans="1:6" x14ac:dyDescent="0.2">
      <c r="A104" s="16">
        <v>103</v>
      </c>
      <c r="B104" s="16">
        <v>7.1</v>
      </c>
      <c r="C104" s="16">
        <v>3</v>
      </c>
      <c r="D104" s="16">
        <v>5.9</v>
      </c>
      <c r="E104" s="16">
        <v>2.1</v>
      </c>
      <c r="F104" s="16" t="s">
        <v>70</v>
      </c>
    </row>
    <row r="105" spans="1:6" x14ac:dyDescent="0.2">
      <c r="A105" s="16">
        <v>104</v>
      </c>
      <c r="B105" s="16">
        <v>6.3</v>
      </c>
      <c r="C105" s="16">
        <v>2.9</v>
      </c>
      <c r="D105" s="16">
        <v>5.6</v>
      </c>
      <c r="E105" s="16">
        <v>1.8</v>
      </c>
      <c r="F105" s="16" t="s">
        <v>70</v>
      </c>
    </row>
    <row r="106" spans="1:6" x14ac:dyDescent="0.2">
      <c r="A106" s="16">
        <v>105</v>
      </c>
      <c r="B106" s="16">
        <v>6.5</v>
      </c>
      <c r="C106" s="16">
        <v>3</v>
      </c>
      <c r="D106" s="16">
        <v>5.8</v>
      </c>
      <c r="E106" s="16">
        <v>2.2000000000000002</v>
      </c>
      <c r="F106" s="16" t="s">
        <v>70</v>
      </c>
    </row>
    <row r="107" spans="1:6" x14ac:dyDescent="0.2">
      <c r="A107" s="16">
        <v>106</v>
      </c>
      <c r="B107" s="16">
        <v>7.6</v>
      </c>
      <c r="C107" s="16">
        <v>3</v>
      </c>
      <c r="D107" s="16">
        <v>6.6</v>
      </c>
      <c r="E107" s="16">
        <v>2.1</v>
      </c>
      <c r="F107" s="16" t="s">
        <v>70</v>
      </c>
    </row>
    <row r="108" spans="1:6" x14ac:dyDescent="0.2">
      <c r="A108" s="16">
        <v>107</v>
      </c>
      <c r="B108" s="16">
        <v>4.9000000000000004</v>
      </c>
      <c r="C108" s="16">
        <v>2.5</v>
      </c>
      <c r="D108" s="16">
        <v>4.5</v>
      </c>
      <c r="E108" s="16">
        <v>1.7</v>
      </c>
      <c r="F108" s="16" t="s">
        <v>70</v>
      </c>
    </row>
    <row r="109" spans="1:6" x14ac:dyDescent="0.2">
      <c r="A109" s="16">
        <v>108</v>
      </c>
      <c r="B109" s="16">
        <v>7.3</v>
      </c>
      <c r="C109" s="16">
        <v>2.9</v>
      </c>
      <c r="D109" s="16">
        <v>6.3</v>
      </c>
      <c r="E109" s="16">
        <v>1.8</v>
      </c>
      <c r="F109" s="16" t="s">
        <v>70</v>
      </c>
    </row>
    <row r="110" spans="1:6" x14ac:dyDescent="0.2">
      <c r="A110" s="16">
        <v>109</v>
      </c>
      <c r="B110" s="16">
        <v>6.7</v>
      </c>
      <c r="C110" s="16">
        <v>2.5</v>
      </c>
      <c r="D110" s="16">
        <v>5.8</v>
      </c>
      <c r="E110" s="16">
        <v>1.8</v>
      </c>
      <c r="F110" s="16" t="s">
        <v>70</v>
      </c>
    </row>
    <row r="111" spans="1:6" x14ac:dyDescent="0.2">
      <c r="A111" s="16">
        <v>110</v>
      </c>
      <c r="B111" s="16">
        <v>7.2</v>
      </c>
      <c r="C111" s="16">
        <v>3.6</v>
      </c>
      <c r="D111" s="16">
        <v>6.1</v>
      </c>
      <c r="E111" s="16">
        <v>2.5</v>
      </c>
      <c r="F111" s="16" t="s">
        <v>70</v>
      </c>
    </row>
    <row r="112" spans="1:6" x14ac:dyDescent="0.2">
      <c r="A112" s="16">
        <v>111</v>
      </c>
      <c r="B112" s="16">
        <v>6.5</v>
      </c>
      <c r="C112" s="16">
        <v>3.2</v>
      </c>
      <c r="D112" s="16">
        <v>5.0999999999999996</v>
      </c>
      <c r="E112" s="16">
        <v>2</v>
      </c>
      <c r="F112" s="16" t="s">
        <v>70</v>
      </c>
    </row>
    <row r="113" spans="1:6" x14ac:dyDescent="0.2">
      <c r="A113" s="16">
        <v>112</v>
      </c>
      <c r="B113" s="16">
        <v>6.4</v>
      </c>
      <c r="C113" s="16">
        <v>2.7</v>
      </c>
      <c r="D113" s="16">
        <v>5.3</v>
      </c>
      <c r="E113" s="16">
        <v>1.9</v>
      </c>
      <c r="F113" s="16" t="s">
        <v>70</v>
      </c>
    </row>
    <row r="114" spans="1:6" x14ac:dyDescent="0.2">
      <c r="A114" s="16">
        <v>113</v>
      </c>
      <c r="B114" s="16">
        <v>6.8</v>
      </c>
      <c r="C114" s="16">
        <v>3</v>
      </c>
      <c r="D114" s="16">
        <v>5.5</v>
      </c>
      <c r="E114" s="16">
        <v>2.1</v>
      </c>
      <c r="F114" s="16" t="s">
        <v>70</v>
      </c>
    </row>
    <row r="115" spans="1:6" x14ac:dyDescent="0.2">
      <c r="A115" s="16">
        <v>114</v>
      </c>
      <c r="B115" s="16">
        <v>5.7</v>
      </c>
      <c r="C115" s="16">
        <v>2.5</v>
      </c>
      <c r="D115" s="16">
        <v>5</v>
      </c>
      <c r="E115" s="16">
        <v>2</v>
      </c>
      <c r="F115" s="16" t="s">
        <v>70</v>
      </c>
    </row>
    <row r="116" spans="1:6" x14ac:dyDescent="0.2">
      <c r="A116" s="16">
        <v>115</v>
      </c>
      <c r="B116" s="16">
        <v>5.8</v>
      </c>
      <c r="C116" s="16">
        <v>2.8</v>
      </c>
      <c r="D116" s="16">
        <v>5.0999999999999996</v>
      </c>
      <c r="E116" s="16">
        <v>2.4</v>
      </c>
      <c r="F116" s="16" t="s">
        <v>70</v>
      </c>
    </row>
    <row r="117" spans="1:6" x14ac:dyDescent="0.2">
      <c r="A117" s="16">
        <v>116</v>
      </c>
      <c r="B117" s="16">
        <v>6.4</v>
      </c>
      <c r="C117" s="16">
        <v>3.2</v>
      </c>
      <c r="D117" s="16">
        <v>5.3</v>
      </c>
      <c r="E117" s="16">
        <v>2.2999999999999998</v>
      </c>
      <c r="F117" s="16" t="s">
        <v>70</v>
      </c>
    </row>
    <row r="118" spans="1:6" x14ac:dyDescent="0.2">
      <c r="A118" s="16">
        <v>117</v>
      </c>
      <c r="B118" s="16">
        <v>6.5</v>
      </c>
      <c r="C118" s="16">
        <v>3</v>
      </c>
      <c r="D118" s="16">
        <v>5.5</v>
      </c>
      <c r="E118" s="16">
        <v>1.8</v>
      </c>
      <c r="F118" s="16" t="s">
        <v>70</v>
      </c>
    </row>
    <row r="119" spans="1:6" x14ac:dyDescent="0.2">
      <c r="A119" s="16">
        <v>118</v>
      </c>
      <c r="B119" s="16">
        <v>7.7</v>
      </c>
      <c r="C119" s="16">
        <v>3.8</v>
      </c>
      <c r="D119" s="16">
        <v>6.7</v>
      </c>
      <c r="E119" s="16">
        <v>2.2000000000000002</v>
      </c>
      <c r="F119" s="16" t="s">
        <v>70</v>
      </c>
    </row>
    <row r="120" spans="1:6" x14ac:dyDescent="0.2">
      <c r="A120" s="16">
        <v>119</v>
      </c>
      <c r="B120" s="16">
        <v>7.7</v>
      </c>
      <c r="C120" s="16">
        <v>2.6</v>
      </c>
      <c r="D120" s="16">
        <v>6.9</v>
      </c>
      <c r="E120" s="16">
        <v>2.2999999999999998</v>
      </c>
      <c r="F120" s="16" t="s">
        <v>70</v>
      </c>
    </row>
    <row r="121" spans="1:6" x14ac:dyDescent="0.2">
      <c r="A121" s="16">
        <v>120</v>
      </c>
      <c r="B121" s="16">
        <v>6</v>
      </c>
      <c r="C121" s="16">
        <v>2.2000000000000002</v>
      </c>
      <c r="D121" s="16">
        <v>5</v>
      </c>
      <c r="E121" s="16">
        <v>1.5</v>
      </c>
      <c r="F121" s="16" t="s">
        <v>70</v>
      </c>
    </row>
    <row r="122" spans="1:6" x14ac:dyDescent="0.2">
      <c r="A122" s="16">
        <v>121</v>
      </c>
      <c r="B122" s="16">
        <v>6.9</v>
      </c>
      <c r="C122" s="16">
        <v>3.2</v>
      </c>
      <c r="D122" s="16">
        <v>5.7</v>
      </c>
      <c r="E122" s="16">
        <v>2.2999999999999998</v>
      </c>
      <c r="F122" s="16" t="s">
        <v>70</v>
      </c>
    </row>
    <row r="123" spans="1:6" x14ac:dyDescent="0.2">
      <c r="A123" s="16">
        <v>122</v>
      </c>
      <c r="B123" s="16">
        <v>5.6</v>
      </c>
      <c r="C123" s="16">
        <v>2.8</v>
      </c>
      <c r="D123" s="16">
        <v>4.9000000000000004</v>
      </c>
      <c r="E123" s="16">
        <v>2</v>
      </c>
      <c r="F123" s="16" t="s">
        <v>70</v>
      </c>
    </row>
    <row r="124" spans="1:6" x14ac:dyDescent="0.2">
      <c r="A124" s="16">
        <v>123</v>
      </c>
      <c r="B124" s="16">
        <v>7.7</v>
      </c>
      <c r="C124" s="16">
        <v>2.8</v>
      </c>
      <c r="D124" s="16">
        <v>6.7</v>
      </c>
      <c r="E124" s="16">
        <v>2</v>
      </c>
      <c r="F124" s="16" t="s">
        <v>70</v>
      </c>
    </row>
    <row r="125" spans="1:6" x14ac:dyDescent="0.2">
      <c r="A125" s="16">
        <v>124</v>
      </c>
      <c r="B125" s="16">
        <v>6.3</v>
      </c>
      <c r="C125" s="16">
        <v>2.7</v>
      </c>
      <c r="D125" s="16">
        <v>4.9000000000000004</v>
      </c>
      <c r="E125" s="16">
        <v>1.8</v>
      </c>
      <c r="F125" s="16" t="s">
        <v>70</v>
      </c>
    </row>
    <row r="126" spans="1:6" x14ac:dyDescent="0.2">
      <c r="A126" s="16">
        <v>125</v>
      </c>
      <c r="B126" s="16">
        <v>6.7</v>
      </c>
      <c r="C126" s="16">
        <v>3.3</v>
      </c>
      <c r="D126" s="16">
        <v>5.7</v>
      </c>
      <c r="E126" s="16">
        <v>2.1</v>
      </c>
      <c r="F126" s="16" t="s">
        <v>70</v>
      </c>
    </row>
    <row r="127" spans="1:6" x14ac:dyDescent="0.2">
      <c r="A127" s="16">
        <v>126</v>
      </c>
      <c r="B127" s="16">
        <v>7.2</v>
      </c>
      <c r="C127" s="16">
        <v>3.2</v>
      </c>
      <c r="D127" s="16">
        <v>6</v>
      </c>
      <c r="E127" s="16">
        <v>1.8</v>
      </c>
      <c r="F127" s="16" t="s">
        <v>70</v>
      </c>
    </row>
    <row r="128" spans="1:6" x14ac:dyDescent="0.2">
      <c r="A128" s="16">
        <v>127</v>
      </c>
      <c r="B128" s="16">
        <v>6.2</v>
      </c>
      <c r="C128" s="16">
        <v>2.8</v>
      </c>
      <c r="D128" s="16">
        <v>4.8</v>
      </c>
      <c r="E128" s="16">
        <v>1.8</v>
      </c>
      <c r="F128" s="16" t="s">
        <v>70</v>
      </c>
    </row>
    <row r="129" spans="1:6" x14ac:dyDescent="0.2">
      <c r="A129" s="16">
        <v>128</v>
      </c>
      <c r="B129" s="16">
        <v>6.1</v>
      </c>
      <c r="C129" s="16">
        <v>3</v>
      </c>
      <c r="D129" s="16">
        <v>4.9000000000000004</v>
      </c>
      <c r="E129" s="16">
        <v>1.8</v>
      </c>
      <c r="F129" s="16" t="s">
        <v>70</v>
      </c>
    </row>
    <row r="130" spans="1:6" x14ac:dyDescent="0.2">
      <c r="A130" s="16">
        <v>129</v>
      </c>
      <c r="B130" s="16">
        <v>6.4</v>
      </c>
      <c r="C130" s="16">
        <v>2.8</v>
      </c>
      <c r="D130" s="16">
        <v>5.6</v>
      </c>
      <c r="E130" s="16">
        <v>2.1</v>
      </c>
      <c r="F130" s="16" t="s">
        <v>70</v>
      </c>
    </row>
    <row r="131" spans="1:6" x14ac:dyDescent="0.2">
      <c r="A131" s="16">
        <v>130</v>
      </c>
      <c r="B131" s="16">
        <v>7.2</v>
      </c>
      <c r="C131" s="16">
        <v>3</v>
      </c>
      <c r="D131" s="16">
        <v>5.8</v>
      </c>
      <c r="E131" s="16">
        <v>1.6</v>
      </c>
      <c r="F131" s="16" t="s">
        <v>70</v>
      </c>
    </row>
    <row r="132" spans="1:6" x14ac:dyDescent="0.2">
      <c r="A132" s="16">
        <v>131</v>
      </c>
      <c r="B132" s="16">
        <v>7.4</v>
      </c>
      <c r="C132" s="16">
        <v>2.8</v>
      </c>
      <c r="D132" s="16">
        <v>6.1</v>
      </c>
      <c r="E132" s="16">
        <v>1.9</v>
      </c>
      <c r="F132" s="16" t="s">
        <v>70</v>
      </c>
    </row>
    <row r="133" spans="1:6" x14ac:dyDescent="0.2">
      <c r="A133" s="16">
        <v>132</v>
      </c>
      <c r="B133" s="16">
        <v>7.9</v>
      </c>
      <c r="C133" s="16">
        <v>3.8</v>
      </c>
      <c r="D133" s="16">
        <v>6.4</v>
      </c>
      <c r="E133" s="16">
        <v>2</v>
      </c>
      <c r="F133" s="16" t="s">
        <v>70</v>
      </c>
    </row>
    <row r="134" spans="1:6" x14ac:dyDescent="0.2">
      <c r="A134" s="16">
        <v>133</v>
      </c>
      <c r="B134" s="16">
        <v>6.4</v>
      </c>
      <c r="C134" s="16">
        <v>2.8</v>
      </c>
      <c r="D134" s="16">
        <v>5.6</v>
      </c>
      <c r="E134" s="16">
        <v>2.2000000000000002</v>
      </c>
      <c r="F134" s="16" t="s">
        <v>70</v>
      </c>
    </row>
    <row r="135" spans="1:6" x14ac:dyDescent="0.2">
      <c r="A135" s="16">
        <v>134</v>
      </c>
      <c r="B135" s="16">
        <v>6.3</v>
      </c>
      <c r="C135" s="16">
        <v>2.8</v>
      </c>
      <c r="D135" s="16">
        <v>5.0999999999999996</v>
      </c>
      <c r="E135" s="16">
        <v>1.5</v>
      </c>
      <c r="F135" s="16" t="s">
        <v>70</v>
      </c>
    </row>
    <row r="136" spans="1:6" x14ac:dyDescent="0.2">
      <c r="A136" s="16">
        <v>135</v>
      </c>
      <c r="B136" s="16">
        <v>6.1</v>
      </c>
      <c r="C136" s="16">
        <v>2.6</v>
      </c>
      <c r="D136" s="16">
        <v>5.6</v>
      </c>
      <c r="E136" s="16">
        <v>1.4</v>
      </c>
      <c r="F136" s="16" t="s">
        <v>70</v>
      </c>
    </row>
    <row r="137" spans="1:6" x14ac:dyDescent="0.2">
      <c r="A137" s="16">
        <v>136</v>
      </c>
      <c r="B137" s="16">
        <v>7.7</v>
      </c>
      <c r="C137" s="16">
        <v>3</v>
      </c>
      <c r="D137" s="16">
        <v>6.1</v>
      </c>
      <c r="E137" s="16">
        <v>2.2999999999999998</v>
      </c>
      <c r="F137" s="16" t="s">
        <v>70</v>
      </c>
    </row>
    <row r="138" spans="1:6" x14ac:dyDescent="0.2">
      <c r="A138" s="16">
        <v>137</v>
      </c>
      <c r="B138" s="16">
        <v>6.3</v>
      </c>
      <c r="C138" s="16">
        <v>3.4</v>
      </c>
      <c r="D138" s="16">
        <v>5.6</v>
      </c>
      <c r="E138" s="16">
        <v>2.4</v>
      </c>
      <c r="F138" s="16" t="s">
        <v>70</v>
      </c>
    </row>
    <row r="139" spans="1:6" x14ac:dyDescent="0.2">
      <c r="A139" s="16">
        <v>138</v>
      </c>
      <c r="B139" s="16">
        <v>6.4</v>
      </c>
      <c r="C139" s="16">
        <v>3.1</v>
      </c>
      <c r="D139" s="16">
        <v>5.5</v>
      </c>
      <c r="E139" s="16">
        <v>1.8</v>
      </c>
      <c r="F139" s="16" t="s">
        <v>70</v>
      </c>
    </row>
    <row r="140" spans="1:6" x14ac:dyDescent="0.2">
      <c r="A140" s="16">
        <v>139</v>
      </c>
      <c r="B140" s="16">
        <v>6</v>
      </c>
      <c r="C140" s="16">
        <v>3</v>
      </c>
      <c r="D140" s="16">
        <v>4.8</v>
      </c>
      <c r="E140" s="16">
        <v>1.8</v>
      </c>
      <c r="F140" s="16" t="s">
        <v>70</v>
      </c>
    </row>
    <row r="141" spans="1:6" x14ac:dyDescent="0.2">
      <c r="A141" s="16">
        <v>140</v>
      </c>
      <c r="B141" s="16">
        <v>6.9</v>
      </c>
      <c r="C141" s="16">
        <v>3.1</v>
      </c>
      <c r="D141" s="16">
        <v>5.4</v>
      </c>
      <c r="E141" s="16">
        <v>2.1</v>
      </c>
      <c r="F141" s="16" t="s">
        <v>70</v>
      </c>
    </row>
    <row r="142" spans="1:6" x14ac:dyDescent="0.2">
      <c r="A142" s="16">
        <v>141</v>
      </c>
      <c r="B142" s="16">
        <v>6.7</v>
      </c>
      <c r="C142" s="16">
        <v>3.1</v>
      </c>
      <c r="D142" s="16">
        <v>5.6</v>
      </c>
      <c r="E142" s="16">
        <v>2.4</v>
      </c>
      <c r="F142" s="16" t="s">
        <v>70</v>
      </c>
    </row>
    <row r="143" spans="1:6" x14ac:dyDescent="0.2">
      <c r="A143" s="16">
        <v>142</v>
      </c>
      <c r="B143" s="16">
        <v>6.9</v>
      </c>
      <c r="C143" s="16">
        <v>3.1</v>
      </c>
      <c r="D143" s="16">
        <v>5.0999999999999996</v>
      </c>
      <c r="E143" s="16">
        <v>2.2999999999999998</v>
      </c>
      <c r="F143" s="16" t="s">
        <v>70</v>
      </c>
    </row>
    <row r="144" spans="1:6" x14ac:dyDescent="0.2">
      <c r="A144" s="16">
        <v>143</v>
      </c>
      <c r="B144" s="16">
        <v>5.8</v>
      </c>
      <c r="C144" s="16">
        <v>2.7</v>
      </c>
      <c r="D144" s="16">
        <v>5.0999999999999996</v>
      </c>
      <c r="E144" s="16">
        <v>1.9</v>
      </c>
      <c r="F144" s="16" t="s">
        <v>70</v>
      </c>
    </row>
    <row r="145" spans="1:6" x14ac:dyDescent="0.2">
      <c r="A145" s="16">
        <v>144</v>
      </c>
      <c r="B145" s="16">
        <v>6.8</v>
      </c>
      <c r="C145" s="16">
        <v>3.2</v>
      </c>
      <c r="D145" s="16">
        <v>5.9</v>
      </c>
      <c r="E145" s="16">
        <v>2.2999999999999998</v>
      </c>
      <c r="F145" s="16" t="s">
        <v>70</v>
      </c>
    </row>
    <row r="146" spans="1:6" x14ac:dyDescent="0.2">
      <c r="A146" s="16">
        <v>145</v>
      </c>
      <c r="B146" s="16">
        <v>6.7</v>
      </c>
      <c r="C146" s="16">
        <v>3.3</v>
      </c>
      <c r="D146" s="16">
        <v>5.7</v>
      </c>
      <c r="E146" s="16">
        <v>2.5</v>
      </c>
      <c r="F146" s="16" t="s">
        <v>70</v>
      </c>
    </row>
    <row r="147" spans="1:6" x14ac:dyDescent="0.2">
      <c r="A147" s="16">
        <v>146</v>
      </c>
      <c r="B147" s="16">
        <v>6.7</v>
      </c>
      <c r="C147" s="16">
        <v>3</v>
      </c>
      <c r="D147" s="16">
        <v>5.2</v>
      </c>
      <c r="E147" s="16">
        <v>2.2999999999999998</v>
      </c>
      <c r="F147" s="16" t="s">
        <v>70</v>
      </c>
    </row>
    <row r="148" spans="1:6" x14ac:dyDescent="0.2">
      <c r="A148" s="16">
        <v>147</v>
      </c>
      <c r="B148" s="16">
        <v>6.3</v>
      </c>
      <c r="C148" s="16">
        <v>2.5</v>
      </c>
      <c r="D148" s="16">
        <v>5</v>
      </c>
      <c r="E148" s="16">
        <v>1.9</v>
      </c>
      <c r="F148" s="16" t="s">
        <v>70</v>
      </c>
    </row>
    <row r="149" spans="1:6" x14ac:dyDescent="0.2">
      <c r="A149" s="16">
        <v>148</v>
      </c>
      <c r="B149" s="16">
        <v>6.5</v>
      </c>
      <c r="C149" s="16">
        <v>3</v>
      </c>
      <c r="D149" s="16">
        <v>5.2</v>
      </c>
      <c r="E149" s="16">
        <v>2</v>
      </c>
      <c r="F149" s="16" t="s">
        <v>70</v>
      </c>
    </row>
    <row r="150" spans="1:6" x14ac:dyDescent="0.2">
      <c r="A150" s="16">
        <v>149</v>
      </c>
      <c r="B150" s="16">
        <v>6.2</v>
      </c>
      <c r="C150" s="16">
        <v>3.4</v>
      </c>
      <c r="D150" s="16">
        <v>5.4</v>
      </c>
      <c r="E150" s="16">
        <v>2.2999999999999998</v>
      </c>
      <c r="F150" s="16" t="s">
        <v>70</v>
      </c>
    </row>
    <row r="151" spans="1:6" x14ac:dyDescent="0.2">
      <c r="A151" s="16">
        <v>150</v>
      </c>
      <c r="B151" s="16">
        <v>5.9</v>
      </c>
      <c r="C151" s="16">
        <v>3</v>
      </c>
      <c r="D151" s="16">
        <v>5.0999999999999996</v>
      </c>
      <c r="E151" s="16">
        <v>1.8</v>
      </c>
      <c r="F151" s="16" t="s">
        <v>70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71</v>
      </c>
      <c r="K3" s="17" t="s">
        <v>62</v>
      </c>
    </row>
    <row r="4" spans="2:12" x14ac:dyDescent="0.3">
      <c r="G4" s="18" t="s">
        <v>72</v>
      </c>
      <c r="H4" s="18">
        <v>0</v>
      </c>
      <c r="K4" s="18">
        <f t="array" ref="K4">SUM(LN(K12:K61+0.00000000001))</f>
        <v>-1266.4218011467253</v>
      </c>
    </row>
    <row r="5" spans="2:12" x14ac:dyDescent="0.3">
      <c r="G5" s="18" t="s">
        <v>58</v>
      </c>
      <c r="H5" s="18">
        <v>0</v>
      </c>
    </row>
    <row r="6" spans="2:12" x14ac:dyDescent="0.3">
      <c r="G6" s="18" t="s">
        <v>59</v>
      </c>
      <c r="H6" s="18">
        <v>0</v>
      </c>
    </row>
    <row r="7" spans="2:12" x14ac:dyDescent="0.3">
      <c r="G7" s="18" t="s">
        <v>73</v>
      </c>
      <c r="H7" s="18">
        <v>0</v>
      </c>
    </row>
    <row r="8" spans="2:12" x14ac:dyDescent="0.3">
      <c r="G8" s="18" t="s">
        <v>74</v>
      </c>
      <c r="H8" s="18">
        <v>1.5482559354478314</v>
      </c>
    </row>
    <row r="11" spans="2:12" s="17" customFormat="1" x14ac:dyDescent="0.3">
      <c r="B11" s="17" t="s">
        <v>60</v>
      </c>
      <c r="C11" s="17" t="s">
        <v>61</v>
      </c>
      <c r="D11" s="17" t="s">
        <v>24</v>
      </c>
      <c r="E11" s="17" t="s">
        <v>26</v>
      </c>
      <c r="F11" s="17" t="s">
        <v>75</v>
      </c>
      <c r="G11" s="17" t="s">
        <v>76</v>
      </c>
      <c r="H11" s="17" t="s">
        <v>25</v>
      </c>
      <c r="I11" s="17" t="s">
        <v>77</v>
      </c>
      <c r="J11" s="17" t="s">
        <v>78</v>
      </c>
      <c r="K11" s="17" t="s">
        <v>79</v>
      </c>
      <c r="L11" s="17" t="s">
        <v>23</v>
      </c>
    </row>
    <row r="12" spans="2:12" x14ac:dyDescent="0.3">
      <c r="B12" s="18" cm="1">
        <f t="array" aca="1" ref="B12:G36" ca="1">OFFSET(Iris_Data!A1,1,0,25,6)</f>
        <v>1</v>
      </c>
      <c r="C12" s="18">
        <f ca="1"/>
        <v>5.0999999999999996</v>
      </c>
      <c r="D12" s="18">
        <f ca="1"/>
        <v>3.5</v>
      </c>
      <c r="E12" s="18">
        <f ca="1"/>
        <v>1.4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22"/>
      <c r="J12" s="22"/>
      <c r="K12" s="22"/>
      <c r="L12" s="22"/>
    </row>
    <row r="13" spans="2:12" x14ac:dyDescent="0.3">
      <c r="B13" s="18">
        <f ca="1"/>
        <v>2</v>
      </c>
      <c r="C13" s="18">
        <f ca="1"/>
        <v>4.9000000000000004</v>
      </c>
      <c r="D13" s="18">
        <f ca="1"/>
        <v>3</v>
      </c>
      <c r="E13" s="18">
        <f ca="1"/>
        <v>1.4</v>
      </c>
      <c r="F13" s="18">
        <f ca="1"/>
        <v>0.2</v>
      </c>
      <c r="G13" s="18" t="str">
        <f ca="1"/>
        <v>setosa</v>
      </c>
      <c r="H13" s="18">
        <f t="shared" ca="1" si="0"/>
        <v>0</v>
      </c>
      <c r="I13" s="22"/>
      <c r="J13" s="22"/>
      <c r="K13" s="22"/>
      <c r="L13" s="22"/>
    </row>
    <row r="14" spans="2:12" x14ac:dyDescent="0.3">
      <c r="B14" s="18">
        <f ca="1"/>
        <v>3</v>
      </c>
      <c r="C14" s="18">
        <f ca="1"/>
        <v>4.7</v>
      </c>
      <c r="D14" s="18">
        <f ca="1"/>
        <v>3.2</v>
      </c>
      <c r="E14" s="18">
        <f ca="1"/>
        <v>1.3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22"/>
      <c r="J14" s="22"/>
      <c r="K14" s="22"/>
      <c r="L14" s="22"/>
    </row>
    <row r="15" spans="2:12" x14ac:dyDescent="0.3">
      <c r="B15" s="18">
        <f ca="1"/>
        <v>4</v>
      </c>
      <c r="C15" s="18">
        <f ca="1"/>
        <v>4.5999999999999996</v>
      </c>
      <c r="D15" s="18">
        <f ca="1"/>
        <v>3.1</v>
      </c>
      <c r="E15" s="18">
        <f ca="1"/>
        <v>1.5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22"/>
      <c r="J15" s="22"/>
      <c r="K15" s="22"/>
      <c r="L15" s="22"/>
    </row>
    <row r="16" spans="2:12" x14ac:dyDescent="0.3">
      <c r="B16" s="18">
        <f ca="1"/>
        <v>5</v>
      </c>
      <c r="C16" s="18">
        <f ca="1"/>
        <v>5</v>
      </c>
      <c r="D16" s="18">
        <f ca="1"/>
        <v>3.6</v>
      </c>
      <c r="E16" s="18">
        <f ca="1"/>
        <v>1.4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22"/>
      <c r="J16" s="22"/>
      <c r="K16" s="22"/>
      <c r="L16" s="22"/>
    </row>
    <row r="17" spans="2:12" x14ac:dyDescent="0.3">
      <c r="B17" s="18">
        <f ca="1"/>
        <v>6</v>
      </c>
      <c r="C17" s="18">
        <f ca="1"/>
        <v>5.4</v>
      </c>
      <c r="D17" s="18">
        <f ca="1"/>
        <v>3.9</v>
      </c>
      <c r="E17" s="18">
        <f ca="1"/>
        <v>1.7</v>
      </c>
      <c r="F17" s="18">
        <f ca="1"/>
        <v>0.4</v>
      </c>
      <c r="G17" s="18" t="str">
        <f ca="1"/>
        <v>setosa</v>
      </c>
      <c r="H17" s="18">
        <f t="shared" ca="1" si="0"/>
        <v>0</v>
      </c>
      <c r="I17" s="22"/>
      <c r="J17" s="22"/>
      <c r="K17" s="22"/>
      <c r="L17" s="22"/>
    </row>
    <row r="18" spans="2:12" x14ac:dyDescent="0.3">
      <c r="B18" s="18">
        <f ca="1"/>
        <v>7</v>
      </c>
      <c r="C18" s="18">
        <f ca="1"/>
        <v>4.5999999999999996</v>
      </c>
      <c r="D18" s="18">
        <f ca="1"/>
        <v>3.4</v>
      </c>
      <c r="E18" s="18">
        <f ca="1"/>
        <v>1.4</v>
      </c>
      <c r="F18" s="18">
        <f ca="1"/>
        <v>0.3</v>
      </c>
      <c r="G18" s="18" t="str">
        <f ca="1"/>
        <v>setosa</v>
      </c>
      <c r="H18" s="18">
        <f t="shared" ca="1" si="0"/>
        <v>0</v>
      </c>
      <c r="I18" s="22"/>
      <c r="J18" s="22"/>
      <c r="K18" s="22"/>
      <c r="L18" s="22"/>
    </row>
    <row r="19" spans="2:12" x14ac:dyDescent="0.3">
      <c r="B19" s="18">
        <f ca="1"/>
        <v>8</v>
      </c>
      <c r="C19" s="18">
        <f ca="1"/>
        <v>5</v>
      </c>
      <c r="D19" s="18">
        <f ca="1"/>
        <v>3.4</v>
      </c>
      <c r="E19" s="18">
        <f ca="1"/>
        <v>1.5</v>
      </c>
      <c r="F19" s="18">
        <f ca="1"/>
        <v>0.2</v>
      </c>
      <c r="G19" s="18" t="str">
        <f ca="1"/>
        <v>setosa</v>
      </c>
      <c r="H19" s="18">
        <f t="shared" ca="1" si="0"/>
        <v>0</v>
      </c>
      <c r="I19" s="22"/>
      <c r="J19" s="22"/>
      <c r="K19" s="22"/>
      <c r="L19" s="22"/>
    </row>
    <row r="20" spans="2:12" x14ac:dyDescent="0.3">
      <c r="B20" s="18">
        <f ca="1"/>
        <v>9</v>
      </c>
      <c r="C20" s="18">
        <f ca="1"/>
        <v>4.4000000000000004</v>
      </c>
      <c r="D20" s="18">
        <f ca="1"/>
        <v>2.9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22"/>
      <c r="J20" s="22"/>
      <c r="K20" s="22"/>
      <c r="L20" s="22"/>
    </row>
    <row r="21" spans="2:12" x14ac:dyDescent="0.3">
      <c r="B21" s="18">
        <f ca="1"/>
        <v>10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0.1</v>
      </c>
      <c r="G21" s="18" t="str">
        <f ca="1"/>
        <v>setosa</v>
      </c>
      <c r="H21" s="18">
        <f t="shared" ca="1" si="0"/>
        <v>0</v>
      </c>
      <c r="I21" s="22"/>
      <c r="J21" s="22"/>
      <c r="K21" s="22"/>
      <c r="L21" s="22"/>
    </row>
    <row r="22" spans="2:12" x14ac:dyDescent="0.3">
      <c r="B22" s="18">
        <f ca="1"/>
        <v>11</v>
      </c>
      <c r="C22" s="18">
        <f ca="1"/>
        <v>5.4</v>
      </c>
      <c r="D22" s="18">
        <f ca="1"/>
        <v>3.7</v>
      </c>
      <c r="E22" s="18">
        <f ca="1"/>
        <v>1.5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22"/>
      <c r="J22" s="22"/>
      <c r="K22" s="22"/>
      <c r="L22" s="22"/>
    </row>
    <row r="23" spans="2:12" x14ac:dyDescent="0.3">
      <c r="B23" s="18">
        <f ca="1"/>
        <v>12</v>
      </c>
      <c r="C23" s="18">
        <f ca="1"/>
        <v>4.8</v>
      </c>
      <c r="D23" s="18">
        <f ca="1"/>
        <v>3.4</v>
      </c>
      <c r="E23" s="18">
        <f ca="1"/>
        <v>1.6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22"/>
      <c r="J23" s="22"/>
      <c r="K23" s="22"/>
      <c r="L23" s="22"/>
    </row>
    <row r="24" spans="2:12" x14ac:dyDescent="0.3">
      <c r="B24" s="18">
        <f ca="1"/>
        <v>13</v>
      </c>
      <c r="C24" s="18">
        <f ca="1"/>
        <v>4.8</v>
      </c>
      <c r="D24" s="18">
        <f ca="1"/>
        <v>3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22"/>
      <c r="J24" s="22"/>
      <c r="K24" s="22"/>
      <c r="L24" s="22"/>
    </row>
    <row r="25" spans="2:12" x14ac:dyDescent="0.3">
      <c r="B25" s="18">
        <f ca="1"/>
        <v>14</v>
      </c>
      <c r="C25" s="18">
        <f ca="1"/>
        <v>4.3</v>
      </c>
      <c r="D25" s="18">
        <f ca="1"/>
        <v>3</v>
      </c>
      <c r="E25" s="18">
        <f ca="1"/>
        <v>1.1000000000000001</v>
      </c>
      <c r="F25" s="18">
        <f ca="1"/>
        <v>0.1</v>
      </c>
      <c r="G25" s="18" t="str">
        <f ca="1"/>
        <v>setosa</v>
      </c>
      <c r="H25" s="18">
        <f t="shared" ca="1" si="0"/>
        <v>0</v>
      </c>
      <c r="I25" s="22"/>
      <c r="J25" s="22"/>
      <c r="K25" s="22"/>
      <c r="L25" s="22"/>
    </row>
    <row r="26" spans="2:12" x14ac:dyDescent="0.3">
      <c r="B26" s="18">
        <f ca="1"/>
        <v>15</v>
      </c>
      <c r="C26" s="18">
        <f ca="1"/>
        <v>5.8</v>
      </c>
      <c r="D26" s="18">
        <f ca="1"/>
        <v>4</v>
      </c>
      <c r="E26" s="18">
        <f ca="1"/>
        <v>1.2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22"/>
      <c r="J26" s="22"/>
      <c r="K26" s="22"/>
      <c r="L26" s="22"/>
    </row>
    <row r="27" spans="2:12" x14ac:dyDescent="0.3">
      <c r="B27" s="18">
        <f ca="1"/>
        <v>16</v>
      </c>
      <c r="C27" s="18">
        <f ca="1"/>
        <v>5.7</v>
      </c>
      <c r="D27" s="18">
        <f ca="1"/>
        <v>4.4000000000000004</v>
      </c>
      <c r="E27" s="18">
        <f ca="1"/>
        <v>1.5</v>
      </c>
      <c r="F27" s="18">
        <f ca="1"/>
        <v>0.4</v>
      </c>
      <c r="G27" s="18" t="str">
        <f ca="1"/>
        <v>setosa</v>
      </c>
      <c r="H27" s="18">
        <f t="shared" ca="1" si="0"/>
        <v>0</v>
      </c>
      <c r="I27" s="22"/>
      <c r="J27" s="22"/>
      <c r="K27" s="22"/>
      <c r="L27" s="22"/>
    </row>
    <row r="28" spans="2:12" x14ac:dyDescent="0.3">
      <c r="B28" s="18">
        <f ca="1"/>
        <v>17</v>
      </c>
      <c r="C28" s="18">
        <f ca="1"/>
        <v>5.4</v>
      </c>
      <c r="D28" s="18">
        <f ca="1"/>
        <v>3.9</v>
      </c>
      <c r="E28" s="18">
        <f ca="1"/>
        <v>1.3</v>
      </c>
      <c r="F28" s="18">
        <f ca="1"/>
        <v>0.4</v>
      </c>
      <c r="G28" s="18" t="str">
        <f ca="1"/>
        <v>setosa</v>
      </c>
      <c r="H28" s="18">
        <f t="shared" ca="1" si="0"/>
        <v>0</v>
      </c>
      <c r="I28" s="22"/>
      <c r="J28" s="22"/>
      <c r="K28" s="22"/>
      <c r="L28" s="22"/>
    </row>
    <row r="29" spans="2:12" x14ac:dyDescent="0.3">
      <c r="B29" s="18">
        <f ca="1"/>
        <v>18</v>
      </c>
      <c r="C29" s="18">
        <f ca="1"/>
        <v>5.0999999999999996</v>
      </c>
      <c r="D29" s="18">
        <f ca="1"/>
        <v>3.5</v>
      </c>
      <c r="E29" s="18">
        <f ca="1"/>
        <v>1.4</v>
      </c>
      <c r="F29" s="18">
        <f ca="1"/>
        <v>0.3</v>
      </c>
      <c r="G29" s="18" t="str">
        <f ca="1"/>
        <v>setosa</v>
      </c>
      <c r="H29" s="18">
        <f t="shared" ca="1" si="0"/>
        <v>0</v>
      </c>
      <c r="I29" s="22"/>
      <c r="J29" s="22"/>
      <c r="K29" s="22"/>
      <c r="L29" s="22"/>
    </row>
    <row r="30" spans="2:12" x14ac:dyDescent="0.3">
      <c r="B30" s="18">
        <f ca="1"/>
        <v>19</v>
      </c>
      <c r="C30" s="18">
        <f ca="1"/>
        <v>5.7</v>
      </c>
      <c r="D30" s="18">
        <f ca="1"/>
        <v>3.8</v>
      </c>
      <c r="E30" s="18">
        <f ca="1"/>
        <v>1.7</v>
      </c>
      <c r="F30" s="18">
        <f ca="1"/>
        <v>0.3</v>
      </c>
      <c r="G30" s="18" t="str">
        <f ca="1"/>
        <v>setosa</v>
      </c>
      <c r="H30" s="18">
        <f t="shared" ca="1" si="0"/>
        <v>0</v>
      </c>
      <c r="I30" s="22"/>
      <c r="J30" s="22"/>
      <c r="K30" s="22"/>
      <c r="L30" s="22"/>
    </row>
    <row r="31" spans="2:12" x14ac:dyDescent="0.3">
      <c r="B31" s="18">
        <f ca="1"/>
        <v>20</v>
      </c>
      <c r="C31" s="18">
        <f ca="1"/>
        <v>5.0999999999999996</v>
      </c>
      <c r="D31" s="18">
        <f ca="1"/>
        <v>3.8</v>
      </c>
      <c r="E31" s="18">
        <f ca="1"/>
        <v>1.5</v>
      </c>
      <c r="F31" s="18">
        <f ca="1"/>
        <v>0.3</v>
      </c>
      <c r="G31" s="18" t="str">
        <f ca="1"/>
        <v>setosa</v>
      </c>
      <c r="H31" s="18">
        <f t="shared" ca="1" si="0"/>
        <v>0</v>
      </c>
      <c r="I31" s="22"/>
      <c r="J31" s="22"/>
      <c r="K31" s="22"/>
      <c r="L31" s="22"/>
    </row>
    <row r="32" spans="2:12" x14ac:dyDescent="0.3">
      <c r="B32" s="18">
        <f ca="1"/>
        <v>21</v>
      </c>
      <c r="C32" s="18">
        <f ca="1"/>
        <v>5.4</v>
      </c>
      <c r="D32" s="18">
        <f ca="1"/>
        <v>3.4</v>
      </c>
      <c r="E32" s="18">
        <f ca="1"/>
        <v>1.7</v>
      </c>
      <c r="F32" s="18">
        <f ca="1"/>
        <v>0.2</v>
      </c>
      <c r="G32" s="18" t="str">
        <f ca="1"/>
        <v>setosa</v>
      </c>
      <c r="H32" s="18">
        <f t="shared" ca="1" si="0"/>
        <v>0</v>
      </c>
      <c r="I32" s="22"/>
      <c r="J32" s="22"/>
      <c r="K32" s="22"/>
      <c r="L32" s="22"/>
    </row>
    <row r="33" spans="2:12" x14ac:dyDescent="0.3">
      <c r="B33" s="18">
        <f ca="1"/>
        <v>22</v>
      </c>
      <c r="C33" s="18">
        <f ca="1"/>
        <v>5.0999999999999996</v>
      </c>
      <c r="D33" s="18">
        <f ca="1"/>
        <v>3.7</v>
      </c>
      <c r="E33" s="18">
        <f ca="1"/>
        <v>1.5</v>
      </c>
      <c r="F33" s="18">
        <f ca="1"/>
        <v>0.4</v>
      </c>
      <c r="G33" s="18" t="str">
        <f ca="1"/>
        <v>setosa</v>
      </c>
      <c r="H33" s="18">
        <f t="shared" ca="1" si="0"/>
        <v>0</v>
      </c>
      <c r="I33" s="22"/>
      <c r="J33" s="22"/>
      <c r="K33" s="22"/>
      <c r="L33" s="22"/>
    </row>
    <row r="34" spans="2:12" x14ac:dyDescent="0.3">
      <c r="B34" s="18">
        <f ca="1"/>
        <v>23</v>
      </c>
      <c r="C34" s="18">
        <f ca="1"/>
        <v>4.5999999999999996</v>
      </c>
      <c r="D34" s="18">
        <f ca="1"/>
        <v>3.6</v>
      </c>
      <c r="E34" s="18">
        <f ca="1"/>
        <v>1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22"/>
      <c r="J34" s="22"/>
      <c r="K34" s="22"/>
      <c r="L34" s="22"/>
    </row>
    <row r="35" spans="2:12" x14ac:dyDescent="0.3">
      <c r="B35" s="18">
        <f ca="1"/>
        <v>24</v>
      </c>
      <c r="C35" s="18">
        <f ca="1"/>
        <v>5.0999999999999996</v>
      </c>
      <c r="D35" s="18">
        <f ca="1"/>
        <v>3.3</v>
      </c>
      <c r="E35" s="18">
        <f ca="1"/>
        <v>1.7</v>
      </c>
      <c r="F35" s="18">
        <f ca="1"/>
        <v>0.5</v>
      </c>
      <c r="G35" s="18" t="str">
        <f ca="1"/>
        <v>setosa</v>
      </c>
      <c r="H35" s="18">
        <f t="shared" ca="1" si="0"/>
        <v>0</v>
      </c>
      <c r="I35" s="22"/>
      <c r="J35" s="22"/>
      <c r="K35" s="22"/>
      <c r="L35" s="22"/>
    </row>
    <row r="36" spans="2:12" x14ac:dyDescent="0.3">
      <c r="B36" s="18">
        <f ca="1"/>
        <v>25</v>
      </c>
      <c r="C36" s="18">
        <f ca="1"/>
        <v>4.8</v>
      </c>
      <c r="D36" s="18">
        <f ca="1"/>
        <v>3.4</v>
      </c>
      <c r="E36" s="18">
        <f ca="1"/>
        <v>1.9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22"/>
      <c r="J36" s="22"/>
      <c r="K36" s="22"/>
      <c r="L36" s="22"/>
    </row>
    <row r="37" spans="2:12" x14ac:dyDescent="0.3">
      <c r="B37" s="18" cm="1">
        <f t="array" aca="1" ref="B37:G61" ca="1">OFFSET(Iris_Data!A76,1,0,25,6)</f>
        <v>76</v>
      </c>
      <c r="C37" s="18">
        <f ca="1"/>
        <v>6.6</v>
      </c>
      <c r="D37" s="18">
        <f ca="1"/>
        <v>3</v>
      </c>
      <c r="E37" s="18">
        <f ca="1"/>
        <v>4.4000000000000004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22"/>
      <c r="J37" s="22"/>
      <c r="K37" s="22"/>
      <c r="L37" s="22"/>
    </row>
    <row r="38" spans="2:12" x14ac:dyDescent="0.3">
      <c r="B38" s="18">
        <f ca="1"/>
        <v>77</v>
      </c>
      <c r="C38" s="18">
        <f ca="1"/>
        <v>6.8</v>
      </c>
      <c r="D38" s="18">
        <f ca="1"/>
        <v>2.8</v>
      </c>
      <c r="E38" s="18">
        <f ca="1"/>
        <v>4.8</v>
      </c>
      <c r="F38" s="18">
        <f ca="1"/>
        <v>1.4</v>
      </c>
      <c r="G38" s="18" t="str">
        <f ca="1"/>
        <v>versicolor</v>
      </c>
      <c r="H38" s="18">
        <f t="shared" ca="1" si="0"/>
        <v>1</v>
      </c>
      <c r="I38" s="22"/>
      <c r="J38" s="22"/>
      <c r="K38" s="22"/>
      <c r="L38" s="22"/>
    </row>
    <row r="39" spans="2:12" x14ac:dyDescent="0.3">
      <c r="B39" s="18">
        <f ca="1"/>
        <v>78</v>
      </c>
      <c r="C39" s="18">
        <f ca="1"/>
        <v>6.7</v>
      </c>
      <c r="D39" s="18">
        <f ca="1"/>
        <v>3</v>
      </c>
      <c r="E39" s="18">
        <f ca="1"/>
        <v>5</v>
      </c>
      <c r="F39" s="18">
        <f ca="1"/>
        <v>1.7</v>
      </c>
      <c r="G39" s="18" t="str">
        <f ca="1"/>
        <v>versicolor</v>
      </c>
      <c r="H39" s="18">
        <f t="shared" ca="1" si="0"/>
        <v>1</v>
      </c>
      <c r="I39" s="22"/>
      <c r="J39" s="22"/>
      <c r="K39" s="22"/>
      <c r="L39" s="22"/>
    </row>
    <row r="40" spans="2:12" x14ac:dyDescent="0.3">
      <c r="B40" s="18">
        <f ca="1"/>
        <v>79</v>
      </c>
      <c r="C40" s="18">
        <f ca="1"/>
        <v>6</v>
      </c>
      <c r="D40" s="18">
        <f ca="1"/>
        <v>2.9</v>
      </c>
      <c r="E40" s="18">
        <f ca="1"/>
        <v>4.5</v>
      </c>
      <c r="F40" s="18">
        <f ca="1"/>
        <v>1.5</v>
      </c>
      <c r="G40" s="18" t="str">
        <f ca="1"/>
        <v>versicolor</v>
      </c>
      <c r="H40" s="18">
        <f t="shared" ca="1" si="0"/>
        <v>1</v>
      </c>
      <c r="I40" s="22"/>
      <c r="J40" s="22"/>
      <c r="K40" s="22"/>
      <c r="L40" s="22"/>
    </row>
    <row r="41" spans="2:12" x14ac:dyDescent="0.3">
      <c r="B41" s="18">
        <f ca="1"/>
        <v>80</v>
      </c>
      <c r="C41" s="18">
        <f ca="1"/>
        <v>5.7</v>
      </c>
      <c r="D41" s="18">
        <f ca="1"/>
        <v>2.6</v>
      </c>
      <c r="E41" s="18">
        <f ca="1"/>
        <v>3.5</v>
      </c>
      <c r="F41" s="18">
        <f ca="1"/>
        <v>1</v>
      </c>
      <c r="G41" s="18" t="str">
        <f ca="1"/>
        <v>versicolor</v>
      </c>
      <c r="H41" s="18">
        <f t="shared" ca="1" si="0"/>
        <v>1</v>
      </c>
      <c r="I41" s="22"/>
      <c r="J41" s="22"/>
      <c r="K41" s="22"/>
      <c r="L41" s="22"/>
    </row>
    <row r="42" spans="2:12" x14ac:dyDescent="0.3">
      <c r="B42" s="18">
        <f ca="1"/>
        <v>81</v>
      </c>
      <c r="C42" s="18">
        <f ca="1"/>
        <v>5.5</v>
      </c>
      <c r="D42" s="18">
        <f ca="1"/>
        <v>2.4</v>
      </c>
      <c r="E42" s="18">
        <f ca="1"/>
        <v>3.8</v>
      </c>
      <c r="F42" s="18">
        <f ca="1"/>
        <v>1.1000000000000001</v>
      </c>
      <c r="G42" s="18" t="str">
        <f ca="1"/>
        <v>versicolor</v>
      </c>
      <c r="H42" s="18">
        <f t="shared" ca="1" si="0"/>
        <v>1</v>
      </c>
      <c r="I42" s="22"/>
      <c r="J42" s="22"/>
      <c r="K42" s="22"/>
      <c r="L42" s="22"/>
    </row>
    <row r="43" spans="2:12" x14ac:dyDescent="0.3">
      <c r="B43" s="18">
        <f ca="1"/>
        <v>82</v>
      </c>
      <c r="C43" s="18">
        <f ca="1"/>
        <v>5.5</v>
      </c>
      <c r="D43" s="18">
        <f ca="1"/>
        <v>2.4</v>
      </c>
      <c r="E43" s="18">
        <f ca="1"/>
        <v>3.7</v>
      </c>
      <c r="F43" s="18">
        <f ca="1"/>
        <v>1</v>
      </c>
      <c r="G43" s="18" t="str">
        <f ca="1"/>
        <v>versicolor</v>
      </c>
      <c r="H43" s="18">
        <f t="shared" ca="1" si="0"/>
        <v>1</v>
      </c>
      <c r="I43" s="22"/>
      <c r="J43" s="22"/>
      <c r="K43" s="22"/>
      <c r="L43" s="22"/>
    </row>
    <row r="44" spans="2:12" x14ac:dyDescent="0.3">
      <c r="B44" s="18">
        <f ca="1"/>
        <v>83</v>
      </c>
      <c r="C44" s="18">
        <f ca="1"/>
        <v>5.8</v>
      </c>
      <c r="D44" s="18">
        <f ca="1"/>
        <v>2.7</v>
      </c>
      <c r="E44" s="18">
        <f ca="1"/>
        <v>3.9</v>
      </c>
      <c r="F44" s="18">
        <f ca="1"/>
        <v>1.2</v>
      </c>
      <c r="G44" s="18" t="str">
        <f ca="1"/>
        <v>versicolor</v>
      </c>
      <c r="H44" s="18">
        <f t="shared" ca="1" si="0"/>
        <v>1</v>
      </c>
      <c r="I44" s="22"/>
      <c r="J44" s="22"/>
      <c r="K44" s="22"/>
      <c r="L44" s="22"/>
    </row>
    <row r="45" spans="2:12" x14ac:dyDescent="0.3">
      <c r="B45" s="18">
        <f ca="1"/>
        <v>84</v>
      </c>
      <c r="C45" s="18">
        <f ca="1"/>
        <v>6</v>
      </c>
      <c r="D45" s="18">
        <f ca="1"/>
        <v>2.7</v>
      </c>
      <c r="E45" s="18">
        <f ca="1"/>
        <v>5.0999999999999996</v>
      </c>
      <c r="F45" s="18">
        <f ca="1"/>
        <v>1.6</v>
      </c>
      <c r="G45" s="18" t="str">
        <f ca="1"/>
        <v>versicolor</v>
      </c>
      <c r="H45" s="18">
        <f t="shared" ca="1" si="0"/>
        <v>1</v>
      </c>
      <c r="I45" s="22"/>
      <c r="J45" s="22"/>
      <c r="K45" s="22"/>
      <c r="L45" s="22"/>
    </row>
    <row r="46" spans="2:12" x14ac:dyDescent="0.3">
      <c r="B46" s="18">
        <f ca="1"/>
        <v>85</v>
      </c>
      <c r="C46" s="18">
        <f ca="1"/>
        <v>5.4</v>
      </c>
      <c r="D46" s="18">
        <f ca="1"/>
        <v>3</v>
      </c>
      <c r="E46" s="18">
        <f ca="1"/>
        <v>4.5</v>
      </c>
      <c r="F46" s="18">
        <f ca="1"/>
        <v>1.5</v>
      </c>
      <c r="G46" s="18" t="str">
        <f ca="1"/>
        <v>versicolor</v>
      </c>
      <c r="H46" s="18">
        <f t="shared" ca="1" si="0"/>
        <v>1</v>
      </c>
      <c r="I46" s="22"/>
      <c r="J46" s="22"/>
      <c r="K46" s="22"/>
      <c r="L46" s="22"/>
    </row>
    <row r="47" spans="2:12" x14ac:dyDescent="0.3">
      <c r="B47" s="18">
        <f ca="1"/>
        <v>86</v>
      </c>
      <c r="C47" s="18">
        <f ca="1"/>
        <v>6</v>
      </c>
      <c r="D47" s="18">
        <f ca="1"/>
        <v>3.4</v>
      </c>
      <c r="E47" s="18">
        <f ca="1"/>
        <v>4.5</v>
      </c>
      <c r="F47" s="18">
        <f ca="1"/>
        <v>1.6</v>
      </c>
      <c r="G47" s="18" t="str">
        <f ca="1"/>
        <v>versicolor</v>
      </c>
      <c r="H47" s="18">
        <f t="shared" ca="1" si="0"/>
        <v>1</v>
      </c>
      <c r="I47" s="22"/>
      <c r="J47" s="22"/>
      <c r="K47" s="22"/>
      <c r="L47" s="22"/>
    </row>
    <row r="48" spans="2:12" x14ac:dyDescent="0.3">
      <c r="B48" s="18">
        <f ca="1"/>
        <v>87</v>
      </c>
      <c r="C48" s="18">
        <f ca="1"/>
        <v>6.7</v>
      </c>
      <c r="D48" s="18">
        <f ca="1"/>
        <v>3.1</v>
      </c>
      <c r="E48" s="18">
        <f ca="1"/>
        <v>4.7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22"/>
      <c r="J48" s="22"/>
      <c r="K48" s="22"/>
      <c r="L48" s="22"/>
    </row>
    <row r="49" spans="2:12" x14ac:dyDescent="0.3">
      <c r="B49" s="18">
        <f ca="1"/>
        <v>88</v>
      </c>
      <c r="C49" s="18">
        <f ca="1"/>
        <v>6.3</v>
      </c>
      <c r="D49" s="18">
        <f ca="1"/>
        <v>2.2999999999999998</v>
      </c>
      <c r="E49" s="18">
        <f ca="1"/>
        <v>4.4000000000000004</v>
      </c>
      <c r="F49" s="18">
        <f ca="1"/>
        <v>1.3</v>
      </c>
      <c r="G49" s="18" t="str">
        <f ca="1"/>
        <v>versicolor</v>
      </c>
      <c r="H49" s="18">
        <f t="shared" ca="1" si="0"/>
        <v>1</v>
      </c>
      <c r="I49" s="22"/>
      <c r="J49" s="22"/>
      <c r="K49" s="22"/>
      <c r="L49" s="22"/>
    </row>
    <row r="50" spans="2:12" x14ac:dyDescent="0.3">
      <c r="B50" s="18">
        <f ca="1"/>
        <v>89</v>
      </c>
      <c r="C50" s="18">
        <f ca="1"/>
        <v>5.6</v>
      </c>
      <c r="D50" s="18">
        <f ca="1"/>
        <v>3</v>
      </c>
      <c r="E50" s="18">
        <f ca="1"/>
        <v>4.0999999999999996</v>
      </c>
      <c r="F50" s="18">
        <f ca="1"/>
        <v>1.3</v>
      </c>
      <c r="G50" s="18" t="str">
        <f ca="1"/>
        <v>versicolor</v>
      </c>
      <c r="H50" s="18">
        <f t="shared" ca="1" si="0"/>
        <v>1</v>
      </c>
      <c r="I50" s="22"/>
      <c r="J50" s="22"/>
      <c r="K50" s="22"/>
      <c r="L50" s="22"/>
    </row>
    <row r="51" spans="2:12" x14ac:dyDescent="0.3">
      <c r="B51" s="18">
        <f ca="1"/>
        <v>90</v>
      </c>
      <c r="C51" s="18">
        <f ca="1"/>
        <v>5.5</v>
      </c>
      <c r="D51" s="18">
        <f ca="1"/>
        <v>2.5</v>
      </c>
      <c r="E51" s="18">
        <f ca="1"/>
        <v>4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22"/>
      <c r="J51" s="22"/>
      <c r="K51" s="22"/>
      <c r="L51" s="22"/>
    </row>
    <row r="52" spans="2:12" x14ac:dyDescent="0.3">
      <c r="B52" s="18">
        <f ca="1"/>
        <v>91</v>
      </c>
      <c r="C52" s="18">
        <f ca="1"/>
        <v>5.5</v>
      </c>
      <c r="D52" s="18">
        <f ca="1"/>
        <v>2.6</v>
      </c>
      <c r="E52" s="18">
        <f ca="1"/>
        <v>4.4000000000000004</v>
      </c>
      <c r="F52" s="18">
        <f ca="1"/>
        <v>1.2</v>
      </c>
      <c r="G52" s="18" t="str">
        <f ca="1"/>
        <v>versicolor</v>
      </c>
      <c r="H52" s="18">
        <f t="shared" ca="1" si="0"/>
        <v>1</v>
      </c>
      <c r="I52" s="22"/>
      <c r="J52" s="22"/>
      <c r="K52" s="22"/>
      <c r="L52" s="22"/>
    </row>
    <row r="53" spans="2:12" x14ac:dyDescent="0.3">
      <c r="B53" s="18">
        <f ca="1"/>
        <v>92</v>
      </c>
      <c r="C53" s="18">
        <f ca="1"/>
        <v>6.1</v>
      </c>
      <c r="D53" s="18">
        <f ca="1"/>
        <v>3</v>
      </c>
      <c r="E53" s="18">
        <f ca="1"/>
        <v>4.5999999999999996</v>
      </c>
      <c r="F53" s="18">
        <f ca="1"/>
        <v>1.4</v>
      </c>
      <c r="G53" s="18" t="str">
        <f ca="1"/>
        <v>versicolor</v>
      </c>
      <c r="H53" s="18">
        <f t="shared" ca="1" si="0"/>
        <v>1</v>
      </c>
      <c r="I53" s="22"/>
      <c r="J53" s="22"/>
      <c r="K53" s="22"/>
      <c r="L53" s="22"/>
    </row>
    <row r="54" spans="2:12" x14ac:dyDescent="0.3">
      <c r="B54" s="18">
        <f ca="1"/>
        <v>93</v>
      </c>
      <c r="C54" s="18">
        <f ca="1"/>
        <v>5.8</v>
      </c>
      <c r="D54" s="18">
        <f ca="1"/>
        <v>2.6</v>
      </c>
      <c r="E54" s="18">
        <f ca="1"/>
        <v>4</v>
      </c>
      <c r="F54" s="18">
        <f ca="1"/>
        <v>1.2</v>
      </c>
      <c r="G54" s="18" t="str">
        <f ca="1"/>
        <v>versicolor</v>
      </c>
      <c r="H54" s="18">
        <f t="shared" ca="1" si="0"/>
        <v>1</v>
      </c>
      <c r="I54" s="22"/>
      <c r="J54" s="22"/>
      <c r="K54" s="22"/>
      <c r="L54" s="22"/>
    </row>
    <row r="55" spans="2:12" x14ac:dyDescent="0.3">
      <c r="B55" s="18">
        <f ca="1"/>
        <v>94</v>
      </c>
      <c r="C55" s="18">
        <f ca="1"/>
        <v>5</v>
      </c>
      <c r="D55" s="18">
        <f ca="1"/>
        <v>2.2999999999999998</v>
      </c>
      <c r="E55" s="18">
        <f ca="1"/>
        <v>3.3</v>
      </c>
      <c r="F55" s="18">
        <f ca="1"/>
        <v>1</v>
      </c>
      <c r="G55" s="18" t="str">
        <f ca="1"/>
        <v>versicolor</v>
      </c>
      <c r="H55" s="18">
        <f t="shared" ca="1" si="0"/>
        <v>1</v>
      </c>
      <c r="I55" s="22"/>
      <c r="J55" s="22"/>
      <c r="K55" s="22"/>
      <c r="L55" s="22"/>
    </row>
    <row r="56" spans="2:12" x14ac:dyDescent="0.3">
      <c r="B56" s="18">
        <f ca="1"/>
        <v>95</v>
      </c>
      <c r="C56" s="18">
        <f ca="1"/>
        <v>5.6</v>
      </c>
      <c r="D56" s="18">
        <f ca="1"/>
        <v>2.7</v>
      </c>
      <c r="E56" s="18">
        <f ca="1"/>
        <v>4.2</v>
      </c>
      <c r="F56" s="18">
        <f ca="1"/>
        <v>1.3</v>
      </c>
      <c r="G56" s="18" t="str">
        <f ca="1"/>
        <v>versicolor</v>
      </c>
      <c r="H56" s="18">
        <f t="shared" ca="1" si="0"/>
        <v>1</v>
      </c>
      <c r="I56" s="22"/>
      <c r="J56" s="22"/>
      <c r="K56" s="22"/>
      <c r="L56" s="22"/>
    </row>
    <row r="57" spans="2:12" x14ac:dyDescent="0.3">
      <c r="B57" s="18">
        <f ca="1"/>
        <v>96</v>
      </c>
      <c r="C57" s="18">
        <f ca="1"/>
        <v>5.7</v>
      </c>
      <c r="D57" s="18">
        <f ca="1"/>
        <v>3</v>
      </c>
      <c r="E57" s="18">
        <f ca="1"/>
        <v>4.2</v>
      </c>
      <c r="F57" s="18">
        <f ca="1"/>
        <v>1.2</v>
      </c>
      <c r="G57" s="18" t="str">
        <f ca="1"/>
        <v>versicolor</v>
      </c>
      <c r="H57" s="18">
        <f t="shared" ca="1" si="0"/>
        <v>1</v>
      </c>
      <c r="I57" s="22"/>
      <c r="J57" s="22"/>
      <c r="K57" s="22"/>
      <c r="L57" s="22"/>
    </row>
    <row r="58" spans="2:12" x14ac:dyDescent="0.3">
      <c r="B58" s="18">
        <f ca="1"/>
        <v>97</v>
      </c>
      <c r="C58" s="18">
        <f ca="1"/>
        <v>5.7</v>
      </c>
      <c r="D58" s="18">
        <f ca="1"/>
        <v>2.9</v>
      </c>
      <c r="E58" s="18">
        <f ca="1"/>
        <v>4.2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22"/>
      <c r="J58" s="22"/>
      <c r="K58" s="22"/>
      <c r="L58" s="22"/>
    </row>
    <row r="59" spans="2:12" x14ac:dyDescent="0.3">
      <c r="B59" s="18">
        <f ca="1"/>
        <v>98</v>
      </c>
      <c r="C59" s="18">
        <f ca="1"/>
        <v>6.2</v>
      </c>
      <c r="D59" s="18">
        <f ca="1"/>
        <v>2.9</v>
      </c>
      <c r="E59" s="18">
        <f ca="1"/>
        <v>4.3</v>
      </c>
      <c r="F59" s="18">
        <f ca="1"/>
        <v>1.3</v>
      </c>
      <c r="G59" s="18" t="str">
        <f ca="1"/>
        <v>versicolor</v>
      </c>
      <c r="H59" s="18">
        <f t="shared" ca="1" si="0"/>
        <v>1</v>
      </c>
      <c r="I59" s="22"/>
      <c r="J59" s="22"/>
      <c r="K59" s="22"/>
      <c r="L59" s="22"/>
    </row>
    <row r="60" spans="2:12" x14ac:dyDescent="0.3">
      <c r="B60" s="18">
        <f ca="1"/>
        <v>99</v>
      </c>
      <c r="C60" s="18">
        <f ca="1"/>
        <v>5.0999999999999996</v>
      </c>
      <c r="D60" s="18">
        <f ca="1"/>
        <v>2.5</v>
      </c>
      <c r="E60" s="18">
        <f ca="1"/>
        <v>3</v>
      </c>
      <c r="F60" s="18">
        <f ca="1"/>
        <v>1.1000000000000001</v>
      </c>
      <c r="G60" s="18" t="str">
        <f ca="1"/>
        <v>versicolor</v>
      </c>
      <c r="H60" s="18">
        <f t="shared" ca="1" si="0"/>
        <v>1</v>
      </c>
      <c r="I60" s="22"/>
      <c r="J60" s="22"/>
      <c r="K60" s="22"/>
      <c r="L60" s="22"/>
    </row>
    <row r="61" spans="2:12" x14ac:dyDescent="0.3">
      <c r="B61" s="18">
        <f ca="1"/>
        <v>100</v>
      </c>
      <c r="C61" s="18">
        <f ca="1"/>
        <v>5.7</v>
      </c>
      <c r="D61" s="18">
        <f ca="1"/>
        <v>2.8</v>
      </c>
      <c r="E61" s="18">
        <f ca="1"/>
        <v>4.0999999999999996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22"/>
      <c r="J61" s="22"/>
      <c r="K61" s="22"/>
      <c r="L61" s="22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71</v>
      </c>
      <c r="K3" s="18"/>
    </row>
    <row r="4" spans="2:12" x14ac:dyDescent="0.3">
      <c r="G4" s="18" t="s">
        <v>72</v>
      </c>
      <c r="H4" s="18" cm="1">
        <f t="array" ref="H4:H8">Iris_Fit!H4:H8</f>
        <v>0</v>
      </c>
    </row>
    <row r="5" spans="2:12" x14ac:dyDescent="0.3">
      <c r="G5" s="18" t="s">
        <v>58</v>
      </c>
      <c r="H5" s="18">
        <v>0</v>
      </c>
    </row>
    <row r="6" spans="2:12" x14ac:dyDescent="0.3">
      <c r="G6" s="18" t="s">
        <v>59</v>
      </c>
      <c r="H6" s="18">
        <v>0</v>
      </c>
    </row>
    <row r="7" spans="2:12" x14ac:dyDescent="0.3">
      <c r="G7" s="18" t="s">
        <v>73</v>
      </c>
      <c r="H7" s="18">
        <v>0</v>
      </c>
    </row>
    <row r="8" spans="2:12" x14ac:dyDescent="0.3">
      <c r="G8" s="18" t="s">
        <v>74</v>
      </c>
      <c r="H8" s="18">
        <v>1.5482559354478314</v>
      </c>
    </row>
    <row r="11" spans="2:12" s="17" customFormat="1" x14ac:dyDescent="0.3">
      <c r="B11" s="17" t="s">
        <v>60</v>
      </c>
      <c r="C11" s="17" t="s">
        <v>61</v>
      </c>
      <c r="D11" s="17" t="s">
        <v>24</v>
      </c>
      <c r="E11" s="17" t="s">
        <v>26</v>
      </c>
      <c r="F11" s="17" t="s">
        <v>75</v>
      </c>
      <c r="G11" s="17" t="s">
        <v>76</v>
      </c>
      <c r="H11" s="17" t="s">
        <v>25</v>
      </c>
      <c r="I11" s="17" t="s">
        <v>77</v>
      </c>
      <c r="J11" s="17" t="s">
        <v>78</v>
      </c>
      <c r="K11" s="17" t="s">
        <v>79</v>
      </c>
      <c r="L11" s="17" t="s">
        <v>23</v>
      </c>
    </row>
    <row r="12" spans="2:12" x14ac:dyDescent="0.3">
      <c r="B12" s="18" cm="1">
        <f t="array" aca="1" ref="B12:G61" ca="1">OFFSET(Iris_Data!A26,1,0,50,6)</f>
        <v>26</v>
      </c>
      <c r="C12" s="18">
        <f ca="1"/>
        <v>5</v>
      </c>
      <c r="D12" s="18">
        <f ca="1"/>
        <v>3</v>
      </c>
      <c r="E12" s="18">
        <f ca="1"/>
        <v>1.6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18">
        <f t="array" aca="1" ref="I12:I61" ca="1">H4+MMULT(C12:F61,H5:H8)</f>
        <v>0.30965118708956629</v>
      </c>
      <c r="J12" s="18">
        <f t="shared" ref="J12:J61" ca="1" si="1">1/(1+EXP(-I12))</f>
        <v>0.57680011757476135</v>
      </c>
      <c r="K12" s="18">
        <f t="shared" ref="K12:K61" ca="1" si="2">IF(H12,J12,1-J12)</f>
        <v>0.42319988242523865</v>
      </c>
      <c r="L12" s="18">
        <f t="shared" ref="L12:L61" ca="1" si="3">ROUND(K12,0)</f>
        <v>0</v>
      </c>
    </row>
    <row r="13" spans="2:12" x14ac:dyDescent="0.3">
      <c r="B13" s="18">
        <f ca="1"/>
        <v>27</v>
      </c>
      <c r="C13" s="18">
        <f ca="1"/>
        <v>5</v>
      </c>
      <c r="D13" s="18">
        <f ca="1"/>
        <v>3.4</v>
      </c>
      <c r="E13" s="18">
        <f ca="1"/>
        <v>1.6</v>
      </c>
      <c r="F13" s="18">
        <f ca="1"/>
        <v>0.4</v>
      </c>
      <c r="G13" s="18" t="str">
        <f ca="1"/>
        <v>setosa</v>
      </c>
      <c r="H13" s="18">
        <f t="shared" ca="1" si="0"/>
        <v>0</v>
      </c>
      <c r="I13" s="18">
        <f ca="1"/>
        <v>0.61930237417913259</v>
      </c>
      <c r="J13" s="18">
        <f t="shared" ca="1" si="1"/>
        <v>0.65005986784971603</v>
      </c>
      <c r="K13" s="18">
        <f t="shared" ca="1" si="2"/>
        <v>0.34994013215028397</v>
      </c>
      <c r="L13" s="18">
        <f t="shared" ca="1" si="3"/>
        <v>0</v>
      </c>
    </row>
    <row r="14" spans="2:12" x14ac:dyDescent="0.3">
      <c r="B14" s="18">
        <f ca="1"/>
        <v>28</v>
      </c>
      <c r="C14" s="18">
        <f ca="1"/>
        <v>5.2</v>
      </c>
      <c r="D14" s="18">
        <f ca="1"/>
        <v>3.5</v>
      </c>
      <c r="E14" s="18">
        <f ca="1"/>
        <v>1.5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18">
        <f ca="1"/>
        <v>0.30965118708956629</v>
      </c>
      <c r="J14" s="18">
        <f t="shared" ca="1" si="1"/>
        <v>0.57680011757476135</v>
      </c>
      <c r="K14" s="18">
        <f t="shared" ca="1" si="2"/>
        <v>0.42319988242523865</v>
      </c>
      <c r="L14" s="18">
        <f t="shared" ca="1" si="3"/>
        <v>0</v>
      </c>
    </row>
    <row r="15" spans="2:12" x14ac:dyDescent="0.3">
      <c r="B15" s="18">
        <f ca="1"/>
        <v>29</v>
      </c>
      <c r="C15" s="18">
        <f ca="1"/>
        <v>5.2</v>
      </c>
      <c r="D15" s="18">
        <f ca="1"/>
        <v>3.4</v>
      </c>
      <c r="E15" s="18">
        <f ca="1"/>
        <v>1.4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18">
        <f ca="1"/>
        <v>0.30965118708956629</v>
      </c>
      <c r="J15" s="18">
        <f t="shared" ca="1" si="1"/>
        <v>0.57680011757476135</v>
      </c>
      <c r="K15" s="18">
        <f t="shared" ca="1" si="2"/>
        <v>0.42319988242523865</v>
      </c>
      <c r="L15" s="18">
        <f t="shared" ca="1" si="3"/>
        <v>0</v>
      </c>
    </row>
    <row r="16" spans="2:12" x14ac:dyDescent="0.3">
      <c r="B16" s="18">
        <f ca="1"/>
        <v>30</v>
      </c>
      <c r="C16" s="18">
        <f ca="1"/>
        <v>4.7</v>
      </c>
      <c r="D16" s="18">
        <f ca="1"/>
        <v>3.2</v>
      </c>
      <c r="E16" s="18">
        <f ca="1"/>
        <v>1.6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18">
        <f ca="1"/>
        <v>0.30965118708956629</v>
      </c>
      <c r="J16" s="18">
        <f t="shared" ca="1" si="1"/>
        <v>0.57680011757476135</v>
      </c>
      <c r="K16" s="18">
        <f t="shared" ca="1" si="2"/>
        <v>0.42319988242523865</v>
      </c>
      <c r="L16" s="18">
        <f t="shared" ca="1" si="3"/>
        <v>0</v>
      </c>
    </row>
    <row r="17" spans="2:12" x14ac:dyDescent="0.3">
      <c r="B17" s="18">
        <f ca="1"/>
        <v>31</v>
      </c>
      <c r="C17" s="18">
        <f ca="1"/>
        <v>4.8</v>
      </c>
      <c r="D17" s="18">
        <f ca="1"/>
        <v>3.1</v>
      </c>
      <c r="E17" s="18">
        <f ca="1"/>
        <v>1.6</v>
      </c>
      <c r="F17" s="18">
        <f ca="1"/>
        <v>0.2</v>
      </c>
      <c r="G17" s="18" t="str">
        <f ca="1"/>
        <v>setosa</v>
      </c>
      <c r="H17" s="18">
        <f t="shared" ca="1" si="0"/>
        <v>0</v>
      </c>
      <c r="I17" s="18">
        <f ca="1"/>
        <v>0.30965118708956629</v>
      </c>
      <c r="J17" s="18">
        <f t="shared" ca="1" si="1"/>
        <v>0.57680011757476135</v>
      </c>
      <c r="K17" s="18">
        <f t="shared" ca="1" si="2"/>
        <v>0.42319988242523865</v>
      </c>
      <c r="L17" s="18">
        <f t="shared" ca="1" si="3"/>
        <v>0</v>
      </c>
    </row>
    <row r="18" spans="2:12" x14ac:dyDescent="0.3">
      <c r="B18" s="18">
        <f ca="1"/>
        <v>32</v>
      </c>
      <c r="C18" s="18">
        <f ca="1"/>
        <v>5.4</v>
      </c>
      <c r="D18" s="18">
        <f ca="1"/>
        <v>3.4</v>
      </c>
      <c r="E18" s="18">
        <f ca="1"/>
        <v>1.5</v>
      </c>
      <c r="F18" s="18">
        <f ca="1"/>
        <v>0.4</v>
      </c>
      <c r="G18" s="18" t="str">
        <f ca="1"/>
        <v>setosa</v>
      </c>
      <c r="H18" s="18">
        <f t="shared" ca="1" si="0"/>
        <v>0</v>
      </c>
      <c r="I18" s="18">
        <f ca="1"/>
        <v>0.61930237417913259</v>
      </c>
      <c r="J18" s="18">
        <f t="shared" ca="1" si="1"/>
        <v>0.65005986784971603</v>
      </c>
      <c r="K18" s="18">
        <f t="shared" ca="1" si="2"/>
        <v>0.34994013215028397</v>
      </c>
      <c r="L18" s="18">
        <f t="shared" ca="1" si="3"/>
        <v>0</v>
      </c>
    </row>
    <row r="19" spans="2:12" x14ac:dyDescent="0.3">
      <c r="B19" s="18">
        <f ca="1"/>
        <v>33</v>
      </c>
      <c r="C19" s="18">
        <f ca="1"/>
        <v>5.2</v>
      </c>
      <c r="D19" s="18">
        <f ca="1"/>
        <v>4.0999999999999996</v>
      </c>
      <c r="E19" s="18">
        <f ca="1"/>
        <v>1.5</v>
      </c>
      <c r="F19" s="18">
        <f ca="1"/>
        <v>0.1</v>
      </c>
      <c r="G19" s="18" t="str">
        <f ca="1"/>
        <v>setosa</v>
      </c>
      <c r="H19" s="18">
        <f t="shared" ca="1" si="0"/>
        <v>0</v>
      </c>
      <c r="I19" s="18">
        <f ca="1"/>
        <v>0.15482559354478315</v>
      </c>
      <c r="J19" s="18">
        <f t="shared" ca="1" si="1"/>
        <v>0.53862926413761969</v>
      </c>
      <c r="K19" s="18">
        <f t="shared" ca="1" si="2"/>
        <v>0.46137073586238031</v>
      </c>
      <c r="L19" s="18">
        <f t="shared" ca="1" si="3"/>
        <v>0</v>
      </c>
    </row>
    <row r="20" spans="2:12" x14ac:dyDescent="0.3">
      <c r="B20" s="18">
        <f ca="1"/>
        <v>34</v>
      </c>
      <c r="C20" s="18">
        <f ca="1"/>
        <v>5.5</v>
      </c>
      <c r="D20" s="18">
        <f ca="1"/>
        <v>4.2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18">
        <f ca="1"/>
        <v>0.30965118708956629</v>
      </c>
      <c r="J20" s="18">
        <f t="shared" ca="1" si="1"/>
        <v>0.57680011757476135</v>
      </c>
      <c r="K20" s="18">
        <f t="shared" ca="1" si="2"/>
        <v>0.42319988242523865</v>
      </c>
      <c r="L20" s="18">
        <f t="shared" ca="1" si="3"/>
        <v>0</v>
      </c>
    </row>
    <row r="21" spans="2:12" x14ac:dyDescent="0.3">
      <c r="B21" s="18">
        <f ca="1"/>
        <v>35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0.2</v>
      </c>
      <c r="G21" s="18" t="str">
        <f ca="1"/>
        <v>setosa</v>
      </c>
      <c r="H21" s="18">
        <f t="shared" ca="1" si="0"/>
        <v>0</v>
      </c>
      <c r="I21" s="18">
        <f ca="1"/>
        <v>0.30965118708956629</v>
      </c>
      <c r="J21" s="18">
        <f t="shared" ca="1" si="1"/>
        <v>0.57680011757476135</v>
      </c>
      <c r="K21" s="18">
        <f t="shared" ca="1" si="2"/>
        <v>0.42319988242523865</v>
      </c>
      <c r="L21" s="18">
        <f t="shared" ca="1" si="3"/>
        <v>0</v>
      </c>
    </row>
    <row r="22" spans="2:12" x14ac:dyDescent="0.3">
      <c r="B22" s="18">
        <f ca="1"/>
        <v>36</v>
      </c>
      <c r="C22" s="18">
        <f ca="1"/>
        <v>5</v>
      </c>
      <c r="D22" s="18">
        <f ca="1"/>
        <v>3.2</v>
      </c>
      <c r="E22" s="18">
        <f ca="1"/>
        <v>1.2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18">
        <f ca="1"/>
        <v>0.30965118708956629</v>
      </c>
      <c r="J22" s="18">
        <f t="shared" ca="1" si="1"/>
        <v>0.57680011757476135</v>
      </c>
      <c r="K22" s="18">
        <f t="shared" ca="1" si="2"/>
        <v>0.42319988242523865</v>
      </c>
      <c r="L22" s="18">
        <f t="shared" ca="1" si="3"/>
        <v>0</v>
      </c>
    </row>
    <row r="23" spans="2:12" x14ac:dyDescent="0.3">
      <c r="B23" s="18">
        <f ca="1"/>
        <v>37</v>
      </c>
      <c r="C23" s="18">
        <f ca="1"/>
        <v>5.5</v>
      </c>
      <c r="D23" s="18">
        <f ca="1"/>
        <v>3.5</v>
      </c>
      <c r="E23" s="18">
        <f ca="1"/>
        <v>1.3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18">
        <f ca="1"/>
        <v>0.30965118708956629</v>
      </c>
      <c r="J23" s="18">
        <f t="shared" ca="1" si="1"/>
        <v>0.57680011757476135</v>
      </c>
      <c r="K23" s="18">
        <f t="shared" ca="1" si="2"/>
        <v>0.42319988242523865</v>
      </c>
      <c r="L23" s="18">
        <f t="shared" ca="1" si="3"/>
        <v>0</v>
      </c>
    </row>
    <row r="24" spans="2:12" x14ac:dyDescent="0.3">
      <c r="B24" s="18">
        <f ca="1"/>
        <v>38</v>
      </c>
      <c r="C24" s="18">
        <f ca="1"/>
        <v>4.9000000000000004</v>
      </c>
      <c r="D24" s="18">
        <f ca="1"/>
        <v>3.6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18">
        <f ca="1"/>
        <v>0.15482559354478315</v>
      </c>
      <c r="J24" s="18">
        <f t="shared" ca="1" si="1"/>
        <v>0.53862926413761969</v>
      </c>
      <c r="K24" s="18">
        <f t="shared" ca="1" si="2"/>
        <v>0.46137073586238031</v>
      </c>
      <c r="L24" s="18">
        <f t="shared" ca="1" si="3"/>
        <v>0</v>
      </c>
    </row>
    <row r="25" spans="2:12" x14ac:dyDescent="0.3">
      <c r="B25" s="18">
        <f ca="1"/>
        <v>39</v>
      </c>
      <c r="C25" s="18">
        <f ca="1"/>
        <v>4.4000000000000004</v>
      </c>
      <c r="D25" s="18">
        <f ca="1"/>
        <v>3</v>
      </c>
      <c r="E25" s="18">
        <f ca="1"/>
        <v>1.3</v>
      </c>
      <c r="F25" s="18">
        <f ca="1"/>
        <v>0.2</v>
      </c>
      <c r="G25" s="18" t="str">
        <f ca="1"/>
        <v>setosa</v>
      </c>
      <c r="H25" s="18">
        <f t="shared" ca="1" si="0"/>
        <v>0</v>
      </c>
      <c r="I25" s="18">
        <f ca="1"/>
        <v>0.30965118708956629</v>
      </c>
      <c r="J25" s="18">
        <f t="shared" ca="1" si="1"/>
        <v>0.57680011757476135</v>
      </c>
      <c r="K25" s="18">
        <f t="shared" ca="1" si="2"/>
        <v>0.42319988242523865</v>
      </c>
      <c r="L25" s="18">
        <f t="shared" ca="1" si="3"/>
        <v>0</v>
      </c>
    </row>
    <row r="26" spans="2:12" x14ac:dyDescent="0.3">
      <c r="B26" s="18">
        <f ca="1"/>
        <v>40</v>
      </c>
      <c r="C26" s="18">
        <f ca="1"/>
        <v>5.0999999999999996</v>
      </c>
      <c r="D26" s="18">
        <f ca="1"/>
        <v>3.4</v>
      </c>
      <c r="E26" s="18">
        <f ca="1"/>
        <v>1.5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18">
        <f ca="1"/>
        <v>0.30965118708956629</v>
      </c>
      <c r="J26" s="18">
        <f t="shared" ca="1" si="1"/>
        <v>0.57680011757476135</v>
      </c>
      <c r="K26" s="18">
        <f t="shared" ca="1" si="2"/>
        <v>0.42319988242523865</v>
      </c>
      <c r="L26" s="18">
        <f t="shared" ca="1" si="3"/>
        <v>0</v>
      </c>
    </row>
    <row r="27" spans="2:12" x14ac:dyDescent="0.3">
      <c r="B27" s="18">
        <f ca="1"/>
        <v>41</v>
      </c>
      <c r="C27" s="18">
        <f ca="1"/>
        <v>5</v>
      </c>
      <c r="D27" s="18">
        <f ca="1"/>
        <v>3.5</v>
      </c>
      <c r="E27" s="18">
        <f ca="1"/>
        <v>1.3</v>
      </c>
      <c r="F27" s="18">
        <f ca="1"/>
        <v>0.3</v>
      </c>
      <c r="G27" s="18" t="str">
        <f ca="1"/>
        <v>setosa</v>
      </c>
      <c r="H27" s="18">
        <f t="shared" ca="1" si="0"/>
        <v>0</v>
      </c>
      <c r="I27" s="18">
        <f ca="1"/>
        <v>0.46447678063434938</v>
      </c>
      <c r="J27" s="18">
        <f t="shared" ca="1" si="1"/>
        <v>0.61407565412572618</v>
      </c>
      <c r="K27" s="18">
        <f t="shared" ca="1" si="2"/>
        <v>0.38592434587427382</v>
      </c>
      <c r="L27" s="18">
        <f t="shared" ca="1" si="3"/>
        <v>0</v>
      </c>
    </row>
    <row r="28" spans="2:12" x14ac:dyDescent="0.3">
      <c r="B28" s="18">
        <f ca="1"/>
        <v>42</v>
      </c>
      <c r="C28" s="18">
        <f ca="1"/>
        <v>4.5</v>
      </c>
      <c r="D28" s="18">
        <f ca="1"/>
        <v>2.2999999999999998</v>
      </c>
      <c r="E28" s="18">
        <f ca="1"/>
        <v>1.3</v>
      </c>
      <c r="F28" s="18">
        <f ca="1"/>
        <v>0.3</v>
      </c>
      <c r="G28" s="18" t="str">
        <f ca="1"/>
        <v>setosa</v>
      </c>
      <c r="H28" s="18">
        <f t="shared" ca="1" si="0"/>
        <v>0</v>
      </c>
      <c r="I28" s="18">
        <f ca="1"/>
        <v>0.46447678063434938</v>
      </c>
      <c r="J28" s="18">
        <f t="shared" ca="1" si="1"/>
        <v>0.61407565412572618</v>
      </c>
      <c r="K28" s="18">
        <f t="shared" ca="1" si="2"/>
        <v>0.38592434587427382</v>
      </c>
      <c r="L28" s="18">
        <f t="shared" ca="1" si="3"/>
        <v>0</v>
      </c>
    </row>
    <row r="29" spans="2:12" x14ac:dyDescent="0.3">
      <c r="B29" s="18">
        <f ca="1"/>
        <v>43</v>
      </c>
      <c r="C29" s="18">
        <f ca="1"/>
        <v>4.4000000000000004</v>
      </c>
      <c r="D29" s="18">
        <f ca="1"/>
        <v>3.2</v>
      </c>
      <c r="E29" s="18">
        <f ca="1"/>
        <v>1.3</v>
      </c>
      <c r="F29" s="18">
        <f ca="1"/>
        <v>0.2</v>
      </c>
      <c r="G29" s="18" t="str">
        <f ca="1"/>
        <v>setosa</v>
      </c>
      <c r="H29" s="18">
        <f t="shared" ca="1" si="0"/>
        <v>0</v>
      </c>
      <c r="I29" s="18">
        <f ca="1"/>
        <v>0.30965118708956629</v>
      </c>
      <c r="J29" s="18">
        <f t="shared" ca="1" si="1"/>
        <v>0.57680011757476135</v>
      </c>
      <c r="K29" s="18">
        <f t="shared" ca="1" si="2"/>
        <v>0.42319988242523865</v>
      </c>
      <c r="L29" s="18">
        <f t="shared" ca="1" si="3"/>
        <v>0</v>
      </c>
    </row>
    <row r="30" spans="2:12" x14ac:dyDescent="0.3">
      <c r="B30" s="18">
        <f ca="1"/>
        <v>44</v>
      </c>
      <c r="C30" s="18">
        <f ca="1"/>
        <v>5</v>
      </c>
      <c r="D30" s="18">
        <f ca="1"/>
        <v>3.5</v>
      </c>
      <c r="E30" s="18">
        <f ca="1"/>
        <v>1.6</v>
      </c>
      <c r="F30" s="18">
        <f ca="1"/>
        <v>0.6</v>
      </c>
      <c r="G30" s="18" t="str">
        <f ca="1"/>
        <v>setosa</v>
      </c>
      <c r="H30" s="18">
        <f t="shared" ca="1" si="0"/>
        <v>0</v>
      </c>
      <c r="I30" s="18">
        <f ca="1"/>
        <v>0.92895356126869877</v>
      </c>
      <c r="J30" s="18">
        <f t="shared" ca="1" si="1"/>
        <v>0.71686293754400465</v>
      </c>
      <c r="K30" s="18">
        <f t="shared" ca="1" si="2"/>
        <v>0.28313706245599535</v>
      </c>
      <c r="L30" s="18">
        <f t="shared" ca="1" si="3"/>
        <v>0</v>
      </c>
    </row>
    <row r="31" spans="2:12" x14ac:dyDescent="0.3">
      <c r="B31" s="18">
        <f ca="1"/>
        <v>45</v>
      </c>
      <c r="C31" s="18">
        <f ca="1"/>
        <v>5.0999999999999996</v>
      </c>
      <c r="D31" s="18">
        <f ca="1"/>
        <v>3.8</v>
      </c>
      <c r="E31" s="18">
        <f ca="1"/>
        <v>1.9</v>
      </c>
      <c r="F31" s="18">
        <f ca="1"/>
        <v>0.4</v>
      </c>
      <c r="G31" s="18" t="str">
        <f ca="1"/>
        <v>setosa</v>
      </c>
      <c r="H31" s="18">
        <f t="shared" ca="1" si="0"/>
        <v>0</v>
      </c>
      <c r="I31" s="18">
        <f ca="1"/>
        <v>0.61930237417913259</v>
      </c>
      <c r="J31" s="18">
        <f t="shared" ca="1" si="1"/>
        <v>0.65005986784971603</v>
      </c>
      <c r="K31" s="18">
        <f t="shared" ca="1" si="2"/>
        <v>0.34994013215028397</v>
      </c>
      <c r="L31" s="18">
        <f t="shared" ca="1" si="3"/>
        <v>0</v>
      </c>
    </row>
    <row r="32" spans="2:12" x14ac:dyDescent="0.3">
      <c r="B32" s="18">
        <f ca="1"/>
        <v>46</v>
      </c>
      <c r="C32" s="18">
        <f ca="1"/>
        <v>4.8</v>
      </c>
      <c r="D32" s="18">
        <f ca="1"/>
        <v>3</v>
      </c>
      <c r="E32" s="18">
        <f ca="1"/>
        <v>1.4</v>
      </c>
      <c r="F32" s="18">
        <f ca="1"/>
        <v>0.3</v>
      </c>
      <c r="G32" s="18" t="str">
        <f ca="1"/>
        <v>setosa</v>
      </c>
      <c r="H32" s="18">
        <f t="shared" ca="1" si="0"/>
        <v>0</v>
      </c>
      <c r="I32" s="18">
        <f ca="1"/>
        <v>0.46447678063434938</v>
      </c>
      <c r="J32" s="18">
        <f t="shared" ca="1" si="1"/>
        <v>0.61407565412572618</v>
      </c>
      <c r="K32" s="18">
        <f t="shared" ca="1" si="2"/>
        <v>0.38592434587427382</v>
      </c>
      <c r="L32" s="18">
        <f t="shared" ca="1" si="3"/>
        <v>0</v>
      </c>
    </row>
    <row r="33" spans="2:12" x14ac:dyDescent="0.3">
      <c r="B33" s="18">
        <f ca="1"/>
        <v>47</v>
      </c>
      <c r="C33" s="18">
        <f ca="1"/>
        <v>5.0999999999999996</v>
      </c>
      <c r="D33" s="18">
        <f ca="1"/>
        <v>3.8</v>
      </c>
      <c r="E33" s="18">
        <f ca="1"/>
        <v>1.6</v>
      </c>
      <c r="F33" s="18">
        <f ca="1"/>
        <v>0.2</v>
      </c>
      <c r="G33" s="18" t="str">
        <f ca="1"/>
        <v>setosa</v>
      </c>
      <c r="H33" s="18">
        <f t="shared" ca="1" si="0"/>
        <v>0</v>
      </c>
      <c r="I33" s="18">
        <f ca="1"/>
        <v>0.30965118708956629</v>
      </c>
      <c r="J33" s="18">
        <f t="shared" ca="1" si="1"/>
        <v>0.57680011757476135</v>
      </c>
      <c r="K33" s="18">
        <f t="shared" ca="1" si="2"/>
        <v>0.42319988242523865</v>
      </c>
      <c r="L33" s="18">
        <f t="shared" ca="1" si="3"/>
        <v>0</v>
      </c>
    </row>
    <row r="34" spans="2:12" x14ac:dyDescent="0.3">
      <c r="B34" s="18">
        <f ca="1"/>
        <v>48</v>
      </c>
      <c r="C34" s="18">
        <f ca="1"/>
        <v>4.5999999999999996</v>
      </c>
      <c r="D34" s="18">
        <f ca="1"/>
        <v>3.2</v>
      </c>
      <c r="E34" s="18">
        <f ca="1"/>
        <v>1.4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18">
        <f ca="1"/>
        <v>0.30965118708956629</v>
      </c>
      <c r="J34" s="18">
        <f t="shared" ca="1" si="1"/>
        <v>0.57680011757476135</v>
      </c>
      <c r="K34" s="18">
        <f t="shared" ca="1" si="2"/>
        <v>0.42319988242523865</v>
      </c>
      <c r="L34" s="18">
        <f t="shared" ca="1" si="3"/>
        <v>0</v>
      </c>
    </row>
    <row r="35" spans="2:12" x14ac:dyDescent="0.3">
      <c r="B35" s="18">
        <f ca="1"/>
        <v>49</v>
      </c>
      <c r="C35" s="18">
        <f ca="1"/>
        <v>5.3</v>
      </c>
      <c r="D35" s="18">
        <f ca="1"/>
        <v>3.7</v>
      </c>
      <c r="E35" s="18">
        <f ca="1"/>
        <v>1.5</v>
      </c>
      <c r="F35" s="18">
        <f ca="1"/>
        <v>0.2</v>
      </c>
      <c r="G35" s="18" t="str">
        <f ca="1"/>
        <v>setosa</v>
      </c>
      <c r="H35" s="18">
        <f t="shared" ca="1" si="0"/>
        <v>0</v>
      </c>
      <c r="I35" s="18">
        <f ca="1"/>
        <v>0.30965118708956629</v>
      </c>
      <c r="J35" s="18">
        <f t="shared" ca="1" si="1"/>
        <v>0.57680011757476135</v>
      </c>
      <c r="K35" s="18">
        <f t="shared" ca="1" si="2"/>
        <v>0.42319988242523865</v>
      </c>
      <c r="L35" s="18">
        <f t="shared" ca="1" si="3"/>
        <v>0</v>
      </c>
    </row>
    <row r="36" spans="2:12" x14ac:dyDescent="0.3">
      <c r="B36" s="18">
        <f ca="1"/>
        <v>50</v>
      </c>
      <c r="C36" s="18">
        <f ca="1"/>
        <v>5</v>
      </c>
      <c r="D36" s="18">
        <f ca="1"/>
        <v>3.3</v>
      </c>
      <c r="E36" s="18">
        <f ca="1"/>
        <v>1.4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18">
        <f ca="1"/>
        <v>0.30965118708956629</v>
      </c>
      <c r="J36" s="18">
        <f t="shared" ca="1" si="1"/>
        <v>0.57680011757476135</v>
      </c>
      <c r="K36" s="18">
        <f t="shared" ca="1" si="2"/>
        <v>0.42319988242523865</v>
      </c>
      <c r="L36" s="18">
        <f t="shared" ca="1" si="3"/>
        <v>0</v>
      </c>
    </row>
    <row r="37" spans="2:12" x14ac:dyDescent="0.3">
      <c r="B37" s="18">
        <f ca="1"/>
        <v>51</v>
      </c>
      <c r="C37" s="18">
        <f ca="1"/>
        <v>7</v>
      </c>
      <c r="D37" s="18">
        <f ca="1"/>
        <v>3.2</v>
      </c>
      <c r="E37" s="18">
        <f ca="1"/>
        <v>4.7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18">
        <f ca="1"/>
        <v>2.1675583096269637</v>
      </c>
      <c r="J37" s="18">
        <f t="shared" ca="1" si="1"/>
        <v>0.89729817280539836</v>
      </c>
      <c r="K37" s="18">
        <f t="shared" ca="1" si="2"/>
        <v>0.89729817280539836</v>
      </c>
      <c r="L37" s="18">
        <f t="shared" ca="1" si="3"/>
        <v>1</v>
      </c>
    </row>
    <row r="38" spans="2:12" x14ac:dyDescent="0.3">
      <c r="B38" s="18">
        <f ca="1"/>
        <v>52</v>
      </c>
      <c r="C38" s="18">
        <f ca="1"/>
        <v>6.4</v>
      </c>
      <c r="D38" s="18">
        <f ca="1"/>
        <v>3.2</v>
      </c>
      <c r="E38" s="18">
        <f ca="1"/>
        <v>4.5</v>
      </c>
      <c r="F38" s="18">
        <f ca="1"/>
        <v>1.5</v>
      </c>
      <c r="G38" s="18" t="str">
        <f ca="1"/>
        <v>versicolor</v>
      </c>
      <c r="H38" s="18">
        <f t="shared" ca="1" si="0"/>
        <v>1</v>
      </c>
      <c r="I38" s="18">
        <f ca="1"/>
        <v>2.322383903171747</v>
      </c>
      <c r="J38" s="18">
        <f t="shared" ca="1" si="1"/>
        <v>0.91071397532948406</v>
      </c>
      <c r="K38" s="18">
        <f t="shared" ca="1" si="2"/>
        <v>0.91071397532948406</v>
      </c>
      <c r="L38" s="18">
        <f t="shared" ca="1" si="3"/>
        <v>1</v>
      </c>
    </row>
    <row r="39" spans="2:12" x14ac:dyDescent="0.3">
      <c r="B39" s="18">
        <f ca="1"/>
        <v>53</v>
      </c>
      <c r="C39" s="18">
        <f ca="1"/>
        <v>6.9</v>
      </c>
      <c r="D39" s="18">
        <f ca="1"/>
        <v>3.1</v>
      </c>
      <c r="E39" s="18">
        <f ca="1"/>
        <v>4.9000000000000004</v>
      </c>
      <c r="F39" s="18">
        <f ca="1"/>
        <v>1.5</v>
      </c>
      <c r="G39" s="18" t="str">
        <f ca="1"/>
        <v>versicolor</v>
      </c>
      <c r="H39" s="18">
        <f t="shared" ca="1" si="0"/>
        <v>1</v>
      </c>
      <c r="I39" s="18">
        <f ca="1"/>
        <v>2.322383903171747</v>
      </c>
      <c r="J39" s="18">
        <f t="shared" ca="1" si="1"/>
        <v>0.91071397532948406</v>
      </c>
      <c r="K39" s="18">
        <f t="shared" ca="1" si="2"/>
        <v>0.91071397532948406</v>
      </c>
      <c r="L39" s="18">
        <f t="shared" ca="1" si="3"/>
        <v>1</v>
      </c>
    </row>
    <row r="40" spans="2:12" x14ac:dyDescent="0.3">
      <c r="B40" s="18">
        <f ca="1"/>
        <v>54</v>
      </c>
      <c r="C40" s="18">
        <f ca="1"/>
        <v>5.5</v>
      </c>
      <c r="D40" s="18">
        <f ca="1"/>
        <v>2.2999999999999998</v>
      </c>
      <c r="E40" s="18">
        <f ca="1"/>
        <v>4</v>
      </c>
      <c r="F40" s="18">
        <f ca="1"/>
        <v>1.3</v>
      </c>
      <c r="G40" s="18" t="str">
        <f ca="1"/>
        <v>versicolor</v>
      </c>
      <c r="H40" s="18">
        <f t="shared" ca="1" si="0"/>
        <v>1</v>
      </c>
      <c r="I40" s="18">
        <f ca="1"/>
        <v>2.0127327160821809</v>
      </c>
      <c r="J40" s="18">
        <f t="shared" ca="1" si="1"/>
        <v>0.88212746303776468</v>
      </c>
      <c r="K40" s="18">
        <f t="shared" ca="1" si="2"/>
        <v>0.88212746303776468</v>
      </c>
      <c r="L40" s="18">
        <f t="shared" ca="1" si="3"/>
        <v>1</v>
      </c>
    </row>
    <row r="41" spans="2:12" x14ac:dyDescent="0.3">
      <c r="B41" s="18">
        <f ca="1"/>
        <v>55</v>
      </c>
      <c r="C41" s="18">
        <f ca="1"/>
        <v>6.5</v>
      </c>
      <c r="D41" s="18">
        <f ca="1"/>
        <v>2.8</v>
      </c>
      <c r="E41" s="18">
        <f ca="1"/>
        <v>4.5999999999999996</v>
      </c>
      <c r="F41" s="18">
        <f ca="1"/>
        <v>1.5</v>
      </c>
      <c r="G41" s="18" t="str">
        <f ca="1"/>
        <v>versicolor</v>
      </c>
      <c r="H41" s="18">
        <f t="shared" ca="1" si="0"/>
        <v>1</v>
      </c>
      <c r="I41" s="18">
        <f ca="1"/>
        <v>2.322383903171747</v>
      </c>
      <c r="J41" s="18">
        <f t="shared" ca="1" si="1"/>
        <v>0.91071397532948406</v>
      </c>
      <c r="K41" s="18">
        <f t="shared" ca="1" si="2"/>
        <v>0.91071397532948406</v>
      </c>
      <c r="L41" s="18">
        <f t="shared" ca="1" si="3"/>
        <v>1</v>
      </c>
    </row>
    <row r="42" spans="2:12" x14ac:dyDescent="0.3">
      <c r="B42" s="18">
        <f ca="1"/>
        <v>56</v>
      </c>
      <c r="C42" s="18">
        <f ca="1"/>
        <v>5.7</v>
      </c>
      <c r="D42" s="18">
        <f ca="1"/>
        <v>2.8</v>
      </c>
      <c r="E42" s="18">
        <f ca="1"/>
        <v>4.5</v>
      </c>
      <c r="F42" s="18">
        <f ca="1"/>
        <v>1.3</v>
      </c>
      <c r="G42" s="18" t="str">
        <f ca="1"/>
        <v>versicolor</v>
      </c>
      <c r="H42" s="18">
        <f t="shared" ca="1" si="0"/>
        <v>1</v>
      </c>
      <c r="I42" s="18">
        <f ca="1"/>
        <v>2.0127327160821809</v>
      </c>
      <c r="J42" s="18">
        <f t="shared" ca="1" si="1"/>
        <v>0.88212746303776468</v>
      </c>
      <c r="K42" s="18">
        <f t="shared" ca="1" si="2"/>
        <v>0.88212746303776468</v>
      </c>
      <c r="L42" s="18">
        <f t="shared" ca="1" si="3"/>
        <v>1</v>
      </c>
    </row>
    <row r="43" spans="2:12" x14ac:dyDescent="0.3">
      <c r="B43" s="18">
        <f ca="1"/>
        <v>57</v>
      </c>
      <c r="C43" s="18">
        <f ca="1"/>
        <v>6.3</v>
      </c>
      <c r="D43" s="18">
        <f ca="1"/>
        <v>3.3</v>
      </c>
      <c r="E43" s="18">
        <f ca="1"/>
        <v>4.7</v>
      </c>
      <c r="F43" s="18">
        <f ca="1"/>
        <v>1.6</v>
      </c>
      <c r="G43" s="18" t="str">
        <f ca="1"/>
        <v>versicolor</v>
      </c>
      <c r="H43" s="18">
        <f t="shared" ca="1" si="0"/>
        <v>1</v>
      </c>
      <c r="I43" s="18">
        <f ca="1"/>
        <v>2.4772094967165303</v>
      </c>
      <c r="J43" s="18">
        <f t="shared" ca="1" si="1"/>
        <v>0.92252859675274168</v>
      </c>
      <c r="K43" s="18">
        <f t="shared" ca="1" si="2"/>
        <v>0.92252859675274168</v>
      </c>
      <c r="L43" s="18">
        <f t="shared" ca="1" si="3"/>
        <v>1</v>
      </c>
    </row>
    <row r="44" spans="2:12" x14ac:dyDescent="0.3">
      <c r="B44" s="18">
        <f ca="1"/>
        <v>58</v>
      </c>
      <c r="C44" s="18">
        <f ca="1"/>
        <v>4.9000000000000004</v>
      </c>
      <c r="D44" s="18">
        <f ca="1"/>
        <v>2.4</v>
      </c>
      <c r="E44" s="18">
        <f ca="1"/>
        <v>3.3</v>
      </c>
      <c r="F44" s="18">
        <f ca="1"/>
        <v>1</v>
      </c>
      <c r="G44" s="18" t="str">
        <f ca="1"/>
        <v>versicolor</v>
      </c>
      <c r="H44" s="18">
        <f t="shared" ca="1" si="0"/>
        <v>1</v>
      </c>
      <c r="I44" s="18">
        <f ca="1"/>
        <v>1.5482559354478314</v>
      </c>
      <c r="J44" s="18">
        <f t="shared" ca="1" si="1"/>
        <v>0.82466169197233596</v>
      </c>
      <c r="K44" s="18">
        <f t="shared" ca="1" si="2"/>
        <v>0.82466169197233596</v>
      </c>
      <c r="L44" s="18">
        <f t="shared" ca="1" si="3"/>
        <v>1</v>
      </c>
    </row>
    <row r="45" spans="2:12" x14ac:dyDescent="0.3">
      <c r="B45" s="18">
        <f ca="1"/>
        <v>59</v>
      </c>
      <c r="C45" s="18">
        <f ca="1"/>
        <v>6.6</v>
      </c>
      <c r="D45" s="18">
        <f ca="1"/>
        <v>2.9</v>
      </c>
      <c r="E45" s="18">
        <f ca="1"/>
        <v>4.5999999999999996</v>
      </c>
      <c r="F45" s="18">
        <f ca="1"/>
        <v>1.3</v>
      </c>
      <c r="G45" s="18" t="str">
        <f ca="1"/>
        <v>versicolor</v>
      </c>
      <c r="H45" s="18">
        <f t="shared" ca="1" si="0"/>
        <v>1</v>
      </c>
      <c r="I45" s="18">
        <f ca="1"/>
        <v>2.0127327160821809</v>
      </c>
      <c r="J45" s="18">
        <f t="shared" ca="1" si="1"/>
        <v>0.88212746303776468</v>
      </c>
      <c r="K45" s="18">
        <f t="shared" ca="1" si="2"/>
        <v>0.88212746303776468</v>
      </c>
      <c r="L45" s="18">
        <f t="shared" ca="1" si="3"/>
        <v>1</v>
      </c>
    </row>
    <row r="46" spans="2:12" x14ac:dyDescent="0.3">
      <c r="B46" s="18">
        <f ca="1"/>
        <v>60</v>
      </c>
      <c r="C46" s="18">
        <f ca="1"/>
        <v>5.2</v>
      </c>
      <c r="D46" s="18">
        <f ca="1"/>
        <v>2.7</v>
      </c>
      <c r="E46" s="18">
        <f ca="1"/>
        <v>3.9</v>
      </c>
      <c r="F46" s="18">
        <f ca="1"/>
        <v>1.4</v>
      </c>
      <c r="G46" s="18" t="str">
        <f ca="1"/>
        <v>versicolor</v>
      </c>
      <c r="H46" s="18">
        <f t="shared" ca="1" si="0"/>
        <v>1</v>
      </c>
      <c r="I46" s="18">
        <f ca="1"/>
        <v>2.1675583096269637</v>
      </c>
      <c r="J46" s="18">
        <f t="shared" ca="1" si="1"/>
        <v>0.89729817280539836</v>
      </c>
      <c r="K46" s="18">
        <f t="shared" ca="1" si="2"/>
        <v>0.89729817280539836</v>
      </c>
      <c r="L46" s="18">
        <f t="shared" ca="1" si="3"/>
        <v>1</v>
      </c>
    </row>
    <row r="47" spans="2:12" x14ac:dyDescent="0.3">
      <c r="B47" s="18">
        <f ca="1"/>
        <v>61</v>
      </c>
      <c r="C47" s="18">
        <f ca="1"/>
        <v>5</v>
      </c>
      <c r="D47" s="18">
        <f ca="1"/>
        <v>2</v>
      </c>
      <c r="E47" s="18">
        <f ca="1"/>
        <v>3.5</v>
      </c>
      <c r="F47" s="18">
        <f ca="1"/>
        <v>1</v>
      </c>
      <c r="G47" s="18" t="str">
        <f ca="1"/>
        <v>versicolor</v>
      </c>
      <c r="H47" s="18">
        <f t="shared" ca="1" si="0"/>
        <v>1</v>
      </c>
      <c r="I47" s="18">
        <f ca="1"/>
        <v>1.5482559354478314</v>
      </c>
      <c r="J47" s="18">
        <f t="shared" ca="1" si="1"/>
        <v>0.82466169197233596</v>
      </c>
      <c r="K47" s="18">
        <f t="shared" ca="1" si="2"/>
        <v>0.82466169197233596</v>
      </c>
      <c r="L47" s="18">
        <f t="shared" ca="1" si="3"/>
        <v>1</v>
      </c>
    </row>
    <row r="48" spans="2:12" x14ac:dyDescent="0.3">
      <c r="B48" s="18">
        <f ca="1"/>
        <v>62</v>
      </c>
      <c r="C48" s="18">
        <f ca="1"/>
        <v>5.9</v>
      </c>
      <c r="D48" s="18">
        <f ca="1"/>
        <v>3</v>
      </c>
      <c r="E48" s="18">
        <f ca="1"/>
        <v>4.2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18">
        <f ca="1"/>
        <v>2.322383903171747</v>
      </c>
      <c r="J48" s="18">
        <f t="shared" ca="1" si="1"/>
        <v>0.91071397532948406</v>
      </c>
      <c r="K48" s="18">
        <f t="shared" ca="1" si="2"/>
        <v>0.91071397532948406</v>
      </c>
      <c r="L48" s="18">
        <f t="shared" ca="1" si="3"/>
        <v>1</v>
      </c>
    </row>
    <row r="49" spans="2:12" x14ac:dyDescent="0.3">
      <c r="B49" s="18">
        <f ca="1"/>
        <v>63</v>
      </c>
      <c r="C49" s="18">
        <f ca="1"/>
        <v>6</v>
      </c>
      <c r="D49" s="18">
        <f ca="1"/>
        <v>2.2000000000000002</v>
      </c>
      <c r="E49" s="18">
        <f ca="1"/>
        <v>4</v>
      </c>
      <c r="F49" s="18">
        <f ca="1"/>
        <v>1</v>
      </c>
      <c r="G49" s="18" t="str">
        <f ca="1"/>
        <v>versicolor</v>
      </c>
      <c r="H49" s="18">
        <f t="shared" ca="1" si="0"/>
        <v>1</v>
      </c>
      <c r="I49" s="18">
        <f ca="1"/>
        <v>1.5482559354478314</v>
      </c>
      <c r="J49" s="18">
        <f t="shared" ca="1" si="1"/>
        <v>0.82466169197233596</v>
      </c>
      <c r="K49" s="18">
        <f t="shared" ca="1" si="2"/>
        <v>0.82466169197233596</v>
      </c>
      <c r="L49" s="18">
        <f t="shared" ca="1" si="3"/>
        <v>1</v>
      </c>
    </row>
    <row r="50" spans="2:12" x14ac:dyDescent="0.3">
      <c r="B50" s="18">
        <f ca="1"/>
        <v>64</v>
      </c>
      <c r="C50" s="18">
        <f ca="1"/>
        <v>6.1</v>
      </c>
      <c r="D50" s="18">
        <f ca="1"/>
        <v>2.9</v>
      </c>
      <c r="E50" s="18">
        <f ca="1"/>
        <v>4.7</v>
      </c>
      <c r="F50" s="18">
        <f ca="1"/>
        <v>1.4</v>
      </c>
      <c r="G50" s="18" t="str">
        <f ca="1"/>
        <v>versicolor</v>
      </c>
      <c r="H50" s="18">
        <f t="shared" ca="1" si="0"/>
        <v>1</v>
      </c>
      <c r="I50" s="18">
        <f ca="1"/>
        <v>2.1675583096269637</v>
      </c>
      <c r="J50" s="18">
        <f t="shared" ca="1" si="1"/>
        <v>0.89729817280539836</v>
      </c>
      <c r="K50" s="18">
        <f t="shared" ca="1" si="2"/>
        <v>0.89729817280539836</v>
      </c>
      <c r="L50" s="18">
        <f t="shared" ca="1" si="3"/>
        <v>1</v>
      </c>
    </row>
    <row r="51" spans="2:12" x14ac:dyDescent="0.3">
      <c r="B51" s="18">
        <f ca="1"/>
        <v>65</v>
      </c>
      <c r="C51" s="18">
        <f ca="1"/>
        <v>5.6</v>
      </c>
      <c r="D51" s="18">
        <f ca="1"/>
        <v>2.9</v>
      </c>
      <c r="E51" s="18">
        <f ca="1"/>
        <v>3.6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18">
        <f ca="1"/>
        <v>2.0127327160821809</v>
      </c>
      <c r="J51" s="18">
        <f t="shared" ca="1" si="1"/>
        <v>0.88212746303776468</v>
      </c>
      <c r="K51" s="18">
        <f t="shared" ca="1" si="2"/>
        <v>0.88212746303776468</v>
      </c>
      <c r="L51" s="18">
        <f t="shared" ca="1" si="3"/>
        <v>1</v>
      </c>
    </row>
    <row r="52" spans="2:12" x14ac:dyDescent="0.3">
      <c r="B52" s="18">
        <f ca="1"/>
        <v>66</v>
      </c>
      <c r="C52" s="18">
        <f ca="1"/>
        <v>6.7</v>
      </c>
      <c r="D52" s="18">
        <f ca="1"/>
        <v>3.1</v>
      </c>
      <c r="E52" s="18">
        <f ca="1"/>
        <v>4.4000000000000004</v>
      </c>
      <c r="F52" s="18">
        <f ca="1"/>
        <v>1.4</v>
      </c>
      <c r="G52" s="18" t="str">
        <f ca="1"/>
        <v>versicolor</v>
      </c>
      <c r="H52" s="18">
        <f t="shared" ca="1" si="0"/>
        <v>1</v>
      </c>
      <c r="I52" s="18">
        <f ca="1"/>
        <v>2.1675583096269637</v>
      </c>
      <c r="J52" s="18">
        <f t="shared" ca="1" si="1"/>
        <v>0.89729817280539836</v>
      </c>
      <c r="K52" s="18">
        <f t="shared" ca="1" si="2"/>
        <v>0.89729817280539836</v>
      </c>
      <c r="L52" s="18">
        <f t="shared" ca="1" si="3"/>
        <v>1</v>
      </c>
    </row>
    <row r="53" spans="2:12" x14ac:dyDescent="0.3">
      <c r="B53" s="18">
        <f ca="1"/>
        <v>67</v>
      </c>
      <c r="C53" s="18">
        <f ca="1"/>
        <v>5.6</v>
      </c>
      <c r="D53" s="18">
        <f ca="1"/>
        <v>3</v>
      </c>
      <c r="E53" s="18">
        <f ca="1"/>
        <v>4.5</v>
      </c>
      <c r="F53" s="18">
        <f ca="1"/>
        <v>1.5</v>
      </c>
      <c r="G53" s="18" t="str">
        <f ca="1"/>
        <v>versicolor</v>
      </c>
      <c r="H53" s="18">
        <f t="shared" ca="1" si="0"/>
        <v>1</v>
      </c>
      <c r="I53" s="18">
        <f ca="1"/>
        <v>2.322383903171747</v>
      </c>
      <c r="J53" s="18">
        <f t="shared" ca="1" si="1"/>
        <v>0.91071397532948406</v>
      </c>
      <c r="K53" s="18">
        <f t="shared" ca="1" si="2"/>
        <v>0.91071397532948406</v>
      </c>
      <c r="L53" s="18">
        <f t="shared" ca="1" si="3"/>
        <v>1</v>
      </c>
    </row>
    <row r="54" spans="2:12" x14ac:dyDescent="0.3">
      <c r="B54" s="18">
        <f ca="1"/>
        <v>68</v>
      </c>
      <c r="C54" s="18">
        <f ca="1"/>
        <v>5.8</v>
      </c>
      <c r="D54" s="18">
        <f ca="1"/>
        <v>2.7</v>
      </c>
      <c r="E54" s="18">
        <f ca="1"/>
        <v>4.0999999999999996</v>
      </c>
      <c r="F54" s="18">
        <f ca="1"/>
        <v>1</v>
      </c>
      <c r="G54" s="18" t="str">
        <f ca="1"/>
        <v>versicolor</v>
      </c>
      <c r="H54" s="18">
        <f t="shared" ca="1" si="0"/>
        <v>1</v>
      </c>
      <c r="I54" s="18">
        <f ca="1"/>
        <v>1.5482559354478314</v>
      </c>
      <c r="J54" s="18">
        <f t="shared" ca="1" si="1"/>
        <v>0.82466169197233596</v>
      </c>
      <c r="K54" s="18">
        <f t="shared" ca="1" si="2"/>
        <v>0.82466169197233596</v>
      </c>
      <c r="L54" s="18">
        <f t="shared" ca="1" si="3"/>
        <v>1</v>
      </c>
    </row>
    <row r="55" spans="2:12" x14ac:dyDescent="0.3">
      <c r="B55" s="18">
        <f ca="1"/>
        <v>69</v>
      </c>
      <c r="C55" s="18">
        <f ca="1"/>
        <v>6.2</v>
      </c>
      <c r="D55" s="18">
        <f ca="1"/>
        <v>2.2000000000000002</v>
      </c>
      <c r="E55" s="18">
        <f ca="1"/>
        <v>4.5</v>
      </c>
      <c r="F55" s="18">
        <f ca="1"/>
        <v>1.5</v>
      </c>
      <c r="G55" s="18" t="str">
        <f ca="1"/>
        <v>versicolor</v>
      </c>
      <c r="H55" s="18">
        <f t="shared" ca="1" si="0"/>
        <v>1</v>
      </c>
      <c r="I55" s="18">
        <f ca="1"/>
        <v>2.322383903171747</v>
      </c>
      <c r="J55" s="18">
        <f t="shared" ca="1" si="1"/>
        <v>0.91071397532948406</v>
      </c>
      <c r="K55" s="18">
        <f t="shared" ca="1" si="2"/>
        <v>0.91071397532948406</v>
      </c>
      <c r="L55" s="18">
        <f t="shared" ca="1" si="3"/>
        <v>1</v>
      </c>
    </row>
    <row r="56" spans="2:12" x14ac:dyDescent="0.3">
      <c r="B56" s="18">
        <f ca="1"/>
        <v>70</v>
      </c>
      <c r="C56" s="18">
        <f ca="1"/>
        <v>5.6</v>
      </c>
      <c r="D56" s="18">
        <f ca="1"/>
        <v>2.5</v>
      </c>
      <c r="E56" s="18">
        <f ca="1"/>
        <v>3.9</v>
      </c>
      <c r="F56" s="18">
        <f ca="1"/>
        <v>1.1000000000000001</v>
      </c>
      <c r="G56" s="18" t="str">
        <f ca="1"/>
        <v>versicolor</v>
      </c>
      <c r="H56" s="18">
        <f t="shared" ca="1" si="0"/>
        <v>1</v>
      </c>
      <c r="I56" s="18">
        <f ca="1"/>
        <v>1.7030815289926147</v>
      </c>
      <c r="J56" s="18">
        <f t="shared" ca="1" si="1"/>
        <v>0.84593677191513728</v>
      </c>
      <c r="K56" s="18">
        <f t="shared" ca="1" si="2"/>
        <v>0.84593677191513728</v>
      </c>
      <c r="L56" s="18">
        <f t="shared" ca="1" si="3"/>
        <v>1</v>
      </c>
    </row>
    <row r="57" spans="2:12" x14ac:dyDescent="0.3">
      <c r="B57" s="18">
        <f ca="1"/>
        <v>71</v>
      </c>
      <c r="C57" s="18">
        <f ca="1"/>
        <v>5.9</v>
      </c>
      <c r="D57" s="18">
        <f ca="1"/>
        <v>3.2</v>
      </c>
      <c r="E57" s="18">
        <f ca="1"/>
        <v>4.8</v>
      </c>
      <c r="F57" s="18">
        <f ca="1"/>
        <v>1.8</v>
      </c>
      <c r="G57" s="18" t="str">
        <f ca="1"/>
        <v>versicolor</v>
      </c>
      <c r="H57" s="18">
        <f t="shared" ca="1" si="0"/>
        <v>1</v>
      </c>
      <c r="I57" s="18">
        <f ca="1"/>
        <v>2.7868606838060965</v>
      </c>
      <c r="J57" s="18">
        <f t="shared" ca="1" si="1"/>
        <v>0.94196165657422537</v>
      </c>
      <c r="K57" s="18">
        <f t="shared" ca="1" si="2"/>
        <v>0.94196165657422537</v>
      </c>
      <c r="L57" s="18">
        <f t="shared" ca="1" si="3"/>
        <v>1</v>
      </c>
    </row>
    <row r="58" spans="2:12" x14ac:dyDescent="0.3">
      <c r="B58" s="18">
        <f ca="1"/>
        <v>72</v>
      </c>
      <c r="C58" s="18">
        <f ca="1"/>
        <v>6.1</v>
      </c>
      <c r="D58" s="18">
        <f ca="1"/>
        <v>2.8</v>
      </c>
      <c r="E58" s="18">
        <f ca="1"/>
        <v>4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18">
        <f ca="1"/>
        <v>2.0127327160821809</v>
      </c>
      <c r="J58" s="18">
        <f t="shared" ca="1" si="1"/>
        <v>0.88212746303776468</v>
      </c>
      <c r="K58" s="18">
        <f t="shared" ca="1" si="2"/>
        <v>0.88212746303776468</v>
      </c>
      <c r="L58" s="18">
        <f t="shared" ca="1" si="3"/>
        <v>1</v>
      </c>
    </row>
    <row r="59" spans="2:12" x14ac:dyDescent="0.3">
      <c r="B59" s="18">
        <f ca="1"/>
        <v>73</v>
      </c>
      <c r="C59" s="18">
        <f ca="1"/>
        <v>6.3</v>
      </c>
      <c r="D59" s="18">
        <f ca="1"/>
        <v>2.5</v>
      </c>
      <c r="E59" s="18">
        <f ca="1"/>
        <v>4.9000000000000004</v>
      </c>
      <c r="F59" s="18">
        <f ca="1"/>
        <v>1.5</v>
      </c>
      <c r="G59" s="18" t="str">
        <f ca="1"/>
        <v>versicolor</v>
      </c>
      <c r="H59" s="18">
        <f t="shared" ca="1" si="0"/>
        <v>1</v>
      </c>
      <c r="I59" s="18">
        <f ca="1"/>
        <v>2.322383903171747</v>
      </c>
      <c r="J59" s="18">
        <f t="shared" ca="1" si="1"/>
        <v>0.91071397532948406</v>
      </c>
      <c r="K59" s="18">
        <f t="shared" ca="1" si="2"/>
        <v>0.91071397532948406</v>
      </c>
      <c r="L59" s="18">
        <f t="shared" ca="1" si="3"/>
        <v>1</v>
      </c>
    </row>
    <row r="60" spans="2:12" x14ac:dyDescent="0.3">
      <c r="B60" s="18">
        <f ca="1"/>
        <v>74</v>
      </c>
      <c r="C60" s="18">
        <f ca="1"/>
        <v>6.1</v>
      </c>
      <c r="D60" s="18">
        <f ca="1"/>
        <v>2.8</v>
      </c>
      <c r="E60" s="18">
        <f ca="1"/>
        <v>4.7</v>
      </c>
      <c r="F60" s="18">
        <f ca="1"/>
        <v>1.2</v>
      </c>
      <c r="G60" s="18" t="str">
        <f ca="1"/>
        <v>versicolor</v>
      </c>
      <c r="H60" s="18">
        <f t="shared" ca="1" si="0"/>
        <v>1</v>
      </c>
      <c r="I60" s="18">
        <f ca="1"/>
        <v>1.8579071225373975</v>
      </c>
      <c r="J60" s="18">
        <f t="shared" ca="1" si="1"/>
        <v>0.86505281959180802</v>
      </c>
      <c r="K60" s="18">
        <f t="shared" ca="1" si="2"/>
        <v>0.86505281959180802</v>
      </c>
      <c r="L60" s="18">
        <f t="shared" ca="1" si="3"/>
        <v>1</v>
      </c>
    </row>
    <row r="61" spans="2:12" x14ac:dyDescent="0.3">
      <c r="B61" s="18">
        <f ca="1"/>
        <v>75</v>
      </c>
      <c r="C61" s="18">
        <f ca="1"/>
        <v>6.4</v>
      </c>
      <c r="D61" s="18">
        <f ca="1"/>
        <v>2.9</v>
      </c>
      <c r="E61" s="18">
        <f ca="1"/>
        <v>4.3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18">
        <f ca="1"/>
        <v>2.0127327160821809</v>
      </c>
      <c r="J61" s="18">
        <f t="shared" ca="1" si="1"/>
        <v>0.88212746303776468</v>
      </c>
      <c r="K61" s="18">
        <f t="shared" ca="1" si="2"/>
        <v>0.88212746303776468</v>
      </c>
      <c r="L61" s="18">
        <f t="shared" ca="1" si="3"/>
        <v>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8"/>
  </cols>
  <sheetData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C8"/>
  <sheetViews>
    <sheetView workbookViewId="0">
      <selection activeCell="C9" sqref="C9"/>
    </sheetView>
  </sheetViews>
  <sheetFormatPr baseColWidth="10" defaultRowHeight="26" x14ac:dyDescent="0.3"/>
  <cols>
    <col min="1" max="1" width="10.83203125" style="1"/>
    <col min="2" max="2" width="28" style="1" bestFit="1" customWidth="1"/>
    <col min="3" max="3" width="22.5" style="1" customWidth="1"/>
    <col min="4" max="16384" width="10.83203125" style="1"/>
  </cols>
  <sheetData>
    <row r="2" spans="2:3" x14ac:dyDescent="0.3">
      <c r="B2" s="1" t="s">
        <v>137</v>
      </c>
      <c r="C2" s="1" t="s">
        <v>138</v>
      </c>
    </row>
    <row r="3" spans="2:3" x14ac:dyDescent="0.3">
      <c r="B3" s="1" t="s">
        <v>133</v>
      </c>
      <c r="C3" s="1">
        <v>10</v>
      </c>
    </row>
    <row r="4" spans="2:3" x14ac:dyDescent="0.3">
      <c r="B4" s="1" t="s">
        <v>15</v>
      </c>
      <c r="C4" s="1">
        <v>15</v>
      </c>
    </row>
    <row r="5" spans="2:3" x14ac:dyDescent="0.3">
      <c r="B5" s="1" t="s">
        <v>134</v>
      </c>
      <c r="C5" s="1">
        <v>5</v>
      </c>
    </row>
    <row r="6" spans="2:3" x14ac:dyDescent="0.3">
      <c r="B6" s="1" t="s">
        <v>135</v>
      </c>
      <c r="C6" s="1">
        <v>5</v>
      </c>
    </row>
    <row r="7" spans="2:3" x14ac:dyDescent="0.3">
      <c r="B7" s="1" t="s">
        <v>136</v>
      </c>
      <c r="C7" s="1">
        <v>5</v>
      </c>
    </row>
    <row r="8" spans="2:3" x14ac:dyDescent="0.3">
      <c r="B8" s="1" t="s">
        <v>22</v>
      </c>
      <c r="C8" s="1">
        <v>10</v>
      </c>
    </row>
  </sheetData>
  <phoneticPr fontId="9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1:B10"/>
  <sheetViews>
    <sheetView workbookViewId="0">
      <selection activeCell="B7" sqref="B7"/>
    </sheetView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110</v>
      </c>
    </row>
    <row r="2" spans="1:2" x14ac:dyDescent="0.3">
      <c r="B2" s="1" t="s">
        <v>2</v>
      </c>
    </row>
    <row r="3" spans="1:2" x14ac:dyDescent="0.3">
      <c r="B3" s="1" t="s">
        <v>104</v>
      </c>
    </row>
    <row r="4" spans="1:2" x14ac:dyDescent="0.3">
      <c r="B4" s="1" t="s">
        <v>102</v>
      </c>
    </row>
    <row r="5" spans="1:2" x14ac:dyDescent="0.3">
      <c r="B5" s="1" t="s">
        <v>103</v>
      </c>
    </row>
    <row r="6" spans="1:2" x14ac:dyDescent="0.3">
      <c r="B6" s="1" t="s">
        <v>0</v>
      </c>
    </row>
    <row r="7" spans="1:2" x14ac:dyDescent="0.3">
      <c r="B7" s="1" t="s">
        <v>107</v>
      </c>
    </row>
    <row r="8" spans="1:2" x14ac:dyDescent="0.3">
      <c r="A8" s="1">
        <v>1</v>
      </c>
      <c r="B8" s="1" t="s">
        <v>3</v>
      </c>
    </row>
    <row r="9" spans="1:2" x14ac:dyDescent="0.3">
      <c r="A9" s="1">
        <v>2</v>
      </c>
      <c r="B9" s="1" t="s">
        <v>1</v>
      </c>
    </row>
    <row r="10" spans="1:2" x14ac:dyDescent="0.3">
      <c r="A10" s="1">
        <v>3</v>
      </c>
      <c r="B10" s="1" t="s">
        <v>4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A2:B7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2</v>
      </c>
    </row>
    <row r="3" spans="1:2" x14ac:dyDescent="0.3">
      <c r="B3" s="1" t="s">
        <v>105</v>
      </c>
    </row>
    <row r="4" spans="1:2" x14ac:dyDescent="0.3">
      <c r="B4" s="1" t="s">
        <v>106</v>
      </c>
    </row>
    <row r="5" spans="1:2" x14ac:dyDescent="0.3">
      <c r="B5" s="1" t="s">
        <v>107</v>
      </c>
    </row>
    <row r="6" spans="1:2" x14ac:dyDescent="0.3">
      <c r="A6" s="1">
        <v>1</v>
      </c>
      <c r="B6" s="1" t="s">
        <v>3</v>
      </c>
    </row>
    <row r="7" spans="1:2" x14ac:dyDescent="0.3">
      <c r="A7" s="1">
        <v>2</v>
      </c>
      <c r="B7" s="1" t="s">
        <v>108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G37"/>
  <sheetViews>
    <sheetView workbookViewId="0">
      <selection activeCell="A6" sqref="A6"/>
    </sheetView>
  </sheetViews>
  <sheetFormatPr baseColWidth="10" defaultRowHeight="26" x14ac:dyDescent="0.3"/>
  <cols>
    <col min="1" max="16384" width="10.83203125" style="1"/>
  </cols>
  <sheetData>
    <row r="2" spans="1:7" x14ac:dyDescent="0.3">
      <c r="B2" s="1" t="s">
        <v>109</v>
      </c>
    </row>
    <row r="3" spans="1:7" x14ac:dyDescent="0.3">
      <c r="B3" s="1" t="s">
        <v>107</v>
      </c>
    </row>
    <row r="4" spans="1:7" x14ac:dyDescent="0.3">
      <c r="A4" s="1">
        <v>1</v>
      </c>
      <c r="B4" s="1" t="s">
        <v>3</v>
      </c>
    </row>
    <row r="5" spans="1:7" x14ac:dyDescent="0.3">
      <c r="A5" s="1">
        <v>2</v>
      </c>
      <c r="B5" s="1" t="s">
        <v>111</v>
      </c>
    </row>
    <row r="7" spans="1:7" x14ac:dyDescent="0.3">
      <c r="B7" s="24" t="s">
        <v>83</v>
      </c>
      <c r="C7" s="24" t="s">
        <v>84</v>
      </c>
      <c r="D7" s="24" t="s">
        <v>85</v>
      </c>
      <c r="E7" s="24" t="s">
        <v>86</v>
      </c>
      <c r="F7" s="24" t="s">
        <v>87</v>
      </c>
      <c r="G7" s="24" t="s">
        <v>88</v>
      </c>
    </row>
    <row r="8" spans="1:7" x14ac:dyDescent="0.3">
      <c r="B8" s="24">
        <v>1</v>
      </c>
      <c r="C8" s="25">
        <v>5.5510716869005678</v>
      </c>
      <c r="D8" s="25">
        <v>25.386463220129887</v>
      </c>
      <c r="E8" s="25">
        <v>29.030718746051768</v>
      </c>
      <c r="F8" s="25">
        <v>46.870683850044927</v>
      </c>
      <c r="G8" s="25">
        <v>47.661544642591757</v>
      </c>
    </row>
    <row r="9" spans="1:7" x14ac:dyDescent="0.3">
      <c r="B9" s="24">
        <v>2</v>
      </c>
      <c r="C9" s="25">
        <v>0.63273431761379939</v>
      </c>
      <c r="D9" s="25">
        <v>22.695096650532076</v>
      </c>
      <c r="E9" s="25">
        <v>41.749955547066648</v>
      </c>
      <c r="F9" s="25">
        <v>44.343054309031608</v>
      </c>
      <c r="G9" s="25">
        <v>69.367617129992368</v>
      </c>
    </row>
    <row r="10" spans="1:7" x14ac:dyDescent="0.3">
      <c r="B10" s="24">
        <v>3</v>
      </c>
      <c r="C10" s="25">
        <v>12.905594473072556</v>
      </c>
      <c r="D10" s="25">
        <v>23.144849577122674</v>
      </c>
      <c r="E10" s="25">
        <v>35.722478528766132</v>
      </c>
      <c r="F10" s="25">
        <v>59.126563692316196</v>
      </c>
      <c r="G10" s="25">
        <v>63.680343683655103</v>
      </c>
    </row>
    <row r="11" spans="1:7" x14ac:dyDescent="0.3">
      <c r="B11" s="24">
        <v>4</v>
      </c>
      <c r="C11" s="25">
        <v>17.726474832797468</v>
      </c>
      <c r="D11" s="25">
        <v>25.910797390503021</v>
      </c>
      <c r="E11" s="25">
        <v>34.196036132684327</v>
      </c>
      <c r="F11" s="25">
        <v>53.616930535140519</v>
      </c>
      <c r="G11" s="25">
        <v>72.065134776322552</v>
      </c>
    </row>
    <row r="12" spans="1:7" x14ac:dyDescent="0.3">
      <c r="B12" s="24">
        <v>5</v>
      </c>
      <c r="C12" s="25">
        <v>15.724160674659736</v>
      </c>
      <c r="D12" s="25">
        <v>33.708134896152366</v>
      </c>
      <c r="E12" s="25">
        <v>44.547217306410452</v>
      </c>
      <c r="F12" s="25">
        <v>60.395559285359276</v>
      </c>
      <c r="G12" s="25">
        <v>72.619766680578962</v>
      </c>
    </row>
    <row r="13" spans="1:7" x14ac:dyDescent="0.3">
      <c r="B13" s="24">
        <v>6</v>
      </c>
      <c r="C13" s="25">
        <v>5.3074288568220318</v>
      </c>
      <c r="D13" s="25">
        <v>53.617140312888097</v>
      </c>
      <c r="E13" s="25">
        <v>50.839148151425597</v>
      </c>
      <c r="F13" s="25">
        <v>58.603074958568797</v>
      </c>
      <c r="G13" s="25">
        <v>77.683017759026356</v>
      </c>
    </row>
    <row r="14" spans="1:7" x14ac:dyDescent="0.3">
      <c r="B14" s="24">
        <v>7</v>
      </c>
      <c r="C14" s="25">
        <v>6.9868718444128195</v>
      </c>
      <c r="D14" s="25">
        <v>31.984926199567902</v>
      </c>
      <c r="E14" s="25">
        <v>55.099784261428773</v>
      </c>
      <c r="F14" s="25">
        <v>55.638285589263425</v>
      </c>
      <c r="G14" s="25">
        <v>91.349140522359747</v>
      </c>
    </row>
    <row r="15" spans="1:7" x14ac:dyDescent="0.3">
      <c r="B15" s="24">
        <v>8</v>
      </c>
      <c r="C15" s="25">
        <v>25.249872875747116</v>
      </c>
      <c r="D15" s="25">
        <v>34.916719583163434</v>
      </c>
      <c r="E15" s="25">
        <v>54.414657978182632</v>
      </c>
      <c r="F15" s="25">
        <v>84.382764696695531</v>
      </c>
      <c r="G15" s="25">
        <v>74.264026540661192</v>
      </c>
    </row>
    <row r="16" spans="1:7" x14ac:dyDescent="0.3">
      <c r="B16" s="24">
        <v>9</v>
      </c>
      <c r="C16" s="25">
        <v>20.159025550153334</v>
      </c>
      <c r="D16" s="25">
        <v>31.566922755584642</v>
      </c>
      <c r="E16" s="25">
        <v>53.022345657400493</v>
      </c>
      <c r="F16" s="25">
        <v>76.042144134363312</v>
      </c>
      <c r="G16" s="25">
        <v>92.724807710762548</v>
      </c>
    </row>
    <row r="17" spans="2:7" x14ac:dyDescent="0.3">
      <c r="B17" s="24">
        <v>10</v>
      </c>
      <c r="C17" s="25">
        <v>20.816752218534823</v>
      </c>
      <c r="D17" s="25">
        <v>38.925348921402275</v>
      </c>
      <c r="E17" s="25">
        <v>58.366974536524459</v>
      </c>
      <c r="F17" s="25">
        <v>77.713388030359056</v>
      </c>
      <c r="G17" s="25">
        <v>111.35185314700907</v>
      </c>
    </row>
    <row r="18" spans="2:7" x14ac:dyDescent="0.3">
      <c r="B18" s="24">
        <v>11</v>
      </c>
      <c r="C18" s="25">
        <v>16.696678110698222</v>
      </c>
      <c r="D18" s="25">
        <v>37.56055146090344</v>
      </c>
      <c r="E18" s="25">
        <v>68.436319462461981</v>
      </c>
      <c r="F18" s="25">
        <v>96.587729946280277</v>
      </c>
      <c r="G18" s="25">
        <v>100.50672314217853</v>
      </c>
    </row>
    <row r="19" spans="2:7" x14ac:dyDescent="0.3">
      <c r="B19" s="24">
        <v>12</v>
      </c>
      <c r="C19" s="25">
        <v>23.421789624313799</v>
      </c>
      <c r="D19" s="25">
        <v>44.491471042589495</v>
      </c>
      <c r="E19" s="25">
        <v>71.796190286615683</v>
      </c>
      <c r="F19" s="25">
        <v>89.173098168349497</v>
      </c>
      <c r="G19" s="25">
        <v>106.0245283053074</v>
      </c>
    </row>
    <row r="20" spans="2:7" x14ac:dyDescent="0.3">
      <c r="B20" s="24">
        <v>13</v>
      </c>
      <c r="C20" s="25">
        <v>39.248258376135382</v>
      </c>
      <c r="D20" s="25">
        <v>47.478357609285929</v>
      </c>
      <c r="E20" s="25">
        <v>73.14363758299119</v>
      </c>
      <c r="F20" s="25">
        <v>97.642119997669042</v>
      </c>
      <c r="G20" s="25">
        <v>120.39749145888992</v>
      </c>
    </row>
    <row r="21" spans="2:7" x14ac:dyDescent="0.3">
      <c r="B21" s="24">
        <v>14</v>
      </c>
      <c r="C21" s="25">
        <v>19.971582634514778</v>
      </c>
      <c r="D21" s="25">
        <v>46.019635922467252</v>
      </c>
      <c r="E21" s="25">
        <v>64.790195171248172</v>
      </c>
      <c r="F21" s="25">
        <v>97.000105260545325</v>
      </c>
      <c r="G21" s="25">
        <v>120.54038171611604</v>
      </c>
    </row>
    <row r="22" spans="2:7" x14ac:dyDescent="0.3">
      <c r="B22" s="24">
        <v>15</v>
      </c>
      <c r="C22" s="25">
        <v>16.993192734697679</v>
      </c>
      <c r="D22" s="25">
        <v>55.784770822186957</v>
      </c>
      <c r="E22" s="25">
        <v>65.001285599770739</v>
      </c>
      <c r="F22" s="25">
        <v>97.737101565172651</v>
      </c>
      <c r="G22" s="25">
        <v>130.40845036907243</v>
      </c>
    </row>
    <row r="23" spans="2:7" x14ac:dyDescent="0.3">
      <c r="B23" s="24">
        <v>16</v>
      </c>
      <c r="C23" s="25">
        <v>12.047365587919348</v>
      </c>
      <c r="D23" s="25">
        <v>53.333605232085226</v>
      </c>
      <c r="E23" s="25">
        <v>74.756148087725194</v>
      </c>
      <c r="F23" s="25">
        <v>112.6633102673191</v>
      </c>
      <c r="G23" s="25">
        <v>124.48202759801291</v>
      </c>
    </row>
    <row r="24" spans="2:7" x14ac:dyDescent="0.3">
      <c r="B24" s="24">
        <v>17</v>
      </c>
      <c r="C24" s="25">
        <v>32.247871631223283</v>
      </c>
      <c r="D24" s="25">
        <v>55.223039800280745</v>
      </c>
      <c r="E24" s="25">
        <v>79.298999652074215</v>
      </c>
      <c r="F24" s="25">
        <v>106.81972636346178</v>
      </c>
      <c r="G24" s="25">
        <v>128.38918950631631</v>
      </c>
    </row>
    <row r="25" spans="2:7" x14ac:dyDescent="0.3">
      <c r="B25" s="24">
        <v>18</v>
      </c>
      <c r="C25" s="25">
        <v>34.028480010583074</v>
      </c>
      <c r="D25" s="25">
        <v>57.242870900814708</v>
      </c>
      <c r="E25" s="25">
        <v>81.129129349942687</v>
      </c>
      <c r="F25" s="25">
        <v>111.3071849135838</v>
      </c>
      <c r="G25" s="25">
        <v>132.47949112128117</v>
      </c>
    </row>
    <row r="26" spans="2:7" x14ac:dyDescent="0.3">
      <c r="B26" s="24">
        <v>19</v>
      </c>
      <c r="C26" s="25">
        <v>25.749076419030732</v>
      </c>
      <c r="D26" s="25">
        <v>55.159204895297378</v>
      </c>
      <c r="E26" s="25">
        <v>83.021593862595779</v>
      </c>
      <c r="F26" s="25">
        <v>119.63335856764704</v>
      </c>
      <c r="G26" s="25">
        <v>141.57559118571851</v>
      </c>
    </row>
    <row r="27" spans="2:7" x14ac:dyDescent="0.3">
      <c r="B27" s="24">
        <v>20</v>
      </c>
      <c r="C27" s="25">
        <v>30.313088314280769</v>
      </c>
      <c r="D27" s="25">
        <v>66.797301257421097</v>
      </c>
      <c r="E27" s="25">
        <v>94.403006742912382</v>
      </c>
      <c r="F27" s="25">
        <v>121.27157812749105</v>
      </c>
      <c r="G27" s="25">
        <v>158.3133269600807</v>
      </c>
    </row>
    <row r="28" spans="2:7" x14ac:dyDescent="0.3">
      <c r="B28" s="24">
        <v>21</v>
      </c>
      <c r="C28" s="25">
        <v>25.559178400494005</v>
      </c>
      <c r="D28" s="25">
        <v>65.898060979743647</v>
      </c>
      <c r="E28" s="25">
        <v>97.366067270051786</v>
      </c>
      <c r="F28" s="25">
        <v>120.85182640147683</v>
      </c>
      <c r="G28" s="25">
        <v>149.66000033179077</v>
      </c>
    </row>
    <row r="29" spans="2:7" x14ac:dyDescent="0.3">
      <c r="B29" s="24">
        <v>22</v>
      </c>
      <c r="C29" s="25">
        <v>29.324972067014357</v>
      </c>
      <c r="D29" s="25">
        <v>54.944258551616102</v>
      </c>
      <c r="E29" s="25">
        <v>98.894548127592444</v>
      </c>
      <c r="F29" s="25">
        <v>125.49955856548941</v>
      </c>
      <c r="G29" s="25">
        <v>155.58337948850868</v>
      </c>
    </row>
    <row r="30" spans="2:7" x14ac:dyDescent="0.3">
      <c r="B30" s="24">
        <v>23</v>
      </c>
      <c r="C30" s="25">
        <v>30.197332049426027</v>
      </c>
      <c r="D30" s="25">
        <v>75.796004526858695</v>
      </c>
      <c r="E30" s="25">
        <v>99.391157415298181</v>
      </c>
      <c r="F30" s="25">
        <v>128.57895212473721</v>
      </c>
      <c r="G30" s="25">
        <v>166.8926196314828</v>
      </c>
    </row>
    <row r="31" spans="2:7" x14ac:dyDescent="0.3">
      <c r="B31" s="24">
        <v>24</v>
      </c>
      <c r="C31" s="25">
        <v>47.76485504848786</v>
      </c>
      <c r="D31" s="25">
        <v>77.748003010075266</v>
      </c>
      <c r="E31" s="25">
        <v>99.52912093998961</v>
      </c>
      <c r="F31" s="25">
        <v>142.62966663069136</v>
      </c>
      <c r="G31" s="25">
        <v>169.06387611451888</v>
      </c>
    </row>
    <row r="32" spans="2:7" x14ac:dyDescent="0.3">
      <c r="B32" s="24">
        <v>25</v>
      </c>
      <c r="C32" s="25">
        <v>42.31744564328708</v>
      </c>
      <c r="D32" s="25">
        <v>76.373997776322668</v>
      </c>
      <c r="E32" s="25">
        <v>100.804213140694</v>
      </c>
      <c r="F32" s="25">
        <v>136.70911699295414</v>
      </c>
      <c r="G32" s="25">
        <v>181.25596965187509</v>
      </c>
    </row>
    <row r="33" spans="2:7" x14ac:dyDescent="0.3">
      <c r="B33" s="24">
        <v>26</v>
      </c>
      <c r="C33" s="25">
        <v>28.652790618630345</v>
      </c>
      <c r="D33" s="25">
        <v>61.666948224810724</v>
      </c>
      <c r="E33" s="25">
        <v>97.317491355149372</v>
      </c>
      <c r="F33" s="25">
        <v>145.6364487854066</v>
      </c>
      <c r="G33" s="25">
        <v>178.42731466733039</v>
      </c>
    </row>
    <row r="34" spans="2:7" x14ac:dyDescent="0.3">
      <c r="B34" s="24">
        <v>27</v>
      </c>
      <c r="C34" s="25">
        <v>39.633763198151904</v>
      </c>
      <c r="D34" s="25">
        <v>70.027496171835239</v>
      </c>
      <c r="E34" s="25">
        <v>106.70177957501512</v>
      </c>
      <c r="F34" s="25">
        <v>145.67457488633227</v>
      </c>
      <c r="G34" s="25">
        <v>196.62579076113778</v>
      </c>
    </row>
    <row r="35" spans="2:7" x14ac:dyDescent="0.3">
      <c r="B35" s="24">
        <v>28</v>
      </c>
      <c r="C35" s="25">
        <v>48.013904283920681</v>
      </c>
      <c r="D35" s="25">
        <v>81.28563271972746</v>
      </c>
      <c r="E35" s="25">
        <v>113.59580769806315</v>
      </c>
      <c r="F35" s="25">
        <v>154.65459625231978</v>
      </c>
      <c r="G35" s="25">
        <v>198.84936351381927</v>
      </c>
    </row>
    <row r="36" spans="2:7" x14ac:dyDescent="0.3">
      <c r="B36" s="24">
        <v>29</v>
      </c>
      <c r="C36" s="25">
        <v>37.402089569600875</v>
      </c>
      <c r="D36" s="25">
        <v>87.414611196100694</v>
      </c>
      <c r="E36" s="25">
        <v>123.80477350845369</v>
      </c>
      <c r="F36" s="25">
        <v>156.48976979985443</v>
      </c>
      <c r="G36" s="25">
        <v>196.1304554445943</v>
      </c>
    </row>
    <row r="37" spans="2:7" x14ac:dyDescent="0.3">
      <c r="B37" s="24">
        <v>30</v>
      </c>
      <c r="C37" s="25">
        <v>45.669396753932894</v>
      </c>
      <c r="D37" s="25">
        <v>83.164053754734667</v>
      </c>
      <c r="E37" s="25">
        <v>116.92147421349962</v>
      </c>
      <c r="F37" s="25">
        <v>150.22818710246543</v>
      </c>
      <c r="G37" s="25">
        <v>207.45168227752143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A1E16-744A-2E40-8BC7-AC01608A90D0}">
  <sheetPr codeName="Sheet43">
    <tabColor rgb="FFFFFF00"/>
  </sheetPr>
  <dimension ref="A2:G37"/>
  <sheetViews>
    <sheetView workbookViewId="0"/>
  </sheetViews>
  <sheetFormatPr baseColWidth="10" defaultRowHeight="26" x14ac:dyDescent="0.3"/>
  <cols>
    <col min="1" max="16384" width="10.83203125" style="1"/>
  </cols>
  <sheetData>
    <row r="2" spans="1:7" x14ac:dyDescent="0.3">
      <c r="B2" s="1" t="s">
        <v>109</v>
      </c>
    </row>
    <row r="3" spans="1:7" x14ac:dyDescent="0.3">
      <c r="B3" s="1" t="s">
        <v>107</v>
      </c>
    </row>
    <row r="4" spans="1:7" x14ac:dyDescent="0.3">
      <c r="A4" s="1">
        <v>1</v>
      </c>
      <c r="B4" s="1" t="s">
        <v>3</v>
      </c>
    </row>
    <row r="5" spans="1:7" x14ac:dyDescent="0.3">
      <c r="A5" s="1">
        <v>2</v>
      </c>
      <c r="B5" s="1" t="s">
        <v>111</v>
      </c>
    </row>
    <row r="7" spans="1:7" x14ac:dyDescent="0.3">
      <c r="B7" s="24" t="s">
        <v>83</v>
      </c>
      <c r="C7" s="24" t="s">
        <v>84</v>
      </c>
      <c r="D7" s="24" t="s">
        <v>85</v>
      </c>
      <c r="E7" s="24" t="s">
        <v>86</v>
      </c>
      <c r="F7" s="24" t="s">
        <v>87</v>
      </c>
      <c r="G7" s="24" t="s">
        <v>88</v>
      </c>
    </row>
    <row r="8" spans="1:7" x14ac:dyDescent="0.3">
      <c r="B8" s="24">
        <v>1</v>
      </c>
      <c r="C8" s="25">
        <v>-1.461844870783835</v>
      </c>
      <c r="D8" s="25">
        <v>5.3735658516282756</v>
      </c>
      <c r="E8" s="25">
        <v>13.006608465821214</v>
      </c>
      <c r="F8" s="25">
        <v>8.5704530236042871</v>
      </c>
      <c r="G8" s="25">
        <v>-3.5431053207498593</v>
      </c>
    </row>
    <row r="9" spans="1:7" x14ac:dyDescent="0.3">
      <c r="B9" s="24">
        <v>2</v>
      </c>
      <c r="C9" s="25">
        <v>4.8722583026376665</v>
      </c>
      <c r="D9" s="25">
        <v>14.27948489802645</v>
      </c>
      <c r="E9" s="25">
        <v>7.5550426333857663</v>
      </c>
      <c r="F9" s="25">
        <v>16.028057622423017</v>
      </c>
      <c r="G9" s="25">
        <v>20.989020428040728</v>
      </c>
    </row>
    <row r="10" spans="1:7" x14ac:dyDescent="0.3">
      <c r="B10" s="24">
        <v>3</v>
      </c>
      <c r="C10" s="25">
        <v>6.5659145038772522</v>
      </c>
      <c r="D10" s="25">
        <v>11.33799169155561</v>
      </c>
      <c r="E10" s="25">
        <v>3.9674759632917382</v>
      </c>
      <c r="F10" s="25">
        <v>3.5317854989843411</v>
      </c>
      <c r="G10" s="25">
        <v>16.166349809372779</v>
      </c>
    </row>
    <row r="11" spans="1:7" x14ac:dyDescent="0.3">
      <c r="B11" s="24">
        <v>4</v>
      </c>
      <c r="C11" s="25">
        <v>6.5286478120506777</v>
      </c>
      <c r="D11" s="25">
        <v>0.38792321144046937</v>
      </c>
      <c r="E11" s="25">
        <v>9.4693992021745874</v>
      </c>
      <c r="F11" s="25">
        <v>15.728847492017753</v>
      </c>
      <c r="G11" s="25">
        <v>12.868737459674655</v>
      </c>
    </row>
    <row r="12" spans="1:7" x14ac:dyDescent="0.3">
      <c r="B12" s="24">
        <v>5</v>
      </c>
      <c r="C12" s="25">
        <v>-6.2847074241313852</v>
      </c>
      <c r="D12" s="25">
        <v>18.398844905370204</v>
      </c>
      <c r="E12" s="25">
        <v>21.077943172838467</v>
      </c>
      <c r="F12" s="25">
        <v>22.664322392800841</v>
      </c>
      <c r="G12" s="25">
        <v>19.246705974834068</v>
      </c>
    </row>
    <row r="13" spans="1:7" x14ac:dyDescent="0.3">
      <c r="B13" s="24">
        <v>6</v>
      </c>
      <c r="C13" s="25">
        <v>-7.342408647263083</v>
      </c>
      <c r="D13" s="25">
        <v>19.042519957111779</v>
      </c>
      <c r="E13" s="25">
        <v>25.069071763833612</v>
      </c>
      <c r="F13" s="25">
        <v>20.487539149067921</v>
      </c>
      <c r="G13" s="25">
        <v>21.136868713856309</v>
      </c>
    </row>
    <row r="14" spans="1:7" x14ac:dyDescent="0.3">
      <c r="B14" s="24">
        <v>7</v>
      </c>
      <c r="C14" s="25">
        <v>5.9843868766559059</v>
      </c>
      <c r="D14" s="25">
        <v>22.019907748413502</v>
      </c>
      <c r="E14" s="25">
        <v>36.865864881124971</v>
      </c>
      <c r="F14" s="25">
        <v>22.247241426457055</v>
      </c>
      <c r="G14" s="25">
        <v>49.648654301007653</v>
      </c>
    </row>
    <row r="15" spans="1:7" x14ac:dyDescent="0.3">
      <c r="B15" s="24">
        <v>8</v>
      </c>
      <c r="C15" s="25">
        <v>22.140453881269259</v>
      </c>
      <c r="D15" s="25">
        <v>16.165305544786026</v>
      </c>
      <c r="E15" s="25">
        <v>24.050053510962496</v>
      </c>
      <c r="F15" s="25">
        <v>30.132758517147316</v>
      </c>
      <c r="G15" s="25">
        <v>34.444959192008042</v>
      </c>
    </row>
    <row r="16" spans="1:7" x14ac:dyDescent="0.3">
      <c r="B16" s="24">
        <v>9</v>
      </c>
      <c r="C16" s="25">
        <v>16.841534219358479</v>
      </c>
      <c r="D16" s="25">
        <v>10.572843350393036</v>
      </c>
      <c r="E16" s="25">
        <v>34.2571846370966</v>
      </c>
      <c r="F16" s="25">
        <v>37.350648996277883</v>
      </c>
      <c r="G16" s="25">
        <v>46.373434285512872</v>
      </c>
    </row>
    <row r="17" spans="2:7" x14ac:dyDescent="0.3">
      <c r="B17" s="24">
        <v>10</v>
      </c>
      <c r="C17" s="25">
        <v>4.0752897133076882</v>
      </c>
      <c r="D17" s="25">
        <v>30.870784502072144</v>
      </c>
      <c r="E17" s="25">
        <v>35.167414093687071</v>
      </c>
      <c r="F17" s="25">
        <v>33.391924138320775</v>
      </c>
      <c r="G17" s="25">
        <v>54.503360723030994</v>
      </c>
    </row>
    <row r="18" spans="2:7" x14ac:dyDescent="0.3">
      <c r="B18" s="24">
        <v>11</v>
      </c>
      <c r="C18" s="25">
        <v>13.332406455290446</v>
      </c>
      <c r="D18" s="25">
        <v>19.477338883755319</v>
      </c>
      <c r="E18" s="25">
        <v>25.448777770965286</v>
      </c>
      <c r="F18" s="25">
        <v>45.333646916684415</v>
      </c>
      <c r="G18" s="25">
        <v>58.274943563422319</v>
      </c>
    </row>
    <row r="19" spans="2:7" x14ac:dyDescent="0.3">
      <c r="B19" s="24">
        <v>12</v>
      </c>
      <c r="C19" s="25">
        <v>1.6756963915625711</v>
      </c>
      <c r="D19" s="25">
        <v>21.29477316578738</v>
      </c>
      <c r="E19" s="25">
        <v>20.915824632821963</v>
      </c>
      <c r="F19" s="25">
        <v>62.603847010668964</v>
      </c>
      <c r="G19" s="25">
        <v>60.714516927167239</v>
      </c>
    </row>
    <row r="20" spans="2:7" x14ac:dyDescent="0.3">
      <c r="B20" s="24">
        <v>13</v>
      </c>
      <c r="C20" s="25">
        <v>7.0650222683395514</v>
      </c>
      <c r="D20" s="25">
        <v>16.173598084707002</v>
      </c>
      <c r="E20" s="25">
        <v>35.223572799161204</v>
      </c>
      <c r="F20" s="25">
        <v>55.092925594212254</v>
      </c>
      <c r="G20" s="25">
        <v>70.505189582693816</v>
      </c>
    </row>
    <row r="21" spans="2:7" x14ac:dyDescent="0.3">
      <c r="B21" s="24">
        <v>14</v>
      </c>
      <c r="C21" s="25">
        <v>0.2022394127185585</v>
      </c>
      <c r="D21" s="25">
        <v>24.655002024654042</v>
      </c>
      <c r="E21" s="25">
        <v>42.42326023843129</v>
      </c>
      <c r="F21" s="25">
        <v>72.997161845932965</v>
      </c>
      <c r="G21" s="25">
        <v>76.870894419937656</v>
      </c>
    </row>
    <row r="22" spans="2:7" x14ac:dyDescent="0.3">
      <c r="B22" s="24">
        <v>15</v>
      </c>
      <c r="C22" s="25">
        <v>13.748734562993596</v>
      </c>
      <c r="D22" s="25">
        <v>38.378136921602795</v>
      </c>
      <c r="E22" s="25">
        <v>46.901635624848879</v>
      </c>
      <c r="F22" s="25">
        <v>58.755496463392902</v>
      </c>
      <c r="G22" s="25">
        <v>74.456289863075739</v>
      </c>
    </row>
    <row r="23" spans="2:7" x14ac:dyDescent="0.3">
      <c r="B23" s="24">
        <v>16</v>
      </c>
      <c r="C23" s="25">
        <v>14.565082866909096</v>
      </c>
      <c r="D23" s="25">
        <v>41.148671517117236</v>
      </c>
      <c r="E23" s="25">
        <v>46.911093272190449</v>
      </c>
      <c r="F23" s="25">
        <v>56.232989021161174</v>
      </c>
      <c r="G23" s="25">
        <v>83.284772439472206</v>
      </c>
    </row>
    <row r="24" spans="2:7" x14ac:dyDescent="0.3">
      <c r="B24" s="24">
        <v>17</v>
      </c>
      <c r="C24" s="25">
        <v>10.739288704586563</v>
      </c>
      <c r="D24" s="25">
        <v>38.742477284101341</v>
      </c>
      <c r="E24" s="25">
        <v>55.236451625890197</v>
      </c>
      <c r="F24" s="25">
        <v>67.953140052474339</v>
      </c>
      <c r="G24" s="25">
        <v>76.616929941078254</v>
      </c>
    </row>
    <row r="25" spans="2:7" x14ac:dyDescent="0.3">
      <c r="B25" s="24">
        <v>18</v>
      </c>
      <c r="C25" s="25">
        <v>13.407284011685478</v>
      </c>
      <c r="D25" s="25">
        <v>36.274430162858316</v>
      </c>
      <c r="E25" s="25">
        <v>67.037121394851454</v>
      </c>
      <c r="F25" s="25">
        <v>74.002872316024209</v>
      </c>
      <c r="G25" s="25">
        <v>93.85689514104611</v>
      </c>
    </row>
    <row r="26" spans="2:7" x14ac:dyDescent="0.3">
      <c r="B26" s="24">
        <v>19</v>
      </c>
      <c r="C26" s="25">
        <v>21.232933236389538</v>
      </c>
      <c r="D26" s="25">
        <v>39.472149801056617</v>
      </c>
      <c r="E26" s="25">
        <v>58.790995330830349</v>
      </c>
      <c r="F26" s="25">
        <v>80.289916258246521</v>
      </c>
      <c r="G26" s="25">
        <v>101.95036261364594</v>
      </c>
    </row>
    <row r="27" spans="2:7" x14ac:dyDescent="0.3">
      <c r="B27" s="24">
        <v>20</v>
      </c>
      <c r="C27" s="25">
        <v>16.422113515951853</v>
      </c>
      <c r="D27" s="25">
        <v>43.510768432644014</v>
      </c>
      <c r="E27" s="25">
        <v>58.261571063361281</v>
      </c>
      <c r="F27" s="25">
        <v>81.497048937332835</v>
      </c>
      <c r="G27" s="25">
        <v>94.310161427472934</v>
      </c>
    </row>
    <row r="28" spans="2:7" x14ac:dyDescent="0.3">
      <c r="B28" s="24">
        <v>21</v>
      </c>
      <c r="C28" s="25">
        <v>28.311909657048922</v>
      </c>
      <c r="D28" s="25">
        <v>58.100885583493309</v>
      </c>
      <c r="E28" s="25">
        <v>67.737267256309295</v>
      </c>
      <c r="F28" s="25">
        <v>85.534350142451416</v>
      </c>
      <c r="G28" s="25">
        <v>100.90079170471223</v>
      </c>
    </row>
    <row r="29" spans="2:7" x14ac:dyDescent="0.3">
      <c r="B29" s="24">
        <v>22</v>
      </c>
      <c r="C29" s="25">
        <v>16.22861957569777</v>
      </c>
      <c r="D29" s="25">
        <v>44.969391382654216</v>
      </c>
      <c r="E29" s="25">
        <v>62.343756648295127</v>
      </c>
      <c r="F29" s="25">
        <v>89.069307227826059</v>
      </c>
      <c r="G29" s="25">
        <v>111.53236866879365</v>
      </c>
    </row>
    <row r="30" spans="2:7" x14ac:dyDescent="0.3">
      <c r="B30" s="24">
        <v>23</v>
      </c>
      <c r="C30" s="25">
        <v>23.022306083312785</v>
      </c>
      <c r="D30" s="25">
        <v>46.468458996290295</v>
      </c>
      <c r="E30" s="25">
        <v>69.574254377586769</v>
      </c>
      <c r="F30" s="25">
        <v>94.472924303819312</v>
      </c>
      <c r="G30" s="25">
        <v>122.11425430660246</v>
      </c>
    </row>
    <row r="31" spans="2:7" x14ac:dyDescent="0.3">
      <c r="B31" s="24">
        <v>24</v>
      </c>
      <c r="C31" s="25">
        <v>19.188193767453253</v>
      </c>
      <c r="D31" s="25">
        <v>43.937573833170262</v>
      </c>
      <c r="E31" s="25">
        <v>74.081100079407875</v>
      </c>
      <c r="F31" s="25">
        <v>97.710578499309833</v>
      </c>
      <c r="G31" s="25">
        <v>121.04180160281906</v>
      </c>
    </row>
    <row r="32" spans="2:7" x14ac:dyDescent="0.3">
      <c r="B32" s="24">
        <v>25</v>
      </c>
      <c r="C32" s="25">
        <v>34.951189966595642</v>
      </c>
      <c r="D32" s="25">
        <v>57.04464160231727</v>
      </c>
      <c r="E32" s="25">
        <v>79.513865927271453</v>
      </c>
      <c r="F32" s="25">
        <v>97.825878866124967</v>
      </c>
      <c r="G32" s="25">
        <v>127.92297475165942</v>
      </c>
    </row>
    <row r="33" spans="2:7" x14ac:dyDescent="0.3">
      <c r="B33" s="24">
        <v>26</v>
      </c>
      <c r="C33" s="25">
        <v>27.219283451263465</v>
      </c>
      <c r="D33" s="25">
        <v>49.422749825255245</v>
      </c>
      <c r="E33" s="25">
        <v>87.315795923941323</v>
      </c>
      <c r="F33" s="25">
        <v>104.21503654187406</v>
      </c>
      <c r="G33" s="25">
        <v>136.14543923913658</v>
      </c>
    </row>
    <row r="34" spans="2:7" x14ac:dyDescent="0.3">
      <c r="B34" s="24">
        <v>27</v>
      </c>
      <c r="C34" s="25">
        <v>32.643864402825123</v>
      </c>
      <c r="D34" s="25">
        <v>44.397663193934378</v>
      </c>
      <c r="E34" s="25">
        <v>75.571043286492412</v>
      </c>
      <c r="F34" s="25">
        <v>106.87857977768893</v>
      </c>
      <c r="G34" s="25">
        <v>138.90713316496326</v>
      </c>
    </row>
    <row r="35" spans="2:7" x14ac:dyDescent="0.3">
      <c r="B35" s="24">
        <v>28</v>
      </c>
      <c r="C35" s="25">
        <v>28.053912971375965</v>
      </c>
      <c r="D35" s="25">
        <v>59.44543462011093</v>
      </c>
      <c r="E35" s="25">
        <v>83.075481145914409</v>
      </c>
      <c r="F35" s="25">
        <v>99.810018274897644</v>
      </c>
      <c r="G35" s="25">
        <v>127.11329788674803</v>
      </c>
    </row>
    <row r="36" spans="2:7" x14ac:dyDescent="0.3">
      <c r="B36" s="24">
        <v>29</v>
      </c>
      <c r="C36" s="25">
        <v>24.272521279087567</v>
      </c>
      <c r="D36" s="25">
        <v>58.448005977073386</v>
      </c>
      <c r="E36" s="25">
        <v>79.418652538504688</v>
      </c>
      <c r="F36" s="25">
        <v>123.11415356178367</v>
      </c>
      <c r="G36" s="25">
        <v>145.3492107125206</v>
      </c>
    </row>
    <row r="37" spans="2:7" x14ac:dyDescent="0.3">
      <c r="B37" s="24">
        <v>30</v>
      </c>
      <c r="C37" s="25">
        <v>36.543314218524614</v>
      </c>
      <c r="D37" s="25">
        <v>64.608032687021094</v>
      </c>
      <c r="E37" s="25">
        <v>85.828007571051586</v>
      </c>
      <c r="F37" s="25">
        <v>110.54484904991972</v>
      </c>
      <c r="G37" s="25">
        <v>152.20494108378873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D3016-3FB5-2A4C-BD67-92218E0FFB54}">
  <sheetPr codeName="Sheet45">
    <tabColor rgb="FFFFFF00"/>
  </sheetPr>
  <dimension ref="A2:G37"/>
  <sheetViews>
    <sheetView workbookViewId="0"/>
  </sheetViews>
  <sheetFormatPr baseColWidth="10" defaultRowHeight="26" x14ac:dyDescent="0.3"/>
  <cols>
    <col min="1" max="16384" width="10.83203125" style="1"/>
  </cols>
  <sheetData>
    <row r="2" spans="1:7" x14ac:dyDescent="0.3">
      <c r="B2" s="1" t="s">
        <v>109</v>
      </c>
    </row>
    <row r="3" spans="1:7" x14ac:dyDescent="0.3">
      <c r="B3" s="1" t="s">
        <v>107</v>
      </c>
    </row>
    <row r="4" spans="1:7" x14ac:dyDescent="0.3">
      <c r="A4" s="1">
        <v>1</v>
      </c>
      <c r="B4" s="1" t="s">
        <v>3</v>
      </c>
    </row>
    <row r="5" spans="1:7" x14ac:dyDescent="0.3">
      <c r="A5" s="1">
        <v>2</v>
      </c>
      <c r="B5" s="1" t="s">
        <v>111</v>
      </c>
    </row>
    <row r="7" spans="1:7" x14ac:dyDescent="0.3">
      <c r="B7" s="24" t="s">
        <v>83</v>
      </c>
      <c r="C7" s="24" t="s">
        <v>84</v>
      </c>
      <c r="D7" s="24" t="s">
        <v>85</v>
      </c>
      <c r="E7" s="24" t="s">
        <v>86</v>
      </c>
      <c r="F7" s="24" t="s">
        <v>87</v>
      </c>
      <c r="G7" s="24" t="s">
        <v>88</v>
      </c>
    </row>
    <row r="8" spans="1:7" x14ac:dyDescent="0.3">
      <c r="B8" s="24">
        <v>1</v>
      </c>
      <c r="C8" s="25">
        <v>16.807614858649526</v>
      </c>
      <c r="D8" s="25">
        <v>20.681448695674824</v>
      </c>
      <c r="E8" s="25">
        <v>29.326556955250464</v>
      </c>
      <c r="F8" s="25">
        <v>32.435028544250173</v>
      </c>
      <c r="G8" s="25">
        <v>64.145211002368143</v>
      </c>
    </row>
    <row r="9" spans="1:7" x14ac:dyDescent="0.3">
      <c r="B9" s="24">
        <v>2</v>
      </c>
      <c r="C9" s="25">
        <v>21.426272244370711</v>
      </c>
      <c r="D9" s="25">
        <v>26.833843175923736</v>
      </c>
      <c r="E9" s="25">
        <v>24.88501332287845</v>
      </c>
      <c r="F9" s="25">
        <v>48.05811944802543</v>
      </c>
      <c r="G9" s="25">
        <v>62.034669183798421</v>
      </c>
    </row>
    <row r="10" spans="1:7" x14ac:dyDescent="0.3">
      <c r="B10" s="24">
        <v>3</v>
      </c>
      <c r="C10" s="25">
        <v>7.2014717986012142</v>
      </c>
      <c r="D10" s="25">
        <v>23.751583217050062</v>
      </c>
      <c r="E10" s="25">
        <v>47.969922667658587</v>
      </c>
      <c r="F10" s="25">
        <v>49.277233649840838</v>
      </c>
      <c r="G10" s="25">
        <v>50.185668141419058</v>
      </c>
    </row>
    <row r="11" spans="1:7" x14ac:dyDescent="0.3">
      <c r="B11" s="24">
        <v>4</v>
      </c>
      <c r="C11" s="25">
        <v>13.982259029294923</v>
      </c>
      <c r="D11" s="25">
        <v>22.568602469451736</v>
      </c>
      <c r="E11" s="25">
        <v>34.824445802247318</v>
      </c>
      <c r="F11" s="25">
        <v>62.921963287192497</v>
      </c>
      <c r="G11" s="25">
        <v>70.739982353008386</v>
      </c>
    </row>
    <row r="12" spans="1:7" x14ac:dyDescent="0.3">
      <c r="B12" s="24">
        <v>5</v>
      </c>
      <c r="C12" s="25">
        <v>8.4363914859046325</v>
      </c>
      <c r="D12" s="25">
        <v>26.444869842377166</v>
      </c>
      <c r="E12" s="25">
        <v>63.575429188730034</v>
      </c>
      <c r="F12" s="25">
        <v>62.169777775867097</v>
      </c>
      <c r="G12" s="25">
        <v>81.60264802377975</v>
      </c>
    </row>
    <row r="13" spans="1:7" x14ac:dyDescent="0.3">
      <c r="B13" s="24">
        <v>6</v>
      </c>
      <c r="C13" s="25">
        <v>15.380970067540764</v>
      </c>
      <c r="D13" s="25">
        <v>26.75577301934068</v>
      </c>
      <c r="E13" s="25">
        <v>44.578294209214519</v>
      </c>
      <c r="F13" s="25">
        <v>60.474640204068578</v>
      </c>
      <c r="G13" s="25">
        <v>87.776452507704448</v>
      </c>
    </row>
    <row r="14" spans="1:7" x14ac:dyDescent="0.3">
      <c r="B14" s="24">
        <v>7</v>
      </c>
      <c r="C14" s="25">
        <v>13.529119293227728</v>
      </c>
      <c r="D14" s="25">
        <v>33.889189711935543</v>
      </c>
      <c r="E14" s="25">
        <v>49.077029282968603</v>
      </c>
      <c r="F14" s="25">
        <v>70.53478314138448</v>
      </c>
      <c r="G14" s="25">
        <v>82.573781915938241</v>
      </c>
    </row>
    <row r="15" spans="1:7" x14ac:dyDescent="0.3">
      <c r="B15" s="24">
        <v>8</v>
      </c>
      <c r="C15" s="25">
        <v>32.190974863059566</v>
      </c>
      <c r="D15" s="25">
        <v>28.411356149527737</v>
      </c>
      <c r="E15" s="25">
        <v>72.329668231618797</v>
      </c>
      <c r="F15" s="25">
        <v>79.045647051243577</v>
      </c>
      <c r="G15" s="25">
        <v>101.95384363394302</v>
      </c>
    </row>
    <row r="16" spans="1:7" x14ac:dyDescent="0.3">
      <c r="B16" s="24">
        <v>9</v>
      </c>
      <c r="C16" s="25">
        <v>26.934529326523105</v>
      </c>
      <c r="D16" s="25">
        <v>45.378786386133577</v>
      </c>
      <c r="E16" s="25">
        <v>59.646190321133957</v>
      </c>
      <c r="F16" s="25">
        <v>70.427190912742645</v>
      </c>
      <c r="G16" s="25">
        <v>102.56168504071901</v>
      </c>
    </row>
    <row r="17" spans="2:7" x14ac:dyDescent="0.3">
      <c r="B17" s="24">
        <v>10</v>
      </c>
      <c r="C17" s="25">
        <v>30.888907125642582</v>
      </c>
      <c r="D17" s="25">
        <v>37.774244995759922</v>
      </c>
      <c r="E17" s="25">
        <v>56.701530434779734</v>
      </c>
      <c r="F17" s="25">
        <v>83.610008424681155</v>
      </c>
      <c r="G17" s="25">
        <v>89.917410418162717</v>
      </c>
    </row>
    <row r="18" spans="2:7" x14ac:dyDescent="0.3">
      <c r="B18" s="24">
        <v>11</v>
      </c>
      <c r="C18" s="25">
        <v>21.852947591627473</v>
      </c>
      <c r="D18" s="25">
        <v>37.800031841456878</v>
      </c>
      <c r="E18" s="25">
        <v>51.45870951205687</v>
      </c>
      <c r="F18" s="25">
        <v>85.146143100115339</v>
      </c>
      <c r="G18" s="25">
        <v>116.85245951709223</v>
      </c>
    </row>
    <row r="19" spans="2:7" x14ac:dyDescent="0.3">
      <c r="B19" s="24">
        <v>12</v>
      </c>
      <c r="C19" s="25">
        <v>27.746950964465924</v>
      </c>
      <c r="D19" s="25">
        <v>52.751743166241781</v>
      </c>
      <c r="E19" s="25">
        <v>58.390516817425294</v>
      </c>
      <c r="F19" s="25">
        <v>83.251746055943613</v>
      </c>
      <c r="G19" s="25">
        <v>103.66558026185163</v>
      </c>
    </row>
    <row r="20" spans="2:7" x14ac:dyDescent="0.3">
      <c r="B20" s="24">
        <v>13</v>
      </c>
      <c r="C20" s="25">
        <v>24.848935778957856</v>
      </c>
      <c r="D20" s="25">
        <v>46.43109813450635</v>
      </c>
      <c r="E20" s="25">
        <v>62.395939471839881</v>
      </c>
      <c r="F20" s="25">
        <v>93.288777130538733</v>
      </c>
      <c r="G20" s="25">
        <v>114.32752840940843</v>
      </c>
    </row>
    <row r="21" spans="2:7" x14ac:dyDescent="0.3">
      <c r="B21" s="24">
        <v>14</v>
      </c>
      <c r="C21" s="25">
        <v>23.577720839577822</v>
      </c>
      <c r="D21" s="25">
        <v>41.837747809701654</v>
      </c>
      <c r="E21" s="25">
        <v>72.260801042359176</v>
      </c>
      <c r="F21" s="25">
        <v>85.87126310037921</v>
      </c>
      <c r="G21" s="25">
        <v>124.16235532724239</v>
      </c>
    </row>
    <row r="22" spans="2:7" x14ac:dyDescent="0.3">
      <c r="B22" s="24">
        <v>15</v>
      </c>
      <c r="C22" s="25">
        <v>26.317924330685702</v>
      </c>
      <c r="D22" s="25">
        <v>50.612812075518868</v>
      </c>
      <c r="E22" s="25">
        <v>81.619153259198541</v>
      </c>
      <c r="F22" s="25">
        <v>102.24560258531187</v>
      </c>
      <c r="G22" s="25">
        <v>131.72193970390214</v>
      </c>
    </row>
    <row r="23" spans="2:7" x14ac:dyDescent="0.3">
      <c r="B23" s="24">
        <v>16</v>
      </c>
      <c r="C23" s="25">
        <v>24.486088331957081</v>
      </c>
      <c r="D23" s="25">
        <v>59.326945117172457</v>
      </c>
      <c r="E23" s="25">
        <v>78.138511975153421</v>
      </c>
      <c r="F23" s="25">
        <v>97.12272127475714</v>
      </c>
      <c r="G23" s="25">
        <v>137.74327507193718</v>
      </c>
    </row>
    <row r="24" spans="2:7" x14ac:dyDescent="0.3">
      <c r="B24" s="24">
        <v>17</v>
      </c>
      <c r="C24" s="25">
        <v>31.591387304858543</v>
      </c>
      <c r="D24" s="25">
        <v>50.659946869643093</v>
      </c>
      <c r="E24" s="25">
        <v>81.653353306158408</v>
      </c>
      <c r="F24" s="25">
        <v>99.778326525664539</v>
      </c>
      <c r="G24" s="25">
        <v>137.14536778942696</v>
      </c>
    </row>
    <row r="25" spans="2:7" x14ac:dyDescent="0.3">
      <c r="B25" s="24">
        <v>18</v>
      </c>
      <c r="C25" s="25">
        <v>37.639323411715402</v>
      </c>
      <c r="D25" s="25">
        <v>63.532041781419316</v>
      </c>
      <c r="E25" s="25">
        <v>83.997157033097224</v>
      </c>
      <c r="F25" s="25">
        <v>125.96318169103654</v>
      </c>
      <c r="G25" s="25">
        <v>140.46287673368579</v>
      </c>
    </row>
    <row r="26" spans="2:7" x14ac:dyDescent="0.3">
      <c r="B26" s="24">
        <v>19</v>
      </c>
      <c r="C26" s="25">
        <v>31.31903017931301</v>
      </c>
      <c r="D26" s="25">
        <v>60.200356300978207</v>
      </c>
      <c r="E26" s="25">
        <v>86.277165084068827</v>
      </c>
      <c r="F26" s="25">
        <v>113.11061350489649</v>
      </c>
      <c r="G26" s="25">
        <v>145.42335420354053</v>
      </c>
    </row>
    <row r="27" spans="2:7" x14ac:dyDescent="0.3">
      <c r="B27" s="24">
        <v>20</v>
      </c>
      <c r="C27" s="25">
        <v>32.524685986500728</v>
      </c>
      <c r="D27" s="25">
        <v>51.967778730514084</v>
      </c>
      <c r="E27" s="25">
        <v>87.133378599160167</v>
      </c>
      <c r="F27" s="25">
        <v>116.17338412175549</v>
      </c>
      <c r="G27" s="25">
        <v>148.79440787890454</v>
      </c>
    </row>
    <row r="28" spans="2:7" x14ac:dyDescent="0.3">
      <c r="B28" s="24">
        <v>21</v>
      </c>
      <c r="C28" s="25">
        <v>27.733256052064966</v>
      </c>
      <c r="D28" s="25">
        <v>68.840403759774176</v>
      </c>
      <c r="E28" s="25">
        <v>91.50576883367782</v>
      </c>
      <c r="F28" s="25">
        <v>120.31435278663912</v>
      </c>
      <c r="G28" s="25">
        <v>152.48087569532058</v>
      </c>
    </row>
    <row r="29" spans="2:7" x14ac:dyDescent="0.3">
      <c r="B29" s="24">
        <v>22</v>
      </c>
      <c r="C29" s="25">
        <v>37.389483446481954</v>
      </c>
      <c r="D29" s="25">
        <v>59.639436694956501</v>
      </c>
      <c r="E29" s="25">
        <v>96.538913835004934</v>
      </c>
      <c r="F29" s="25">
        <v>129.98174191861136</v>
      </c>
      <c r="G29" s="25">
        <v>164.57232893940622</v>
      </c>
    </row>
    <row r="30" spans="2:7" x14ac:dyDescent="0.3">
      <c r="B30" s="24">
        <v>23</v>
      </c>
      <c r="C30" s="25">
        <v>26.434774513203042</v>
      </c>
      <c r="D30" s="25">
        <v>56.521188813877586</v>
      </c>
      <c r="E30" s="25">
        <v>99.121522266768224</v>
      </c>
      <c r="F30" s="25">
        <v>132.90203372101993</v>
      </c>
      <c r="G30" s="25">
        <v>162.08433407618784</v>
      </c>
    </row>
    <row r="31" spans="2:7" x14ac:dyDescent="0.3">
      <c r="B31" s="24">
        <v>24</v>
      </c>
      <c r="C31" s="25">
        <v>43.364739384864869</v>
      </c>
      <c r="D31" s="25">
        <v>63.112525718872995</v>
      </c>
      <c r="E31" s="25">
        <v>98.2419901629832</v>
      </c>
      <c r="F31" s="25">
        <v>143.7665858887905</v>
      </c>
      <c r="G31" s="25">
        <v>171.0875963872692</v>
      </c>
    </row>
    <row r="32" spans="2:7" x14ac:dyDescent="0.3">
      <c r="B32" s="24">
        <v>25</v>
      </c>
      <c r="C32" s="25">
        <v>30.35274314053671</v>
      </c>
      <c r="D32" s="25">
        <v>59.740952168512898</v>
      </c>
      <c r="E32" s="25">
        <v>97.361635234355177</v>
      </c>
      <c r="F32" s="25">
        <v>147.50115097376352</v>
      </c>
      <c r="G32" s="25">
        <v>166.31198803079778</v>
      </c>
    </row>
    <row r="33" spans="2:7" x14ac:dyDescent="0.3">
      <c r="B33" s="24">
        <v>26</v>
      </c>
      <c r="C33" s="25">
        <v>46.516285874565263</v>
      </c>
      <c r="D33" s="25">
        <v>79.191108315847245</v>
      </c>
      <c r="E33" s="25">
        <v>111.78433314970692</v>
      </c>
      <c r="F33" s="25">
        <v>149.15625154379146</v>
      </c>
      <c r="G33" s="25">
        <v>177.72524595045746</v>
      </c>
    </row>
    <row r="34" spans="2:7" x14ac:dyDescent="0.3">
      <c r="B34" s="24">
        <v>27</v>
      </c>
      <c r="C34" s="25">
        <v>36.811915008544261</v>
      </c>
      <c r="D34" s="25">
        <v>67.311681232906423</v>
      </c>
      <c r="E34" s="25">
        <v>120.09519238485876</v>
      </c>
      <c r="F34" s="25">
        <v>146.39391489421149</v>
      </c>
      <c r="G34" s="25">
        <v>184.38841902815761</v>
      </c>
    </row>
    <row r="35" spans="2:7" x14ac:dyDescent="0.3">
      <c r="B35" s="24">
        <v>28</v>
      </c>
      <c r="C35" s="25">
        <v>30.852055149231042</v>
      </c>
      <c r="D35" s="25">
        <v>65.460465402173099</v>
      </c>
      <c r="E35" s="25">
        <v>115.00924005403336</v>
      </c>
      <c r="F35" s="25">
        <v>165.72261161213129</v>
      </c>
      <c r="G35" s="25">
        <v>194.60270152866653</v>
      </c>
    </row>
    <row r="36" spans="2:7" x14ac:dyDescent="0.3">
      <c r="B36" s="24">
        <v>29</v>
      </c>
      <c r="C36" s="25">
        <v>39.884791630538516</v>
      </c>
      <c r="D36" s="25">
        <v>77.114192343330686</v>
      </c>
      <c r="E36" s="25">
        <v>125.58609837921803</v>
      </c>
      <c r="F36" s="25">
        <v>153.5061516868638</v>
      </c>
      <c r="G36" s="25">
        <v>187.70885830196437</v>
      </c>
    </row>
    <row r="37" spans="2:7" x14ac:dyDescent="0.3">
      <c r="B37" s="24">
        <v>30</v>
      </c>
      <c r="C37" s="25">
        <v>46.692560381039797</v>
      </c>
      <c r="D37" s="25">
        <v>75.902469584910847</v>
      </c>
      <c r="E37" s="25">
        <v>128.43494016036541</v>
      </c>
      <c r="F37" s="25">
        <v>156.53630614788594</v>
      </c>
      <c r="G37" s="25">
        <v>196.83599568811979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E547-6D27-B74C-AA90-024EA587D634}">
  <sheetPr codeName="Sheet38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2</v>
      </c>
    </row>
    <row r="3" spans="1:2" x14ac:dyDescent="0.3">
      <c r="B3" s="1" t="s">
        <v>30</v>
      </c>
    </row>
    <row r="4" spans="1:2" x14ac:dyDescent="0.3">
      <c r="B4" s="1" t="s">
        <v>27</v>
      </c>
    </row>
    <row r="5" spans="1:2" x14ac:dyDescent="0.3">
      <c r="B5" s="1" t="s">
        <v>28</v>
      </c>
    </row>
    <row r="6" spans="1:2" x14ac:dyDescent="0.3">
      <c r="A6" s="5">
        <v>1</v>
      </c>
      <c r="B6" s="5" t="s">
        <v>3</v>
      </c>
    </row>
    <row r="7" spans="1:2" x14ac:dyDescent="0.3">
      <c r="A7" s="5">
        <v>2</v>
      </c>
      <c r="B7" s="5" t="s">
        <v>29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90</v>
      </c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</row>
    <row r="2" spans="1:7" x14ac:dyDescent="0.2">
      <c r="A2">
        <v>12500</v>
      </c>
      <c r="B2">
        <v>0.17269999999999999</v>
      </c>
      <c r="C2" t="s">
        <v>97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97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98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97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97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98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98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97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97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97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97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98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97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98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97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97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97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98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97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97</v>
      </c>
      <c r="D21">
        <v>60000</v>
      </c>
      <c r="E21" t="s">
        <v>101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97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97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98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98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99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99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97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97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97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97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97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98</v>
      </c>
      <c r="D33" t="s">
        <v>101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97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97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97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97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97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98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97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97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99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101</v>
      </c>
      <c r="B43">
        <v>0.1065</v>
      </c>
      <c r="C43" t="s">
        <v>97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97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99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97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97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98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99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97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97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99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97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98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99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97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98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98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98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98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98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97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99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98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97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97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97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98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98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97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98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98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97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97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97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97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98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97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98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99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97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99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98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97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97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97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101</v>
      </c>
      <c r="B87">
        <v>6.6199999999999995E-2</v>
      </c>
      <c r="C87" t="s">
        <v>97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97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98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98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97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97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97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97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98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101</v>
      </c>
      <c r="B96">
        <v>0.14269999999999999</v>
      </c>
      <c r="C96" t="s">
        <v>97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97</v>
      </c>
      <c r="D97">
        <v>74000</v>
      </c>
      <c r="E97">
        <v>36</v>
      </c>
      <c r="F97" t="s">
        <v>101</v>
      </c>
      <c r="G97">
        <v>0</v>
      </c>
    </row>
    <row r="98" spans="1:7" x14ac:dyDescent="0.2">
      <c r="A98">
        <v>25000</v>
      </c>
      <c r="B98">
        <v>7.9000000000000001E-2</v>
      </c>
      <c r="C98" t="s">
        <v>99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98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97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97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97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97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99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98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97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97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97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97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97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97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97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97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97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97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97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97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97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97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98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99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101</v>
      </c>
      <c r="C122" t="s">
        <v>97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98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97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97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97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98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99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97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97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97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98</v>
      </c>
      <c r="D132" t="s">
        <v>101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98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97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98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97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98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98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98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98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97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97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97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98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98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98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98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98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97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97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99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98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98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98</v>
      </c>
      <c r="D154" t="s">
        <v>101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98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97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98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98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97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98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98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98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98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99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98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98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97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97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98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98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98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98</v>
      </c>
      <c r="D172">
        <v>60000</v>
      </c>
      <c r="E172">
        <v>36</v>
      </c>
      <c r="F172" t="s">
        <v>101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97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98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98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98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97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97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97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98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98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97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97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98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98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97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98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98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97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97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98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99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98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99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97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99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98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98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98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97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97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99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99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97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98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101</v>
      </c>
      <c r="B206">
        <v>7.9000000000000001E-2</v>
      </c>
      <c r="C206" t="s">
        <v>98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97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97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97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97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98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98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98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99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98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97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98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98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98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97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98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97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98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98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98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98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98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98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98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99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97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98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98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99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98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99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98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97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98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97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98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97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98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98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97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98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97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97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97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98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98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97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98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98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98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98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98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98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98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98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97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97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97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98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98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97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98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97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98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97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98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99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97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98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98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98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101</v>
      </c>
      <c r="B277">
        <v>6.0299999999999999E-2</v>
      </c>
      <c r="C277" t="s">
        <v>98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98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98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99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101</v>
      </c>
      <c r="C281" t="s">
        <v>97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98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101</v>
      </c>
      <c r="B283">
        <v>7.9000000000000001E-2</v>
      </c>
      <c r="C283" t="s">
        <v>98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97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97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97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99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97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98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98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97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97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98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98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97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98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98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97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97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99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97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97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98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98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97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98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98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97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98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97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97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98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98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97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99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98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97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98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97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98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97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98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98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98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97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97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98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98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98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98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97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97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97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97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98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98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98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98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97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98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98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98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101</v>
      </c>
      <c r="B343">
        <v>7.4899999999999994E-2</v>
      </c>
      <c r="C343" t="s">
        <v>98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98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97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98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97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98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97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101</v>
      </c>
      <c r="B350">
        <v>0.20619999999999999</v>
      </c>
      <c r="C350" t="s">
        <v>98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98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97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98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98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98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98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97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98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98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97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97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98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98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98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98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97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97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98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98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98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97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98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98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97</v>
      </c>
      <c r="D374" t="s">
        <v>101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97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98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98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98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98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97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97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98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98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98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97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99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97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98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98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97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98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98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98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97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98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97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99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97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98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98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99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98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97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98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98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99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98</v>
      </c>
      <c r="D407" t="s">
        <v>101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97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101</v>
      </c>
      <c r="B409">
        <v>0.18790000000000001</v>
      </c>
      <c r="C409" t="s">
        <v>97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97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98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99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97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98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97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98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97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98</v>
      </c>
      <c r="D418" t="s">
        <v>101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98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98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98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98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97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98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98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98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97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97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98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97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98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97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98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98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97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97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97</v>
      </c>
      <c r="D437">
        <v>70000</v>
      </c>
      <c r="E437" t="s">
        <v>101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97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98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97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98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98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98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97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97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98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97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97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97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97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98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97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97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98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98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97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98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98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98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97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98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97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98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97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98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97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98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98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97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98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97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98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98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98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98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98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99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98</v>
      </c>
      <c r="D478">
        <v>51621</v>
      </c>
      <c r="E478">
        <v>36</v>
      </c>
      <c r="F478" t="s">
        <v>101</v>
      </c>
      <c r="G478">
        <v>0</v>
      </c>
    </row>
    <row r="479" spans="1:7" x14ac:dyDescent="0.2">
      <c r="A479">
        <v>8000</v>
      </c>
      <c r="B479">
        <v>8.4900000000000003E-2</v>
      </c>
      <c r="C479" t="s">
        <v>99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98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97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98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98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97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99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98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98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97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99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97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98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97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97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98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98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98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98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98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98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97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98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98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98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97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97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98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98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98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98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97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97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98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97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97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101</v>
      </c>
      <c r="B515">
        <v>0.15620000000000001</v>
      </c>
      <c r="C515" t="s">
        <v>97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101</v>
      </c>
      <c r="B516">
        <v>7.4899999999999994E-2</v>
      </c>
      <c r="C516" t="s">
        <v>98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97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97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101</v>
      </c>
      <c r="C519" t="s">
        <v>98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98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97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98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99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98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98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101</v>
      </c>
      <c r="C526" t="s">
        <v>97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97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98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97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101</v>
      </c>
      <c r="B530">
        <v>0.1099</v>
      </c>
      <c r="C530" t="s">
        <v>97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98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97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97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97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98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98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98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98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98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97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98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98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98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101</v>
      </c>
      <c r="C544" t="s">
        <v>97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99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98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98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97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97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98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97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98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98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97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97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98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98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98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101</v>
      </c>
      <c r="C559" t="s">
        <v>99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97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98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97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97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98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97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97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97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97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98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98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97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97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97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99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97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98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97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98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98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98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97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97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99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98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97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99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97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97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97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98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97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98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98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99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97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98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97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97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98</v>
      </c>
      <c r="D599">
        <v>399996</v>
      </c>
      <c r="E599" t="s">
        <v>101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98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97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98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97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97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97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97</v>
      </c>
      <c r="D606">
        <v>92004</v>
      </c>
      <c r="E606" t="s">
        <v>101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98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97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97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98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97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98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97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97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98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98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97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97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98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97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97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97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99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98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97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97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98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98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97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97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98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98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97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98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97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99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99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97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99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97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98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97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97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98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97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97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97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97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99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98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98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97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97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98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97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98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98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98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97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98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98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98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97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98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98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101</v>
      </c>
      <c r="B666">
        <v>0.12989999999999999</v>
      </c>
      <c r="C666" t="s">
        <v>98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99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98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98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97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97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98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98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98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98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97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97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98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98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99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97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98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98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97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99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99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97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97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98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101</v>
      </c>
      <c r="C690" t="s">
        <v>98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99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97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99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98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97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98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99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97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99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99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98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98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97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98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98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97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98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98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97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98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98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97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99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97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97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97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98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97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98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98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99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98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97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98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97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98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98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98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98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97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97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97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98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97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97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99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101</v>
      </c>
      <c r="B737">
        <v>6.9199999999999998E-2</v>
      </c>
      <c r="C737" t="s">
        <v>97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98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98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98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99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97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98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98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97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97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97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97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97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98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98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97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97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101</v>
      </c>
      <c r="C754" t="s">
        <v>97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99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99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98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98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97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97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99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97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99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97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99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98</v>
      </c>
      <c r="D766">
        <v>88812.93</v>
      </c>
      <c r="E766" t="s">
        <v>101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97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97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97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97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97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97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98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98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98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97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97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98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98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97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97</v>
      </c>
      <c r="D781">
        <v>16000</v>
      </c>
      <c r="E781" t="s">
        <v>101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97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97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97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98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97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98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97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97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98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99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97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97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97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98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97</v>
      </c>
      <c r="D796">
        <v>66000</v>
      </c>
      <c r="E796" t="s">
        <v>101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98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98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97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98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98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97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97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98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97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97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97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98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97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98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97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98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99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97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98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97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99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98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97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98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99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99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98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98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97</v>
      </c>
      <c r="D825" t="s">
        <v>101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97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98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97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97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97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97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97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101</v>
      </c>
      <c r="C833" t="s">
        <v>97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98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98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98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97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99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98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97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98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97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97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99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98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98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98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97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98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97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97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98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98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97</v>
      </c>
      <c r="D854">
        <v>45000</v>
      </c>
      <c r="E854">
        <v>36</v>
      </c>
      <c r="F854" t="s">
        <v>101</v>
      </c>
      <c r="G854">
        <v>0</v>
      </c>
    </row>
    <row r="855" spans="1:7" x14ac:dyDescent="0.2">
      <c r="A855">
        <v>6000</v>
      </c>
      <c r="B855">
        <v>0.1</v>
      </c>
      <c r="C855" t="s">
        <v>98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97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98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98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97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97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97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97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98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97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98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98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98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98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97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99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97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98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97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97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97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98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97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97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97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97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98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98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98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98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97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97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98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98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98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97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98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98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97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97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97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97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98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98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97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98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98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98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99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98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97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98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99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98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97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97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98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98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98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98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98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99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97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98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97</v>
      </c>
      <c r="D919" t="s">
        <v>101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97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99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97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97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99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97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98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101</v>
      </c>
      <c r="C927" t="s">
        <v>97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97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98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97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99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97</v>
      </c>
      <c r="D932">
        <v>40000</v>
      </c>
      <c r="E932">
        <v>60</v>
      </c>
      <c r="F932" t="s">
        <v>101</v>
      </c>
      <c r="G932">
        <v>1</v>
      </c>
    </row>
    <row r="933" spans="1:7" x14ac:dyDescent="0.2">
      <c r="A933">
        <v>8000</v>
      </c>
      <c r="B933">
        <v>5.79E-2</v>
      </c>
      <c r="C933" t="s">
        <v>99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97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97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98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98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97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97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98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98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97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98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98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98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98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98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97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97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97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98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97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97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97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97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97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101</v>
      </c>
      <c r="C957" t="s">
        <v>99</v>
      </c>
      <c r="D957" t="s">
        <v>101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98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98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98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98</v>
      </c>
      <c r="D961">
        <v>115000</v>
      </c>
      <c r="E961">
        <v>36</v>
      </c>
      <c r="F961" t="s">
        <v>101</v>
      </c>
      <c r="G961">
        <v>0</v>
      </c>
    </row>
    <row r="962" spans="1:7" x14ac:dyDescent="0.2">
      <c r="A962">
        <v>20000</v>
      </c>
      <c r="B962">
        <v>6.54E-2</v>
      </c>
      <c r="C962" t="s">
        <v>98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97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97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97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98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98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97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97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97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98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98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97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97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98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97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98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99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98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97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98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98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97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98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97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97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97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98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98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99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97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97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97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97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98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97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98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97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98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98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97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98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98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98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97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98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97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97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97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98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99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98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98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97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97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98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97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97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98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98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97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98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97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98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98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98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97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97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98</v>
      </c>
      <c r="D1029">
        <v>68559.960000000006</v>
      </c>
      <c r="E1029" t="s">
        <v>101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98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101</v>
      </c>
      <c r="B1031">
        <v>6.9099999999999995E-2</v>
      </c>
      <c r="C1031" t="s">
        <v>97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98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97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98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98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98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97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97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98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98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98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99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98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97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97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97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98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98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99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97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97</v>
      </c>
      <c r="D1051">
        <v>60000</v>
      </c>
      <c r="E1051" t="s">
        <v>101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97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97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98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98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98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97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98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99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97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97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97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98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97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99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98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97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101</v>
      </c>
      <c r="C1068" t="s">
        <v>98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101</v>
      </c>
      <c r="C1069" t="s">
        <v>97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98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97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98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97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98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97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98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98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98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98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98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101</v>
      </c>
      <c r="C1081" t="s">
        <v>98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97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97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99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98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97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98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98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97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98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97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98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97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97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97</v>
      </c>
      <c r="D1095">
        <v>43200</v>
      </c>
      <c r="E1095">
        <v>36</v>
      </c>
      <c r="F1095" t="s">
        <v>101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98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98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99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98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97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97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97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98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98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98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101</v>
      </c>
      <c r="B1106">
        <v>0.14460000000000001</v>
      </c>
      <c r="C1106" t="s">
        <v>97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97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98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98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97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101</v>
      </c>
      <c r="B1111">
        <v>6.9099999999999995E-2</v>
      </c>
      <c r="C1111" t="s">
        <v>98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98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98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97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97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98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99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98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98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97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98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98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98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97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99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97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97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97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98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97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98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99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101</v>
      </c>
      <c r="C1133" t="s">
        <v>97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98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97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98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98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97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97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99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99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98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97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97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98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98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98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98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98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97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98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98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98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97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97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97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98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97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97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98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98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98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98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98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97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97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98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97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98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101</v>
      </c>
      <c r="B1170">
        <v>0.11119999999999999</v>
      </c>
      <c r="C1170" t="s">
        <v>97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98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101</v>
      </c>
      <c r="B1172">
        <v>0.11119999999999999</v>
      </c>
      <c r="C1172" t="s">
        <v>97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101</v>
      </c>
      <c r="C1173" t="s">
        <v>97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97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97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97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98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98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97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98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98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98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98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98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98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98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97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97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97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98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97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98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97</v>
      </c>
      <c r="D1193">
        <v>43000</v>
      </c>
      <c r="E1193">
        <v>36</v>
      </c>
      <c r="F1193" t="s">
        <v>101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97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98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98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98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98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97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98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97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97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97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97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98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97</v>
      </c>
      <c r="D1206">
        <v>68000</v>
      </c>
      <c r="E1206" t="s">
        <v>101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97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98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98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99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98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98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98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99</v>
      </c>
      <c r="D1214" t="s">
        <v>101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98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98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97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97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98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97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98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98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98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97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98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98</v>
      </c>
      <c r="D1226" t="s">
        <v>101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97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101</v>
      </c>
      <c r="B1228">
        <v>7.51E-2</v>
      </c>
      <c r="C1228" t="s">
        <v>99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98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97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98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98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97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98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97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98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97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98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98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97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98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98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98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97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98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98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98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97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97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97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101</v>
      </c>
      <c r="B1251">
        <v>7.8799999999999995E-2</v>
      </c>
      <c r="C1251" t="s">
        <v>98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97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97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97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97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98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98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97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97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97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97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97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97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97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98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98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99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98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97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97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97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97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101</v>
      </c>
      <c r="C1273" t="s">
        <v>98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97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97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98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97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99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97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97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97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98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98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98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98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97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97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99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98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97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98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98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98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97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97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98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98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98</v>
      </c>
      <c r="D1298">
        <v>78000</v>
      </c>
      <c r="E1298" t="s">
        <v>101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97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99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97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97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98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97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97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97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97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98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97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98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98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97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98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98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97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98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97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97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98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97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97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98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98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98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98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97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98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98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97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97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98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98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98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97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98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97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97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98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97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99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98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101</v>
      </c>
      <c r="B1342">
        <v>0.1038</v>
      </c>
      <c r="C1342" t="s">
        <v>98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98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98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97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97</v>
      </c>
      <c r="D1346">
        <v>42996</v>
      </c>
      <c r="E1346">
        <v>36</v>
      </c>
      <c r="F1346" t="s">
        <v>101</v>
      </c>
      <c r="G1346">
        <v>0</v>
      </c>
    </row>
    <row r="1347" spans="1:7" x14ac:dyDescent="0.2">
      <c r="A1347">
        <v>14000</v>
      </c>
      <c r="B1347">
        <v>0.1186</v>
      </c>
      <c r="C1347" t="s">
        <v>97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98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98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97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99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98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98</v>
      </c>
      <c r="D1353">
        <v>45500</v>
      </c>
      <c r="E1353">
        <v>60</v>
      </c>
      <c r="F1353" t="s">
        <v>101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97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98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98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98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99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97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98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98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98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101</v>
      </c>
      <c r="B1363">
        <v>0.15579999999999999</v>
      </c>
      <c r="C1363" t="s">
        <v>99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97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98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97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97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97</v>
      </c>
      <c r="D1368" t="s">
        <v>101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98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97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99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98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97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98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98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97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97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97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98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97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97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98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98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98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98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97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97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97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97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98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97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97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97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97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97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98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97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98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97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97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97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98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98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98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98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98</v>
      </c>
      <c r="D1406">
        <v>54000</v>
      </c>
      <c r="E1406" t="s">
        <v>101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98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97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97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99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97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97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97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98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97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98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97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98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97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98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97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98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98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97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101</v>
      </c>
      <c r="B1425">
        <v>0.10249999999999999</v>
      </c>
      <c r="C1425" t="s">
        <v>98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97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97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98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98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97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98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98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98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97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97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97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97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98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98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97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98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97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98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98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97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98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97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98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97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97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99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97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97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98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97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99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98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97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98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98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98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98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97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98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97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98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97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97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97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98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98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99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98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97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97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98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97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97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98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97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98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98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99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97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98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97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97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98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98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99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98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97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97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97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98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98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97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97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97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98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97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97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98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97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97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97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97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99</v>
      </c>
      <c r="D1508" t="s">
        <v>101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97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97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97</v>
      </c>
      <c r="D1511">
        <v>38304</v>
      </c>
      <c r="E1511" t="s">
        <v>101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99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97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97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97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97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98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99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98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97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98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98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97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97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97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98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98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97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97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99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98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98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98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97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97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98</v>
      </c>
      <c r="D1536">
        <v>63000</v>
      </c>
      <c r="E1536">
        <v>36</v>
      </c>
      <c r="F1536" t="s">
        <v>101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98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97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98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99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98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98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97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97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97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98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99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101</v>
      </c>
      <c r="C1548" t="s">
        <v>98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98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98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99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98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98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97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97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97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97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98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97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97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98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97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99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97</v>
      </c>
      <c r="D1564" t="s">
        <v>101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97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97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97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97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97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98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98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98</v>
      </c>
      <c r="D1572">
        <v>58868</v>
      </c>
      <c r="E1572">
        <v>36</v>
      </c>
      <c r="F1572" t="s">
        <v>101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98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97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97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97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97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99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99</v>
      </c>
      <c r="D1579" t="s">
        <v>101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97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99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97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97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97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97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97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99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98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97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97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98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97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99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97</v>
      </c>
      <c r="D1594">
        <v>36000</v>
      </c>
      <c r="E1594">
        <v>36</v>
      </c>
      <c r="F1594" t="s">
        <v>101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97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98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97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98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98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97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101</v>
      </c>
      <c r="B1601">
        <v>0.14610000000000001</v>
      </c>
      <c r="C1601" t="s">
        <v>97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101</v>
      </c>
      <c r="B1602">
        <v>0.12870000000000001</v>
      </c>
      <c r="C1602" t="s">
        <v>97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97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98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97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97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97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98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98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97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97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98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97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98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97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97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99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98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97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98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98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99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98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98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97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97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97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98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97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98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98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97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97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98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97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97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98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100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97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97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97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97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97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97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101</v>
      </c>
      <c r="C1645" t="s">
        <v>98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98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97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98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97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97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97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97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98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97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98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97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98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97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97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98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97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97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97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97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97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97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98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99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97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98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97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98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98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97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97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97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98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98</v>
      </c>
      <c r="D1678">
        <v>37000</v>
      </c>
      <c r="E1678">
        <v>36</v>
      </c>
      <c r="F1678" t="s">
        <v>101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98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98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97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97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97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97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97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99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97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97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97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98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97</v>
      </c>
      <c r="D1691" t="s">
        <v>101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98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98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97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97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97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97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97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97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98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98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97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97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98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97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97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98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97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98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97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98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97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97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98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97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98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98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98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97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98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98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97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98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97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98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101</v>
      </c>
      <c r="C1726" t="s">
        <v>98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99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98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97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100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97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97</v>
      </c>
      <c r="D1732">
        <v>143000</v>
      </c>
      <c r="E1732" t="s">
        <v>101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97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98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99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97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98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98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98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98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99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97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98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98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98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97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97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98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97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97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101</v>
      </c>
      <c r="B1751">
        <v>9.6299999999999997E-2</v>
      </c>
      <c r="C1751" t="s">
        <v>98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98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97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99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97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98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97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98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97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97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98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97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98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98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97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97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98</v>
      </c>
      <c r="D1767" t="s">
        <v>101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97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97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97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97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98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97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97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97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98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98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97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97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97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97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99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98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97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98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97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98</v>
      </c>
      <c r="D1787">
        <v>45996</v>
      </c>
      <c r="E1787">
        <v>36</v>
      </c>
      <c r="F1787" t="s">
        <v>101</v>
      </c>
      <c r="G1787">
        <v>0</v>
      </c>
    </row>
    <row r="1788" spans="1:7" x14ac:dyDescent="0.2">
      <c r="A1788">
        <v>6000</v>
      </c>
      <c r="B1788">
        <v>0.1221</v>
      </c>
      <c r="C1788" t="s">
        <v>100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97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98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100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99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97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98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97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97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101</v>
      </c>
      <c r="C1797" t="s">
        <v>97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98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97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97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97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97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97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98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97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99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101</v>
      </c>
      <c r="C1807" t="s">
        <v>97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97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101</v>
      </c>
      <c r="B1809">
        <v>0.12529999999999999</v>
      </c>
      <c r="C1809" t="s">
        <v>98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98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98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97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97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97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98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101</v>
      </c>
      <c r="C1816" t="s">
        <v>97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98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99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99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98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98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97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97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97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98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97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97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97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97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98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97</v>
      </c>
      <c r="D1831">
        <v>38000</v>
      </c>
      <c r="E1831" t="s">
        <v>101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97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98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97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97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97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97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97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98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98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98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97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97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98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99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97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97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97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97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97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97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99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97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97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97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97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97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97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98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97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98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97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97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98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97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97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98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100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98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97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98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98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99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97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99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97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97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97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97</v>
      </c>
      <c r="D1879">
        <v>30000</v>
      </c>
      <c r="E1879" t="s">
        <v>101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97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97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98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98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97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99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99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97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97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101</v>
      </c>
      <c r="B1889">
        <v>7.1199999999999999E-2</v>
      </c>
      <c r="C1889" t="s">
        <v>97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97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97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97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97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97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97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98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98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97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97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98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98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99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97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98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99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98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98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97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97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98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97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98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98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98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99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98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101</v>
      </c>
      <c r="C1917" t="s">
        <v>99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99</v>
      </c>
      <c r="D1918">
        <v>83000</v>
      </c>
      <c r="E1918" t="s">
        <v>101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98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98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98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98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97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97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98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97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98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98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98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101</v>
      </c>
      <c r="C1930" t="s">
        <v>98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98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97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97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97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97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98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97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98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97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101</v>
      </c>
      <c r="B1940">
        <v>0.1757</v>
      </c>
      <c r="C1940" t="s">
        <v>97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98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97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97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98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98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97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97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97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98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97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97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97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98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97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97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98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98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98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98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98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98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97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97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99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97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98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98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98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98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98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98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98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97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98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97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98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98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97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99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97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98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97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97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98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98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97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97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97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97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99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98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98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97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98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98</v>
      </c>
      <c r="D1995">
        <v>115518</v>
      </c>
      <c r="E1995" t="s">
        <v>101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97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98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98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98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97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97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98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99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98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97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99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98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98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99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97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98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98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99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99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97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98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98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98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98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98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98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98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97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98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97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97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98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97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98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97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99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99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99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97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98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97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97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99</v>
      </c>
      <c r="D2038">
        <v>200000</v>
      </c>
      <c r="E2038" t="s">
        <v>101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97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98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97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97</v>
      </c>
      <c r="D2042">
        <v>48000</v>
      </c>
      <c r="E2042" t="s">
        <v>101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98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98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98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97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98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98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97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98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98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101</v>
      </c>
      <c r="C2052" t="s">
        <v>98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97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98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98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97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98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98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97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98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97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98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97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97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98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97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97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97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97</v>
      </c>
      <c r="D2069" t="s">
        <v>101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98</v>
      </c>
      <c r="D2070">
        <v>140000</v>
      </c>
      <c r="E2070" t="s">
        <v>101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98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97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97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98</v>
      </c>
      <c r="D2074">
        <v>55000</v>
      </c>
      <c r="E2074" t="s">
        <v>101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98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98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97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98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97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98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97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97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97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97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97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97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97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98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98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98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97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98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98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97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98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97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98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98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98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97</v>
      </c>
      <c r="D2100">
        <v>65000</v>
      </c>
      <c r="E2100">
        <v>36</v>
      </c>
      <c r="F2100" t="s">
        <v>101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97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98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97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98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98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98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99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97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98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98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97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98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98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98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98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97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98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97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98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98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97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97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98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98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97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98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98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99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98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98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97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98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98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97</v>
      </c>
      <c r="D2134">
        <v>33460</v>
      </c>
      <c r="E2134">
        <v>36</v>
      </c>
      <c r="F2134" t="s">
        <v>101</v>
      </c>
      <c r="G2134">
        <v>1</v>
      </c>
    </row>
    <row r="2135" spans="1:7" x14ac:dyDescent="0.2">
      <c r="A2135" t="s">
        <v>101</v>
      </c>
      <c r="B2135">
        <v>0.25800000000000001</v>
      </c>
      <c r="C2135" t="s">
        <v>98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97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97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98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98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98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98</v>
      </c>
      <c r="D2141">
        <v>150000</v>
      </c>
      <c r="E2141">
        <v>60</v>
      </c>
      <c r="F2141" t="s">
        <v>101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99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97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98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97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97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98</v>
      </c>
      <c r="D2147">
        <v>70000</v>
      </c>
      <c r="E2147">
        <v>36</v>
      </c>
      <c r="F2147" t="s">
        <v>101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98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98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97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97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99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97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98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98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98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97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97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97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97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98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97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97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98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99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98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98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97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98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98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99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98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97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97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97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98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97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98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98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97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97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97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97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97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97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97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101</v>
      </c>
      <c r="B2187">
        <v>0.1099</v>
      </c>
      <c r="C2187" t="s">
        <v>99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98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99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98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98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98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97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98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98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98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97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97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98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99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97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97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98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98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99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98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99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97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97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98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98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98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98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98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99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99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98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98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98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98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97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98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97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98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98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98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98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97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99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98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98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98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97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99</v>
      </c>
      <c r="D2234">
        <v>60000</v>
      </c>
      <c r="E2234">
        <v>36</v>
      </c>
      <c r="F2234" t="s">
        <v>101</v>
      </c>
      <c r="G2234">
        <v>1</v>
      </c>
    </row>
    <row r="2235" spans="1:7" x14ac:dyDescent="0.2">
      <c r="A2235">
        <v>35000</v>
      </c>
      <c r="B2235">
        <v>0.192</v>
      </c>
      <c r="C2235" t="s">
        <v>98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98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98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98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98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97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98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97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98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97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98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98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98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97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98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98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98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98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97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97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97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98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97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99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98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98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98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97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97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99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97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98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98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98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98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97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99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97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97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97</v>
      </c>
      <c r="D2274" t="s">
        <v>101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98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98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97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98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99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98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97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97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99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99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98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99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97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98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98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98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98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98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98</v>
      </c>
      <c r="D2293" t="s">
        <v>101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98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98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97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99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101</v>
      </c>
      <c r="C2298" t="s">
        <v>97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98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97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99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98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98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98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97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98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97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98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98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98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98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97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98</v>
      </c>
      <c r="D2313" t="s">
        <v>101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99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98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98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99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98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99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97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97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97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98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98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101</v>
      </c>
      <c r="C2325" t="s">
        <v>98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97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97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98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98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97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97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98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97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99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99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97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98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97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97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99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99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97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98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99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97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97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97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97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99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98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98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97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98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97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98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98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98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97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98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97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101</v>
      </c>
      <c r="C2361" t="s">
        <v>97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99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101</v>
      </c>
      <c r="B2363">
        <v>0.192</v>
      </c>
      <c r="C2363" t="s">
        <v>98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98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98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98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98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97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99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97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97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98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97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97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98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97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97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98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98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98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97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98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97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97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97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98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98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98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97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98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98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98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98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98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98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98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98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98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97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98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97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98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99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97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98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98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98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98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97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98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99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97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98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101</v>
      </c>
      <c r="C2414" t="s">
        <v>97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97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98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98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98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97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98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97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97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98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98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97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98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97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98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98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98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97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97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101</v>
      </c>
      <c r="B2433">
        <v>0.17100000000000001</v>
      </c>
      <c r="C2433" t="s">
        <v>98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97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98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97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98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97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98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97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97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97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98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97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98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97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98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97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97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98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98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97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98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98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98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98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97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98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98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97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97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97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97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99</v>
      </c>
      <c r="D2464">
        <v>75000</v>
      </c>
      <c r="E2464">
        <v>60</v>
      </c>
      <c r="F2464" t="s">
        <v>101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97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97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98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97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98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98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98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98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98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98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97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98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98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97</v>
      </c>
      <c r="D2478" t="s">
        <v>101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98</v>
      </c>
      <c r="D2479">
        <v>109000</v>
      </c>
      <c r="E2479">
        <v>36</v>
      </c>
      <c r="F2479" t="s">
        <v>101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98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98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97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98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98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97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98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98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98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98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97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99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97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97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97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98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97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98</v>
      </c>
      <c r="D2497">
        <v>65000</v>
      </c>
      <c r="E2497" t="s">
        <v>101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97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98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98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98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98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97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98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99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98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98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98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98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98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97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97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98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97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98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99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98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101</v>
      </c>
      <c r="B2518">
        <v>0.11990000000000001</v>
      </c>
      <c r="C2518" t="s">
        <v>97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99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97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98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97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97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98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98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97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98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98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97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99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98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97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97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98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101</v>
      </c>
      <c r="B2535">
        <v>9.6699999999999994E-2</v>
      </c>
      <c r="C2535" t="s">
        <v>98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97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98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98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98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98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98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98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97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98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97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98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98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99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98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98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98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98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97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98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98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101</v>
      </c>
      <c r="C2556" t="s">
        <v>97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97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98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99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97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97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99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98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98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98</v>
      </c>
      <c r="D2565">
        <v>83000</v>
      </c>
      <c r="E2565">
        <v>36</v>
      </c>
      <c r="F2565" t="s">
        <v>101</v>
      </c>
      <c r="G2565">
        <v>0</v>
      </c>
    </row>
    <row r="2566" spans="1:7" x14ac:dyDescent="0.2">
      <c r="A2566">
        <v>14000</v>
      </c>
      <c r="B2566">
        <v>0.192</v>
      </c>
      <c r="C2566" t="s">
        <v>97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98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97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98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97</v>
      </c>
      <c r="D2570">
        <v>87000</v>
      </c>
      <c r="E2570" t="s">
        <v>101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98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97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97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97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98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98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98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98</v>
      </c>
      <c r="D2578" t="s">
        <v>101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97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99</v>
      </c>
      <c r="D2580">
        <v>60000</v>
      </c>
      <c r="E2580" t="s">
        <v>101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97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97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99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99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97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98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97</v>
      </c>
      <c r="D2587">
        <v>86000</v>
      </c>
      <c r="E2587" t="s">
        <v>101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97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98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98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98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99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97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97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98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98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97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97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97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98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98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98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98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97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98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98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98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98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98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98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97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97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98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97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98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98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98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97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97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98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97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98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98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98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98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97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97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97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101</v>
      </c>
      <c r="C2629" t="s">
        <v>97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97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98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97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97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97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98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97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99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97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99</v>
      </c>
      <c r="D2639">
        <v>40000</v>
      </c>
      <c r="E2639">
        <v>36</v>
      </c>
      <c r="F2639" t="s">
        <v>101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97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97</v>
      </c>
      <c r="D2641" t="s">
        <v>101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98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98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97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99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97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97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97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98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98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101</v>
      </c>
      <c r="B2651">
        <v>0.1099</v>
      </c>
      <c r="C2651" t="s">
        <v>98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97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98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101</v>
      </c>
      <c r="B2654">
        <v>0.15609999999999999</v>
      </c>
      <c r="C2654" t="s">
        <v>98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99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99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98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98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97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97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98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101</v>
      </c>
      <c r="C2662" t="s">
        <v>98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98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98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98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98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99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98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98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98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97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98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98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97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99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97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97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99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99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99</v>
      </c>
      <c r="D2680">
        <v>55000</v>
      </c>
      <c r="E2680" t="s">
        <v>101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97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98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98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98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98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98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98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99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98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98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98</v>
      </c>
      <c r="D2691">
        <v>55000</v>
      </c>
      <c r="E2691" t="s">
        <v>101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98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97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97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98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97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97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97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97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99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97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97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97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99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98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98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97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97</v>
      </c>
      <c r="D2708">
        <v>41200</v>
      </c>
      <c r="E2708">
        <v>36</v>
      </c>
      <c r="F2708" t="s">
        <v>101</v>
      </c>
      <c r="G2708">
        <v>0</v>
      </c>
    </row>
    <row r="2709" spans="1:7" x14ac:dyDescent="0.2">
      <c r="A2709">
        <v>8000</v>
      </c>
      <c r="B2709">
        <v>0.21</v>
      </c>
      <c r="C2709" t="s">
        <v>97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99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97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97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98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97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97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97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98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97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98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98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101</v>
      </c>
      <c r="C2721" t="s">
        <v>97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98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97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98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98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98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98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98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98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97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97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97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97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97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97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97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98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98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98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97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99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97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98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97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101</v>
      </c>
      <c r="B2745">
        <v>9.9900000000000003E-2</v>
      </c>
      <c r="C2745" t="s">
        <v>98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97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98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98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99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97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98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99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97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97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98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99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98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97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97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98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98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99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97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97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98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97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98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98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101</v>
      </c>
      <c r="B2769">
        <v>0.192</v>
      </c>
      <c r="C2769" t="s">
        <v>97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98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98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97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98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98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97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98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97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97</v>
      </c>
      <c r="D2778" t="s">
        <v>101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98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97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97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98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99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97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97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98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98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97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101</v>
      </c>
      <c r="C2789" t="s">
        <v>98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98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98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97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97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98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98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98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98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98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99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98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98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98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98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97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97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98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99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97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98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98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98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101</v>
      </c>
      <c r="C2812" t="s">
        <v>98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97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98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98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98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98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98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98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97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98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98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97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98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98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98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98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101</v>
      </c>
      <c r="C2828" t="s">
        <v>98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98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98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97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98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98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97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97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97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98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98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97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98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97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98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99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99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98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97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98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98</v>
      </c>
      <c r="D2848" t="s">
        <v>101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97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98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101</v>
      </c>
      <c r="B2851">
        <v>9.9900000000000003E-2</v>
      </c>
      <c r="C2851" t="s">
        <v>97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97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98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98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97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97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97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97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97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98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98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98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98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97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98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97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97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98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99</v>
      </c>
      <c r="D2869">
        <v>26200</v>
      </c>
      <c r="E2869">
        <v>36</v>
      </c>
      <c r="F2869" t="s">
        <v>101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98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97</v>
      </c>
      <c r="D2871">
        <v>30000</v>
      </c>
      <c r="E2871">
        <v>36</v>
      </c>
      <c r="F2871" t="s">
        <v>101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97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98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98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98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98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97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97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97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99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98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98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98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98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97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98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98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98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98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99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98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98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98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97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98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97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97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98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97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97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98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97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97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98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98</v>
      </c>
      <c r="D2905">
        <v>34000</v>
      </c>
      <c r="E2905">
        <v>60</v>
      </c>
      <c r="F2905" t="s">
        <v>101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97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98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98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97</v>
      </c>
      <c r="D2909">
        <v>34000</v>
      </c>
      <c r="E2909">
        <v>36</v>
      </c>
      <c r="F2909" t="s">
        <v>101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98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98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98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99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98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98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98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98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97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98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98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98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97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97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98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101</v>
      </c>
      <c r="B2925">
        <v>9.2499999999999999E-2</v>
      </c>
      <c r="C2925" t="s">
        <v>98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98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98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97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98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98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97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98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101</v>
      </c>
      <c r="C2933" t="s">
        <v>99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99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97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98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98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98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98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97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98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97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97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98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98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97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98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98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98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101</v>
      </c>
      <c r="B2950">
        <v>0.14330000000000001</v>
      </c>
      <c r="C2950" t="s">
        <v>99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97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98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97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97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99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98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97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98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97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97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97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97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98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97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98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97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98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99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99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98</v>
      </c>
      <c r="D2970" t="s">
        <v>101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97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98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97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101</v>
      </c>
      <c r="B2974">
        <v>0.1678</v>
      </c>
      <c r="C2974" t="s">
        <v>97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98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99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97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98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97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98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98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97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97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98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98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97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97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98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98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97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98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98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97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97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98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97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99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97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98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99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98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98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97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98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98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98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98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97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97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98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99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97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97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97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98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97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97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97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97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98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98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98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98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98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98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97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99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97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97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97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97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97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97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98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98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98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98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97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98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98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97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98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98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97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98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98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98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99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98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98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99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97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98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97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98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97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97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99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97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98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97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99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98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98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97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98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98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97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97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98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99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97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97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98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98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99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98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99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98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101</v>
      </c>
      <c r="C3080" t="s">
        <v>98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98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97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98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99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98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98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97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98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98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98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98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97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98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97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97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97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98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97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99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97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98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98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98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97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99</v>
      </c>
      <c r="D3105">
        <v>88000</v>
      </c>
      <c r="E3105">
        <v>36</v>
      </c>
      <c r="F3105" t="s">
        <v>101</v>
      </c>
      <c r="G3105">
        <v>0</v>
      </c>
    </row>
    <row r="3106" spans="1:7" x14ac:dyDescent="0.2">
      <c r="A3106">
        <v>9600</v>
      </c>
      <c r="B3106">
        <v>0.1678</v>
      </c>
      <c r="C3106" t="s">
        <v>98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98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98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98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101</v>
      </c>
      <c r="C3110" t="s">
        <v>97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98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98</v>
      </c>
      <c r="D3112">
        <v>60000</v>
      </c>
      <c r="E3112">
        <v>36</v>
      </c>
      <c r="F3112" t="s">
        <v>101</v>
      </c>
      <c r="G3112">
        <v>0</v>
      </c>
    </row>
    <row r="3113" spans="1:7" x14ac:dyDescent="0.2">
      <c r="A3113">
        <v>10000</v>
      </c>
      <c r="B3113">
        <v>0.1588</v>
      </c>
      <c r="C3113" t="s">
        <v>97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98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98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97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97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98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98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98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98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98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97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98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98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98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98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98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98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97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98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98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97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98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97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98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98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98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97</v>
      </c>
      <c r="D3139">
        <v>73000</v>
      </c>
      <c r="E3139">
        <v>36</v>
      </c>
      <c r="F3139" t="s">
        <v>101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98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98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99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98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98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98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97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98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97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98</v>
      </c>
      <c r="D3149">
        <v>78000</v>
      </c>
      <c r="E3149" t="s">
        <v>101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98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101</v>
      </c>
      <c r="B3151">
        <v>0.19520000000000001</v>
      </c>
      <c r="C3151" t="s">
        <v>97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98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97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98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98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98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98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98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98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97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98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99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97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97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97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98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98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98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97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97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98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98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98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98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97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97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98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98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99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97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97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101</v>
      </c>
      <c r="B3182">
        <v>9.7100000000000006E-2</v>
      </c>
      <c r="C3182" t="s">
        <v>98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97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98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99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97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98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97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98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97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97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97</v>
      </c>
      <c r="D3192">
        <v>32000</v>
      </c>
      <c r="E3192" t="s">
        <v>101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98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98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97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97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97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98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97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97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97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99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98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98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98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98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97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97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98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97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99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98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97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99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97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97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98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98</v>
      </c>
      <c r="D3218">
        <v>110000</v>
      </c>
      <c r="E3218">
        <v>36</v>
      </c>
      <c r="F3218" t="s">
        <v>101</v>
      </c>
      <c r="G3218">
        <v>0</v>
      </c>
    </row>
    <row r="3219" spans="1:7" x14ac:dyDescent="0.2">
      <c r="A3219">
        <v>10000</v>
      </c>
      <c r="B3219">
        <v>0.1235</v>
      </c>
      <c r="C3219" t="s">
        <v>97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101</v>
      </c>
      <c r="C3220" t="s">
        <v>98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98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97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97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97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98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97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98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99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98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99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98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98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98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98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97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98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97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97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98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98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98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98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98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97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98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97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98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97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97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98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98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98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97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98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98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98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97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97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98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97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98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98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98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98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97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97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98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97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99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98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98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98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97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98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97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97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97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98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97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98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97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97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98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97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98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98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98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98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98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98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98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98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98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97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97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97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97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101</v>
      </c>
      <c r="C3298" t="s">
        <v>97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97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98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98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97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98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97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97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98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97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98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98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98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98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98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98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98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97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98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98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98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97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98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98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98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97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97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98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97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97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99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97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97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98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98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97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98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97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98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98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97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97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98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98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97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97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99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98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98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98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98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98</v>
      </c>
      <c r="D3349">
        <v>55000</v>
      </c>
      <c r="E3349" t="s">
        <v>101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98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98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98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98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97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97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97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97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97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97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98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97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97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99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101</v>
      </c>
      <c r="C3364" t="s">
        <v>99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98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98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97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97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97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99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98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98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97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97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98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97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98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97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98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97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98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97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97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98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98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97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98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97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98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98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97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98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98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98</v>
      </c>
      <c r="D3394">
        <v>60000</v>
      </c>
      <c r="E3394">
        <v>60</v>
      </c>
      <c r="F3394" t="s">
        <v>101</v>
      </c>
      <c r="G3394">
        <v>0</v>
      </c>
    </row>
    <row r="3395" spans="1:7" x14ac:dyDescent="0.2">
      <c r="A3395">
        <v>10575</v>
      </c>
      <c r="B3395">
        <v>0.1678</v>
      </c>
      <c r="C3395" t="s">
        <v>98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101</v>
      </c>
      <c r="C3396" t="s">
        <v>98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98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98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97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97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98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98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98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98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98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98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97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98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98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97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98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101</v>
      </c>
      <c r="B3412">
        <v>0.1368</v>
      </c>
      <c r="C3412" t="s">
        <v>97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98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98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98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98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98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97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99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97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98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99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98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98</v>
      </c>
      <c r="D3424" t="s">
        <v>101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98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97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97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98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97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97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98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97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99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97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99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98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98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98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97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98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97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98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98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97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98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97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98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98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98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97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97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97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97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98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97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98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98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98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97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97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98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97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98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97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97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98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98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97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97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98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97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99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97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98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97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98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97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98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98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98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98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98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98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98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97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97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98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97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97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99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97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98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98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97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98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98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98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98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97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98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97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97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99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98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98</v>
      </c>
      <c r="D3505">
        <v>45000</v>
      </c>
      <c r="E3505">
        <v>36</v>
      </c>
      <c r="F3505" t="s">
        <v>101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98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97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98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97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98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98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98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97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98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97</v>
      </c>
      <c r="D3515">
        <v>60000</v>
      </c>
      <c r="E3515" t="s">
        <v>101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97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98</v>
      </c>
      <c r="D3517">
        <v>33280</v>
      </c>
      <c r="E3517">
        <v>36</v>
      </c>
      <c r="F3517" t="s">
        <v>101</v>
      </c>
      <c r="G3517">
        <v>1</v>
      </c>
    </row>
    <row r="3518" spans="1:7" x14ac:dyDescent="0.2">
      <c r="A3518">
        <v>2500</v>
      </c>
      <c r="B3518">
        <v>0.216</v>
      </c>
      <c r="C3518" t="s">
        <v>98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98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98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98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98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99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98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97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99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98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98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98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98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97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97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97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101</v>
      </c>
      <c r="C3534" t="s">
        <v>97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98</v>
      </c>
      <c r="D3535">
        <v>50000</v>
      </c>
      <c r="E3535" t="s">
        <v>101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97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98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99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98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98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97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97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98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97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97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97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98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98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97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97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97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98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97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97</v>
      </c>
      <c r="D3554">
        <v>88000</v>
      </c>
      <c r="E3554">
        <v>36</v>
      </c>
      <c r="F3554" t="s">
        <v>101</v>
      </c>
      <c r="G3554">
        <v>0</v>
      </c>
    </row>
    <row r="3555" spans="1:7" x14ac:dyDescent="0.2">
      <c r="A3555">
        <v>18700</v>
      </c>
      <c r="B3555" t="s">
        <v>101</v>
      </c>
      <c r="C3555" t="s">
        <v>98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98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97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97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98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98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98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98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98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98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98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98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97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97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97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97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98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97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98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98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98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98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98</v>
      </c>
      <c r="D3577">
        <v>144200</v>
      </c>
      <c r="E3577" t="s">
        <v>101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97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97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98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97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97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97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98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97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98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98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98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98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97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97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97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97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98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98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98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97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97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98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98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98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98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98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98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98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99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99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98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99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98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97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98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98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99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99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97</v>
      </c>
      <c r="D3616">
        <v>50000</v>
      </c>
      <c r="E3616" t="s">
        <v>101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98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97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98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98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98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97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97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98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97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98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97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99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97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97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98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98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97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98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97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98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97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97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98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98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97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97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99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98</v>
      </c>
      <c r="D3644" t="s">
        <v>101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97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99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98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97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98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97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97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99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98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98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98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97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97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98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97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98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99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98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98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97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98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98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97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97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97</v>
      </c>
      <c r="D3669">
        <v>55000</v>
      </c>
      <c r="E3669">
        <v>36</v>
      </c>
      <c r="F3669" t="s">
        <v>101</v>
      </c>
      <c r="G3669">
        <v>0</v>
      </c>
    </row>
    <row r="3670" spans="1:7" x14ac:dyDescent="0.2">
      <c r="A3670">
        <v>4000</v>
      </c>
      <c r="B3670">
        <v>0.216</v>
      </c>
      <c r="C3670" t="s">
        <v>97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98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98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97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98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98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97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98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98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101</v>
      </c>
      <c r="C3679" t="s">
        <v>97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98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97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97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97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97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97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98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98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98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97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97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99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98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98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99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97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97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99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97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97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97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98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97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98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97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98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99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98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98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99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99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98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97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97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98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97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98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99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99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97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98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98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97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97</v>
      </c>
      <c r="D3723">
        <v>30000</v>
      </c>
      <c r="E3723" t="s">
        <v>101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97</v>
      </c>
      <c r="D3724" t="s">
        <v>101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98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98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98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98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97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97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98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97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97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98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98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97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97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98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97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98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98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99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98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98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98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98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98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98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97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97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98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98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97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97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98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99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97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98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98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98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97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98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97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97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97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98</v>
      </c>
      <c r="D3766">
        <v>70000</v>
      </c>
      <c r="E3766">
        <v>60</v>
      </c>
      <c r="F3766" t="s">
        <v>101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98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98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98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98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98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98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98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97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98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99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98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97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98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97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97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98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98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98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97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97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98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98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98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98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98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97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98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97</v>
      </c>
      <c r="D3794">
        <v>60000</v>
      </c>
      <c r="E3794" t="s">
        <v>101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97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98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97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98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97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98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98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97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98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98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97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98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98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97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97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98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97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98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98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97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99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97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97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97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99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98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97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97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98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97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98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101</v>
      </c>
      <c r="C3826" t="s">
        <v>97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97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98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99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97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97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98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97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98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97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98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98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97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98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97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99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97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98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97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101</v>
      </c>
      <c r="B3845">
        <v>0.18490000000000001</v>
      </c>
      <c r="C3845" t="s">
        <v>98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97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98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98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97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97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99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98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98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98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98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98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98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98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98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97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98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98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97</v>
      </c>
      <c r="D3863" t="s">
        <v>101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98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97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97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98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98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97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98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97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98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98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98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99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98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98</v>
      </c>
      <c r="D3877">
        <v>59800</v>
      </c>
      <c r="E3877">
        <v>36</v>
      </c>
      <c r="F3877" t="s">
        <v>101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98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97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97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97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98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98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98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98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98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97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99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98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98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98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97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97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97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97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97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97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97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98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97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97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99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97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98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97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97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97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98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98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97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97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99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98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97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97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98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97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98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97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99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97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98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98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97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97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97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98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98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98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99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99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98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97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97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97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97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98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98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98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98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97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97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98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98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98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97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98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98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97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98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98</v>
      </c>
      <c r="D3951">
        <v>109000</v>
      </c>
      <c r="E3951" t="s">
        <v>101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98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98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98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97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97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98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97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99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97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98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98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97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97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97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97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98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98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97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99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97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97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97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98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98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98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97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98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97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98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97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97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97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98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97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98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98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97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97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98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97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99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98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97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98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97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98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97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98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97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98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98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97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99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97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98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97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99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98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97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98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97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98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97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98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97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97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98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97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98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97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97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99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98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98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98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99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98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99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97</v>
      </c>
      <c r="D4030">
        <v>86000</v>
      </c>
      <c r="E4030" t="s">
        <v>101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97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98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97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98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98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98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97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98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97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98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97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97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98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98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98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97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98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98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98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98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97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98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98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97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101</v>
      </c>
      <c r="B4055">
        <v>6.0299999999999999E-2</v>
      </c>
      <c r="C4055" t="s">
        <v>98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97</v>
      </c>
      <c r="D4056" t="s">
        <v>101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98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98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97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97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98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97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97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101</v>
      </c>
      <c r="C4064" t="s">
        <v>98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97</v>
      </c>
      <c r="D4065">
        <v>86000</v>
      </c>
      <c r="E4065">
        <v>36</v>
      </c>
      <c r="F4065" t="s">
        <v>101</v>
      </c>
      <c r="G4065">
        <v>0</v>
      </c>
    </row>
    <row r="4066" spans="1:7" x14ac:dyDescent="0.2">
      <c r="A4066">
        <v>25000</v>
      </c>
      <c r="B4066">
        <v>0.1114</v>
      </c>
      <c r="C4066" t="s">
        <v>99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98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98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98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98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97</v>
      </c>
      <c r="D4071">
        <v>33000</v>
      </c>
      <c r="E4071" t="s">
        <v>101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98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101</v>
      </c>
      <c r="B4073">
        <v>0.158</v>
      </c>
      <c r="C4073" t="s">
        <v>97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101</v>
      </c>
      <c r="C4074" t="s">
        <v>97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98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97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98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98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101</v>
      </c>
      <c r="C4079" t="s">
        <v>97</v>
      </c>
      <c r="D4079">
        <v>43000</v>
      </c>
      <c r="E4079">
        <v>36</v>
      </c>
      <c r="F4079" t="s">
        <v>101</v>
      </c>
      <c r="G4079">
        <v>0</v>
      </c>
    </row>
    <row r="4080" spans="1:7" x14ac:dyDescent="0.2">
      <c r="A4080">
        <v>10000</v>
      </c>
      <c r="B4080">
        <v>0.1212</v>
      </c>
      <c r="C4080" t="s">
        <v>98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97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97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98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97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98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97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97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98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98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97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98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97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98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97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98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97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97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97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97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97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97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97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98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98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98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97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98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97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98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97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99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97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98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97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98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98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99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97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98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98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98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98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97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99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98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97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99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97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98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98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98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98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99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97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97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97</v>
      </c>
      <c r="D4136">
        <v>33000</v>
      </c>
      <c r="E4136" t="s">
        <v>101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97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98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97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98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97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98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97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97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97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97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98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98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98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97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98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98</v>
      </c>
      <c r="D4152" t="s">
        <v>101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98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98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98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97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98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98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97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98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97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97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97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97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98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99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98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98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98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97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97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97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101</v>
      </c>
      <c r="B4173">
        <v>0.1114</v>
      </c>
      <c r="C4173" t="s">
        <v>98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97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97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98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97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99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98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98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98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98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97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98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97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97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97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97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97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97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97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99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97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98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97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97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97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97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98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97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97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98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97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98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98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97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97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97</v>
      </c>
      <c r="D4208">
        <v>31000</v>
      </c>
      <c r="E4208" t="s">
        <v>101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98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97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97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97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98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98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98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98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97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98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97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97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98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98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98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97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97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98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98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97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99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97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98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99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98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97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98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97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97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98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97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98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98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98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97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98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97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97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97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98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99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98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97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97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97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97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98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97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98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97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97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97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98</v>
      </c>
      <c r="D4261">
        <v>85000</v>
      </c>
      <c r="E4261" t="s">
        <v>101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98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98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101</v>
      </c>
      <c r="C4264" t="s">
        <v>97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97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97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98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98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99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98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101</v>
      </c>
      <c r="C4271" t="s">
        <v>98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98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97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98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98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98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97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98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97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97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97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98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97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97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97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97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98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97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98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98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97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97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98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98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97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98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97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98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97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98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97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98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97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98</v>
      </c>
      <c r="D4304" t="s">
        <v>101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98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98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97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97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98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98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97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98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98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98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99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98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98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98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98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98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98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97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98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97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98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97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98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98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98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99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101</v>
      </c>
      <c r="C4331" t="s">
        <v>98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98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98</v>
      </c>
      <c r="D4333" t="s">
        <v>101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98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98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97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97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98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97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99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98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97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98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98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97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99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97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97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98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98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98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98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97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99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98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97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97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98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97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98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98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97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99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97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98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97</v>
      </c>
      <c r="D4366">
        <v>31000</v>
      </c>
      <c r="E4366">
        <v>36</v>
      </c>
      <c r="F4366" t="s">
        <v>101</v>
      </c>
      <c r="G4366">
        <v>0</v>
      </c>
    </row>
    <row r="4367" spans="1:7" x14ac:dyDescent="0.2">
      <c r="A4367">
        <v>4000</v>
      </c>
      <c r="B4367">
        <v>0.1016</v>
      </c>
      <c r="C4367" t="s">
        <v>97</v>
      </c>
      <c r="D4367">
        <v>46618</v>
      </c>
      <c r="E4367" t="s">
        <v>101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98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98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98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97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97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97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98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99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99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98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98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97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98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97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101</v>
      </c>
      <c r="B4382">
        <v>0.1409</v>
      </c>
      <c r="C4382" t="s">
        <v>97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97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98</v>
      </c>
      <c r="D4384" t="s">
        <v>101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98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98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97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98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98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97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99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98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98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97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97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97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98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97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98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97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98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97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98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99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98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97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99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98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98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98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98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98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97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97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98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97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97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97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97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98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98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98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97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98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97</v>
      </c>
      <c r="D4425">
        <v>160000</v>
      </c>
      <c r="E4425" t="s">
        <v>101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99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97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97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99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97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98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97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97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97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97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98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98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97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98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98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98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98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101</v>
      </c>
      <c r="C4443" t="s">
        <v>99</v>
      </c>
      <c r="D4443" t="s">
        <v>101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97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98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98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98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97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98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97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98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97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98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98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97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98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97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98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98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98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98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97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97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99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98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98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98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98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97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97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97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97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98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98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99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97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98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98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97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97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98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98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97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98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97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97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97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99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98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97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97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99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97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98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98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98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98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97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97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99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97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97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98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98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98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98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98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97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97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97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97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97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97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98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97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97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98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97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98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97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97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97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97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98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98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99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98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98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98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98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98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97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98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98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97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97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97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98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99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97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99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98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99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98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98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98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98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98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97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98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99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98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97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97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97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98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97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97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98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99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98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98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99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98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98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97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97</v>
      </c>
      <c r="D4567" t="s">
        <v>101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98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98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98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97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97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97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99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98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98</v>
      </c>
      <c r="D4576">
        <v>125000</v>
      </c>
      <c r="E4576" t="s">
        <v>101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99</v>
      </c>
      <c r="D4577">
        <v>60000</v>
      </c>
      <c r="E4577">
        <v>60</v>
      </c>
      <c r="F4577" t="s">
        <v>101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97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98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98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97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98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97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97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98</v>
      </c>
      <c r="D4585">
        <v>130000</v>
      </c>
      <c r="E4585">
        <v>36</v>
      </c>
      <c r="F4585" t="s">
        <v>101</v>
      </c>
      <c r="G4585">
        <v>0</v>
      </c>
    </row>
    <row r="4586" spans="1:7" x14ac:dyDescent="0.2">
      <c r="A4586">
        <v>12725</v>
      </c>
      <c r="B4586">
        <v>0.1114</v>
      </c>
      <c r="C4586" t="s">
        <v>99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99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99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98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97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98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98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98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97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97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98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98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97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98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98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99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98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98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97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98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99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97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98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98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98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97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97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98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97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98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101</v>
      </c>
      <c r="B4616">
        <v>0.158</v>
      </c>
      <c r="C4616" t="s">
        <v>97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99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97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98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98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97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97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98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97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98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98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98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98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99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97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98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98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97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98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99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97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99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98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98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97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97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97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98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99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98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99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98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97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97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97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97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99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101</v>
      </c>
      <c r="B4653">
        <v>0.18490000000000001</v>
      </c>
      <c r="C4653" t="s">
        <v>98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98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97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97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98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97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97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98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101</v>
      </c>
      <c r="C4661" t="s">
        <v>97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98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98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97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97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97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97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97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97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99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97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97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98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98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98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97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98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98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98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97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97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98</v>
      </c>
      <c r="D4682" t="s">
        <v>101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98</v>
      </c>
      <c r="D4683">
        <v>53000</v>
      </c>
      <c r="E4683">
        <v>36</v>
      </c>
      <c r="F4683" t="s">
        <v>101</v>
      </c>
      <c r="G4683">
        <v>1</v>
      </c>
    </row>
    <row r="4684" spans="1:7" x14ac:dyDescent="0.2">
      <c r="A4684">
        <v>17450</v>
      </c>
      <c r="B4684">
        <v>0.1016</v>
      </c>
      <c r="C4684" t="s">
        <v>97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98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97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98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98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97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97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98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97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97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99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97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98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98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98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97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97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97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98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98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98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98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97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97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97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98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98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98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97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97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98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98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98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98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98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98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98</v>
      </c>
      <c r="D4720">
        <v>130000</v>
      </c>
      <c r="E4720">
        <v>36</v>
      </c>
      <c r="F4720" t="s">
        <v>101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98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98</v>
      </c>
      <c r="D4722" t="s">
        <v>101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98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97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98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98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98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99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98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97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98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98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97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97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98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98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97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97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98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97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98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97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98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98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97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98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98</v>
      </c>
      <c r="D4747">
        <v>40000</v>
      </c>
      <c r="E4747">
        <v>36</v>
      </c>
      <c r="F4747" t="s">
        <v>101</v>
      </c>
      <c r="G4747">
        <v>0</v>
      </c>
    </row>
    <row r="4748" spans="1:7" x14ac:dyDescent="0.2">
      <c r="A4748">
        <v>21000</v>
      </c>
      <c r="B4748">
        <v>0.158</v>
      </c>
      <c r="C4748" t="s">
        <v>98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98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98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99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97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98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97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98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98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99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97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101</v>
      </c>
      <c r="C4759" t="s">
        <v>98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97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98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97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97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98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98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97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97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97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98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98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98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97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98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101</v>
      </c>
      <c r="C4774" t="s">
        <v>98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98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99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97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98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97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98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97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98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98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98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99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98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98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98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98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97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98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97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98</v>
      </c>
      <c r="D4793" t="s">
        <v>101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98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97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97</v>
      </c>
      <c r="D4796">
        <v>55000</v>
      </c>
      <c r="E4796" t="s">
        <v>101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98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97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97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98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98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98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98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97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97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97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98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98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97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97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98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98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97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97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97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97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98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97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97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98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99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98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97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98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97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98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97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98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98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97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98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98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98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98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98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98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98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98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98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97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97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98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97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98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99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97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98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98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97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98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98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97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97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99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97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98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97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97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98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98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97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97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98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97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98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97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97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98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97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98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98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98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97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98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98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97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97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97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97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97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97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98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97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98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98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98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98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98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98</v>
      </c>
      <c r="D4889" t="s">
        <v>101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99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97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98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98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97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97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97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97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98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97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98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98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97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97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97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98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97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98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97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98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97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98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97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98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98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97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98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98</v>
      </c>
      <c r="D4917">
        <v>74000</v>
      </c>
      <c r="E4917" t="s">
        <v>101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97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98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98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98</v>
      </c>
      <c r="D4921">
        <v>141600</v>
      </c>
      <c r="E4921" t="s">
        <v>101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98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97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97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98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97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98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98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97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97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98</v>
      </c>
      <c r="D4931">
        <v>30000</v>
      </c>
      <c r="E4931">
        <v>36</v>
      </c>
      <c r="F4931" t="s">
        <v>101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97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98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97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99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98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98</v>
      </c>
      <c r="D4937" t="s">
        <v>101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97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97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97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98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98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98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98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99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98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98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97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99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98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97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97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97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98</v>
      </c>
      <c r="D4954">
        <v>42000</v>
      </c>
      <c r="E4954">
        <v>36</v>
      </c>
      <c r="F4954" t="s">
        <v>101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98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97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98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98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98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97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98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98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98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98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98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101</v>
      </c>
      <c r="C4966" t="s">
        <v>98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98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97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98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97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97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98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97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98</v>
      </c>
      <c r="D4974">
        <v>58000</v>
      </c>
      <c r="E4974" t="s">
        <v>101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98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98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98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98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99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98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98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97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98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97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97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98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98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97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97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97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98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97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99</v>
      </c>
      <c r="D4993" t="s">
        <v>101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98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98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98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98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98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98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98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98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97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98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97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98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97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97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99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98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98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101</v>
      </c>
      <c r="B5011">
        <v>0.19719999999999999</v>
      </c>
      <c r="C5011" t="s">
        <v>98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97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97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97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98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98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98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98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97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97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97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98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98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98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98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97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98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97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98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98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98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97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98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98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97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98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97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99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98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99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98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97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97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97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98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101</v>
      </c>
      <c r="C5046" t="s">
        <v>98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98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97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98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98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97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98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97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98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97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98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98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97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97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97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98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98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99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98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97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98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98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98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99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97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98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98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98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97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97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98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97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98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98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97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98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97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98</v>
      </c>
      <c r="D5083">
        <v>36500</v>
      </c>
      <c r="E5083">
        <v>36</v>
      </c>
      <c r="F5083" t="s">
        <v>101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98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98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97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98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98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98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98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98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98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97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97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98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98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98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98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97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97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97</v>
      </c>
      <c r="D5101">
        <v>58270</v>
      </c>
      <c r="E5101" t="s">
        <v>101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97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97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97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99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97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98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98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97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97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98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97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98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99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98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97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99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99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99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98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97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98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98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98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97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98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97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98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98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97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98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98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97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98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98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98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98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98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98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98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99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98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99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98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99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101</v>
      </c>
      <c r="B5146">
        <v>0.16289999999999999</v>
      </c>
      <c r="C5146" t="s">
        <v>97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97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97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97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98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98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98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98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98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97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97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97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97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98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97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98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98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98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98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98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97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97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97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97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98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97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98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97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98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99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97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97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98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97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97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97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97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98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98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98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97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97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98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97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98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98</v>
      </c>
      <c r="D5191">
        <v>57000</v>
      </c>
      <c r="E5191">
        <v>60</v>
      </c>
      <c r="F5191" t="s">
        <v>101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98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97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97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97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98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98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98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98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98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98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97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99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98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97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98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98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97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98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97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98</v>
      </c>
      <c r="D5211">
        <v>139000</v>
      </c>
      <c r="E5211">
        <v>60</v>
      </c>
      <c r="F5211" t="s">
        <v>101</v>
      </c>
      <c r="G5211">
        <v>0</v>
      </c>
    </row>
    <row r="5212" spans="1:7" x14ac:dyDescent="0.2">
      <c r="A5212">
        <v>20000</v>
      </c>
      <c r="B5212">
        <v>0.1212</v>
      </c>
      <c r="C5212" t="s">
        <v>98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98</v>
      </c>
      <c r="D5213">
        <v>47000</v>
      </c>
      <c r="E5213">
        <v>60</v>
      </c>
      <c r="F5213" t="s">
        <v>101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97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98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97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98</v>
      </c>
      <c r="D5217">
        <v>65000</v>
      </c>
      <c r="E5217">
        <v>36</v>
      </c>
      <c r="F5217" t="s">
        <v>101</v>
      </c>
      <c r="G5217">
        <v>0</v>
      </c>
    </row>
    <row r="5218" spans="1:7" x14ac:dyDescent="0.2">
      <c r="A5218">
        <v>8000</v>
      </c>
      <c r="B5218">
        <v>0.1212</v>
      </c>
      <c r="C5218" t="s">
        <v>98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98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97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97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98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97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99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97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97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97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97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98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98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97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97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101</v>
      </c>
      <c r="B5233">
        <v>0.1114</v>
      </c>
      <c r="C5233" t="s">
        <v>98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97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98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98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98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97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97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98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98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98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98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97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98</v>
      </c>
      <c r="D5245">
        <v>85000</v>
      </c>
      <c r="E5245">
        <v>36</v>
      </c>
      <c r="F5245" t="s">
        <v>101</v>
      </c>
      <c r="G5245">
        <v>0</v>
      </c>
    </row>
    <row r="5246" spans="1:7" x14ac:dyDescent="0.2">
      <c r="A5246">
        <v>12175</v>
      </c>
      <c r="B5246">
        <v>0.1875</v>
      </c>
      <c r="C5246" t="s">
        <v>98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97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98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97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97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97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98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97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97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98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98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98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98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97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97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97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97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98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97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98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98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98</v>
      </c>
      <c r="D5267">
        <v>60000</v>
      </c>
      <c r="E5267" t="s">
        <v>101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98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97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98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97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98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98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97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98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97</v>
      </c>
      <c r="D5276" t="s">
        <v>101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98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98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98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98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97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98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98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98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99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101</v>
      </c>
      <c r="C5286" t="s">
        <v>99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98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98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98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97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98</v>
      </c>
      <c r="D5291">
        <v>57344</v>
      </c>
      <c r="E5291">
        <v>36</v>
      </c>
      <c r="F5291" t="s">
        <v>101</v>
      </c>
      <c r="G5291">
        <v>0</v>
      </c>
    </row>
    <row r="5292" spans="1:7" x14ac:dyDescent="0.2">
      <c r="A5292">
        <v>10000</v>
      </c>
      <c r="B5292">
        <v>0.1875</v>
      </c>
      <c r="C5292" t="s">
        <v>99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97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98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98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98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97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98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98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97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97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97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97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97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98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101</v>
      </c>
      <c r="C5306" t="s">
        <v>98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97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98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97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97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98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97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98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97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97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97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98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97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98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98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97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97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97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97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98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98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98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98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98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97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97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98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99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97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98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98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98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97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98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98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98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97</v>
      </c>
      <c r="D5342">
        <v>77000</v>
      </c>
      <c r="E5342" t="s">
        <v>101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98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97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98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98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98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98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98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98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97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98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97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98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98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98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97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98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97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98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98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98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97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97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98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97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98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97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98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98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98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98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97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98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98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98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97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98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98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98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97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98</v>
      </c>
      <c r="D5382" t="s">
        <v>101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98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98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97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97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97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98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97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101</v>
      </c>
      <c r="B5390">
        <v>0.17269999999999999</v>
      </c>
      <c r="C5390" t="s">
        <v>98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97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98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99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97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97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97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98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97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98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98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98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98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97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97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98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97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98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98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97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98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98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98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97</v>
      </c>
      <c r="D5413">
        <v>37000</v>
      </c>
      <c r="E5413" t="s">
        <v>101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98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99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98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97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97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97</v>
      </c>
      <c r="D5419">
        <v>45968</v>
      </c>
      <c r="E5419" t="s">
        <v>101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97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98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98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98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98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98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98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98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97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98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98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98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98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97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98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101</v>
      </c>
      <c r="C5435" t="s">
        <v>98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98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97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97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98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98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98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99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97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98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97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97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98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97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97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97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97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98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98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98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97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98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101</v>
      </c>
      <c r="C5457" t="s">
        <v>97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98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98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97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99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98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98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98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98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97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97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97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98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97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98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97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99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98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99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97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99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97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101</v>
      </c>
      <c r="C5479" t="s">
        <v>98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97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97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97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97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98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98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97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97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97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97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98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98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98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98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98</v>
      </c>
      <c r="D5494">
        <v>133000</v>
      </c>
      <c r="E5494">
        <v>60</v>
      </c>
      <c r="F5494" t="s">
        <v>101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98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98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97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98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97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98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98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99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97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98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97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97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98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97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98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98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98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101</v>
      </c>
      <c r="C5512" t="s">
        <v>98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98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97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97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97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98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98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97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98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98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98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98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98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98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98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98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98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98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97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98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97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97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98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98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99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98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97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98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98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98</v>
      </c>
      <c r="D5541">
        <v>60000</v>
      </c>
      <c r="E5541" t="s">
        <v>101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99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98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98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98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97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98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97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98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99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97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98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97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97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97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98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98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98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98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97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98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97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98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97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98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98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98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99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98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101</v>
      </c>
      <c r="B5570">
        <v>6.0299999999999999E-2</v>
      </c>
      <c r="C5570" t="s">
        <v>97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97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98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98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97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101</v>
      </c>
      <c r="B5575">
        <v>0.15310000000000001</v>
      </c>
      <c r="C5575" t="s">
        <v>98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101</v>
      </c>
      <c r="C5576" t="s">
        <v>97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97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97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98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97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97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98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98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97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98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98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99</v>
      </c>
      <c r="D5587" t="s">
        <v>101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97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98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97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97</v>
      </c>
      <c r="D5591">
        <v>75000</v>
      </c>
      <c r="E5591" t="s">
        <v>101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97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97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97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99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99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101</v>
      </c>
      <c r="B5597">
        <v>0.1409</v>
      </c>
      <c r="C5597" t="s">
        <v>97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97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98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98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97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98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98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98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97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98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98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97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98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98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97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97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98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97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97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98</v>
      </c>
      <c r="D5616">
        <v>57000</v>
      </c>
      <c r="E5616">
        <v>36</v>
      </c>
      <c r="F5616" t="s">
        <v>101</v>
      </c>
      <c r="G5616">
        <v>0</v>
      </c>
    </row>
    <row r="5617" spans="1:7" x14ac:dyDescent="0.2">
      <c r="A5617">
        <v>5300</v>
      </c>
      <c r="B5617">
        <v>0.1114</v>
      </c>
      <c r="C5617" t="s">
        <v>98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97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98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98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97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98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97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98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98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97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98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101</v>
      </c>
      <c r="C5628" t="s">
        <v>97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98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97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98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98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97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97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97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97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98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98</v>
      </c>
      <c r="D5638" t="s">
        <v>101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97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97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97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98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97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97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98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98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98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98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99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98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97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98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97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98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98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97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98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98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97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101</v>
      </c>
      <c r="B5660" t="s">
        <v>101</v>
      </c>
      <c r="C5660" t="s">
        <v>97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97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99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98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97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98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98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97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98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97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98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98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98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98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98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98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97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97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98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97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98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98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98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97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97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98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97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97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97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98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97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97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98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98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97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98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97</v>
      </c>
      <c r="D5696" t="s">
        <v>101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98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100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97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98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98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97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97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97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98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98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98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97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98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97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97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98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97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97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100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98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98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99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97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98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101</v>
      </c>
      <c r="C5721" t="s">
        <v>98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97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97</v>
      </c>
      <c r="D5723">
        <v>70000</v>
      </c>
      <c r="E5723" t="s">
        <v>101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97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97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98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99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98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97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98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97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98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97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98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98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98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98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97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98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98</v>
      </c>
      <c r="D5740">
        <v>80000</v>
      </c>
      <c r="E5740">
        <v>36</v>
      </c>
      <c r="F5740" t="s">
        <v>101</v>
      </c>
      <c r="G5740">
        <v>1</v>
      </c>
    </row>
    <row r="5741" spans="1:7" x14ac:dyDescent="0.2">
      <c r="A5741" t="s">
        <v>101</v>
      </c>
      <c r="B5741">
        <v>0.22470000000000001</v>
      </c>
      <c r="C5741" t="s">
        <v>98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97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97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97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99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97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97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101</v>
      </c>
      <c r="C5748" t="s">
        <v>97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98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97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98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98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99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98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98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97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98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97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98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97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97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98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98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98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98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97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97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97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100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100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101</v>
      </c>
      <c r="C5771" t="s">
        <v>97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101</v>
      </c>
      <c r="B5772">
        <v>0.1212</v>
      </c>
      <c r="C5772" t="s">
        <v>97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97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98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97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97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98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98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97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98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98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98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98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97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97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97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98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98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97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98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98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97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98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97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97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98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98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97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99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97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97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97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98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98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98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97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97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98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97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99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98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98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99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98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98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97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98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97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98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97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97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97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97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98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98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97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98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99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97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97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98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98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99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97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98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98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99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97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98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98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99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98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99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97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97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98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98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98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97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98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97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98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98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97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97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99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97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99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97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97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97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97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97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97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97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98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98</v>
      </c>
      <c r="D5867">
        <v>65000</v>
      </c>
      <c r="E5867">
        <v>36</v>
      </c>
      <c r="F5867" t="s">
        <v>101</v>
      </c>
      <c r="G5867">
        <v>0</v>
      </c>
    </row>
    <row r="5868" spans="1:7" x14ac:dyDescent="0.2">
      <c r="A5868">
        <v>10000</v>
      </c>
      <c r="B5868">
        <v>0.1212</v>
      </c>
      <c r="C5868" t="s">
        <v>99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98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97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98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98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97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98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98</v>
      </c>
      <c r="D5875" t="s">
        <v>101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98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97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97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98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98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98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97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98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99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98</v>
      </c>
      <c r="D5885" t="s">
        <v>101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97</v>
      </c>
      <c r="D5886">
        <v>66000</v>
      </c>
      <c r="E5886" t="s">
        <v>101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98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97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98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98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97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101</v>
      </c>
      <c r="C5892" t="s">
        <v>98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97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97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97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98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98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97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97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99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97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101</v>
      </c>
      <c r="B5902">
        <v>0.1016</v>
      </c>
      <c r="C5902" t="s">
        <v>98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98</v>
      </c>
      <c r="D5903">
        <v>140000</v>
      </c>
      <c r="E5903" t="s">
        <v>101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97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97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99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98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97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97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97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97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98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98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97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97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98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98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98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99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97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98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97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98</v>
      </c>
      <c r="D5923" t="s">
        <v>101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97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97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98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97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98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97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98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97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99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98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97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97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97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97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97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98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97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98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98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97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97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97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98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98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98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98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99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98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98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98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98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98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98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98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97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98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99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98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98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98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97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98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97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98</v>
      </c>
      <c r="D5967">
        <v>41000</v>
      </c>
      <c r="E5967">
        <v>36</v>
      </c>
      <c r="F5967" t="s">
        <v>101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97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98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99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99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101</v>
      </c>
      <c r="B5972">
        <v>0.1212</v>
      </c>
      <c r="C5972" t="s">
        <v>98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97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97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97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97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101</v>
      </c>
      <c r="C5977" t="s">
        <v>98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101</v>
      </c>
      <c r="C5978" t="s">
        <v>99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98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98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98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97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98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98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98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97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98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101</v>
      </c>
      <c r="C5988" t="s">
        <v>97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97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97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98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97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98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97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99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97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98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97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97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98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98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97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97</v>
      </c>
      <c r="D6003">
        <v>41601.06</v>
      </c>
      <c r="E6003">
        <v>36</v>
      </c>
      <c r="F6003" t="s">
        <v>101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98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98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99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98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98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97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97</v>
      </c>
      <c r="D6010">
        <v>25000</v>
      </c>
      <c r="E6010">
        <v>36</v>
      </c>
      <c r="F6010" t="s">
        <v>101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97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98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98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98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99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97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98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97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97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97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98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97</v>
      </c>
      <c r="D6022">
        <v>55000</v>
      </c>
      <c r="E6022">
        <v>60</v>
      </c>
      <c r="F6022" t="s">
        <v>101</v>
      </c>
      <c r="G6022">
        <v>1</v>
      </c>
    </row>
    <row r="6023" spans="1:7" x14ac:dyDescent="0.2">
      <c r="A6023" t="s">
        <v>101</v>
      </c>
      <c r="B6023">
        <v>0.1409</v>
      </c>
      <c r="C6023" t="s">
        <v>97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97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97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97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97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97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97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98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98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98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97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98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97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97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98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97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98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97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97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98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98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98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97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97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97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97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99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99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97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98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98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98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98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98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98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97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97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97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97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97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97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97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98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97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98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98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97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97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98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98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98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99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98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98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97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97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98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97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99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98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97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98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97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98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98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97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99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98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97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98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97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98</v>
      </c>
      <c r="D6094" t="s">
        <v>101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97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97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98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98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98</v>
      </c>
      <c r="D6099" t="s">
        <v>101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97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98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97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101</v>
      </c>
      <c r="B6103">
        <v>6.6199999999999995E-2</v>
      </c>
      <c r="C6103" t="s">
        <v>98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97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97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97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97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98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97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97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98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97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97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98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97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97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98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98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98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97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98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98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97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97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98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98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98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97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97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98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97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99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97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99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97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97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98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98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98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97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97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97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98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98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97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97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97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97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98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97</v>
      </c>
      <c r="D6150">
        <v>34000</v>
      </c>
      <c r="E6150">
        <v>36</v>
      </c>
      <c r="F6150" t="s">
        <v>101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99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97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98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97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97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98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98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98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97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98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98</v>
      </c>
      <c r="D6161">
        <v>95000</v>
      </c>
      <c r="E6161">
        <v>36</v>
      </c>
      <c r="F6161" t="s">
        <v>101</v>
      </c>
      <c r="G6161">
        <v>0</v>
      </c>
    </row>
    <row r="6162" spans="1:7" x14ac:dyDescent="0.2">
      <c r="A6162">
        <v>6000</v>
      </c>
      <c r="B6162">
        <v>0.1016</v>
      </c>
      <c r="C6162" t="s">
        <v>97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99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97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97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98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97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97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98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98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97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98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97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98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97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98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98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98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99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97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98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98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99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97</v>
      </c>
      <c r="D6184" t="s">
        <v>101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99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98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97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98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97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98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97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98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98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98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98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97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101</v>
      </c>
      <c r="B6197">
        <v>0.1212</v>
      </c>
      <c r="C6197" t="s">
        <v>99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98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98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98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97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98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98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97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98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97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98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99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97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97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97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98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98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98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98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97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97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98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97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97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98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97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98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97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98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97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97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98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98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97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97</v>
      </c>
      <c r="D6231">
        <v>31000</v>
      </c>
      <c r="E6231" t="s">
        <v>101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97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98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98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98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97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98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97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97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97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98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98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99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98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98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98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99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98</v>
      </c>
      <c r="D6248">
        <v>83000</v>
      </c>
      <c r="E6248" t="s">
        <v>101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99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98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97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97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97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97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101</v>
      </c>
      <c r="C6255" t="s">
        <v>98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97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99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98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99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98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97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97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97</v>
      </c>
      <c r="D6263">
        <v>74000</v>
      </c>
      <c r="E6263" t="s">
        <v>101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98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98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97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98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98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97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98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97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97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97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97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98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98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98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98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97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97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98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97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98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97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97</v>
      </c>
      <c r="D6285" t="s">
        <v>101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98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98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98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97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97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98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98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97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98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97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98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98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98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97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97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97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97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99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99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97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97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97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97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98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98</v>
      </c>
      <c r="D6310">
        <v>150000</v>
      </c>
      <c r="E6310" t="s">
        <v>101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98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99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97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97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97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98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97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97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99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97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98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98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97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98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98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98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97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97</v>
      </c>
      <c r="D6328">
        <v>120000</v>
      </c>
      <c r="E6328">
        <v>36</v>
      </c>
      <c r="F6328" t="s">
        <v>101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97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98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97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98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98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97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97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98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99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97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98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98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98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98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97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97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98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98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97</v>
      </c>
      <c r="D6347">
        <v>35000</v>
      </c>
      <c r="E6347">
        <v>36</v>
      </c>
      <c r="F6347" t="s">
        <v>101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97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98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98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98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98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98</v>
      </c>
      <c r="D6353">
        <v>250000</v>
      </c>
      <c r="E6353">
        <v>60</v>
      </c>
      <c r="F6353" t="s">
        <v>101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98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99</v>
      </c>
      <c r="D6355">
        <v>30000</v>
      </c>
      <c r="E6355">
        <v>36</v>
      </c>
      <c r="F6355" t="s">
        <v>101</v>
      </c>
      <c r="G6355">
        <v>0</v>
      </c>
    </row>
    <row r="6356" spans="1:7" x14ac:dyDescent="0.2">
      <c r="A6356">
        <v>33950</v>
      </c>
      <c r="B6356">
        <v>0.247</v>
      </c>
      <c r="C6356" t="s">
        <v>98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98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97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97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98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97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98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98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98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98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97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98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97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97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97</v>
      </c>
      <c r="D6370">
        <v>72000</v>
      </c>
      <c r="E6370" t="s">
        <v>101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97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97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97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99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97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98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97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97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97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98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98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99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97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97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97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99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98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97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98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97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97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97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99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97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97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97</v>
      </c>
      <c r="D6396">
        <v>51000</v>
      </c>
      <c r="E6396">
        <v>36</v>
      </c>
      <c r="F6396" t="s">
        <v>101</v>
      </c>
      <c r="G6396">
        <v>0</v>
      </c>
    </row>
    <row r="6397" spans="1:7" x14ac:dyDescent="0.2">
      <c r="A6397">
        <v>5000</v>
      </c>
      <c r="B6397">
        <v>0.1016</v>
      </c>
      <c r="C6397" t="s">
        <v>97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98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99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98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98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98</v>
      </c>
      <c r="D6402" t="s">
        <v>101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97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98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97</v>
      </c>
      <c r="D6405">
        <v>25000</v>
      </c>
      <c r="E6405">
        <v>60</v>
      </c>
      <c r="F6405" t="s">
        <v>101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98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97</v>
      </c>
      <c r="D6407">
        <v>30000</v>
      </c>
      <c r="E6407" t="s">
        <v>101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98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97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97</v>
      </c>
      <c r="D6410">
        <v>39000</v>
      </c>
      <c r="E6410" t="s">
        <v>101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98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97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101</v>
      </c>
      <c r="B6413">
        <v>0.13109999999999999</v>
      </c>
      <c r="C6413" t="s">
        <v>98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98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98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97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98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101</v>
      </c>
      <c r="C6418" t="s">
        <v>97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98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99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97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97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97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98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98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99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97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98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98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97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98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97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98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98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98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98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97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98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97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97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98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97</v>
      </c>
      <c r="D6442" t="s">
        <v>101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98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97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98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99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98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97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99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98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98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98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97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98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98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98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97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98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99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97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98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97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97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97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97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98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98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97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98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97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98</v>
      </c>
      <c r="D6471">
        <v>92000</v>
      </c>
      <c r="E6471">
        <v>36</v>
      </c>
      <c r="F6471" t="s">
        <v>101</v>
      </c>
      <c r="G6471">
        <v>0</v>
      </c>
    </row>
    <row r="6472" spans="1:7" x14ac:dyDescent="0.2">
      <c r="A6472">
        <v>6300</v>
      </c>
      <c r="B6472">
        <v>0.1777</v>
      </c>
      <c r="C6472" t="s">
        <v>97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98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97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98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98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98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97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98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98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97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98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99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98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97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97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98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97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98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97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97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98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98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97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98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99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97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98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98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97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98</v>
      </c>
      <c r="D6501">
        <v>79000</v>
      </c>
      <c r="E6501" t="s">
        <v>101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98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97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97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99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97</v>
      </c>
      <c r="D6506">
        <v>48000</v>
      </c>
      <c r="E6506">
        <v>36</v>
      </c>
      <c r="F6506" t="s">
        <v>101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97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97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97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99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99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98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97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99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97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98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98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97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97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98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97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98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97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99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97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99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98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98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98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98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99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97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98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97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97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97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98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97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97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98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98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97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98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99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99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97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97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99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97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98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97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98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97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97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97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97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98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98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99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97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98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97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98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98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98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101</v>
      </c>
      <c r="B6566">
        <v>0.1016</v>
      </c>
      <c r="C6566" t="s">
        <v>98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98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97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98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98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97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97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98</v>
      </c>
      <c r="D6573">
        <v>90000</v>
      </c>
      <c r="E6573">
        <v>60</v>
      </c>
      <c r="F6573" t="s">
        <v>101</v>
      </c>
      <c r="G6573">
        <v>0</v>
      </c>
    </row>
    <row r="6574" spans="1:7" x14ac:dyDescent="0.2">
      <c r="A6574">
        <v>10000</v>
      </c>
      <c r="B6574">
        <v>0.1409</v>
      </c>
      <c r="C6574" t="s">
        <v>98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97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97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98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99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98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97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98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97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97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97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97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98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98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98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97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98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99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97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97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98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98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97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97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98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97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98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98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98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98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97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97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98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98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98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97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98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98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99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97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97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97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98</v>
      </c>
      <c r="D6616">
        <v>120000</v>
      </c>
      <c r="E6616" t="s">
        <v>101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97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97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97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98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97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99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97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101</v>
      </c>
      <c r="B6624">
        <v>7.6200000000000004E-2</v>
      </c>
      <c r="C6624" t="s">
        <v>98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98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98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98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99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98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97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97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97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97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98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98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98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98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97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97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97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99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98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98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97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98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97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98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97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98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97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98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98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98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97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97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97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97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98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99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98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98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98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97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99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97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97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98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97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97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98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97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98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98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97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98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99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98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97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98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98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97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97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97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97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97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98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98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98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97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97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99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97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97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97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99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97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97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97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99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99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97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97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98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98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98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99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98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98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98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98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97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97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98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97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98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98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98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98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99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98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97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97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97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98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97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98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99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97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97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97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97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97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97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98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97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98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98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97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99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98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101</v>
      </c>
      <c r="B6741">
        <v>0.1212</v>
      </c>
      <c r="C6741" t="s">
        <v>98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98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97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98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97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97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98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97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97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99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97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97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97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97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97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99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98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97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97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97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97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98</v>
      </c>
      <c r="D6762">
        <v>27000</v>
      </c>
      <c r="E6762" t="s">
        <v>101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97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98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97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97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97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98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97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97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98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98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97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98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98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98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97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98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98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98</v>
      </c>
      <c r="D6780">
        <v>55000</v>
      </c>
      <c r="E6780" t="s">
        <v>101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97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97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98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101</v>
      </c>
      <c r="B6784">
        <v>0.1409</v>
      </c>
      <c r="C6784" t="s">
        <v>97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97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98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98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98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97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98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97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98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97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98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97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98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98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98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98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97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98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97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99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97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97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97</v>
      </c>
      <c r="D6806">
        <v>55000</v>
      </c>
      <c r="E6806" t="s">
        <v>101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97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98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98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98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98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98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97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97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98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97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97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97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97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98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98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98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97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97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98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99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97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97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98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99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98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97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98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97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99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97</v>
      </c>
      <c r="D6836">
        <v>38000</v>
      </c>
      <c r="E6836">
        <v>36</v>
      </c>
      <c r="F6836" t="s">
        <v>101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98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99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101</v>
      </c>
      <c r="C6839" t="s">
        <v>98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97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97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98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98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98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98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101</v>
      </c>
      <c r="B6846">
        <v>7.6200000000000004E-2</v>
      </c>
      <c r="C6846" t="s">
        <v>97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97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97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98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97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97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98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97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97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98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98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98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98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97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97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98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97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98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98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97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97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99</v>
      </c>
      <c r="D6867" t="s">
        <v>101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98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97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97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97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98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98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97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101</v>
      </c>
      <c r="C6875" t="s">
        <v>97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97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97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97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97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99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98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97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97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97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98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98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97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97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99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99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98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97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98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98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97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97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97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98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98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97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97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97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97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101</v>
      </c>
      <c r="C6904" t="s">
        <v>97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97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97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98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98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97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99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97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98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99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97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97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97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99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98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97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98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98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98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97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98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98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97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98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97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97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97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98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98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97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97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98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97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98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99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97</v>
      </c>
      <c r="D6939" t="s">
        <v>101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98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97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98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98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98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98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97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98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98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101</v>
      </c>
      <c r="C6949" t="s">
        <v>99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97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98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98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97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97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98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98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97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97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98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98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97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98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98</v>
      </c>
      <c r="D6963">
        <v>28000</v>
      </c>
      <c r="E6963" t="s">
        <v>101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98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98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98</v>
      </c>
      <c r="D6966">
        <v>58000</v>
      </c>
      <c r="E6966">
        <v>36</v>
      </c>
      <c r="F6966" t="s">
        <v>101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97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97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97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97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99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98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98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97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99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98</v>
      </c>
      <c r="D6976">
        <v>88000</v>
      </c>
      <c r="E6976">
        <v>36</v>
      </c>
      <c r="F6976" t="s">
        <v>101</v>
      </c>
      <c r="G6976">
        <v>0</v>
      </c>
    </row>
    <row r="6977" spans="1:7" x14ac:dyDescent="0.2">
      <c r="A6977" t="s">
        <v>101</v>
      </c>
      <c r="B6977">
        <v>0.1212</v>
      </c>
      <c r="C6977" t="s">
        <v>99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97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98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97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98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99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99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97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97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98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98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99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97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98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101</v>
      </c>
      <c r="C6991" t="s">
        <v>97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98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98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97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99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98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98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98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97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98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98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98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98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99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98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98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98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97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98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98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97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97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97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98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98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97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98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98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98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99</v>
      </c>
      <c r="D7020">
        <v>41000</v>
      </c>
      <c r="E7020" t="s">
        <v>101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98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97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98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99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98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98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97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98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97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98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97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98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98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97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98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97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97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98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97</v>
      </c>
      <c r="D7039" t="s">
        <v>101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98</v>
      </c>
      <c r="D7040">
        <v>87600</v>
      </c>
      <c r="E7040" t="s">
        <v>101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97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98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97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97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97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98</v>
      </c>
      <c r="D7046" t="s">
        <v>101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98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98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98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98</v>
      </c>
      <c r="D7050">
        <v>96500</v>
      </c>
      <c r="E7050" t="s">
        <v>101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98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97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98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98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97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98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97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98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99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97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98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98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98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97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98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98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98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97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97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98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98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97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97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97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98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99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97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97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97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97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97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98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98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98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97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97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97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98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97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97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98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98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97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98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98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98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98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97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98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97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97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97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98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97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98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97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98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98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97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98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98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98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97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98</v>
      </c>
      <c r="D7114">
        <v>108000</v>
      </c>
      <c r="E7114" t="s">
        <v>101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97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97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99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98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98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97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98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98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98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97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98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97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98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98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98</v>
      </c>
      <c r="D7129">
        <v>105000</v>
      </c>
      <c r="E7129">
        <v>36</v>
      </c>
      <c r="F7129" t="s">
        <v>101</v>
      </c>
      <c r="G7129">
        <v>0</v>
      </c>
    </row>
    <row r="7130" spans="1:7" x14ac:dyDescent="0.2">
      <c r="A7130">
        <v>7850</v>
      </c>
      <c r="B7130">
        <v>0.1399</v>
      </c>
      <c r="C7130" t="s">
        <v>97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98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97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97</v>
      </c>
      <c r="D7133">
        <v>22000</v>
      </c>
      <c r="E7133">
        <v>36</v>
      </c>
      <c r="F7133" t="s">
        <v>101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97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98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98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97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99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98</v>
      </c>
      <c r="D7139" t="s">
        <v>101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98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97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98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97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98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99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99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97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98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98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98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97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98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97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97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97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98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98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97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101</v>
      </c>
      <c r="C7159" t="s">
        <v>97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98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97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98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98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98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98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97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99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97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99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97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98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97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97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98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97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98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97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97</v>
      </c>
      <c r="D7178" t="s">
        <v>101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98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97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97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97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97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99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97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98</v>
      </c>
      <c r="D7186">
        <v>36000</v>
      </c>
      <c r="E7186">
        <v>36</v>
      </c>
      <c r="F7186" t="s">
        <v>101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98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99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97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97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98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98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98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98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97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97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98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98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98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97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97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97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99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98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98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97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97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98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97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97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97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98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99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98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97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99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97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97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98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98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97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98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97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97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98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97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97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98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97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98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97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97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97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98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98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99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98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97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98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97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101</v>
      </c>
      <c r="B7241">
        <v>9.7600000000000006E-2</v>
      </c>
      <c r="C7241" t="s">
        <v>97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97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97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97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97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97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97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97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98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97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98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98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97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98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98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97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97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97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97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98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97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98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98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97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97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97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98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98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97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97</v>
      </c>
      <c r="D7270">
        <v>31200</v>
      </c>
      <c r="E7270">
        <v>36</v>
      </c>
      <c r="F7270" t="s">
        <v>101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98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97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101</v>
      </c>
      <c r="B7273">
        <v>0.15310000000000001</v>
      </c>
      <c r="C7273" t="s">
        <v>98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98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97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97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97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101</v>
      </c>
      <c r="B7278">
        <v>7.9000000000000001E-2</v>
      </c>
      <c r="C7278" t="s">
        <v>97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97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98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98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97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97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98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98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97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97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98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98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98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98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98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98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98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97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97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98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98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97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98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98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98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97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98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98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98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98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97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97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98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97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98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98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98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98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98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97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98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98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97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98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98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98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97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98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98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99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97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98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98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97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98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99</v>
      </c>
      <c r="D7333" t="s">
        <v>101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97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97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99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98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97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98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99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99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98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97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97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98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97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98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97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97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98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97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97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97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98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97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98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98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97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97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97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98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98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98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97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98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97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98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97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98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99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97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98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97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97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98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99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97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97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97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98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98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99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98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101</v>
      </c>
      <c r="B7384">
        <v>0.1212</v>
      </c>
      <c r="C7384" t="s">
        <v>98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97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97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97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97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98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97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98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98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97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97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98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97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97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97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97</v>
      </c>
      <c r="D7399">
        <v>14400</v>
      </c>
      <c r="E7399" t="s">
        <v>101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97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99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97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98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98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97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97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97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98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97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97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97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98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97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98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98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97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97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99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97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97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97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98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97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97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97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98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97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98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98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97</v>
      </c>
      <c r="D7430">
        <v>86000</v>
      </c>
      <c r="E7430" t="s">
        <v>101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98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99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97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97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99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98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98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97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97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97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98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98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98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97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97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97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98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98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97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98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98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97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98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97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97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97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97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97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99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99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98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97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98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101</v>
      </c>
      <c r="C7464" t="s">
        <v>97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98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97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97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98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97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98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99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97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99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97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97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97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98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97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98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97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98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97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97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101</v>
      </c>
      <c r="B7484">
        <v>8.8999999999999996E-2</v>
      </c>
      <c r="C7484" t="s">
        <v>97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98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97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98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97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98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98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98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97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98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98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97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98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98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97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98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97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97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97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97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97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97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97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97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98</v>
      </c>
      <c r="D7508">
        <v>101300</v>
      </c>
      <c r="E7508">
        <v>60</v>
      </c>
      <c r="F7508" t="s">
        <v>101</v>
      </c>
      <c r="G7508">
        <v>0</v>
      </c>
    </row>
    <row r="7509" spans="1:7" x14ac:dyDescent="0.2">
      <c r="A7509">
        <v>10000</v>
      </c>
      <c r="B7509">
        <v>0.1074</v>
      </c>
      <c r="C7509" t="s">
        <v>97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98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97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97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101</v>
      </c>
      <c r="C7513" t="s">
        <v>97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99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98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97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98</v>
      </c>
      <c r="D7517">
        <v>138000</v>
      </c>
      <c r="E7517">
        <v>36</v>
      </c>
      <c r="F7517" t="s">
        <v>101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98</v>
      </c>
      <c r="D7518" t="s">
        <v>101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98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97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97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97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97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97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97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98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97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97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98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98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98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97</v>
      </c>
      <c r="D7532">
        <v>22000</v>
      </c>
      <c r="E7532">
        <v>36</v>
      </c>
      <c r="F7532" t="s">
        <v>101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98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97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98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97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98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99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99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98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98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97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98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97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97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98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97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97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97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98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101</v>
      </c>
      <c r="B7551">
        <v>0.1065</v>
      </c>
      <c r="C7551" t="s">
        <v>98</v>
      </c>
      <c r="D7551" t="s">
        <v>101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98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98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98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97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97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97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98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97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98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101</v>
      </c>
      <c r="B7561">
        <v>0.1242</v>
      </c>
      <c r="C7561" t="s">
        <v>98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97</v>
      </c>
      <c r="D7562">
        <v>31200</v>
      </c>
      <c r="E7562" t="s">
        <v>101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97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97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99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97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98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97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97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98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98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99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99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98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97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97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97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97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99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98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98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97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98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97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98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97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98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97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98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97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97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97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97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97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97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98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99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98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97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97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97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98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97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97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97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98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101</v>
      </c>
      <c r="C7607" t="s">
        <v>97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99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97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99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97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98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98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97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97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97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98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101</v>
      </c>
      <c r="C7618" t="s">
        <v>98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97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98</v>
      </c>
      <c r="D7620">
        <v>52000</v>
      </c>
      <c r="E7620">
        <v>36</v>
      </c>
      <c r="F7620" t="s">
        <v>101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98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97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98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97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97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98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99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97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97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97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97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98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97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97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97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98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99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97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97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97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97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97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97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97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98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98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97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97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97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97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98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97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97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97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101</v>
      </c>
      <c r="C7655" t="s">
        <v>99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97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97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97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97</v>
      </c>
      <c r="D7659">
        <v>39000</v>
      </c>
      <c r="E7659" t="s">
        <v>101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97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98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97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98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98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97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97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98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98</v>
      </c>
      <c r="D7668">
        <v>37440</v>
      </c>
      <c r="E7668">
        <v>36</v>
      </c>
      <c r="F7668" t="s">
        <v>101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98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97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98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97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98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98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98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97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98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97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97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98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99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98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97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97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97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98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97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98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98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97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98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98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99</v>
      </c>
      <c r="D7693" t="s">
        <v>101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98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97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98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98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97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97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97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97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97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97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97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98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98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98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99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99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98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99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98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97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98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98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97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97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97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98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98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97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97</v>
      </c>
      <c r="D7722">
        <v>72000</v>
      </c>
      <c r="E7722">
        <v>36</v>
      </c>
      <c r="F7722" t="s">
        <v>101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98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98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97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97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98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98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98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97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98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98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97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97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97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97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98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97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98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98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99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97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97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98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98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97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98</v>
      </c>
      <c r="D7747" t="s">
        <v>101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99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98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98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98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98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98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99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99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98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97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98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101</v>
      </c>
      <c r="C7759" t="s">
        <v>99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97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98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99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97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98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97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99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97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98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98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99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99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99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97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98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97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98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98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98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97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97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97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97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97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98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98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97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98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98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98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98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97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98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97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97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98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98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97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97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98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97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97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97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98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97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97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98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98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97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98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98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97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97</v>
      </c>
      <c r="D7812">
        <v>95000</v>
      </c>
      <c r="E7812">
        <v>36</v>
      </c>
      <c r="F7812" t="s">
        <v>101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98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98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98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98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97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98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99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98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98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98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98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97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98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98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97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98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98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99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97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99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98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99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97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98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99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97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97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98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97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98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98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98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98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98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98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97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97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98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98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99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99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97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98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97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97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97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98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97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97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98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98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98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98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97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98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98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98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98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98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98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97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97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99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98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97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97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98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99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98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97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97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98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99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98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98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99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97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98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97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97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98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98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98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97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98</v>
      </c>
      <c r="D7897">
        <v>36000</v>
      </c>
      <c r="E7897" t="s">
        <v>101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98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98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97</v>
      </c>
      <c r="D7900">
        <v>50000</v>
      </c>
      <c r="E7900" t="s">
        <v>101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98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97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97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98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97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98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98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98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97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97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98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98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98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98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97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98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99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98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97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97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98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98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98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98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97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97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98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97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98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97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97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98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98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98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98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97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97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98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97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97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98</v>
      </c>
      <c r="D7941">
        <v>95000</v>
      </c>
      <c r="E7941" t="s">
        <v>101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98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98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97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99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97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98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99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98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97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98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97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98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98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97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98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98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97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98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99</v>
      </c>
      <c r="D7960">
        <v>38000</v>
      </c>
      <c r="E7960">
        <v>36</v>
      </c>
      <c r="F7960" t="s">
        <v>101</v>
      </c>
      <c r="G7960">
        <v>0</v>
      </c>
    </row>
    <row r="7961" spans="1:7" x14ac:dyDescent="0.2">
      <c r="A7961">
        <v>35000</v>
      </c>
      <c r="B7961">
        <v>0.1366</v>
      </c>
      <c r="C7961" t="s">
        <v>98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97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98</v>
      </c>
      <c r="D7963">
        <v>66000</v>
      </c>
      <c r="E7963" t="s">
        <v>101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98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97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98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98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97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99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98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98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98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98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98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98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98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97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97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98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98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97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98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97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98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97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98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97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97</v>
      </c>
      <c r="D7988" t="s">
        <v>101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98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99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98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98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98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98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98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98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98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98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99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98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99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98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99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98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97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97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97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97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98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98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98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97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98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98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97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97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98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99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98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98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98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97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97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98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98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97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99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99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98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98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98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97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99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98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97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98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97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98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98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99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98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97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98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98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97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98</v>
      </c>
      <c r="D8046" t="s">
        <v>101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98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98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97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98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97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98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98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98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98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97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97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98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97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98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98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98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98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98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99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98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97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98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98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98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99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98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97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99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98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98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97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97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98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97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98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99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97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98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97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98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97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98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98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98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98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98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98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98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97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97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98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101</v>
      </c>
      <c r="B8098">
        <v>0.12989999999999999</v>
      </c>
      <c r="C8098" t="s">
        <v>97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97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98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97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98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101</v>
      </c>
      <c r="B8103">
        <v>0.18240000000000001</v>
      </c>
      <c r="C8103" t="s">
        <v>97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97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98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98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99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98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97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98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101</v>
      </c>
      <c r="B8111">
        <v>0.13350000000000001</v>
      </c>
      <c r="C8111" t="s">
        <v>98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97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99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97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97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97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98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97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98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99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97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98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97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98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98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98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98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98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97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97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98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98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97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97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101</v>
      </c>
      <c r="C8135" t="s">
        <v>98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98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98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98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98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97</v>
      </c>
      <c r="D8140" t="s">
        <v>101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98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98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97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98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97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99</v>
      </c>
      <c r="D8146">
        <v>106000</v>
      </c>
      <c r="E8146" t="s">
        <v>101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99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97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99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97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98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98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98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98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98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98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98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98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101</v>
      </c>
      <c r="C8159" t="s">
        <v>97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98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98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98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98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98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98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97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98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98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98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98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98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97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99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98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99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98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97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99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97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98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98</v>
      </c>
      <c r="D8181">
        <v>88150</v>
      </c>
      <c r="E8181">
        <v>36</v>
      </c>
      <c r="F8181" t="s">
        <v>101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98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98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97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98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101</v>
      </c>
      <c r="B8186">
        <v>0.1699</v>
      </c>
      <c r="C8186" t="s">
        <v>97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98</v>
      </c>
      <c r="D8187">
        <v>50000</v>
      </c>
      <c r="E8187" t="s">
        <v>101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98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99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98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97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98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97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98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98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98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99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97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97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97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97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97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98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99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97</v>
      </c>
      <c r="D8205">
        <v>70000</v>
      </c>
      <c r="E8205" t="s">
        <v>101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97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97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98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98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97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98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98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98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98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98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97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97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97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98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98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97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97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97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97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98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97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98</v>
      </c>
      <c r="D8227">
        <v>105000</v>
      </c>
      <c r="E8227">
        <v>60</v>
      </c>
      <c r="F8227" t="s">
        <v>101</v>
      </c>
      <c r="G8227">
        <v>0</v>
      </c>
    </row>
    <row r="8228" spans="1:7" x14ac:dyDescent="0.2">
      <c r="A8228">
        <v>10000</v>
      </c>
      <c r="B8228">
        <v>0.1449</v>
      </c>
      <c r="C8228" t="s">
        <v>98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97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97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97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97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97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99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97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98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97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98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98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98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97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98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98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98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97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98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99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99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98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98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97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97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98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98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98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97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97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98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98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97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97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99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97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97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98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99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99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97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98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101</v>
      </c>
      <c r="B8270">
        <v>0.13980000000000001</v>
      </c>
      <c r="C8270" t="s">
        <v>99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98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99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99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97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98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97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98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97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99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98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97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97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97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98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97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99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97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97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99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98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97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97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98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98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98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97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98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97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97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97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98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97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97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99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98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98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98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98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99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98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99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98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98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99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101</v>
      </c>
      <c r="C8315" t="s">
        <v>98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98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99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98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98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98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98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99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97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98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98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98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98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98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98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98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97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98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98</v>
      </c>
      <c r="D8333">
        <v>50000</v>
      </c>
      <c r="E8333">
        <v>60</v>
      </c>
      <c r="F8333" t="s">
        <v>101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97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97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98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98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97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98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97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97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97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99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98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98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98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99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99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98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97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101</v>
      </c>
      <c r="C8351" t="s">
        <v>97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97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98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97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98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98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98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97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97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98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98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98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97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99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98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98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98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98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97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98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97</v>
      </c>
      <c r="D8371">
        <v>128750</v>
      </c>
      <c r="E8371">
        <v>36</v>
      </c>
      <c r="F8371" t="s">
        <v>101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98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97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98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97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99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98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98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98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98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97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99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97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98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98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98</v>
      </c>
      <c r="D8386">
        <v>101000</v>
      </c>
      <c r="E8386">
        <v>36</v>
      </c>
      <c r="F8386" t="s">
        <v>101</v>
      </c>
      <c r="G8386">
        <v>0</v>
      </c>
    </row>
    <row r="8387" spans="1:7" x14ac:dyDescent="0.2">
      <c r="A8387">
        <v>4500</v>
      </c>
      <c r="B8387">
        <v>0.1249</v>
      </c>
      <c r="C8387" t="s">
        <v>99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97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97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98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97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97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97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98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98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98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97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98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97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97</v>
      </c>
      <c r="D8400">
        <v>75000</v>
      </c>
      <c r="E8400">
        <v>60</v>
      </c>
      <c r="F8400" t="s">
        <v>101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99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97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97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98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98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97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98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97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98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98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98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97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98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98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97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98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98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98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98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97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97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98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97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97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97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98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97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98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98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98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98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97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98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98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99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98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97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97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97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101</v>
      </c>
      <c r="B8440">
        <v>7.1199999999999999E-2</v>
      </c>
      <c r="C8440" t="s">
        <v>97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97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98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97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97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98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98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98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99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99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98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98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97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97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97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98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97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97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97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98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98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97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97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98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97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97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99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97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97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98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98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99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98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97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97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98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98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97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98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97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98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98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97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98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97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98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98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97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98</v>
      </c>
      <c r="D8488" t="s">
        <v>101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98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97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98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99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98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99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99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101</v>
      </c>
      <c r="C8496" t="s">
        <v>99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98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99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97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97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98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97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98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98</v>
      </c>
      <c r="D8504">
        <v>68000</v>
      </c>
      <c r="E8504" t="s">
        <v>101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98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97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97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97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97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98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97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98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97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99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98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97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98</v>
      </c>
      <c r="D8517">
        <v>62400</v>
      </c>
      <c r="E8517">
        <v>36</v>
      </c>
      <c r="F8517" t="s">
        <v>101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99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98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97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98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98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98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98</v>
      </c>
      <c r="D8524">
        <v>60000</v>
      </c>
      <c r="E8524">
        <v>36</v>
      </c>
      <c r="F8524" t="s">
        <v>101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97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97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98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97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97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98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99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98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97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97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97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98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98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97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97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98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98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98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97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97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99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98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98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97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97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98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97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97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98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97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97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97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98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99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98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98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98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98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98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98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97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98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97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98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97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97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97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98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98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97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101</v>
      </c>
      <c r="C8575" t="s">
        <v>98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97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101</v>
      </c>
      <c r="B8577">
        <v>0.1167</v>
      </c>
      <c r="C8577" t="s">
        <v>98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98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97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98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97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97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98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101</v>
      </c>
      <c r="C8584" t="s">
        <v>97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97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97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98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99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98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97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97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99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98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98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97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98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98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98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97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99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98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97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98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97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98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98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98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97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98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97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98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98</v>
      </c>
      <c r="D8612">
        <v>58850</v>
      </c>
      <c r="E8612">
        <v>36</v>
      </c>
      <c r="F8612" t="s">
        <v>101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97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98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97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97</v>
      </c>
      <c r="D8616" t="s">
        <v>101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97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98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98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101</v>
      </c>
      <c r="B8620">
        <v>0.1099</v>
      </c>
      <c r="C8620" t="s">
        <v>98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98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97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97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98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98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98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97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97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97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99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97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97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97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97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97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97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98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101</v>
      </c>
      <c r="B8638">
        <v>0.10150000000000001</v>
      </c>
      <c r="C8638" t="s">
        <v>98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98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98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99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99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98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98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101</v>
      </c>
      <c r="C8645" t="s">
        <v>98</v>
      </c>
      <c r="D8645" t="s">
        <v>101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97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98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98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98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97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97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99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98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98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97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97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98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97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98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97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98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97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99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97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98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98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97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97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98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98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97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99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98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97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98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98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97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98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97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97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98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97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98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97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97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97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99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98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97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101</v>
      </c>
      <c r="C8690" t="s">
        <v>97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98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97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98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97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97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97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99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98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98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98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98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97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98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97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97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99</v>
      </c>
      <c r="D8706">
        <v>33600</v>
      </c>
      <c r="E8706" t="s">
        <v>101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99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98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97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99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98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97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98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98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98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99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97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98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98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97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97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97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99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98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98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98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98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101</v>
      </c>
      <c r="C8728" t="s">
        <v>98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97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99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99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97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97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99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97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97</v>
      </c>
      <c r="D8736" t="s">
        <v>101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98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97</v>
      </c>
      <c r="D8738">
        <v>55000</v>
      </c>
      <c r="E8738">
        <v>36</v>
      </c>
      <c r="F8738" t="s">
        <v>101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98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97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97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97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97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97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98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98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97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97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98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97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97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97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98</v>
      </c>
      <c r="D8753">
        <v>80000</v>
      </c>
      <c r="E8753">
        <v>60</v>
      </c>
      <c r="F8753" t="s">
        <v>101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99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98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98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98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97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98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98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97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98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98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98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97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97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98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98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97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97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98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98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97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98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97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97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97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99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98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98</v>
      </c>
      <c r="D8780">
        <v>42000</v>
      </c>
      <c r="E8780" t="s">
        <v>101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97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97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98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97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98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98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97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97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98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98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97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98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98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98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97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97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97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97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98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97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98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99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98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98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98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98</v>
      </c>
      <c r="D8806">
        <v>99000</v>
      </c>
      <c r="E8806">
        <v>60</v>
      </c>
      <c r="F8806" t="s">
        <v>101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97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98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97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98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98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98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98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101</v>
      </c>
      <c r="B8814">
        <v>0.16289999999999999</v>
      </c>
      <c r="C8814" t="s">
        <v>97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98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97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98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99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97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97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97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97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98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97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98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98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98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98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97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97</v>
      </c>
      <c r="D8830" t="s">
        <v>101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97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98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98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98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98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97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97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98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98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101</v>
      </c>
      <c r="B8840">
        <v>0.245</v>
      </c>
      <c r="C8840" t="s">
        <v>97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98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98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97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98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98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98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98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98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98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97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98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98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97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97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98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99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98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97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99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97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97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98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98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97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101</v>
      </c>
      <c r="C8865" t="s">
        <v>98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101</v>
      </c>
      <c r="B8866">
        <v>0.1167</v>
      </c>
      <c r="C8866" t="s">
        <v>97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97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99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98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98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98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99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98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98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97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98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98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97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97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97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97</v>
      </c>
      <c r="D8881">
        <v>40000</v>
      </c>
      <c r="E8881">
        <v>60</v>
      </c>
      <c r="F8881" t="s">
        <v>101</v>
      </c>
      <c r="G8881">
        <v>1</v>
      </c>
    </row>
    <row r="8882" spans="1:7" x14ac:dyDescent="0.2">
      <c r="A8882">
        <v>3000</v>
      </c>
      <c r="B8882">
        <v>0.1099</v>
      </c>
      <c r="C8882" t="s">
        <v>97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98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98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97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97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97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97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97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98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97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98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97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97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97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98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97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97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98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98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98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98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97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98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98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98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97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99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97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98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99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97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101</v>
      </c>
      <c r="C8913" t="s">
        <v>97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98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98</v>
      </c>
      <c r="D8915">
        <v>37000</v>
      </c>
      <c r="E8915" t="s">
        <v>101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98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99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98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98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97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98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97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98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98</v>
      </c>
      <c r="D8924" t="s">
        <v>101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98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98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98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98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97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98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97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97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97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97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98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98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97</v>
      </c>
      <c r="D8937">
        <v>50000</v>
      </c>
      <c r="E8937">
        <v>36</v>
      </c>
      <c r="F8937" t="s">
        <v>101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97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97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97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97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98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97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97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98</v>
      </c>
      <c r="D8945">
        <v>150000</v>
      </c>
      <c r="E8945" t="s">
        <v>101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98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98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101</v>
      </c>
      <c r="C8948" t="s">
        <v>97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98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97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98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97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98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97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98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98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98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98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97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98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98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97</v>
      </c>
      <c r="D8962">
        <v>30000</v>
      </c>
      <c r="E8962">
        <v>36</v>
      </c>
      <c r="F8962" t="s">
        <v>101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98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97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98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98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98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98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98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98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98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98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97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101</v>
      </c>
      <c r="B8974">
        <v>0.1167</v>
      </c>
      <c r="C8974" t="s">
        <v>98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97</v>
      </c>
      <c r="D8975">
        <v>56000</v>
      </c>
      <c r="E8975">
        <v>60</v>
      </c>
      <c r="F8975" t="s">
        <v>101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98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98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98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99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97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97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97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99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97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97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97</v>
      </c>
      <c r="D8986" t="s">
        <v>101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98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99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98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97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98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98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97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97</v>
      </c>
      <c r="D8994">
        <v>121392</v>
      </c>
      <c r="E8994" t="s">
        <v>101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98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98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98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97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98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97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97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97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99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97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97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99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99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98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97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98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98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98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97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98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98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97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98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98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97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99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98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97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98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97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97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97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98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97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98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97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97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98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98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98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99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97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98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98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98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98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97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97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98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98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97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99</v>
      </c>
      <c r="D9046">
        <v>42000</v>
      </c>
      <c r="E9046" t="s">
        <v>101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99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97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98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97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97</v>
      </c>
      <c r="D9051">
        <v>65000</v>
      </c>
      <c r="E9051" t="s">
        <v>101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97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97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97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97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98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98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98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97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99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98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97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98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99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97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97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98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98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98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97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97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97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97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97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98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97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98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98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97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98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98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98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97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97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98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98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97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98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98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101</v>
      </c>
      <c r="B9090">
        <v>0.16289999999999999</v>
      </c>
      <c r="C9090" t="s">
        <v>99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98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98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97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98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98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98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98</v>
      </c>
      <c r="D9097">
        <v>66500</v>
      </c>
      <c r="E9097" t="s">
        <v>101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98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97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99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98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98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98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98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98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97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97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97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97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97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97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97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97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99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97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97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97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98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97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98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98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97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97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97</v>
      </c>
      <c r="D9124" t="s">
        <v>101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99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98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97</v>
      </c>
      <c r="D9127">
        <v>115000</v>
      </c>
      <c r="E9127">
        <v>36</v>
      </c>
      <c r="F9127" t="s">
        <v>101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98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97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98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97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97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98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98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98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98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97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98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98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98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97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98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98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98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99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97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98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98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99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98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98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98</v>
      </c>
      <c r="D9152">
        <v>72000</v>
      </c>
      <c r="E9152" t="s">
        <v>101</v>
      </c>
      <c r="F9152" t="s">
        <v>101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98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97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97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98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97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98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98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97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98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99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98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98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98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98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98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97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97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97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97</v>
      </c>
      <c r="D9171" t="s">
        <v>101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97</v>
      </c>
      <c r="D9172" t="s">
        <v>101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98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97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98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98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97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98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98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97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97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97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98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98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98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97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101</v>
      </c>
      <c r="C9187" t="s">
        <v>98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98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97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97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97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97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98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97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98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97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98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97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97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98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98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98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98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97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98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98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98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98</v>
      </c>
      <c r="D9208" t="s">
        <v>101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98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98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97</v>
      </c>
      <c r="D9211">
        <v>50000</v>
      </c>
      <c r="E9211">
        <v>36</v>
      </c>
      <c r="F9211" t="s">
        <v>101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98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98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97</v>
      </c>
      <c r="D9214">
        <v>45000</v>
      </c>
      <c r="E9214" t="s">
        <v>101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98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97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98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98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97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98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99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97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98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97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97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98</v>
      </c>
      <c r="D9226">
        <v>240000</v>
      </c>
      <c r="E9226" t="s">
        <v>101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99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98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97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98</v>
      </c>
      <c r="D9230">
        <v>88000</v>
      </c>
      <c r="E9230">
        <v>36</v>
      </c>
      <c r="F9230" t="s">
        <v>101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97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99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98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98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98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97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98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98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99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98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98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98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99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98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98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97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98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97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97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97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97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97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98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98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97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97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98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97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98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97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99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98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98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98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99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97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98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97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99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97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97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97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99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98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97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97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97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98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97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98</v>
      </c>
      <c r="D9280">
        <v>28000</v>
      </c>
      <c r="E9280">
        <v>36</v>
      </c>
      <c r="F9280" t="s">
        <v>101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97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97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97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98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98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97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98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98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97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98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97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98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98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98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98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98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99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98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98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97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97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97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98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97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101</v>
      </c>
      <c r="C9305" t="s">
        <v>97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97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97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97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97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98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98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97</v>
      </c>
      <c r="D9312" t="s">
        <v>101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98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98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97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98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97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98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97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99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97</v>
      </c>
      <c r="D9321">
        <v>30000</v>
      </c>
      <c r="E9321" t="s">
        <v>101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98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97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97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99</v>
      </c>
      <c r="D9325" t="s">
        <v>101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97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98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99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97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98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97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97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98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98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98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98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98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99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97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98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97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97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97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97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98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97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97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97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97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97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98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98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98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97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97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97</v>
      </c>
      <c r="D9356" t="s">
        <v>101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99</v>
      </c>
      <c r="D9357">
        <v>37000</v>
      </c>
      <c r="E9357" t="s">
        <v>101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98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98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98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98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98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99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97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98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97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97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98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99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98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97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98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97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98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97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98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97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98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98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97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98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97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98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98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98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97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97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97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98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98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98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97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98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97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98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98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98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98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98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97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97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99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98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97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99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98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98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97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97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99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97</v>
      </c>
      <c r="D9411">
        <v>41600</v>
      </c>
      <c r="E9411">
        <v>36</v>
      </c>
      <c r="F9411" t="s">
        <v>101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98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97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98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97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98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97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97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97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97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97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97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97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97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98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98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97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98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98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97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97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98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97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97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98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98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98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97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97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98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97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97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99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97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98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99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97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99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99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98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97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97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98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97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97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97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97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98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98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98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97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99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98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98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97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98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97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97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98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97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98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98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97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97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98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97</v>
      </c>
      <c r="D9476">
        <v>155000</v>
      </c>
      <c r="E9476">
        <v>36</v>
      </c>
      <c r="F9476" t="s">
        <v>101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98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98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97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98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98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98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99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98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98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97</v>
      </c>
      <c r="D9486">
        <v>116887</v>
      </c>
      <c r="E9486" t="s">
        <v>101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97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97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98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98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98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98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98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98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98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97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98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97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98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97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99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98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98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97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98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98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97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97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98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98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98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98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99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97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98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98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97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98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97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101</v>
      </c>
      <c r="C9520" t="s">
        <v>97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98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98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97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98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99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98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97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98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98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98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98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99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97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98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98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97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97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98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98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97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97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99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97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98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98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97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97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98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98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98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101</v>
      </c>
      <c r="C9551" t="s">
        <v>97</v>
      </c>
      <c r="D9551">
        <v>60000</v>
      </c>
      <c r="E9551" t="s">
        <v>101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98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98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98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101</v>
      </c>
      <c r="C9555" t="s">
        <v>97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97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97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97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99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97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98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98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97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97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98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97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98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98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98</v>
      </c>
      <c r="D9569" t="s">
        <v>101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97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98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97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97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98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99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98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98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98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98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98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98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97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97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99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97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98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97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98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98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98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97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99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97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97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97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98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97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98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98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98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98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98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97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97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97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98</v>
      </c>
      <c r="D9606">
        <v>52565</v>
      </c>
      <c r="E9606">
        <v>36</v>
      </c>
      <c r="F9606" t="s">
        <v>101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97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97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98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101</v>
      </c>
      <c r="C9610" t="s">
        <v>98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98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97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98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98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98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97</v>
      </c>
      <c r="D9616" t="s">
        <v>101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99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98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97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98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98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97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97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97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98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98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97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97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98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98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98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97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98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98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98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98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98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97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99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101</v>
      </c>
      <c r="C9640" t="s">
        <v>98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97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98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97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97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98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97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98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98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98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97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97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97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97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97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98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98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97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97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98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97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99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99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97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98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97</v>
      </c>
      <c r="D9665" t="s">
        <v>101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98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97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98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98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97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98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99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97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98</v>
      </c>
      <c r="D9674">
        <v>58000</v>
      </c>
      <c r="E9674">
        <v>60</v>
      </c>
      <c r="F9674" t="s">
        <v>101</v>
      </c>
      <c r="G9674">
        <v>0</v>
      </c>
    </row>
    <row r="9675" spans="1:7" x14ac:dyDescent="0.2">
      <c r="A9675">
        <v>10500</v>
      </c>
      <c r="B9675">
        <v>0.1249</v>
      </c>
      <c r="C9675" t="s">
        <v>97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99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98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98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98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97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97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98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98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97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98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97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97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98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98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98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98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97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98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99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97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101</v>
      </c>
      <c r="B9696">
        <v>0.15609999999999999</v>
      </c>
      <c r="C9696" t="s">
        <v>98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98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99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98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99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99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98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99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97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99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98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98</v>
      </c>
      <c r="D9707">
        <v>68000</v>
      </c>
      <c r="E9707" t="s">
        <v>101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99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97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98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97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97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98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98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97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97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98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98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98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98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97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98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98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97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98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97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98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98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98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98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97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98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98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97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97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98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98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98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98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98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97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97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97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98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98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97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98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98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97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98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97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98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101</v>
      </c>
      <c r="C9753" t="s">
        <v>98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98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98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98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98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97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97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98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99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98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97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97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98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98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97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97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97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98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98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98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97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97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98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97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97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97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97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97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97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97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98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98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97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97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98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97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98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98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98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97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99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97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98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98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97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98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98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97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98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98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98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97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98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97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98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97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98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98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98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97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98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98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97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98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98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97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98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97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99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98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99</v>
      </c>
      <c r="D9823">
        <v>56000</v>
      </c>
      <c r="E9823">
        <v>36</v>
      </c>
      <c r="F9823" t="s">
        <v>101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99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98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98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97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97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97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98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97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98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97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98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98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97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99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98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97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97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98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101</v>
      </c>
      <c r="B9842">
        <v>0.2049</v>
      </c>
      <c r="C9842" t="s">
        <v>97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98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98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97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98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98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97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97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98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98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99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98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97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99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97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97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98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98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97</v>
      </c>
      <c r="D9860" t="s">
        <v>101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97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98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97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98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98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98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97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98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98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98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99</v>
      </c>
      <c r="D9871">
        <v>40000</v>
      </c>
      <c r="E9871">
        <v>36</v>
      </c>
      <c r="F9871" t="s">
        <v>101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98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97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98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97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97</v>
      </c>
      <c r="D9876">
        <v>52000</v>
      </c>
      <c r="E9876" t="s">
        <v>101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98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98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97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98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97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98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98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98</v>
      </c>
      <c r="D9884">
        <v>41000</v>
      </c>
      <c r="E9884">
        <v>36</v>
      </c>
      <c r="F9884" t="s">
        <v>101</v>
      </c>
      <c r="G9884">
        <v>0</v>
      </c>
    </row>
    <row r="9885" spans="1:7" x14ac:dyDescent="0.2">
      <c r="A9885">
        <v>9100</v>
      </c>
      <c r="B9885">
        <v>0.1416</v>
      </c>
      <c r="C9885" t="s">
        <v>98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98</v>
      </c>
      <c r="D9886">
        <v>50000</v>
      </c>
      <c r="E9886" t="s">
        <v>101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97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98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99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98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98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98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97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98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98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98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98</v>
      </c>
      <c r="D9897">
        <v>123000</v>
      </c>
      <c r="E9897" t="s">
        <v>101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98</v>
      </c>
      <c r="D9898" t="s">
        <v>101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97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97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99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97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98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98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97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99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97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97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98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98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98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97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97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98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98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99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97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97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98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99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98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98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99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99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98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101</v>
      </c>
      <c r="C9926" t="s">
        <v>99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98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98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98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97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97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98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97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99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99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98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98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98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101</v>
      </c>
      <c r="C9939" t="s">
        <v>97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99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98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97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98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98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98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97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97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98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98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97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97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98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97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98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98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98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98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97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98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98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97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97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98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98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98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98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97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98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97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97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98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98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97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97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98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98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98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98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101</v>
      </c>
      <c r="C9979" t="s">
        <v>99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98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97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98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98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97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97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98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98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99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97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97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98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98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98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98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98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97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98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97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98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99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97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98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97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97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98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97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98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97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99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98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98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98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97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98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97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99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98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98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97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98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98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98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97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97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98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97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98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98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97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98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98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97</v>
      </c>
      <c r="D10032">
        <v>33000</v>
      </c>
      <c r="E10032" t="s">
        <v>101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97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98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97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98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98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99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98</v>
      </c>
      <c r="D10039">
        <v>48000</v>
      </c>
      <c r="E10039">
        <v>36</v>
      </c>
      <c r="F10039" t="s">
        <v>101</v>
      </c>
      <c r="G10039">
        <v>1</v>
      </c>
    </row>
    <row r="10040" spans="1:7" x14ac:dyDescent="0.2">
      <c r="A10040">
        <v>16000</v>
      </c>
      <c r="B10040">
        <v>0.1416</v>
      </c>
      <c r="C10040" t="s">
        <v>97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97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99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98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97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98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98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97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97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97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98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101</v>
      </c>
      <c r="C10051" t="s">
        <v>99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97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98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97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99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99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97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98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98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98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98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97</v>
      </c>
      <c r="D10062">
        <v>90000</v>
      </c>
      <c r="E10062" t="s">
        <v>101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98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97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99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98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98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98</v>
      </c>
      <c r="D10068">
        <v>110000</v>
      </c>
      <c r="E10068">
        <v>60</v>
      </c>
      <c r="F10068" t="s">
        <v>101</v>
      </c>
      <c r="G10068">
        <v>0</v>
      </c>
    </row>
    <row r="10069" spans="1:7" x14ac:dyDescent="0.2">
      <c r="A10069">
        <v>12075</v>
      </c>
      <c r="B10069">
        <v>0.1416</v>
      </c>
      <c r="C10069" t="s">
        <v>98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97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98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97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97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101</v>
      </c>
      <c r="C10074" t="s">
        <v>99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97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97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98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97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98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98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98</v>
      </c>
      <c r="D10081">
        <v>76000</v>
      </c>
      <c r="E10081" t="s">
        <v>101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98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97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98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97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97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97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98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98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98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97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99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98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98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98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97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98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98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98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98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98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99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97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97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97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97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97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97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98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98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97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98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98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97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98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97</v>
      </c>
      <c r="D10116">
        <v>35000</v>
      </c>
      <c r="E10116">
        <v>36</v>
      </c>
      <c r="F10116" t="s">
        <v>101</v>
      </c>
      <c r="G10116">
        <v>1</v>
      </c>
    </row>
    <row r="10117" spans="1:7" x14ac:dyDescent="0.2">
      <c r="A10117">
        <v>10050</v>
      </c>
      <c r="B10117">
        <v>0.1099</v>
      </c>
      <c r="C10117" t="s">
        <v>98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97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97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98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98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97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98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97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98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97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98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98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98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97</v>
      </c>
      <c r="D10130">
        <v>57363</v>
      </c>
      <c r="E10130">
        <v>36</v>
      </c>
      <c r="F10130" t="s">
        <v>101</v>
      </c>
      <c r="G10130">
        <v>0</v>
      </c>
    </row>
    <row r="10131" spans="1:7" x14ac:dyDescent="0.2">
      <c r="A10131">
        <v>4000</v>
      </c>
      <c r="B10131">
        <v>0.1249</v>
      </c>
      <c r="C10131" t="s">
        <v>99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97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99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97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98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97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98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97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98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99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98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98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97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99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99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98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97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98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99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98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98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98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98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98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97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98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97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98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97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98</v>
      </c>
      <c r="D10160">
        <v>195000</v>
      </c>
      <c r="E10160" t="s">
        <v>101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98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98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98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98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98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98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98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98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97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98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97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98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97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97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98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99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98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98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99</v>
      </c>
      <c r="D10179" t="s">
        <v>101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98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98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97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97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98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97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98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97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97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97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99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98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98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98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97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99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98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98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98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98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97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98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97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98</v>
      </c>
      <c r="D10203">
        <v>91000</v>
      </c>
      <c r="E10203">
        <v>60</v>
      </c>
      <c r="F10203" t="s">
        <v>101</v>
      </c>
      <c r="G10203">
        <v>0</v>
      </c>
    </row>
    <row r="10204" spans="1:7" x14ac:dyDescent="0.2">
      <c r="A10204">
        <v>11500</v>
      </c>
      <c r="B10204">
        <v>0.2049</v>
      </c>
      <c r="C10204" t="s">
        <v>97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97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98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98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97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98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98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97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98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98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97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97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97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98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98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99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98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99</v>
      </c>
      <c r="D10221">
        <v>50000</v>
      </c>
      <c r="E10221" t="s">
        <v>101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98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97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97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99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98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97</v>
      </c>
      <c r="D10227" t="s">
        <v>101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98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98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98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98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97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98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97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98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97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97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98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98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97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97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99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97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98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99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97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98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98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98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98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98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99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99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98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98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97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97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97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98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98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97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98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97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97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98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98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97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97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97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99</v>
      </c>
      <c r="D10270">
        <v>35000</v>
      </c>
      <c r="E10270">
        <v>36</v>
      </c>
      <c r="F10270" t="s">
        <v>101</v>
      </c>
      <c r="G10270">
        <v>0</v>
      </c>
    </row>
    <row r="10271" spans="1:7" x14ac:dyDescent="0.2">
      <c r="A10271">
        <v>32750</v>
      </c>
      <c r="B10271">
        <v>0.1464</v>
      </c>
      <c r="C10271" t="s">
        <v>98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97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98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97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99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97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99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99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97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98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98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98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98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98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97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98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98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98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97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98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98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97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97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98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97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98</v>
      </c>
      <c r="D10296">
        <v>60000</v>
      </c>
      <c r="E10296" t="s">
        <v>101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98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98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97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98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98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97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98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97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99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98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98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97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97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97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97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97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98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98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97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97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98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98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97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99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97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98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98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97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97</v>
      </c>
      <c r="D10325">
        <v>26000</v>
      </c>
      <c r="E10325" t="s">
        <v>101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98</v>
      </c>
      <c r="D10326" t="s">
        <v>101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97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98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98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97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98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97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98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97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97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97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98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97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97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97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97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98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97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98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98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98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98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97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99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98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97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99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98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98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97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97</v>
      </c>
      <c r="D10356">
        <v>70000</v>
      </c>
      <c r="E10356" t="s">
        <v>101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98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98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97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98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97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98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98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97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98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97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98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98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98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98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97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97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98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97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97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98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97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97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98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97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98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97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98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97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97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97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97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97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97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98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98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98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97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98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98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98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97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99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97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97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98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97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97</v>
      </c>
      <c r="D10403">
        <v>39500</v>
      </c>
      <c r="E10403" t="s">
        <v>101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97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97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98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98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98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98</v>
      </c>
      <c r="D10409">
        <v>85000</v>
      </c>
      <c r="E10409">
        <v>36</v>
      </c>
      <c r="F10409" t="s">
        <v>101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99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98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97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98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97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98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97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97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98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98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98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98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99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97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98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97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97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97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97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97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97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97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97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98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98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98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99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97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97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98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97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97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97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97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97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98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99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98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97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97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98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97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98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98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97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97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98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98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98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97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98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99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98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97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99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98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97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98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97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97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97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99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98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98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98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98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98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97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97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97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98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99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97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98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97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98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98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98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97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98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97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98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98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97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98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98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98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99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98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99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97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98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97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98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98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98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97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98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98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98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97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98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98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99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97</v>
      </c>
      <c r="D10514">
        <v>47000</v>
      </c>
      <c r="E10514">
        <v>36</v>
      </c>
      <c r="F10514" t="s">
        <v>101</v>
      </c>
      <c r="G10514">
        <v>0</v>
      </c>
    </row>
    <row r="10515" spans="1:7" x14ac:dyDescent="0.2">
      <c r="A10515">
        <v>5200</v>
      </c>
      <c r="B10515">
        <v>0.1464</v>
      </c>
      <c r="C10515" t="s">
        <v>98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98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97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97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99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98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97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97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98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99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97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97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98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98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98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98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98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97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97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98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97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99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97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98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98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98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98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97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97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97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97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98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98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98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97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97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98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99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98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98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98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98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97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98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98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98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98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97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98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98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98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98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99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97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98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98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98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98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98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98</v>
      </c>
      <c r="D10574">
        <v>130000</v>
      </c>
      <c r="E10574">
        <v>36</v>
      </c>
      <c r="F10574" t="s">
        <v>101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98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99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98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98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98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99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97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98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98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97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98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97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98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97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97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98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98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98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98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98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98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98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98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98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98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101</v>
      </c>
      <c r="C10600" t="s">
        <v>98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98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97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99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98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97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98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97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98</v>
      </c>
      <c r="D10608">
        <v>79500</v>
      </c>
      <c r="E10608">
        <v>36</v>
      </c>
      <c r="F10608" t="s">
        <v>101</v>
      </c>
      <c r="G10608">
        <v>0</v>
      </c>
    </row>
    <row r="10609" spans="1:7" x14ac:dyDescent="0.2">
      <c r="A10609">
        <v>10000</v>
      </c>
      <c r="B10609">
        <v>0.1757</v>
      </c>
      <c r="C10609" t="s">
        <v>97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98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99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101</v>
      </c>
      <c r="B10612">
        <v>0.13980000000000001</v>
      </c>
      <c r="C10612" t="s">
        <v>97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99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97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98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98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98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99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97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97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98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98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98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101</v>
      </c>
      <c r="C10624" t="s">
        <v>98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98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97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97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97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98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98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98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98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97</v>
      </c>
      <c r="D10633">
        <v>90000</v>
      </c>
      <c r="E10633" t="s">
        <v>101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98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97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97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98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98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97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97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97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97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97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98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98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98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98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97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97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98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97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97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97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98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97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98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97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97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98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98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97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97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98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98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97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98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98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98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99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98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98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98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97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98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98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98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98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98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97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98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98</v>
      </c>
      <c r="D10681" t="s">
        <v>101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98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97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97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99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98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97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98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97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97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98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101</v>
      </c>
      <c r="B10692">
        <v>0.14979999999999999</v>
      </c>
      <c r="C10692" t="s">
        <v>98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97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98</v>
      </c>
      <c r="D10694">
        <v>150000</v>
      </c>
      <c r="E10694">
        <v>36</v>
      </c>
      <c r="F10694" t="s">
        <v>101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98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98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98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98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98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97</v>
      </c>
      <c r="D10700" t="s">
        <v>101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98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98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97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97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97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98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98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98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98</v>
      </c>
      <c r="D10709">
        <v>66500</v>
      </c>
      <c r="E10709" t="s">
        <v>101</v>
      </c>
      <c r="F10709">
        <v>7</v>
      </c>
      <c r="G10709">
        <v>0</v>
      </c>
    </row>
    <row r="10710" spans="1:7" x14ac:dyDescent="0.2">
      <c r="A10710">
        <v>6000</v>
      </c>
      <c r="B10710" t="s">
        <v>101</v>
      </c>
      <c r="C10710" t="s">
        <v>99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98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97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98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98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99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98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97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97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98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98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97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98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98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98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97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97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98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98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99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98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97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97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97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98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98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98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97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98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98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98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97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98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97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98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101</v>
      </c>
      <c r="B10745">
        <v>0.1699</v>
      </c>
      <c r="C10745" t="s">
        <v>99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97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97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98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98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98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98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98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98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99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98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97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99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97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98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98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97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98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97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98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97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98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98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97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98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97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98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99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97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97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97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98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98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98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98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98</v>
      </c>
      <c r="D10780">
        <v>85000</v>
      </c>
      <c r="E10780">
        <v>36</v>
      </c>
      <c r="F10780" t="s">
        <v>101</v>
      </c>
      <c r="G10780">
        <v>0</v>
      </c>
    </row>
    <row r="10781" spans="1:7" x14ac:dyDescent="0.2">
      <c r="A10781">
        <v>18000</v>
      </c>
      <c r="B10781">
        <v>0.1285</v>
      </c>
      <c r="C10781" t="s">
        <v>97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98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101</v>
      </c>
      <c r="B10783">
        <v>0.1099</v>
      </c>
      <c r="C10783" t="s">
        <v>98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98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97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99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98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97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97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97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97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97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97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97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98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101</v>
      </c>
      <c r="C10796" t="s">
        <v>98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98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98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98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97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99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98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98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98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97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97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97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97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97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98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98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97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98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98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98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97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98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98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98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98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98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98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98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97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98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97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97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97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98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98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99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97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97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98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98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98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98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98</v>
      </c>
      <c r="D10838" t="s">
        <v>101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97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97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98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98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98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98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98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99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97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97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97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98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98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98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97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97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98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98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97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97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97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98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97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99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97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98</v>
      </c>
      <c r="D10864">
        <v>88000</v>
      </c>
      <c r="E10864">
        <v>60</v>
      </c>
      <c r="F10864" t="s">
        <v>101</v>
      </c>
      <c r="G10864">
        <v>0</v>
      </c>
    </row>
    <row r="10865" spans="1:7" x14ac:dyDescent="0.2">
      <c r="A10865" t="s">
        <v>101</v>
      </c>
      <c r="B10865">
        <v>0.11990000000000001</v>
      </c>
      <c r="C10865" t="s">
        <v>97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99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97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98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98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98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99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99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99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97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97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97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98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97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97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98</v>
      </c>
      <c r="D10880">
        <v>31000</v>
      </c>
      <c r="E10880" t="s">
        <v>101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97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98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98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98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98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98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97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97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98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97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97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97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98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98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98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97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101</v>
      </c>
      <c r="C10897" t="s">
        <v>98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98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97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97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98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98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98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98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98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97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97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98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98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98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98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101</v>
      </c>
      <c r="C10912" t="s">
        <v>97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98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98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98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98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98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98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98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98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97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98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97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97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98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98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97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99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97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98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98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97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97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97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98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98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98</v>
      </c>
      <c r="D10937">
        <v>51157</v>
      </c>
      <c r="E10937" t="s">
        <v>101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98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98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98</v>
      </c>
      <c r="D10940" t="s">
        <v>101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99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97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98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98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97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98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97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97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98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99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98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97</v>
      </c>
      <c r="D10952">
        <v>77200</v>
      </c>
      <c r="E10952">
        <v>60</v>
      </c>
      <c r="F10952" t="s">
        <v>101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97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98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98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98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97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97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97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98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97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98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97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97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99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99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97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99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98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98</v>
      </c>
      <c r="D10970" t="s">
        <v>101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98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97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98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99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98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97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97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97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98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97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98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98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99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97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98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98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99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98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98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98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97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97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98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98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99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98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97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97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97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98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97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98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98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98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98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98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98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98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97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98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97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101</v>
      </c>
      <c r="B11012">
        <v>0.14979999999999999</v>
      </c>
      <c r="C11012" t="s">
        <v>97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98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99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98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99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97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98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97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99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99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97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98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101</v>
      </c>
      <c r="C11024" t="s">
        <v>99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97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98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99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97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101</v>
      </c>
      <c r="B11029">
        <v>9.7600000000000006E-2</v>
      </c>
      <c r="C11029" t="s">
        <v>99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97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98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98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97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97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98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97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97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98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98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98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97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98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99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97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101</v>
      </c>
      <c r="C11045" t="s">
        <v>98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98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98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97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98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98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98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97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98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97</v>
      </c>
      <c r="D11054">
        <v>68000</v>
      </c>
      <c r="E11054" t="s">
        <v>101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97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98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98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98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98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98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98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98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98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98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97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99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98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99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99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97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97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101</v>
      </c>
      <c r="B11072">
        <v>7.8899999999999998E-2</v>
      </c>
      <c r="C11072" t="s">
        <v>98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98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98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98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98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97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97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97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98</v>
      </c>
      <c r="D11080" t="s">
        <v>101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98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98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98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97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97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98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97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98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98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97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98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98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98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98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98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97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98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97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97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97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98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97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97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98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98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97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97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97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97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98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97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97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99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97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97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98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98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98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97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97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98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97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98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101</v>
      </c>
      <c r="C11124" t="s">
        <v>98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98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101</v>
      </c>
      <c r="C11126" t="s">
        <v>97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97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99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97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99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97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97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98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97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99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97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98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98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98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98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99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98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97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99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97</v>
      </c>
      <c r="D11145" t="s">
        <v>101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97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97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98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98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98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98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98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97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97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98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98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98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97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97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98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98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98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98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97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98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98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98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97</v>
      </c>
      <c r="D11168">
        <v>63000</v>
      </c>
      <c r="E11168" t="s">
        <v>101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97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97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98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98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98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98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98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97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98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99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99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98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98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98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97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97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99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97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97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98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98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98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98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101</v>
      </c>
      <c r="C11192" t="s">
        <v>99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98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98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97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98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98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97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98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98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97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97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98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98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98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98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97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98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97</v>
      </c>
      <c r="D11209">
        <v>42000</v>
      </c>
      <c r="E11209">
        <v>36</v>
      </c>
      <c r="F11209" t="s">
        <v>101</v>
      </c>
      <c r="G11209">
        <v>0</v>
      </c>
    </row>
    <row r="11210" spans="1:7" x14ac:dyDescent="0.2">
      <c r="A11210">
        <v>6025</v>
      </c>
      <c r="B11210">
        <v>0.1825</v>
      </c>
      <c r="C11210" t="s">
        <v>99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97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97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97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97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97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97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97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97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97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97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97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98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98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98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98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101</v>
      </c>
      <c r="C11226" t="s">
        <v>97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97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97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99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98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97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98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98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97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99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97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97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97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97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98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98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98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98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97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97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98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97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98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101</v>
      </c>
      <c r="C11249" t="s">
        <v>97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97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97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98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101</v>
      </c>
      <c r="C11253" t="s">
        <v>97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97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98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99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101</v>
      </c>
      <c r="C11257" t="s">
        <v>99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97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98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98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99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98</v>
      </c>
      <c r="D11262">
        <v>105000</v>
      </c>
      <c r="E11262" t="s">
        <v>101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97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98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98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98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97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97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98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98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97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98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99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97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98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99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98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97</v>
      </c>
      <c r="D11278">
        <v>50000</v>
      </c>
      <c r="E11278" t="s">
        <v>101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97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97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97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98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98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98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97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97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99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98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101</v>
      </c>
      <c r="B11289">
        <v>8.1799999999999998E-2</v>
      </c>
      <c r="C11289" t="s">
        <v>99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97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97</v>
      </c>
      <c r="D11291">
        <v>80000</v>
      </c>
      <c r="E11291">
        <v>36</v>
      </c>
      <c r="F11291" t="s">
        <v>101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97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98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99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97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97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98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98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98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97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99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98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97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98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98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98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98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98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98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98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97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98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98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97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97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98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99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98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98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97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97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99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97</v>
      </c>
      <c r="D11323" t="s">
        <v>101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97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97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97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98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98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98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97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97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98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99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98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97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97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98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98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98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98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98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98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99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97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98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98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98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99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97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97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97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97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98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97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98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97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97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97</v>
      </c>
      <c r="D11358">
        <v>35000</v>
      </c>
      <c r="E11358" t="s">
        <v>101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99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98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98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98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97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97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97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98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98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98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98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97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97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98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97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97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97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97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97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101</v>
      </c>
      <c r="B11378">
        <v>0.15609999999999999</v>
      </c>
      <c r="C11378" t="s">
        <v>97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98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98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97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97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98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97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98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98</v>
      </c>
      <c r="D11386">
        <v>70000</v>
      </c>
      <c r="E11386">
        <v>36</v>
      </c>
      <c r="F11386" t="s">
        <v>101</v>
      </c>
      <c r="G11386">
        <v>0</v>
      </c>
    </row>
    <row r="11387" spans="1:7" x14ac:dyDescent="0.2">
      <c r="A11387">
        <v>10000</v>
      </c>
      <c r="B11387">
        <v>0.1229</v>
      </c>
      <c r="C11387" t="s">
        <v>99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98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98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98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98</v>
      </c>
      <c r="D11391">
        <v>528000</v>
      </c>
      <c r="E11391">
        <v>60</v>
      </c>
      <c r="F11391" t="s">
        <v>101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98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98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98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98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98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98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98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98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97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98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97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98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97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98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97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97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98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98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98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97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99</v>
      </c>
      <c r="D11412">
        <v>1300000</v>
      </c>
      <c r="E11412" t="s">
        <v>101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97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99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97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97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97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97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97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97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98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97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98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98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98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98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101</v>
      </c>
      <c r="B11427">
        <v>0.1399</v>
      </c>
      <c r="C11427" t="s">
        <v>97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98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97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98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98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97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98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98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98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97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97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98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97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101</v>
      </c>
      <c r="C11440" t="s">
        <v>98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97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98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98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98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98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97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98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98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97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98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97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98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97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99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98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97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97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97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98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97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98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98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98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98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97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97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98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98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98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98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99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97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97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97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97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98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97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98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97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98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98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98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97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97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97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97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97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98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98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98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99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98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97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98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97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98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97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97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99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98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98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98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98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98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97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98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98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97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97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98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99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97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98</v>
      </c>
      <c r="D11513">
        <v>127000</v>
      </c>
      <c r="E11513">
        <v>36</v>
      </c>
      <c r="F11513" t="s">
        <v>101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97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98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98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98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97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98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97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98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99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97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98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98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98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97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97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99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97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99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98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98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97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98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97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98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98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98</v>
      </c>
      <c r="D11539">
        <v>110000</v>
      </c>
      <c r="E11539" t="s">
        <v>101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97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97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98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97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97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97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97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98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101</v>
      </c>
      <c r="C11548" t="s">
        <v>98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97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97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99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97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98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97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99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99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98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97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98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97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98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97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98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98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98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98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98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98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98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98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99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101</v>
      </c>
      <c r="B11572">
        <v>6.9199999999999998E-2</v>
      </c>
      <c r="C11572" t="s">
        <v>98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98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98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98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98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97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98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98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97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97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97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97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98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97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98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98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97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97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97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98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99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97</v>
      </c>
      <c r="D11593" t="s">
        <v>101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97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98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98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97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98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97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98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98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97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97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98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98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98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99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97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98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98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97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98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97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98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98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97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97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98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97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98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97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98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99</v>
      </c>
      <c r="D11623">
        <v>48928.17</v>
      </c>
      <c r="E11623" t="s">
        <v>101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97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98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99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98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98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99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97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98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97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97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98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97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98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99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98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98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97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98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97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97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97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98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97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97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99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97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97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98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97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98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97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98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97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97</v>
      </c>
      <c r="D11657" t="s">
        <v>101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97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98</v>
      </c>
      <c r="D11659" t="s">
        <v>101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98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98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97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98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98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98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98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99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98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98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98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98</v>
      </c>
      <c r="D11671">
        <v>100000</v>
      </c>
      <c r="E11671">
        <v>60</v>
      </c>
      <c r="F11671" t="s">
        <v>101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97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97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98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99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99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97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97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101</v>
      </c>
      <c r="C11679" t="s">
        <v>98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98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98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97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98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99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98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98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98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97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97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98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97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97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97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98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98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99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99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98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98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98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97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99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99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98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97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98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97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99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97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97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98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98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97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97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98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98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98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98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98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98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98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97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97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98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98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97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98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98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98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97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98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97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97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101</v>
      </c>
      <c r="C11734" t="s">
        <v>97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99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97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97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98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98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97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98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98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97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98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98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98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98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97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99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97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99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98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98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97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98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98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97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97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97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98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98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98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98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99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97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97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98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97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97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98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97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98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97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97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98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98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97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97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97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97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97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98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97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98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97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98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97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98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97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98</v>
      </c>
      <c r="D11790" t="s">
        <v>101</v>
      </c>
      <c r="E11790" t="s">
        <v>101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98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98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98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98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99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97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98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99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98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98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98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98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97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99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97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98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99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98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97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101</v>
      </c>
      <c r="B11810">
        <v>8.1799999999999998E-2</v>
      </c>
      <c r="C11810" t="s">
        <v>97</v>
      </c>
      <c r="D11810">
        <v>50000</v>
      </c>
      <c r="E11810">
        <v>36</v>
      </c>
      <c r="F11810" t="s">
        <v>101</v>
      </c>
      <c r="G11810">
        <v>0</v>
      </c>
    </row>
    <row r="11811" spans="1:7" x14ac:dyDescent="0.2">
      <c r="A11811">
        <v>16800</v>
      </c>
      <c r="B11811">
        <v>0.1333</v>
      </c>
      <c r="C11811" t="s">
        <v>97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97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98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97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97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98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97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97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97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97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98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97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98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97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97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98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98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98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97</v>
      </c>
      <c r="D11829">
        <v>28000</v>
      </c>
      <c r="E11829" t="s">
        <v>101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99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98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97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97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98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98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98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98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98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97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98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99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98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98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98</v>
      </c>
      <c r="D11844">
        <v>72000</v>
      </c>
      <c r="E11844">
        <v>36</v>
      </c>
      <c r="F11844" t="s">
        <v>101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97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98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98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98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97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97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98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101</v>
      </c>
      <c r="C11852" t="s">
        <v>98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98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98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99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98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99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97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98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97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97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98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99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99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97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97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97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98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98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97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98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97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99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98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101</v>
      </c>
      <c r="B11875">
        <v>0.25800000000000001</v>
      </c>
      <c r="C11875" t="s">
        <v>98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97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97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99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98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97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98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98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98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98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97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97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98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98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97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98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101</v>
      </c>
      <c r="B11891">
        <v>0.25890000000000002</v>
      </c>
      <c r="C11891" t="s">
        <v>97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97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99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97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98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97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98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98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97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98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99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97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98</v>
      </c>
      <c r="D11903" t="s">
        <v>101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99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97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97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98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97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97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98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98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98</v>
      </c>
      <c r="D11912">
        <v>90000</v>
      </c>
      <c r="E11912">
        <v>60</v>
      </c>
      <c r="F11912" t="s">
        <v>101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97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97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97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99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98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101</v>
      </c>
      <c r="C11918" t="s">
        <v>98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98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97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97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101</v>
      </c>
      <c r="B11922">
        <v>0.19520000000000001</v>
      </c>
      <c r="C11922" t="s">
        <v>98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99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98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98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97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98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97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98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98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98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97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98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97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97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97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97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98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99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98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101</v>
      </c>
      <c r="B11941">
        <v>0.11990000000000001</v>
      </c>
      <c r="C11941" t="s">
        <v>97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99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98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97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98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97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98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98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97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98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98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98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97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99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98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98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97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97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98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97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98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97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97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97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98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97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98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97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97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98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98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97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98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98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98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98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98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99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97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98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97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97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97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98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98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97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98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97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98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98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97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97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98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97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97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98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97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97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98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98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97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97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97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98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98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98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97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98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99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97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97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97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98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98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98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97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97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98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97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97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97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97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98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98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98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97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98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97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97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97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101</v>
      </c>
      <c r="C12031" t="s">
        <v>97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98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98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97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98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98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98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97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97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101</v>
      </c>
      <c r="C12040" t="s">
        <v>98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97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97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98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98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97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98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98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98</v>
      </c>
      <c r="D12048" t="s">
        <v>101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97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97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98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98</v>
      </c>
      <c r="D12052">
        <v>75000</v>
      </c>
      <c r="E12052">
        <v>36</v>
      </c>
      <c r="F12052" t="s">
        <v>101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97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98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98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97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97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97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98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97</v>
      </c>
      <c r="D12060" t="s">
        <v>101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98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98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99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97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98</v>
      </c>
      <c r="D12065" t="s">
        <v>101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97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98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97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97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97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98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98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98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99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97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98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98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97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98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99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97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98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98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97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97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97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97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98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98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98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98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97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98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98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98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97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99</v>
      </c>
      <c r="D12097" t="s">
        <v>101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98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97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98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98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99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97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97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99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98</v>
      </c>
      <c r="D12106" t="s">
        <v>101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98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98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99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98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98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99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98</v>
      </c>
      <c r="D12113" t="s">
        <v>101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101</v>
      </c>
      <c r="C12114" t="s">
        <v>98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98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97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97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98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101</v>
      </c>
      <c r="B12119">
        <v>0.1239</v>
      </c>
      <c r="C12119" t="s">
        <v>98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97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97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97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98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99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97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98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99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98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99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98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98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99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97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97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98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98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97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98</v>
      </c>
      <c r="D12138" t="s">
        <v>101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97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97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97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98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97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98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98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97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97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97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98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98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98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98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98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98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98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98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97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98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98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98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97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97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97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97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99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98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98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99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97</v>
      </c>
      <c r="D12169">
        <v>28000</v>
      </c>
      <c r="E12169">
        <v>60</v>
      </c>
      <c r="F12169" t="s">
        <v>101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97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98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98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97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97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98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99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97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98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97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97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99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97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98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97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97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98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98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97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98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98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98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97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97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98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98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97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97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98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98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98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97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98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99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98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97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98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98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99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98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101</v>
      </c>
      <c r="C12210" t="s">
        <v>98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97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97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98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98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97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97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98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98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98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97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97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98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97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97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97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97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99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97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98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98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97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97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98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97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98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97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97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98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99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98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97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97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98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98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98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98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97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98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97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97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97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99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101</v>
      </c>
      <c r="C12253" t="s">
        <v>98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98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99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97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97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101</v>
      </c>
      <c r="B12258">
        <v>0.25890000000000002</v>
      </c>
      <c r="C12258" t="s">
        <v>98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98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99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99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97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Today</vt:lpstr>
      <vt:lpstr>Themes</vt:lpstr>
      <vt:lpstr>IndicatorVariables</vt:lpstr>
      <vt:lpstr>MissingData</vt:lpstr>
      <vt:lpstr>Regularization</vt:lpstr>
      <vt:lpstr>MultiClass</vt:lpstr>
      <vt:lpstr>Diagnostics</vt:lpstr>
      <vt:lpstr>LogisticRegression</vt:lpstr>
      <vt:lpstr>PreWork4NextClass</vt:lpstr>
      <vt:lpstr>InClassProjects</vt:lpstr>
      <vt:lpstr>Q_MissingData</vt:lpstr>
      <vt:lpstr>Q_Diagnostics</vt:lpstr>
      <vt:lpstr>Q_Regression1</vt:lpstr>
      <vt:lpstr>Q_Regression2</vt:lpstr>
      <vt:lpstr>Q_Regression3</vt:lpstr>
      <vt:lpstr>Q_LogisticRegression</vt:lpstr>
      <vt:lpstr>LendingClubData</vt:lpstr>
      <vt:lpstr>DiffB0_Diff_B1!a</vt:lpstr>
      <vt:lpstr>DiffB0_SameB1!a</vt:lpstr>
      <vt:lpstr>SameB0_DiffB1!a</vt:lpstr>
      <vt:lpstr>DiffB0_Diff_B1!b</vt:lpstr>
      <vt:lpstr>DiffB0_SameB1!b</vt:lpstr>
      <vt:lpstr>SameB0_DiffB1!b</vt:lpstr>
      <vt:lpstr>DiffB0_Diff_B1!t</vt:lpstr>
      <vt:lpstr>DiffB0_SameB1!t</vt:lpstr>
      <vt:lpstr>SameB0_DiffB1!t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2022-02-10T22:12:37Z</dcterms:modified>
</cp:coreProperties>
</file>