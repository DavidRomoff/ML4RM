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9C193419-3E07-BD47-B3BE-B5B25C39F0D9}" xr6:coauthVersionLast="47" xr6:coauthVersionMax="47" xr10:uidLastSave="{00000000-0000-0000-0000-000000000000}"/>
  <bookViews>
    <workbookView xWindow="0" yWindow="0" windowWidth="28800" windowHeight="16740" activeTab="38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CooksDistance" sheetId="69" state="veryHidden" r:id="rId10"/>
    <sheet name="IndependentErrors" sheetId="11" state="veryHidden" r:id="rId11"/>
    <sheet name="DurbinWatson" sheetId="16" state="veryHidden" r:id="rId12"/>
    <sheet name="Diagnostics" sheetId="32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OutOfSampleTesting" sheetId="36" state="hidden" r:id="rId22"/>
    <sheet name="LearningCurves" sheetId="29" state="veryHidden" r:id="rId23"/>
    <sheet name="Contents" sheetId="37" state="veryHidden" r:id="rId24"/>
    <sheet name="BasicsWarmup" sheetId="38" state="veryHidden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AIC" sheetId="64" state="hidden" r:id="rId32"/>
    <sheet name="MLR_Step" sheetId="51" state="veryHidden" r:id="rId33"/>
    <sheet name="Data" sheetId="53" state="veryHidden" r:id="rId34"/>
    <sheet name="AIC_0" sheetId="62" state="veryHidden" r:id="rId35"/>
    <sheet name="AIC_1" sheetId="63" state="veryHidden" r:id="rId36"/>
    <sheet name="PreWork4NextClass" sheetId="27" r:id="rId37"/>
    <sheet name="InClassProjects" sheetId="26" r:id="rId38"/>
    <sheet name="Q_Regression" sheetId="33" r:id="rId39"/>
    <sheet name="Q_KNN" sheetId="25" state="hidden" r:id="rId40"/>
    <sheet name="Q_Diagnostics" sheetId="31" r:id="rId41"/>
    <sheet name="Q_AIC" sheetId="65" state="hidden" r:id="rId42"/>
    <sheet name="LendingClubData" sheetId="70" r:id="rId43"/>
    <sheet name="Hitters" sheetId="7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4">[2]Binomial!$C$14</definedName>
    <definedName name="k" localSheetId="35">[2]Binomial!$C$14</definedName>
    <definedName name="k" localSheetId="33">[2]Binomial!$C$14</definedName>
    <definedName name="k" localSheetId="18">KNN_K!$AB$4</definedName>
    <definedName name="k" localSheetId="32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4">[2]Binomial!$C$13</definedName>
    <definedName name="p" localSheetId="35">[2]Binomial!$C$13</definedName>
    <definedName name="p" localSheetId="33">[2]Binomial!$C$13</definedName>
    <definedName name="p" localSheetId="32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8" hidden="1">Q_Regression!$F$16</definedName>
    <definedName name="solver_cvg" localSheetId="38" hidden="1">0.0001</definedName>
    <definedName name="solver_drv" localSheetId="38" hidden="1">1</definedName>
    <definedName name="solver_eng" localSheetId="38" hidden="1">1</definedName>
    <definedName name="solver_itr" localSheetId="38" hidden="1">2147483647</definedName>
    <definedName name="solver_lin" localSheetId="38" hidden="1">2</definedName>
    <definedName name="solver_mip" localSheetId="38" hidden="1">2147483647</definedName>
    <definedName name="solver_mni" localSheetId="38" hidden="1">30</definedName>
    <definedName name="solver_mrt" localSheetId="38" hidden="1">0.075</definedName>
    <definedName name="solver_msl" localSheetId="38" hidden="1">2</definedName>
    <definedName name="solver_neg" localSheetId="38" hidden="1">1</definedName>
    <definedName name="solver_nod" localSheetId="38" hidden="1">2147483647</definedName>
    <definedName name="solver_num" localSheetId="38" hidden="1">0</definedName>
    <definedName name="solver_opt" localSheetId="38" hidden="1">Q_Regression!$F$19</definedName>
    <definedName name="solver_pre" localSheetId="38" hidden="1">0.000001</definedName>
    <definedName name="solver_rbv" localSheetId="38" hidden="1">1</definedName>
    <definedName name="solver_rlx" localSheetId="38" hidden="1">2</definedName>
    <definedName name="solver_rsd" localSheetId="38" hidden="1">0</definedName>
    <definedName name="solver_scl" localSheetId="38" hidden="1">1</definedName>
    <definedName name="solver_sho" localSheetId="38" hidden="1">2</definedName>
    <definedName name="solver_ssz" localSheetId="38" hidden="1">100</definedName>
    <definedName name="solver_tim" localSheetId="38" hidden="1">2147483647</definedName>
    <definedName name="solver_tol" localSheetId="38" hidden="1">0.01</definedName>
    <definedName name="solver_typ" localSheetId="38" hidden="1">2</definedName>
    <definedName name="solver_val" localSheetId="38" hidden="1">0</definedName>
    <definedName name="solver_ver" localSheetId="38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3" l="1"/>
  <c r="E36" i="33"/>
  <c r="E37" i="33"/>
  <c r="E38" i="33"/>
  <c r="E39" i="33"/>
  <c r="E40" i="33"/>
  <c r="E41" i="33"/>
  <c r="E42" i="33"/>
  <c r="E43" i="33"/>
  <c r="E34" i="33"/>
  <c r="E18" i="33"/>
  <c r="E19" i="33"/>
  <c r="E20" i="33"/>
  <c r="E21" i="33"/>
  <c r="E22" i="33"/>
  <c r="E23" i="33"/>
  <c r="E24" i="33"/>
  <c r="E25" i="33"/>
  <c r="E26" i="33"/>
  <c r="E17" i="33"/>
  <c r="I2" i="63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<sst xmlns="http://schemas.openxmlformats.org/spreadsheetml/2006/main" count="15099" uniqueCount="279">
  <si>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</si>
  <si>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</si>
  <si>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</si>
  <si>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</si>
  <si>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</si>
  <si>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</si>
  <si>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</si>
  <si>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</si>
  <si>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</si>
  <si>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</si>
  <si>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</si>
  <si>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</si>
  <si>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Visualization of the forecast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</si>
  <si>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</si>
  <si>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</si>
  <si>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</si>
  <si>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</si>
  <si>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</si>
  <si>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</si>
  <si>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</si>
  <si>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</si>
  <si>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</si>
  <si>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</si>
  <si>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</si>
  <si>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</si>
  <si>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</si>
  <si>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</si>
  <si>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</si>
  <si>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</si>
  <si>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</si>
  <si>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</si>
  <si>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</si>
  <si>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</si>
  <si>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</si>
  <si>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</si>
  <si>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</si>
  <si>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</si>
  <si>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</si>
  <si>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</si>
  <si>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</si>
  <si>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</si>
  <si>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</si>
  <si>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</si>
  <si>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</si>
  <si>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</si>
  <si>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</si>
  <si>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</si>
  <si>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</si>
  <si>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</si>
  <si>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</si>
  <si>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</si>
  <si>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</si>
  <si>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</si>
  <si>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</si>
  <si>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</si>
  <si>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</si>
  <si>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</si>
  <si>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</si>
  <si>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</si>
  <si>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</si>
  <si>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</si>
  <si>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</si>
  <si>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</si>
  <si>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</si>
  <si>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</si>
  <si>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</si>
  <si>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</si>
  <si>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</si>
  <si>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</si>
  <si>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</si>
  <si>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</si>
  <si>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</si>
  <si>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</si>
  <si>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</si>
  <si>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</si>
  <si>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</si>
  <si>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</si>
  <si>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</si>
  <si>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</si>
  <si>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</si>
  <si>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</si>
  <si>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</si>
  <si>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</si>
  <si>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</si>
  <si>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</si>
  <si>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</si>
  <si>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</si>
  <si>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</si>
  <si>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</si>
  <si>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</si>
  <si>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</si>
  <si>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</si>
  <si>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</si>
  <si>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</si>
  <si>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</si>
  <si>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</si>
  <si>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</si>
  <si>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</si>
  <si>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</si>
  <si>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</si>
  <si>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</si>
  <si>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</si>
  <si>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</si>
  <si>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</si>
  <si>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</si>
  <si>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</si>
  <si>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</si>
  <si>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</si>
  <si>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</si>
  <si>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</si>
  <si>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</si>
  <si>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</si>
  <si>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</si>
  <si>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</si>
  <si>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</si>
  <si>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</si>
  <si>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</si>
  <si>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</si>
  <si>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</si>
  <si>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</si>
  <si>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</si>
  <si>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</si>
  <si>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</si>
  <si>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</si>
  <si>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</si>
  <si>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</si>
  <si>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</si>
  <si>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</si>
  <si>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</si>
  <si>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</si>
  <si>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</si>
  <si>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</si>
  <si>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</si>
  <si>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</si>
  <si>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</si>
  <si>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</si>
  <si>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</si>
  <si>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</si>
  <si>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</si>
  <si>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</si>
  <si>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</si>
  <si>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</si>
  <si>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</si>
  <si>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</si>
  <si>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</si>
  <si>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</si>
  <si>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</si>
  <si>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</si>
  <si>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</si>
  <si>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</si>
  <si>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</si>
  <si>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</si>
  <si>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</si>
  <si>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</si>
  <si>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</si>
  <si>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</si>
  <si>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</si>
  <si>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</si>
  <si>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</si>
  <si>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</si>
  <si>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</si>
  <si>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</si>
  <si>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</si>
  <si>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</si>
  <si>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</si>
  <si>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</si>
  <si>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</si>
  <si>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</si>
  <si>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</si>
  <si>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</si>
  <si>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</si>
  <si>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</si>
  <si>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</si>
  <si>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</si>
  <si>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</si>
  <si>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</si>
  <si>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</si>
  <si>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</si>
  <si>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</si>
  <si>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</si>
  <si>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</si>
  <si>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</si>
  <si>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</si>
  <si>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</si>
  <si>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</si>
  <si>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</si>
  <si>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</si>
  <si>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</si>
  <si>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</si>
  <si>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</si>
  <si>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</si>
  <si>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</si>
  <si>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</si>
  <si>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</si>
  <si>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</si>
  <si>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</si>
  <si>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</si>
  <si>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</si>
  <si>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</si>
  <si>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</si>
  <si>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</si>
  <si>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</si>
  <si>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</si>
  <si>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</si>
  <si>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</si>
  <si>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</si>
  <si>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</si>
  <si>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</si>
  <si>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</si>
  <si>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</si>
  <si>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</si>
  <si>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</si>
  <si>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</si>
  <si>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</si>
  <si>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</si>
  <si>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</si>
  <si>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</si>
  <si>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</si>
  <si>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</si>
  <si>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</si>
  <si>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</si>
  <si>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</si>
  <si>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</si>
  <si>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</si>
  <si>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</si>
  <si>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</si>
  <si>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</si>
  <si>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</si>
  <si>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</si>
  <si>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</si>
  <si>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</si>
  <si>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</si>
  <si>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</si>
  <si>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</si>
  <si>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</si>
  <si>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</si>
  <si>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</si>
  <si>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</si>
  <si>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</si>
  <si>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</si>
  <si>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</si>
  <si>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Your answer should display the following in this tab.</t>
  </si>
  <si>
    <t>Normal Errors 1</t>
  </si>
  <si>
    <t>Normal Errors 2</t>
  </si>
  <si>
    <t>Constant Variance</t>
  </si>
  <si>
    <t>Independent Errors</t>
  </si>
  <si>
    <t>DB1</t>
  </si>
  <si>
    <t>DB2</t>
  </si>
  <si>
    <t>Knn Data</t>
  </si>
  <si>
    <t>KNN xNew</t>
  </si>
  <si>
    <t>Knn Distance</t>
  </si>
  <si>
    <t>KNN Nearest</t>
  </si>
  <si>
    <t>KNN Vote</t>
  </si>
  <si>
    <t>KNN Rcode</t>
  </si>
  <si>
    <t>Define 'linear combination'</t>
  </si>
  <si>
    <t>Define 'multicollinearity'</t>
  </si>
  <si>
    <t>List 4 assumptions of linear regression</t>
  </si>
  <si>
    <t>y</t>
  </si>
  <si>
    <t>b</t>
  </si>
  <si>
    <t>Use Solver to solve for beta by minimizing the Residual Sum of Squares.</t>
  </si>
  <si>
    <t>Objective</t>
  </si>
  <si>
    <t>Minimize the value in cell labeled Objective.</t>
  </si>
  <si>
    <t>Use Solver to solve for beta by maximizing likelihood.</t>
  </si>
  <si>
    <t>You are welcome to manually solve in a programming language, but that will be more difficult.</t>
  </si>
  <si>
    <t>Use an Ftest to check if the variance of the first 5 error terms is different from the second 5.</t>
  </si>
  <si>
    <t>n1</t>
  </si>
  <si>
    <t>n2</t>
  </si>
  <si>
    <t>Ratio</t>
  </si>
  <si>
    <t>Fvalue</t>
  </si>
  <si>
    <t>Pvalue</t>
  </si>
  <si>
    <t>Learning Curve plot (errors by K)</t>
  </si>
  <si>
    <t>V(A) = 1</t>
  </si>
  <si>
    <t>V(B) = 1</t>
  </si>
  <si>
    <t>Correlation(A,B) = 0</t>
  </si>
  <si>
    <t>What is the variance of the portfolio?</t>
  </si>
  <si>
    <t>Correlation(A,B) = 1</t>
  </si>
  <si>
    <t>Correlation(A,B) = -1</t>
  </si>
  <si>
    <t>Describe the Durbin Watson test in terms of porfolio variance.</t>
  </si>
  <si>
    <t>A portfolio has 1 dollar invested into asset A and another 1 dollar invested into asset 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</si>
</sst>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  <xf numFmtId="11" fontId="0" fillId="0" borderId="0" xfId="0" applyNumberFormat="1"/>
    <xf numFmtId="0" fontId="1" fillId="5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0.1450505206338073</c:v>
                </c:pt>
                <c:pt idx="1">
                  <c:v>0.50085978404214448</c:v>
                </c:pt>
                <c:pt idx="2">
                  <c:v>0.17008040526585522</c:v>
                </c:pt>
                <c:pt idx="3">
                  <c:v>0.43282745845670001</c:v>
                </c:pt>
                <c:pt idx="4">
                  <c:v>0.55805818657057105</c:v>
                </c:pt>
                <c:pt idx="5">
                  <c:v>2.057010644501911E-2</c:v>
                </c:pt>
                <c:pt idx="6">
                  <c:v>0.61500463738234512</c:v>
                </c:pt>
                <c:pt idx="7">
                  <c:v>0.80981419099702856</c:v>
                </c:pt>
                <c:pt idx="8">
                  <c:v>0.56042809535804561</c:v>
                </c:pt>
                <c:pt idx="9">
                  <c:v>2.9898755295406754E-2</c:v>
                </c:pt>
                <c:pt idx="10">
                  <c:v>7.3846480988420504E-2</c:v>
                </c:pt>
                <c:pt idx="11">
                  <c:v>0.32719605328423118</c:v>
                </c:pt>
                <c:pt idx="12">
                  <c:v>0.29097742541554661</c:v>
                </c:pt>
                <c:pt idx="13">
                  <c:v>0.38168191763996795</c:v>
                </c:pt>
                <c:pt idx="14">
                  <c:v>0.69432962737143755</c:v>
                </c:pt>
                <c:pt idx="15">
                  <c:v>0.32433700270474608</c:v>
                </c:pt>
                <c:pt idx="16">
                  <c:v>0.61066105479655586</c:v>
                </c:pt>
                <c:pt idx="17">
                  <c:v>2.1027951354355645E-2</c:v>
                </c:pt>
                <c:pt idx="18">
                  <c:v>0.26749098609036781</c:v>
                </c:pt>
                <c:pt idx="19">
                  <c:v>0.44071905546569279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0.42968504400541269</c:v>
                </c:pt>
                <c:pt idx="1">
                  <c:v>0.88551667590313277</c:v>
                </c:pt>
                <c:pt idx="2">
                  <c:v>0.61592922493745972</c:v>
                </c:pt>
                <c:pt idx="3">
                  <c:v>0.99208322310985197</c:v>
                </c:pt>
                <c:pt idx="4">
                  <c:v>0.94653947127730975</c:v>
                </c:pt>
                <c:pt idx="5">
                  <c:v>0.44793822997218541</c:v>
                </c:pt>
                <c:pt idx="6">
                  <c:v>0.91456517089583311</c:v>
                </c:pt>
                <c:pt idx="7">
                  <c:v>0.90419836688976307</c:v>
                </c:pt>
                <c:pt idx="8">
                  <c:v>0.64218059453883736</c:v>
                </c:pt>
                <c:pt idx="9">
                  <c:v>0.26650436867108557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0.1450505206338073</c:v>
                </c:pt>
                <c:pt idx="1">
                  <c:v>0.50085978404214448</c:v>
                </c:pt>
                <c:pt idx="2">
                  <c:v>0.17008040526585522</c:v>
                </c:pt>
                <c:pt idx="3">
                  <c:v>0.43282745845670001</c:v>
                </c:pt>
                <c:pt idx="4">
                  <c:v>0.55805818657057105</c:v>
                </c:pt>
                <c:pt idx="5">
                  <c:v>2.057010644501911E-2</c:v>
                </c:pt>
                <c:pt idx="6">
                  <c:v>0.61500463738234512</c:v>
                </c:pt>
                <c:pt idx="7">
                  <c:v>0.80981419099702856</c:v>
                </c:pt>
                <c:pt idx="8">
                  <c:v>0.56042809535804561</c:v>
                </c:pt>
                <c:pt idx="9">
                  <c:v>2.9898755295406754E-2</c:v>
                </c:pt>
                <c:pt idx="10">
                  <c:v>7.3846480988420504E-2</c:v>
                </c:pt>
                <c:pt idx="11">
                  <c:v>0.32719605328423118</c:v>
                </c:pt>
                <c:pt idx="12">
                  <c:v>0.29097742541554661</c:v>
                </c:pt>
                <c:pt idx="13">
                  <c:v>0.38168191763996795</c:v>
                </c:pt>
                <c:pt idx="14">
                  <c:v>0.69432962737143755</c:v>
                </c:pt>
                <c:pt idx="15">
                  <c:v>0.32433700270474608</c:v>
                </c:pt>
                <c:pt idx="16">
                  <c:v>0.61066105479655586</c:v>
                </c:pt>
                <c:pt idx="17">
                  <c:v>2.1027951354355645E-2</c:v>
                </c:pt>
                <c:pt idx="18">
                  <c:v>0.26749098609036781</c:v>
                </c:pt>
                <c:pt idx="19">
                  <c:v>0.44071905546569279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3.0232198832455044E-2</c:v>
                </c:pt>
                <c:pt idx="11">
                  <c:v>0.13043060264672987</c:v>
                </c:pt>
                <c:pt idx="12">
                  <c:v>0.17318606695839053</c:v>
                </c:pt>
                <c:pt idx="13">
                  <c:v>1.8983479871069693E-2</c:v>
                </c:pt>
                <c:pt idx="14">
                  <c:v>0.41181440044287215</c:v>
                </c:pt>
                <c:pt idx="15">
                  <c:v>0.11587691944419287</c:v>
                </c:pt>
                <c:pt idx="16">
                  <c:v>0.3471537465177702</c:v>
                </c:pt>
                <c:pt idx="17">
                  <c:v>6.3336245152706991E-4</c:v>
                </c:pt>
                <c:pt idx="18">
                  <c:v>0.26565319704976631</c:v>
                </c:pt>
                <c:pt idx="19">
                  <c:v>0.20233758220604414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9.7565146400056646E-2</c:v>
                </c:pt>
                <c:pt idx="1">
                  <c:v>0.54066342789673505</c:v>
                </c:pt>
                <c:pt idx="2">
                  <c:v>0.70634625372345705</c:v>
                </c:pt>
                <c:pt idx="3">
                  <c:v>0.78442546186364737</c:v>
                </c:pt>
                <c:pt idx="4">
                  <c:v>0.55530096152463659</c:v>
                </c:pt>
                <c:pt idx="5">
                  <c:v>0.56570504626488838</c:v>
                </c:pt>
                <c:pt idx="6">
                  <c:v>4.4001542115353787E-2</c:v>
                </c:pt>
                <c:pt idx="7">
                  <c:v>0.96049090921704872</c:v>
                </c:pt>
                <c:pt idx="8">
                  <c:v>0.85120157595275803</c:v>
                </c:pt>
                <c:pt idx="9">
                  <c:v>0.97082124775669876</c:v>
                </c:pt>
                <c:pt idx="10">
                  <c:v>0.85617191552023653</c:v>
                </c:pt>
                <c:pt idx="11">
                  <c:v>0.9743717230287362</c:v>
                </c:pt>
                <c:pt idx="12">
                  <c:v>0.82218992463784002</c:v>
                </c:pt>
                <c:pt idx="13">
                  <c:v>0.57536476049812413</c:v>
                </c:pt>
                <c:pt idx="14">
                  <c:v>0.9385399173788288</c:v>
                </c:pt>
                <c:pt idx="15">
                  <c:v>0.5530411406007022</c:v>
                </c:pt>
                <c:pt idx="16">
                  <c:v>0.16793949554821452</c:v>
                </c:pt>
                <c:pt idx="17">
                  <c:v>0.11769818581168223</c:v>
                </c:pt>
                <c:pt idx="18">
                  <c:v>0.62759445879360709</c:v>
                </c:pt>
                <c:pt idx="19">
                  <c:v>0.5461822678170063</c:v>
                </c:pt>
                <c:pt idx="20">
                  <c:v>0.36803308273996937</c:v>
                </c:pt>
                <c:pt idx="21">
                  <c:v>0.12935166382850061</c:v>
                </c:pt>
                <c:pt idx="22">
                  <c:v>0.25937086461418879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0.67499073851819869</c:v>
                </c:pt>
                <c:pt idx="1">
                  <c:v>0.55373215434111467</c:v>
                </c:pt>
                <c:pt idx="2">
                  <c:v>0.80550768011717122</c:v>
                </c:pt>
                <c:pt idx="3">
                  <c:v>0.95009936683551444</c:v>
                </c:pt>
                <c:pt idx="4">
                  <c:v>0.80457726281459307</c:v>
                </c:pt>
                <c:pt idx="5">
                  <c:v>0.91826457750944757</c:v>
                </c:pt>
                <c:pt idx="6">
                  <c:v>0.79326900819531687</c:v>
                </c:pt>
                <c:pt idx="7">
                  <c:v>0.97803733811007121</c:v>
                </c:pt>
                <c:pt idx="8">
                  <c:v>0.85153199013763947</c:v>
                </c:pt>
                <c:pt idx="9">
                  <c:v>0.98342522171257341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9.7565146400056646E-2</c:v>
                </c:pt>
                <c:pt idx="1">
                  <c:v>0.54066342789673505</c:v>
                </c:pt>
                <c:pt idx="2">
                  <c:v>0.70634625372345705</c:v>
                </c:pt>
                <c:pt idx="3">
                  <c:v>0.78442546186364737</c:v>
                </c:pt>
                <c:pt idx="4">
                  <c:v>0.55530096152463659</c:v>
                </c:pt>
                <c:pt idx="5">
                  <c:v>0.56570504626488838</c:v>
                </c:pt>
                <c:pt idx="6">
                  <c:v>4.4001542115353787E-2</c:v>
                </c:pt>
                <c:pt idx="7">
                  <c:v>0.96049090921704872</c:v>
                </c:pt>
                <c:pt idx="8">
                  <c:v>0.85120157595275803</c:v>
                </c:pt>
                <c:pt idx="9">
                  <c:v>0.97082124775669876</c:v>
                </c:pt>
                <c:pt idx="10">
                  <c:v>0.85617191552023653</c:v>
                </c:pt>
                <c:pt idx="11">
                  <c:v>0.9743717230287362</c:v>
                </c:pt>
                <c:pt idx="12">
                  <c:v>0.82218992463784002</c:v>
                </c:pt>
                <c:pt idx="13">
                  <c:v>0.57536476049812413</c:v>
                </c:pt>
                <c:pt idx="14">
                  <c:v>0.9385399173788288</c:v>
                </c:pt>
                <c:pt idx="15">
                  <c:v>0.5530411406007022</c:v>
                </c:pt>
                <c:pt idx="16">
                  <c:v>0.16793949554821452</c:v>
                </c:pt>
                <c:pt idx="17">
                  <c:v>0.11769818581168223</c:v>
                </c:pt>
                <c:pt idx="18">
                  <c:v>0.62759445879360709</c:v>
                </c:pt>
                <c:pt idx="19">
                  <c:v>0.5461822678170063</c:v>
                </c:pt>
                <c:pt idx="20">
                  <c:v>0.36803308273996937</c:v>
                </c:pt>
                <c:pt idx="21">
                  <c:v>0.12935166382850061</c:v>
                </c:pt>
                <c:pt idx="22">
                  <c:v>0.25937086461418879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0.50936641097423763</c:v>
                </c:pt>
                <c:pt idx="11">
                  <c:v>0.49351413103841013</c:v>
                </c:pt>
                <c:pt idx="12">
                  <c:v>0.6029277145637536</c:v>
                </c:pt>
                <c:pt idx="13">
                  <c:v>0.57422842912132188</c:v>
                </c:pt>
                <c:pt idx="14">
                  <c:v>0.24801562119327605</c:v>
                </c:pt>
                <c:pt idx="15">
                  <c:v>0.29252072253588007</c:v>
                </c:pt>
                <c:pt idx="16">
                  <c:v>7.0757836409895705E-2</c:v>
                </c:pt>
                <c:pt idx="17">
                  <c:v>9.3009882297103635E-2</c:v>
                </c:pt>
                <c:pt idx="18">
                  <c:v>0.38978016373806751</c:v>
                </c:pt>
                <c:pt idx="19">
                  <c:v>9.0785497371151727E-2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9.7565146400056646E-2</c:v>
                </c:pt>
                <c:pt idx="1">
                  <c:v>0.54066342789673505</c:v>
                </c:pt>
                <c:pt idx="2">
                  <c:v>0.70634625372345705</c:v>
                </c:pt>
                <c:pt idx="3">
                  <c:v>0.78442546186364737</c:v>
                </c:pt>
                <c:pt idx="4">
                  <c:v>0.55530096152463659</c:v>
                </c:pt>
                <c:pt idx="5">
                  <c:v>0.56570504626488838</c:v>
                </c:pt>
                <c:pt idx="6">
                  <c:v>4.4001542115353787E-2</c:v>
                </c:pt>
                <c:pt idx="7">
                  <c:v>0.96049090921704872</c:v>
                </c:pt>
                <c:pt idx="8">
                  <c:v>0.85120157595275803</c:v>
                </c:pt>
                <c:pt idx="9">
                  <c:v>0.97082124775669876</c:v>
                </c:pt>
                <c:pt idx="10">
                  <c:v>0.85617191552023653</c:v>
                </c:pt>
                <c:pt idx="11">
                  <c:v>0.9743717230287362</c:v>
                </c:pt>
                <c:pt idx="12">
                  <c:v>0.82218992463784002</c:v>
                </c:pt>
                <c:pt idx="13">
                  <c:v>0.57536476049812413</c:v>
                </c:pt>
                <c:pt idx="14">
                  <c:v>0.9385399173788288</c:v>
                </c:pt>
                <c:pt idx="15">
                  <c:v>0.5530411406007022</c:v>
                </c:pt>
                <c:pt idx="16">
                  <c:v>0.16793949554821452</c:v>
                </c:pt>
                <c:pt idx="17">
                  <c:v>0.11769818581168223</c:v>
                </c:pt>
                <c:pt idx="18">
                  <c:v>0.62759445879360709</c:v>
                </c:pt>
                <c:pt idx="19">
                  <c:v>0.5461822678170063</c:v>
                </c:pt>
                <c:pt idx="20">
                  <c:v>0.36803308273996937</c:v>
                </c:pt>
                <c:pt idx="21">
                  <c:v>0.12935166382850061</c:v>
                </c:pt>
                <c:pt idx="22">
                  <c:v>0.25937086461418879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0.40834040081015222</c:v>
                </c:pt>
                <c:pt idx="21" formatCode="0.00">
                  <c:v>0.53467094572505236</c:v>
                </c:pt>
                <c:pt idx="22" formatCode="0.00">
                  <c:v>0.1731196711666223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9.6614449469730412E-2</c:v>
                </c:pt>
                <c:pt idx="1">
                  <c:v>0.93999333518947281</c:v>
                </c:pt>
                <c:pt idx="2">
                  <c:v>0.69549221189725519</c:v>
                </c:pt>
                <c:pt idx="3">
                  <c:v>0.10449727024124422</c:v>
                </c:pt>
                <c:pt idx="4">
                  <c:v>0.21019832794422255</c:v>
                </c:pt>
                <c:pt idx="5">
                  <c:v>0.1330004640344622</c:v>
                </c:pt>
                <c:pt idx="6">
                  <c:v>0.92391272543804082</c:v>
                </c:pt>
                <c:pt idx="7">
                  <c:v>0.13588713931413199</c:v>
                </c:pt>
                <c:pt idx="8">
                  <c:v>0.60629817669903152</c:v>
                </c:pt>
                <c:pt idx="9">
                  <c:v>0.18398113059589405</c:v>
                </c:pt>
                <c:pt idx="10">
                  <c:v>1.777931076398398E-2</c:v>
                </c:pt>
                <c:pt idx="11">
                  <c:v>0.99228955001255914</c:v>
                </c:pt>
                <c:pt idx="12">
                  <c:v>0.520897483337742</c:v>
                </c:pt>
                <c:pt idx="13">
                  <c:v>0.3381179404025626</c:v>
                </c:pt>
                <c:pt idx="14">
                  <c:v>0.85607587857280187</c:v>
                </c:pt>
                <c:pt idx="15">
                  <c:v>0.48855304125008925</c:v>
                </c:pt>
                <c:pt idx="16">
                  <c:v>0.22690249182053446</c:v>
                </c:pt>
                <c:pt idx="17">
                  <c:v>0.82229319480542429</c:v>
                </c:pt>
                <c:pt idx="18">
                  <c:v>0.64068023031035881</c:v>
                </c:pt>
                <c:pt idx="19">
                  <c:v>7.8591179945883827E-2</c:v>
                </c:pt>
                <c:pt idx="20">
                  <c:v>0.93042754939360606</c:v>
                </c:pt>
                <c:pt idx="21">
                  <c:v>1.8102430605088649E-2</c:v>
                </c:pt>
                <c:pt idx="22">
                  <c:v>0.17343537870045811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0.75689058634848438</c:v>
                </c:pt>
                <c:pt idx="1">
                  <c:v>0.9537267174687607</c:v>
                </c:pt>
                <c:pt idx="2">
                  <c:v>0.91641866965212138</c:v>
                </c:pt>
                <c:pt idx="3">
                  <c:v>0.89945610365276241</c:v>
                </c:pt>
                <c:pt idx="4">
                  <c:v>0.45393198336553536</c:v>
                </c:pt>
                <c:pt idx="5">
                  <c:v>0.32432245126051495</c:v>
                </c:pt>
                <c:pt idx="6">
                  <c:v>0.9941942010484851</c:v>
                </c:pt>
                <c:pt idx="7">
                  <c:v>0.45937368084900965</c:v>
                </c:pt>
                <c:pt idx="8">
                  <c:v>0.68732495329513099</c:v>
                </c:pt>
                <c:pt idx="9">
                  <c:v>0.89045846651785865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9.6614449469730412E-2</c:v>
                </c:pt>
                <c:pt idx="1">
                  <c:v>0.93999333518947281</c:v>
                </c:pt>
                <c:pt idx="2">
                  <c:v>0.69549221189725519</c:v>
                </c:pt>
                <c:pt idx="3">
                  <c:v>0.10449727024124422</c:v>
                </c:pt>
                <c:pt idx="4">
                  <c:v>0.21019832794422255</c:v>
                </c:pt>
                <c:pt idx="5">
                  <c:v>0.1330004640344622</c:v>
                </c:pt>
                <c:pt idx="6">
                  <c:v>0.92391272543804082</c:v>
                </c:pt>
                <c:pt idx="7">
                  <c:v>0.13588713931413199</c:v>
                </c:pt>
                <c:pt idx="8">
                  <c:v>0.60629817669903152</c:v>
                </c:pt>
                <c:pt idx="9">
                  <c:v>0.18398113059589405</c:v>
                </c:pt>
                <c:pt idx="10">
                  <c:v>1.777931076398398E-2</c:v>
                </c:pt>
                <c:pt idx="11">
                  <c:v>0.99228955001255914</c:v>
                </c:pt>
                <c:pt idx="12">
                  <c:v>0.520897483337742</c:v>
                </c:pt>
                <c:pt idx="13">
                  <c:v>0.3381179404025626</c:v>
                </c:pt>
                <c:pt idx="14">
                  <c:v>0.85607587857280187</c:v>
                </c:pt>
                <c:pt idx="15">
                  <c:v>0.48855304125008925</c:v>
                </c:pt>
                <c:pt idx="16">
                  <c:v>0.22690249182053446</c:v>
                </c:pt>
                <c:pt idx="17">
                  <c:v>0.82229319480542429</c:v>
                </c:pt>
                <c:pt idx="18">
                  <c:v>0.64068023031035881</c:v>
                </c:pt>
                <c:pt idx="19">
                  <c:v>7.8591179945883827E-2</c:v>
                </c:pt>
                <c:pt idx="20">
                  <c:v>0.93042754939360606</c:v>
                </c:pt>
                <c:pt idx="21">
                  <c:v>1.8102430605088649E-2</c:v>
                </c:pt>
                <c:pt idx="22">
                  <c:v>0.17343537870045811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1.3507267594742876E-2</c:v>
                </c:pt>
                <c:pt idx="11">
                  <c:v>0.7615755329650491</c:v>
                </c:pt>
                <c:pt idx="12">
                  <c:v>0.47781245112690834</c:v>
                </c:pt>
                <c:pt idx="13">
                  <c:v>1.6128283097400178E-2</c:v>
                </c:pt>
                <c:pt idx="14">
                  <c:v>0.80391283652296519</c:v>
                </c:pt>
                <c:pt idx="15">
                  <c:v>0.46558376353717301</c:v>
                </c:pt>
                <c:pt idx="16">
                  <c:v>8.4889098661591708E-2</c:v>
                </c:pt>
                <c:pt idx="17">
                  <c:v>0.5644418026522865</c:v>
                </c:pt>
                <c:pt idx="18">
                  <c:v>0.36836142094974572</c:v>
                </c:pt>
                <c:pt idx="19">
                  <c:v>6.0015539418801229E-2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9.6614449469730412E-2</c:v>
                </c:pt>
                <c:pt idx="1">
                  <c:v>0.93999333518947281</c:v>
                </c:pt>
                <c:pt idx="2">
                  <c:v>0.69549221189725519</c:v>
                </c:pt>
                <c:pt idx="3">
                  <c:v>0.10449727024124422</c:v>
                </c:pt>
                <c:pt idx="4">
                  <c:v>0.21019832794422255</c:v>
                </c:pt>
                <c:pt idx="5">
                  <c:v>0.1330004640344622</c:v>
                </c:pt>
                <c:pt idx="6">
                  <c:v>0.92391272543804082</c:v>
                </c:pt>
                <c:pt idx="7">
                  <c:v>0.13588713931413199</c:v>
                </c:pt>
                <c:pt idx="8">
                  <c:v>0.60629817669903152</c:v>
                </c:pt>
                <c:pt idx="9">
                  <c:v>0.18398113059589405</c:v>
                </c:pt>
                <c:pt idx="10">
                  <c:v>1.777931076398398E-2</c:v>
                </c:pt>
                <c:pt idx="11">
                  <c:v>0.99228955001255914</c:v>
                </c:pt>
                <c:pt idx="12">
                  <c:v>0.520897483337742</c:v>
                </c:pt>
                <c:pt idx="13">
                  <c:v>0.3381179404025626</c:v>
                </c:pt>
                <c:pt idx="14">
                  <c:v>0.85607587857280187</c:v>
                </c:pt>
                <c:pt idx="15">
                  <c:v>0.48855304125008925</c:v>
                </c:pt>
                <c:pt idx="16">
                  <c:v>0.22690249182053446</c:v>
                </c:pt>
                <c:pt idx="17">
                  <c:v>0.82229319480542429</c:v>
                </c:pt>
                <c:pt idx="18">
                  <c:v>0.64068023031035881</c:v>
                </c:pt>
                <c:pt idx="19">
                  <c:v>7.8591179945883827E-2</c:v>
                </c:pt>
                <c:pt idx="20">
                  <c:v>0.93042754939360606</c:v>
                </c:pt>
                <c:pt idx="21">
                  <c:v>1.8102430605088649E-2</c:v>
                </c:pt>
                <c:pt idx="22">
                  <c:v>0.17343537870045811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0.61741348108623384</c:v>
                </c:pt>
                <c:pt idx="21" formatCode="0.00">
                  <c:v>0.97900164113490107</c:v>
                </c:pt>
                <c:pt idx="22" formatCode="0.00">
                  <c:v>6.5268686203168613E-2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0.43140382111730424</c:v>
                </c:pt>
                <c:pt idx="1">
                  <c:v>0.97597289238658813</c:v>
                </c:pt>
                <c:pt idx="2">
                  <c:v>0.84648301237561818</c:v>
                </c:pt>
                <c:pt idx="3">
                  <c:v>0.68357171423931573</c:v>
                </c:pt>
                <c:pt idx="4">
                  <c:v>0.17052550334161976</c:v>
                </c:pt>
                <c:pt idx="5">
                  <c:v>0.64933429679495724</c:v>
                </c:pt>
                <c:pt idx="6">
                  <c:v>0.69560179323423155</c:v>
                </c:pt>
                <c:pt idx="7">
                  <c:v>0.57278660429996786</c:v>
                </c:pt>
                <c:pt idx="8">
                  <c:v>0.91918806942412323</c:v>
                </c:pt>
                <c:pt idx="9">
                  <c:v>0.85228405031478838</c:v>
                </c:pt>
                <c:pt idx="10">
                  <c:v>0.28678465174019352</c:v>
                </c:pt>
                <c:pt idx="11">
                  <c:v>0.27498980564751685</c:v>
                </c:pt>
                <c:pt idx="12">
                  <c:v>0.47647213094803675</c:v>
                </c:pt>
                <c:pt idx="13">
                  <c:v>0.13879554331494293</c:v>
                </c:pt>
                <c:pt idx="14">
                  <c:v>0.1794682388973895</c:v>
                </c:pt>
                <c:pt idx="15">
                  <c:v>0.32795312315850522</c:v>
                </c:pt>
                <c:pt idx="16">
                  <c:v>2.0467564431932539E-2</c:v>
                </c:pt>
                <c:pt idx="17">
                  <c:v>0.65297992877041355</c:v>
                </c:pt>
                <c:pt idx="18">
                  <c:v>0.49887875449197083</c:v>
                </c:pt>
                <c:pt idx="19">
                  <c:v>0.72325328578445225</c:v>
                </c:pt>
                <c:pt idx="21">
                  <c:v>0.25079414389278187</c:v>
                </c:pt>
                <c:pt idx="22">
                  <c:v>0.4457334431043215</c:v>
                </c:pt>
                <c:pt idx="23">
                  <c:v>0.56265690544814506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0.64862107908252853</c:v>
                </c:pt>
                <c:pt idx="1">
                  <c:v>0.98515609758731537</c:v>
                </c:pt>
                <c:pt idx="2">
                  <c:v>0.84767170952145365</c:v>
                </c:pt>
                <c:pt idx="3">
                  <c:v>0.68826757283353901</c:v>
                </c:pt>
                <c:pt idx="4">
                  <c:v>0.94053444137090803</c:v>
                </c:pt>
                <c:pt idx="5">
                  <c:v>0.96152111656982031</c:v>
                </c:pt>
                <c:pt idx="6">
                  <c:v>0.99490219868683294</c:v>
                </c:pt>
                <c:pt idx="7">
                  <c:v>0.71983643605650871</c:v>
                </c:pt>
                <c:pt idx="8">
                  <c:v>0.97671361613550867</c:v>
                </c:pt>
                <c:pt idx="9">
                  <c:v>0.89899733023343675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0.43140382111730424</c:v>
                </c:pt>
                <c:pt idx="1">
                  <c:v>0.97597289238658813</c:v>
                </c:pt>
                <c:pt idx="2">
                  <c:v>0.84648301237561818</c:v>
                </c:pt>
                <c:pt idx="3">
                  <c:v>0.68357171423931573</c:v>
                </c:pt>
                <c:pt idx="4">
                  <c:v>0.17052550334161976</c:v>
                </c:pt>
                <c:pt idx="5">
                  <c:v>0.64933429679495724</c:v>
                </c:pt>
                <c:pt idx="6">
                  <c:v>0.69560179323423155</c:v>
                </c:pt>
                <c:pt idx="7">
                  <c:v>0.57278660429996786</c:v>
                </c:pt>
                <c:pt idx="8">
                  <c:v>0.91918806942412323</c:v>
                </c:pt>
                <c:pt idx="9">
                  <c:v>0.85228405031478838</c:v>
                </c:pt>
                <c:pt idx="10">
                  <c:v>0.28678465174019352</c:v>
                </c:pt>
                <c:pt idx="11">
                  <c:v>0.27498980564751685</c:v>
                </c:pt>
                <c:pt idx="12">
                  <c:v>0.47647213094803675</c:v>
                </c:pt>
                <c:pt idx="13">
                  <c:v>0.13879554331494293</c:v>
                </c:pt>
                <c:pt idx="14">
                  <c:v>0.1794682388973895</c:v>
                </c:pt>
                <c:pt idx="15">
                  <c:v>0.32795312315850522</c:v>
                </c:pt>
                <c:pt idx="16">
                  <c:v>2.0467564431932539E-2</c:v>
                </c:pt>
                <c:pt idx="17">
                  <c:v>0.65297992877041355</c:v>
                </c:pt>
                <c:pt idx="18">
                  <c:v>0.49887875449197083</c:v>
                </c:pt>
                <c:pt idx="19">
                  <c:v>0.72325328578445225</c:v>
                </c:pt>
                <c:pt idx="21">
                  <c:v>0.25079414389278187</c:v>
                </c:pt>
                <c:pt idx="22">
                  <c:v>0.4457334431043215</c:v>
                </c:pt>
                <c:pt idx="23">
                  <c:v>0.56265690544814506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0.24406660747818412</c:v>
                </c:pt>
                <c:pt idx="11">
                  <c:v>0.25394282236197513</c:v>
                </c:pt>
                <c:pt idx="12">
                  <c:v>4.4879974531231721E-2</c:v>
                </c:pt>
                <c:pt idx="13">
                  <c:v>2.4672894261734059E-2</c:v>
                </c:pt>
                <c:pt idx="14">
                  <c:v>3.4305787610605473E-2</c:v>
                </c:pt>
                <c:pt idx="15">
                  <c:v>0.11739226726887808</c:v>
                </c:pt>
                <c:pt idx="16">
                  <c:v>1.6740521714504311E-2</c:v>
                </c:pt>
                <c:pt idx="17">
                  <c:v>0.50839851704071126</c:v>
                </c:pt>
                <c:pt idx="18">
                  <c:v>0.14403380353603917</c:v>
                </c:pt>
                <c:pt idx="19">
                  <c:v>0.51131607801998857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0.43140382111730424</c:v>
                </c:pt>
                <c:pt idx="1">
                  <c:v>0.97597289238658813</c:v>
                </c:pt>
                <c:pt idx="2">
                  <c:v>0.84648301237561818</c:v>
                </c:pt>
                <c:pt idx="3">
                  <c:v>0.68357171423931573</c:v>
                </c:pt>
                <c:pt idx="4">
                  <c:v>0.17052550334161976</c:v>
                </c:pt>
                <c:pt idx="5">
                  <c:v>0.64933429679495724</c:v>
                </c:pt>
                <c:pt idx="6">
                  <c:v>0.69560179323423155</c:v>
                </c:pt>
                <c:pt idx="7">
                  <c:v>0.57278660429996786</c:v>
                </c:pt>
                <c:pt idx="8">
                  <c:v>0.91918806942412323</c:v>
                </c:pt>
                <c:pt idx="9">
                  <c:v>0.85228405031478838</c:v>
                </c:pt>
                <c:pt idx="10">
                  <c:v>0.28678465174019352</c:v>
                </c:pt>
                <c:pt idx="11">
                  <c:v>0.27498980564751685</c:v>
                </c:pt>
                <c:pt idx="12">
                  <c:v>0.47647213094803675</c:v>
                </c:pt>
                <c:pt idx="13">
                  <c:v>0.13879554331494293</c:v>
                </c:pt>
                <c:pt idx="14">
                  <c:v>0.1794682388973895</c:v>
                </c:pt>
                <c:pt idx="15">
                  <c:v>0.32795312315850522</c:v>
                </c:pt>
                <c:pt idx="16">
                  <c:v>2.0467564431932539E-2</c:v>
                </c:pt>
                <c:pt idx="17">
                  <c:v>0.65297992877041355</c:v>
                </c:pt>
                <c:pt idx="18">
                  <c:v>0.49887875449197083</c:v>
                </c:pt>
                <c:pt idx="19">
                  <c:v>0.72325328578445225</c:v>
                </c:pt>
                <c:pt idx="21">
                  <c:v>0.25079414389278187</c:v>
                </c:pt>
                <c:pt idx="22">
                  <c:v>0.4457334431043215</c:v>
                </c:pt>
                <c:pt idx="23">
                  <c:v>0.56265690544814506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0.84161301843068337</c:v>
                </c:pt>
                <c:pt idx="22" formatCode="0.00">
                  <c:v>0.40368927318338987</c:v>
                </c:pt>
                <c:pt idx="23" formatCode="0.00">
                  <c:v>0.99555399712985237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0.85479059571679283</c:v>
                </c:pt>
                <c:pt idx="1">
                  <c:v>0.8723560998305292</c:v>
                </c:pt>
                <c:pt idx="2">
                  <c:v>0.97537650952383603</c:v>
                </c:pt>
                <c:pt idx="3">
                  <c:v>0.34526052313127553</c:v>
                </c:pt>
                <c:pt idx="4">
                  <c:v>4.58070247164023E-2</c:v>
                </c:pt>
                <c:pt idx="5">
                  <c:v>0.67634349743706668</c:v>
                </c:pt>
                <c:pt idx="6">
                  <c:v>0.31058255064058427</c:v>
                </c:pt>
                <c:pt idx="7">
                  <c:v>0.13306514557659244</c:v>
                </c:pt>
                <c:pt idx="8">
                  <c:v>0.99369300682581874</c:v>
                </c:pt>
                <c:pt idx="9">
                  <c:v>0.81525901026022796</c:v>
                </c:pt>
                <c:pt idx="10">
                  <c:v>0.52906090291235575</c:v>
                </c:pt>
                <c:pt idx="11">
                  <c:v>0.19970890536091046</c:v>
                </c:pt>
                <c:pt idx="12">
                  <c:v>0.96925660464912144</c:v>
                </c:pt>
                <c:pt idx="13">
                  <c:v>0.3941693326993565</c:v>
                </c:pt>
                <c:pt idx="14">
                  <c:v>0.11255721497319671</c:v>
                </c:pt>
                <c:pt idx="15">
                  <c:v>8.5280174192435609E-2</c:v>
                </c:pt>
                <c:pt idx="16">
                  <c:v>0.58912208318184933</c:v>
                </c:pt>
                <c:pt idx="17">
                  <c:v>0.79714804759451208</c:v>
                </c:pt>
                <c:pt idx="18">
                  <c:v>0.93353549650525358</c:v>
                </c:pt>
                <c:pt idx="19">
                  <c:v>0.90510916824304921</c:v>
                </c:pt>
                <c:pt idx="21">
                  <c:v>0.23130422474989876</c:v>
                </c:pt>
                <c:pt idx="22">
                  <c:v>0.83891332871986524</c:v>
                </c:pt>
                <c:pt idx="23">
                  <c:v>0.55334212766876101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0.96353152676802079</c:v>
                </c:pt>
                <c:pt idx="1">
                  <c:v>0.96280703284069946</c:v>
                </c:pt>
                <c:pt idx="2">
                  <c:v>0.9768775030742789</c:v>
                </c:pt>
                <c:pt idx="3">
                  <c:v>0.86941022692636571</c:v>
                </c:pt>
                <c:pt idx="4">
                  <c:v>0.190640827955393</c:v>
                </c:pt>
                <c:pt idx="5">
                  <c:v>0.95621092858166157</c:v>
                </c:pt>
                <c:pt idx="6">
                  <c:v>0.94973832570567684</c:v>
                </c:pt>
                <c:pt idx="7">
                  <c:v>0.65633553693299895</c:v>
                </c:pt>
                <c:pt idx="8">
                  <c:v>0.99655188207256518</c:v>
                </c:pt>
                <c:pt idx="9">
                  <c:v>0.96843643465597495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0.85479059571679283</c:v>
                </c:pt>
                <c:pt idx="1">
                  <c:v>0.8723560998305292</c:v>
                </c:pt>
                <c:pt idx="2">
                  <c:v>0.97537650952383603</c:v>
                </c:pt>
                <c:pt idx="3">
                  <c:v>0.34526052313127553</c:v>
                </c:pt>
                <c:pt idx="4">
                  <c:v>4.58070247164023E-2</c:v>
                </c:pt>
                <c:pt idx="5">
                  <c:v>0.67634349743706668</c:v>
                </c:pt>
                <c:pt idx="6">
                  <c:v>0.31058255064058427</c:v>
                </c:pt>
                <c:pt idx="7">
                  <c:v>0.13306514557659244</c:v>
                </c:pt>
                <c:pt idx="8">
                  <c:v>0.99369300682581874</c:v>
                </c:pt>
                <c:pt idx="9">
                  <c:v>0.81525901026022796</c:v>
                </c:pt>
                <c:pt idx="10">
                  <c:v>0.52906090291235575</c:v>
                </c:pt>
                <c:pt idx="11">
                  <c:v>0.19970890536091046</c:v>
                </c:pt>
                <c:pt idx="12">
                  <c:v>0.96925660464912144</c:v>
                </c:pt>
                <c:pt idx="13">
                  <c:v>0.3941693326993565</c:v>
                </c:pt>
                <c:pt idx="14">
                  <c:v>0.11255721497319671</c:v>
                </c:pt>
                <c:pt idx="15">
                  <c:v>8.5280174192435609E-2</c:v>
                </c:pt>
                <c:pt idx="16">
                  <c:v>0.58912208318184933</c:v>
                </c:pt>
                <c:pt idx="17">
                  <c:v>0.79714804759451208</c:v>
                </c:pt>
                <c:pt idx="18">
                  <c:v>0.93353549650525358</c:v>
                </c:pt>
                <c:pt idx="19">
                  <c:v>0.90510916824304921</c:v>
                </c:pt>
                <c:pt idx="21">
                  <c:v>0.23130422474989876</c:v>
                </c:pt>
                <c:pt idx="22">
                  <c:v>0.83891332871986524</c:v>
                </c:pt>
                <c:pt idx="23">
                  <c:v>0.55334212766876101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0.45089484045509826</c:v>
                </c:pt>
                <c:pt idx="11">
                  <c:v>4.6744977065562271E-2</c:v>
                </c:pt>
                <c:pt idx="12">
                  <c:v>0.39174808662719146</c:v>
                </c:pt>
                <c:pt idx="13">
                  <c:v>0.33615361357917622</c:v>
                </c:pt>
                <c:pt idx="14">
                  <c:v>2.5597289544643218E-2</c:v>
                </c:pt>
                <c:pt idx="15">
                  <c:v>6.9252629426686085E-2</c:v>
                </c:pt>
                <c:pt idx="16">
                  <c:v>0.53658028698197302</c:v>
                </c:pt>
                <c:pt idx="17">
                  <c:v>0.26931825651669583</c:v>
                </c:pt>
                <c:pt idx="18">
                  <c:v>0.52414485495299246</c:v>
                </c:pt>
                <c:pt idx="19">
                  <c:v>0.55341283313455514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0.85479059571679283</c:v>
                </c:pt>
                <c:pt idx="1">
                  <c:v>0.8723560998305292</c:v>
                </c:pt>
                <c:pt idx="2">
                  <c:v>0.97537650952383603</c:v>
                </c:pt>
                <c:pt idx="3">
                  <c:v>0.34526052313127553</c:v>
                </c:pt>
                <c:pt idx="4">
                  <c:v>4.58070247164023E-2</c:v>
                </c:pt>
                <c:pt idx="5">
                  <c:v>0.67634349743706668</c:v>
                </c:pt>
                <c:pt idx="6">
                  <c:v>0.31058255064058427</c:v>
                </c:pt>
                <c:pt idx="7">
                  <c:v>0.13306514557659244</c:v>
                </c:pt>
                <c:pt idx="8">
                  <c:v>0.99369300682581874</c:v>
                </c:pt>
                <c:pt idx="9">
                  <c:v>0.81525901026022796</c:v>
                </c:pt>
                <c:pt idx="10">
                  <c:v>0.52906090291235575</c:v>
                </c:pt>
                <c:pt idx="11">
                  <c:v>0.19970890536091046</c:v>
                </c:pt>
                <c:pt idx="12">
                  <c:v>0.96925660464912144</c:v>
                </c:pt>
                <c:pt idx="13">
                  <c:v>0.3941693326993565</c:v>
                </c:pt>
                <c:pt idx="14">
                  <c:v>0.11255721497319671</c:v>
                </c:pt>
                <c:pt idx="15">
                  <c:v>8.5280174192435609E-2</c:v>
                </c:pt>
                <c:pt idx="16">
                  <c:v>0.58912208318184933</c:v>
                </c:pt>
                <c:pt idx="17">
                  <c:v>0.79714804759451208</c:v>
                </c:pt>
                <c:pt idx="18">
                  <c:v>0.93353549650525358</c:v>
                </c:pt>
                <c:pt idx="19">
                  <c:v>0.90510916824304921</c:v>
                </c:pt>
                <c:pt idx="21">
                  <c:v>0.23130422474989876</c:v>
                </c:pt>
                <c:pt idx="22">
                  <c:v>0.83891332871986524</c:v>
                </c:pt>
                <c:pt idx="23">
                  <c:v>0.55334212766876101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0.65554961020563107</c:v>
                </c:pt>
                <c:pt idx="22" formatCode="0.00">
                  <c:v>2.6960301090514616E-2</c:v>
                </c:pt>
                <c:pt idx="23" formatCode="0.00">
                  <c:v>0.6505084004157643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0.16973057763544575</c:v>
                </c:pt>
                <c:pt idx="1">
                  <c:v>0.47167736475522215</c:v>
                </c:pt>
                <c:pt idx="2">
                  <c:v>0.32722749297519749</c:v>
                </c:pt>
                <c:pt idx="3">
                  <c:v>0.82062453116291567</c:v>
                </c:pt>
                <c:pt idx="4">
                  <c:v>0.33140163724625726</c:v>
                </c:pt>
                <c:pt idx="5">
                  <c:v>0.68859764465470141</c:v>
                </c:pt>
                <c:pt idx="6">
                  <c:v>2.8227558832898958E-2</c:v>
                </c:pt>
                <c:pt idx="7">
                  <c:v>7.9146286721699322E-2</c:v>
                </c:pt>
                <c:pt idx="8">
                  <c:v>0.17798700390879918</c:v>
                </c:pt>
                <c:pt idx="9">
                  <c:v>0.86385448758997574</c:v>
                </c:pt>
                <c:pt idx="10">
                  <c:v>0.16020751822248147</c:v>
                </c:pt>
                <c:pt idx="11">
                  <c:v>0.64469299375628508</c:v>
                </c:pt>
                <c:pt idx="12">
                  <c:v>0.34101461094381058</c:v>
                </c:pt>
                <c:pt idx="13">
                  <c:v>0.64435503252320969</c:v>
                </c:pt>
                <c:pt idx="14">
                  <c:v>0.43430843764074356</c:v>
                </c:pt>
                <c:pt idx="15">
                  <c:v>0.63310933689432436</c:v>
                </c:pt>
                <c:pt idx="16">
                  <c:v>0.15313372210662757</c:v>
                </c:pt>
                <c:pt idx="17">
                  <c:v>0.52346750178352208</c:v>
                </c:pt>
                <c:pt idx="18">
                  <c:v>0.66178790702673118</c:v>
                </c:pt>
                <c:pt idx="19">
                  <c:v>0.39582621600340451</c:v>
                </c:pt>
                <c:pt idx="21">
                  <c:v>0.6859849813228095</c:v>
                </c:pt>
                <c:pt idx="22">
                  <c:v>0.57335564058885535</c:v>
                </c:pt>
                <c:pt idx="23">
                  <c:v>0.70747491769667781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0.19084681485799015</c:v>
                </c:pt>
                <c:pt idx="1">
                  <c:v>0.62203349407962594</c:v>
                </c:pt>
                <c:pt idx="2">
                  <c:v>0.97474665631819901</c:v>
                </c:pt>
                <c:pt idx="3">
                  <c:v>0.821640437164598</c:v>
                </c:pt>
                <c:pt idx="4">
                  <c:v>0.96930784014214666</c:v>
                </c:pt>
                <c:pt idx="5">
                  <c:v>0.92232752705024124</c:v>
                </c:pt>
                <c:pt idx="6">
                  <c:v>0.53012455292623373</c:v>
                </c:pt>
                <c:pt idx="7">
                  <c:v>0.8137757338124999</c:v>
                </c:pt>
                <c:pt idx="8">
                  <c:v>0.47956644643792046</c:v>
                </c:pt>
                <c:pt idx="9">
                  <c:v>0.88985983645601874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0.16973057763544575</c:v>
                </c:pt>
                <c:pt idx="1">
                  <c:v>0.47167736475522215</c:v>
                </c:pt>
                <c:pt idx="2">
                  <c:v>0.32722749297519749</c:v>
                </c:pt>
                <c:pt idx="3">
                  <c:v>0.82062453116291567</c:v>
                </c:pt>
                <c:pt idx="4">
                  <c:v>0.33140163724625726</c:v>
                </c:pt>
                <c:pt idx="5">
                  <c:v>0.68859764465470141</c:v>
                </c:pt>
                <c:pt idx="6">
                  <c:v>2.8227558832898958E-2</c:v>
                </c:pt>
                <c:pt idx="7">
                  <c:v>7.9146286721699322E-2</c:v>
                </c:pt>
                <c:pt idx="8">
                  <c:v>0.17798700390879918</c:v>
                </c:pt>
                <c:pt idx="9">
                  <c:v>0.86385448758997574</c:v>
                </c:pt>
                <c:pt idx="10">
                  <c:v>0.16020751822248147</c:v>
                </c:pt>
                <c:pt idx="11">
                  <c:v>0.64469299375628508</c:v>
                </c:pt>
                <c:pt idx="12">
                  <c:v>0.34101461094381058</c:v>
                </c:pt>
                <c:pt idx="13">
                  <c:v>0.64435503252320969</c:v>
                </c:pt>
                <c:pt idx="14">
                  <c:v>0.43430843764074356</c:v>
                </c:pt>
                <c:pt idx="15">
                  <c:v>0.63310933689432436</c:v>
                </c:pt>
                <c:pt idx="16">
                  <c:v>0.15313372210662757</c:v>
                </c:pt>
                <c:pt idx="17">
                  <c:v>0.52346750178352208</c:v>
                </c:pt>
                <c:pt idx="18">
                  <c:v>0.66178790702673118</c:v>
                </c:pt>
                <c:pt idx="19">
                  <c:v>0.39582621600340451</c:v>
                </c:pt>
                <c:pt idx="21">
                  <c:v>0.6859849813228095</c:v>
                </c:pt>
                <c:pt idx="22">
                  <c:v>0.57335564058885535</c:v>
                </c:pt>
                <c:pt idx="23">
                  <c:v>0.70747491769667781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0.1235507560950006</c:v>
                </c:pt>
                <c:pt idx="11">
                  <c:v>0.21642925167589916</c:v>
                </c:pt>
                <c:pt idx="12">
                  <c:v>0.20462849847153666</c:v>
                </c:pt>
                <c:pt idx="13">
                  <c:v>8.5216063226578972E-2</c:v>
                </c:pt>
                <c:pt idx="14">
                  <c:v>0.39548094770110948</c:v>
                </c:pt>
                <c:pt idx="15">
                  <c:v>0.53678820602172628</c:v>
                </c:pt>
                <c:pt idx="16">
                  <c:v>1.0552587768001448E-2</c:v>
                </c:pt>
                <c:pt idx="17">
                  <c:v>0.21711995364230879</c:v>
                </c:pt>
                <c:pt idx="18">
                  <c:v>0.34382063707236715</c:v>
                </c:pt>
                <c:pt idx="19">
                  <c:v>0.25192410393416365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0.16973057763544575</c:v>
                </c:pt>
                <c:pt idx="1">
                  <c:v>0.47167736475522215</c:v>
                </c:pt>
                <c:pt idx="2">
                  <c:v>0.32722749297519749</c:v>
                </c:pt>
                <c:pt idx="3">
                  <c:v>0.82062453116291567</c:v>
                </c:pt>
                <c:pt idx="4">
                  <c:v>0.33140163724625726</c:v>
                </c:pt>
                <c:pt idx="5">
                  <c:v>0.68859764465470141</c:v>
                </c:pt>
                <c:pt idx="6">
                  <c:v>2.8227558832898958E-2</c:v>
                </c:pt>
                <c:pt idx="7">
                  <c:v>7.9146286721699322E-2</c:v>
                </c:pt>
                <c:pt idx="8">
                  <c:v>0.17798700390879918</c:v>
                </c:pt>
                <c:pt idx="9">
                  <c:v>0.86385448758997574</c:v>
                </c:pt>
                <c:pt idx="10">
                  <c:v>0.16020751822248147</c:v>
                </c:pt>
                <c:pt idx="11">
                  <c:v>0.64469299375628508</c:v>
                </c:pt>
                <c:pt idx="12">
                  <c:v>0.34101461094381058</c:v>
                </c:pt>
                <c:pt idx="13">
                  <c:v>0.64435503252320969</c:v>
                </c:pt>
                <c:pt idx="14">
                  <c:v>0.43430843764074356</c:v>
                </c:pt>
                <c:pt idx="15">
                  <c:v>0.63310933689432436</c:v>
                </c:pt>
                <c:pt idx="16">
                  <c:v>0.15313372210662757</c:v>
                </c:pt>
                <c:pt idx="17">
                  <c:v>0.52346750178352208</c:v>
                </c:pt>
                <c:pt idx="18">
                  <c:v>0.66178790702673118</c:v>
                </c:pt>
                <c:pt idx="19">
                  <c:v>0.39582621600340451</c:v>
                </c:pt>
                <c:pt idx="21">
                  <c:v>0.6859849813228095</c:v>
                </c:pt>
                <c:pt idx="22">
                  <c:v>0.57335564058885535</c:v>
                </c:pt>
                <c:pt idx="23">
                  <c:v>0.70747491769667781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0.48957924776013995</c:v>
                </c:pt>
                <c:pt idx="22" formatCode="0.00">
                  <c:v>0.32012441865507757</c:v>
                </c:pt>
                <c:pt idx="23" formatCode="0.00">
                  <c:v>0.89559848019280386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Basics warm up ####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Closed Form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Closed form.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13</v>
      </c>
    </row>
    <row r="7" spans="2:2" x14ac:dyDescent="0.3">
      <c r="B7" s="1" t="s">
        <v>14</v>
      </c>
    </row>
    <row r="9" spans="2:2" x14ac:dyDescent="0.3">
      <c r="B9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</v>
      </c>
    </row>
    <row r="4" spans="2:2" x14ac:dyDescent="0.3">
      <c r="B4" s="1" t="s">
        <v>17</v>
      </c>
    </row>
    <row r="6" spans="2:2" x14ac:dyDescent="0.3">
      <c r="B6" s="1" t="s">
        <v>18</v>
      </c>
    </row>
    <row r="8" spans="2:2" x14ac:dyDescent="0.3">
      <c r="B8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 codeName="Sheet3">
    <tabColor rgb="FF00206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187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</v>
      </c>
    </row>
    <row r="2" spans="1:1" x14ac:dyDescent="0.3">
      <c r="A2" s="1" t="s">
        <v>0</v>
      </c>
    </row>
    <row r="3" spans="1:1" x14ac:dyDescent="0.3">
      <c r="A3" s="1" t="s">
        <v>188</v>
      </c>
    </row>
    <row r="4" spans="1:1" x14ac:dyDescent="0.3">
      <c r="A4" s="1" t="s">
        <v>49</v>
      </c>
    </row>
    <row r="5" spans="1:1" x14ac:dyDescent="0.3">
      <c r="A5" s="1" t="s">
        <v>199</v>
      </c>
    </row>
    <row r="6" spans="1:1" x14ac:dyDescent="0.3">
      <c r="A6" s="1" t="s">
        <v>50</v>
      </c>
    </row>
    <row r="7" spans="1:1" x14ac:dyDescent="0.3">
      <c r="A7" s="1" t="s">
        <v>51</v>
      </c>
    </row>
    <row r="8" spans="1:1" x14ac:dyDescent="0.3">
      <c r="A8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37D81B1E-8F86-F540-AF47-DC7ED260981E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242</v>
      </c>
      <c r="D1" s="9" t="s">
        <v>243</v>
      </c>
    </row>
  </sheetData>
  <hyperlinks>
    <hyperlink ref="B1" r:id="rId1" xr:uid="{B8B7F16C-C270-AE48-8E63-F53A985603D0}"/>
    <hyperlink ref="D1" r:id="rId2" xr:uid="{1E66A680-971C-DF43-BD48-33E0FD8F3EDA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244</v>
      </c>
    </row>
  </sheetData>
  <hyperlinks>
    <hyperlink ref="B1" r:id="rId1" xr:uid="{F0AF9FB1-712D-AF4C-9E63-B593A285F8F4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50</v>
      </c>
    </row>
  </sheetData>
  <hyperlinks>
    <hyperlink ref="B1" r:id="rId1" xr:uid="{7C9939BB-3225-AF4C-9F9F-3F49D49B2695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245</v>
      </c>
    </row>
  </sheetData>
  <hyperlinks>
    <hyperlink ref="B1" r:id="rId1" xr:uid="{671663CB-808F-C04F-B9A9-6CEAE87EFF6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9" t="s">
        <v>246</v>
      </c>
    </row>
    <row r="2" spans="1:17" x14ac:dyDescent="0.2">
      <c r="A2" s="9" t="s">
        <v>247</v>
      </c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3.5177659869900508</v>
      </c>
      <c r="I2" s="6">
        <f t="shared" si="0"/>
        <v>3.1362337078317415</v>
      </c>
      <c r="J2" s="6">
        <f t="shared" si="0"/>
        <v>2.7168234355247347</v>
      </c>
      <c r="K2" s="6">
        <f t="shared" si="0"/>
        <v>2.354905649381446</v>
      </c>
      <c r="L2" s="6">
        <f t="shared" si="0"/>
        <v>1.9847909633281069</v>
      </c>
      <c r="M2" s="6">
        <f t="shared" si="0"/>
        <v>1.5951428395689569</v>
      </c>
      <c r="N2" s="6">
        <f t="shared" si="0"/>
        <v>1.215829965942675</v>
      </c>
      <c r="O2" s="6">
        <f t="shared" si="0"/>
        <v>0.81169120498240843</v>
      </c>
      <c r="P2" s="6">
        <f t="shared" si="0"/>
        <v>0.41900096751654048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0.29371103163765466</v>
      </c>
    </row>
    <row r="4" spans="1:17" x14ac:dyDescent="0.2">
      <c r="F4" s="4">
        <f ca="1">D12</f>
        <v>1.373591196426728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0.62679297815900714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3.3940566868835647</v>
      </c>
      <c r="I5" s="3">
        <v>3.3604211065773311</v>
      </c>
      <c r="J5" s="3">
        <v>2.761641174258529</v>
      </c>
      <c r="K5" s="3">
        <v>2.1478423755796041</v>
      </c>
      <c r="L5" s="3">
        <v>1.7704456993386919</v>
      </c>
      <c r="M5" s="3">
        <v>1.7250125882768184</v>
      </c>
      <c r="N5" s="3">
        <v>1.3259010988608713</v>
      </c>
      <c r="O5" s="3">
        <v>0.96166256390744231</v>
      </c>
      <c r="P5" s="3">
        <v>0.46884425306970151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-1.1609167285780528</v>
      </c>
      <c r="D6" s="5">
        <f ca="1">SUMXMY2(OFFSET(B4,1,0,99),OFFSET(B4,2,0,99))</f>
        <v>79.003192029395422</v>
      </c>
      <c r="F6" s="4">
        <v>2</v>
      </c>
      <c r="G6" s="3">
        <v>3.96</v>
      </c>
      <c r="H6" s="3">
        <v>3.3947214770362502</v>
      </c>
      <c r="I6" s="3">
        <v>2.9315903815032121</v>
      </c>
      <c r="J6" s="3">
        <v>2.700723889205674</v>
      </c>
      <c r="K6" s="3">
        <v>2.3939423174991936</v>
      </c>
      <c r="L6" s="3">
        <v>2.0814431184824338</v>
      </c>
      <c r="M6" s="3">
        <v>1.5838351447200014</v>
      </c>
      <c r="N6" s="3">
        <v>1.3464798614797371</v>
      </c>
      <c r="O6" s="3">
        <v>0.80548940074292141</v>
      </c>
      <c r="P6" s="3">
        <v>0.39272969960061138</v>
      </c>
      <c r="Q6" s="3">
        <v>0</v>
      </c>
    </row>
    <row r="7" spans="1:17" x14ac:dyDescent="0.2">
      <c r="A7" s="2">
        <v>3</v>
      </c>
      <c r="B7" s="2">
        <f t="shared" ca="1" si="1"/>
        <v>0.18936613236966404</v>
      </c>
      <c r="F7" s="4">
        <v>3</v>
      </c>
      <c r="G7" s="3">
        <v>3.96</v>
      </c>
      <c r="H7" s="3">
        <v>3.6110328575244872</v>
      </c>
      <c r="I7" s="3">
        <v>3.1207636191710537</v>
      </c>
      <c r="J7" s="3">
        <v>2.620529227010655</v>
      </c>
      <c r="K7" s="3">
        <v>2.6875106785051632</v>
      </c>
      <c r="L7" s="3">
        <v>2.279136987430316</v>
      </c>
      <c r="M7" s="3">
        <v>1.6549841515312398</v>
      </c>
      <c r="N7" s="3">
        <v>1.6888197937820952</v>
      </c>
      <c r="O7" s="3">
        <v>0.50402574558993263</v>
      </c>
      <c r="P7" s="3">
        <v>0.57259438403156915</v>
      </c>
      <c r="Q7" s="3">
        <v>0</v>
      </c>
    </row>
    <row r="8" spans="1:17" x14ac:dyDescent="0.2">
      <c r="A8" s="2">
        <v>4</v>
      </c>
      <c r="B8" s="2">
        <f t="shared" ca="1" si="1"/>
        <v>0.96726784764210483</v>
      </c>
      <c r="D8" s="2" t="s">
        <v>3</v>
      </c>
      <c r="F8" s="4">
        <v>4</v>
      </c>
      <c r="G8" s="3">
        <v>3.96</v>
      </c>
      <c r="H8" s="3">
        <v>3.5483713784864448</v>
      </c>
      <c r="I8" s="3">
        <v>3.1890896797833372</v>
      </c>
      <c r="J8" s="3">
        <v>2.9840316586120283</v>
      </c>
      <c r="K8" s="3">
        <v>2.5486919988281338</v>
      </c>
      <c r="L8" s="3">
        <v>1.799234411618436</v>
      </c>
      <c r="M8" s="3">
        <v>1.4826295437295549</v>
      </c>
      <c r="N8" s="3">
        <v>1.1560801055109398</v>
      </c>
      <c r="O8" s="3">
        <v>0.74232151199103469</v>
      </c>
      <c r="P8" s="3">
        <v>0.36179038193226265</v>
      </c>
      <c r="Q8" s="3">
        <v>0</v>
      </c>
    </row>
    <row r="9" spans="1:17" x14ac:dyDescent="0.2">
      <c r="A9" s="2">
        <v>5</v>
      </c>
      <c r="B9" s="2">
        <f t="shared" ca="1" si="1"/>
        <v>-0.53058715109532095</v>
      </c>
      <c r="D9" s="2">
        <f ca="1">SUMSQ(B5:B104)</f>
        <v>57.515796719515244</v>
      </c>
      <c r="F9" s="4">
        <v>5</v>
      </c>
      <c r="G9" s="3">
        <v>3.96</v>
      </c>
      <c r="H9" s="3">
        <v>3.7289083142442734</v>
      </c>
      <c r="I9" s="3">
        <v>3.0037674715400846</v>
      </c>
      <c r="J9" s="3">
        <v>2.572031271454267</v>
      </c>
      <c r="K9" s="3">
        <v>2.2744938430578685</v>
      </c>
      <c r="L9" s="3">
        <v>2.1257221625772065</v>
      </c>
      <c r="M9" s="3">
        <v>1.5761798352924774</v>
      </c>
      <c r="N9" s="3">
        <v>1.0283464068168857</v>
      </c>
      <c r="O9" s="3">
        <v>0.78048894089770871</v>
      </c>
      <c r="P9" s="3">
        <v>0.25811644564120312</v>
      </c>
      <c r="Q9" s="3">
        <v>0</v>
      </c>
    </row>
    <row r="10" spans="1:17" x14ac:dyDescent="0.2">
      <c r="A10" s="2">
        <v>6</v>
      </c>
      <c r="B10" s="2">
        <f t="shared" ca="1" si="1"/>
        <v>9.0708756066400387E-2</v>
      </c>
      <c r="F10" s="4">
        <v>6</v>
      </c>
      <c r="G10" s="3">
        <v>3.96</v>
      </c>
      <c r="H10" s="3">
        <v>3.514807562872666</v>
      </c>
      <c r="I10" s="3">
        <v>3.1199763684909518</v>
      </c>
      <c r="J10" s="3">
        <v>2.6559948542352236</v>
      </c>
      <c r="K10" s="3">
        <v>2.1561272043315189</v>
      </c>
      <c r="L10" s="3">
        <v>1.9125104759581049</v>
      </c>
      <c r="M10" s="3">
        <v>1.2233633749015254</v>
      </c>
      <c r="N10" s="3">
        <v>1.5394505607140143</v>
      </c>
      <c r="O10" s="3">
        <v>0.85615123158826778</v>
      </c>
      <c r="P10" s="3">
        <v>0.59481782125164917</v>
      </c>
      <c r="Q10" s="3">
        <v>0</v>
      </c>
    </row>
    <row r="11" spans="1:17" x14ac:dyDescent="0.2">
      <c r="A11" s="2">
        <v>7</v>
      </c>
      <c r="B11" s="2">
        <f t="shared" ca="1" si="1"/>
        <v>0.29141418882631109</v>
      </c>
      <c r="D11" s="2" t="s">
        <v>2</v>
      </c>
      <c r="F11" s="4">
        <v>7</v>
      </c>
      <c r="G11" s="3">
        <v>3.96</v>
      </c>
      <c r="H11" s="3">
        <v>3.5966136658495982</v>
      </c>
      <c r="I11" s="3">
        <v>3.0366805352280775</v>
      </c>
      <c r="J11" s="3">
        <v>2.6058154445250885</v>
      </c>
      <c r="K11" s="3">
        <v>2.0240334491992837</v>
      </c>
      <c r="L11" s="3">
        <v>2.0181215748752872</v>
      </c>
      <c r="M11" s="3">
        <v>1.8869916602115238</v>
      </c>
      <c r="N11" s="3">
        <v>1.1654860801676348</v>
      </c>
      <c r="O11" s="3">
        <v>0.79208905584366285</v>
      </c>
      <c r="P11" s="3">
        <v>0.41070885497926818</v>
      </c>
      <c r="Q11" s="3">
        <v>0</v>
      </c>
    </row>
    <row r="12" spans="1:17" x14ac:dyDescent="0.2">
      <c r="A12" s="2">
        <v>8</v>
      </c>
      <c r="B12" s="2">
        <f t="shared" ca="1" si="1"/>
        <v>1.5186055493983925</v>
      </c>
      <c r="D12" s="2">
        <f ca="1">D6/D9</f>
        <v>1.373591196426728</v>
      </c>
      <c r="F12" s="4">
        <v>8</v>
      </c>
      <c r="G12" s="3">
        <v>3.96</v>
      </c>
      <c r="H12" s="3">
        <v>3.5607230409114861</v>
      </c>
      <c r="I12" s="3">
        <v>3.0451719583573262</v>
      </c>
      <c r="J12" s="3">
        <v>2.4937049323660778</v>
      </c>
      <c r="K12" s="3">
        <v>2.7705142894233585</v>
      </c>
      <c r="L12" s="3">
        <v>2.180522892521422</v>
      </c>
      <c r="M12" s="3">
        <v>1.6646998773969617</v>
      </c>
      <c r="N12" s="3">
        <v>1.4120873417240094</v>
      </c>
      <c r="O12" s="3">
        <v>0.56826056725418161</v>
      </c>
      <c r="P12" s="3">
        <v>0.3083364582733002</v>
      </c>
      <c r="Q12" s="3">
        <v>0</v>
      </c>
    </row>
    <row r="13" spans="1:17" x14ac:dyDescent="0.2">
      <c r="A13" s="2">
        <v>9</v>
      </c>
      <c r="B13" s="2">
        <f t="shared" ca="1" si="1"/>
        <v>0.57413525540936916</v>
      </c>
      <c r="F13" s="4">
        <v>9</v>
      </c>
      <c r="G13" s="3">
        <v>3.96</v>
      </c>
      <c r="H13" s="3">
        <v>3.6055114721203578</v>
      </c>
      <c r="I13" s="3">
        <v>3.0399704597654114</v>
      </c>
      <c r="J13" s="3">
        <v>2.8269491998541398</v>
      </c>
      <c r="K13" s="3">
        <v>2.4171518270013403</v>
      </c>
      <c r="L13" s="3">
        <v>2.3336970395452798</v>
      </c>
      <c r="M13" s="3">
        <v>1.6039105838980616</v>
      </c>
      <c r="N13" s="3">
        <v>1.1479752563690693</v>
      </c>
      <c r="O13" s="3">
        <v>0.86348705512534629</v>
      </c>
      <c r="P13" s="3">
        <v>0.55107079237528744</v>
      </c>
      <c r="Q13" s="3">
        <v>0</v>
      </c>
    </row>
    <row r="14" spans="1:17" x14ac:dyDescent="0.2">
      <c r="A14" s="2">
        <v>10</v>
      </c>
      <c r="B14" s="2">
        <f t="shared" ca="1" si="1"/>
        <v>-0.16062211940059656</v>
      </c>
      <c r="F14" s="4">
        <v>10</v>
      </c>
      <c r="G14" s="3">
        <v>3.9600000000000004</v>
      </c>
      <c r="H14" s="3">
        <v>3.5625887882626284</v>
      </c>
      <c r="I14" s="3">
        <v>3.3741079762216382</v>
      </c>
      <c r="J14" s="3">
        <v>2.6277877058830605</v>
      </c>
      <c r="K14" s="3">
        <v>2.1558017312679714</v>
      </c>
      <c r="L14" s="3">
        <v>2.1323361218903947</v>
      </c>
      <c r="M14" s="3">
        <v>2.0100840714298003</v>
      </c>
      <c r="N14" s="3">
        <v>1.0906704092173116</v>
      </c>
      <c r="O14" s="3">
        <v>0.74200614607769677</v>
      </c>
      <c r="P14" s="3">
        <v>0.3050349042012836</v>
      </c>
      <c r="Q14" s="3">
        <v>0</v>
      </c>
    </row>
    <row r="15" spans="1:17" x14ac:dyDescent="0.2">
      <c r="A15" s="2">
        <v>11</v>
      </c>
      <c r="B15" s="2">
        <f t="shared" ca="1" si="1"/>
        <v>0.23956763324154512</v>
      </c>
      <c r="F15" s="4">
        <v>11</v>
      </c>
      <c r="G15" s="3">
        <v>3.96</v>
      </c>
      <c r="H15" s="3">
        <v>3.5290795123874927</v>
      </c>
      <c r="I15" s="3">
        <v>2.8072230609791422</v>
      </c>
      <c r="J15" s="3">
        <v>3.0920903294804343</v>
      </c>
      <c r="K15" s="3">
        <v>2.3544698684711776</v>
      </c>
      <c r="L15" s="3">
        <v>2.0147044518320123</v>
      </c>
      <c r="M15" s="3">
        <v>1.8974146899617736</v>
      </c>
      <c r="N15" s="3">
        <v>1.2813590542330062</v>
      </c>
      <c r="O15" s="3">
        <v>0.73555223065020692</v>
      </c>
      <c r="P15" s="3">
        <v>0.37807728040197519</v>
      </c>
      <c r="Q15" s="3">
        <v>0</v>
      </c>
    </row>
    <row r="16" spans="1:17" x14ac:dyDescent="0.2">
      <c r="A16" s="2">
        <v>12</v>
      </c>
      <c r="B16" s="2">
        <f t="shared" ca="1" si="1"/>
        <v>0.84703277497914264</v>
      </c>
      <c r="F16" s="4">
        <v>12</v>
      </c>
      <c r="G16" s="3">
        <v>3.96</v>
      </c>
      <c r="H16" s="3">
        <v>3.2326358462737916</v>
      </c>
      <c r="I16" s="3">
        <v>3.157875986796109</v>
      </c>
      <c r="J16" s="3">
        <v>2.5447624063735148</v>
      </c>
      <c r="K16" s="3">
        <v>2.2437555336520747</v>
      </c>
      <c r="L16" s="3">
        <v>1.5721419551608946</v>
      </c>
      <c r="M16" s="3">
        <v>1.592628051881946</v>
      </c>
      <c r="N16" s="3">
        <v>1.0472919623369783</v>
      </c>
      <c r="O16" s="3">
        <v>0.85230423815392697</v>
      </c>
      <c r="P16" s="3">
        <v>0.33332527869563494</v>
      </c>
      <c r="Q16" s="3">
        <v>0</v>
      </c>
    </row>
    <row r="17" spans="1:17" x14ac:dyDescent="0.2">
      <c r="A17" s="2">
        <v>13</v>
      </c>
      <c r="B17" s="2">
        <f t="shared" ca="1" si="1"/>
        <v>0.50812761673430407</v>
      </c>
      <c r="F17" s="4">
        <v>13</v>
      </c>
      <c r="G17" s="3">
        <v>3.96</v>
      </c>
      <c r="H17" s="3">
        <v>3.3956106299674444</v>
      </c>
      <c r="I17" s="3">
        <v>3.1319731184365209</v>
      </c>
      <c r="J17" s="3">
        <v>2.8436377138431013</v>
      </c>
      <c r="K17" s="3">
        <v>2.1137114017178087</v>
      </c>
      <c r="L17" s="3">
        <v>1.8634591112338688</v>
      </c>
      <c r="M17" s="3">
        <v>1.4792110671387273</v>
      </c>
      <c r="N17" s="3">
        <v>1.7462225725855967</v>
      </c>
      <c r="O17" s="3">
        <v>0.86600854262646765</v>
      </c>
      <c r="P17" s="3">
        <v>0.37929449415797178</v>
      </c>
      <c r="Q17" s="3">
        <v>0</v>
      </c>
    </row>
    <row r="18" spans="1:17" x14ac:dyDescent="0.2">
      <c r="A18" s="2">
        <v>14</v>
      </c>
      <c r="B18" s="2">
        <f t="shared" ca="1" si="1"/>
        <v>4.5277301080153987E-2</v>
      </c>
      <c r="F18" s="4">
        <v>14</v>
      </c>
      <c r="G18" s="3">
        <v>3.96</v>
      </c>
      <c r="H18" s="3">
        <v>3.55981410414216</v>
      </c>
      <c r="I18" s="3">
        <v>3.4576060798351449</v>
      </c>
      <c r="J18" s="3">
        <v>2.7649361570386217</v>
      </c>
      <c r="K18" s="3">
        <v>2.352384635079682</v>
      </c>
      <c r="L18" s="3">
        <v>1.7660432964848432</v>
      </c>
      <c r="M18" s="3">
        <v>1.5151072712354465</v>
      </c>
      <c r="N18" s="3">
        <v>1.4225857526643253</v>
      </c>
      <c r="O18" s="3">
        <v>1.0032882241258989</v>
      </c>
      <c r="P18" s="3">
        <v>0.36304269984687676</v>
      </c>
      <c r="Q18" s="3">
        <v>0</v>
      </c>
    </row>
    <row r="19" spans="1:17" x14ac:dyDescent="0.2">
      <c r="A19" s="2">
        <v>15</v>
      </c>
      <c r="B19" s="2">
        <f t="shared" ca="1" si="1"/>
        <v>-0.49471293902242741</v>
      </c>
      <c r="F19" s="4">
        <v>15</v>
      </c>
      <c r="G19" s="3">
        <v>3.9599999999999995</v>
      </c>
      <c r="H19" s="3">
        <v>3.5048580884399039</v>
      </c>
      <c r="I19" s="3">
        <v>3.2299364930952144</v>
      </c>
      <c r="J19" s="3">
        <v>2.9466953318789519</v>
      </c>
      <c r="K19" s="3">
        <v>2.507113071977733</v>
      </c>
      <c r="L19" s="3">
        <v>2.2797785208723069</v>
      </c>
      <c r="M19" s="3">
        <v>1.5929572196302355</v>
      </c>
      <c r="N19" s="3">
        <v>1.4537101607449983</v>
      </c>
      <c r="O19" s="3">
        <v>0.88590624231969395</v>
      </c>
      <c r="P19" s="3">
        <v>0.44955306484351731</v>
      </c>
      <c r="Q19" s="3">
        <v>0</v>
      </c>
    </row>
    <row r="20" spans="1:17" x14ac:dyDescent="0.2">
      <c r="A20" s="2">
        <v>16</v>
      </c>
      <c r="B20" s="2">
        <f t="shared" ca="1" si="1"/>
        <v>-0.927878269979861</v>
      </c>
      <c r="F20" s="4">
        <v>16</v>
      </c>
      <c r="G20" s="3">
        <v>3.96</v>
      </c>
      <c r="H20" s="3">
        <v>3.6653516078418855</v>
      </c>
      <c r="I20" s="3">
        <v>3.0914141131723873</v>
      </c>
      <c r="J20" s="3">
        <v>2.7018213661199177</v>
      </c>
      <c r="K20" s="3">
        <v>2.2511419231818675</v>
      </c>
      <c r="L20" s="3">
        <v>1.9088162581289099</v>
      </c>
      <c r="M20" s="3">
        <v>1.5887366287573301</v>
      </c>
      <c r="N20" s="3">
        <v>1.3201695985092772</v>
      </c>
      <c r="O20" s="3">
        <v>1.2101778768594811</v>
      </c>
      <c r="P20" s="3">
        <v>0.26105631477655705</v>
      </c>
      <c r="Q20" s="3">
        <v>0</v>
      </c>
    </row>
    <row r="21" spans="1:17" x14ac:dyDescent="0.2">
      <c r="A21" s="2">
        <v>17</v>
      </c>
      <c r="B21" s="2">
        <f t="shared" ca="1" si="1"/>
        <v>-0.95283943264454085</v>
      </c>
      <c r="F21" s="4">
        <v>17</v>
      </c>
      <c r="G21" s="3">
        <v>3.96</v>
      </c>
      <c r="H21" s="3">
        <v>3.6146939176774966</v>
      </c>
      <c r="I21" s="3">
        <v>3.07246803427208</v>
      </c>
      <c r="J21" s="3">
        <v>2.6683122187869377</v>
      </c>
      <c r="K21" s="3">
        <v>2.0157175108530709</v>
      </c>
      <c r="L21" s="3">
        <v>1.8731905970254481</v>
      </c>
      <c r="M21" s="3">
        <v>1.1639788100717665</v>
      </c>
      <c r="N21" s="3">
        <v>1.2187235120763567</v>
      </c>
      <c r="O21" s="3">
        <v>0.8934688933933389</v>
      </c>
      <c r="P21" s="3">
        <v>0.69444974413550409</v>
      </c>
      <c r="Q21" s="3">
        <v>0</v>
      </c>
    </row>
    <row r="22" spans="1:17" x14ac:dyDescent="0.2">
      <c r="A22" s="2">
        <v>18</v>
      </c>
      <c r="B22" s="2">
        <f t="shared" ca="1" si="1"/>
        <v>-1.3966686576178227</v>
      </c>
      <c r="F22" s="4">
        <v>18</v>
      </c>
      <c r="G22" s="3">
        <v>3.9600000000000004</v>
      </c>
      <c r="H22" s="3">
        <v>3.473503126956202</v>
      </c>
      <c r="I22" s="3">
        <v>3.2084149819656509</v>
      </c>
      <c r="J22" s="3">
        <v>2.4801286357781458</v>
      </c>
      <c r="K22" s="3">
        <v>2.3826809673275395</v>
      </c>
      <c r="L22" s="3">
        <v>2.3964002994500047</v>
      </c>
      <c r="M22" s="3">
        <v>1.4468804033694365</v>
      </c>
      <c r="N22" s="3">
        <v>1.2752469404141322</v>
      </c>
      <c r="O22" s="3">
        <v>0.79535906897946707</v>
      </c>
      <c r="P22" s="3">
        <v>0.23988377925800533</v>
      </c>
      <c r="Q22" s="3">
        <v>0</v>
      </c>
    </row>
    <row r="23" spans="1:17" x14ac:dyDescent="0.2">
      <c r="A23" s="2">
        <v>19</v>
      </c>
      <c r="B23" s="2">
        <f t="shared" ca="1" si="1"/>
        <v>-3.6399768130175536E-2</v>
      </c>
      <c r="F23" s="4">
        <v>19</v>
      </c>
      <c r="G23" s="3">
        <v>3.96</v>
      </c>
      <c r="H23" s="3">
        <v>3.6675033452739321</v>
      </c>
      <c r="I23" s="3">
        <v>2.970977365853273</v>
      </c>
      <c r="J23" s="3">
        <v>2.825549360032229</v>
      </c>
      <c r="K23" s="3">
        <v>2.2577493860048325</v>
      </c>
      <c r="L23" s="3">
        <v>1.7878516724901341</v>
      </c>
      <c r="M23" s="3">
        <v>1.2086451762671617</v>
      </c>
      <c r="N23" s="3">
        <v>1.4372807661323648</v>
      </c>
      <c r="O23" s="3">
        <v>0.82806275811114149</v>
      </c>
      <c r="P23" s="3">
        <v>0.44585645921215389</v>
      </c>
      <c r="Q23" s="3">
        <v>0</v>
      </c>
    </row>
    <row r="24" spans="1:17" x14ac:dyDescent="0.2">
      <c r="A24" s="2">
        <v>20</v>
      </c>
      <c r="B24" s="2">
        <f t="shared" ca="1" si="1"/>
        <v>-0.96203756170850718</v>
      </c>
      <c r="F24" s="4">
        <v>20</v>
      </c>
      <c r="G24" s="3">
        <v>3.96</v>
      </c>
      <c r="H24" s="3">
        <v>3.7280599231973128</v>
      </c>
      <c r="I24" s="3">
        <v>3.2647511724142735</v>
      </c>
      <c r="J24" s="3">
        <v>2.8841204872666051</v>
      </c>
      <c r="K24" s="3">
        <v>2.3333098098629517</v>
      </c>
      <c r="L24" s="3">
        <v>1.7597820213605859</v>
      </c>
      <c r="M24" s="3">
        <v>1.4234405994095192</v>
      </c>
      <c r="N24" s="3">
        <v>1.2987550072708551</v>
      </c>
      <c r="O24" s="3">
        <v>0.64422854919117389</v>
      </c>
      <c r="P24" s="3">
        <v>0.42094047839973525</v>
      </c>
      <c r="Q24" s="3">
        <v>0</v>
      </c>
    </row>
    <row r="25" spans="1:17" x14ac:dyDescent="0.2">
      <c r="A25" s="2">
        <v>21</v>
      </c>
      <c r="B25" s="2">
        <f t="shared" ca="1" si="1"/>
        <v>0.43002303338521325</v>
      </c>
      <c r="F25" s="4">
        <v>21</v>
      </c>
      <c r="G25" s="3">
        <v>3.96</v>
      </c>
      <c r="H25" s="3">
        <v>3.569571019982877</v>
      </c>
      <c r="I25" s="3">
        <v>2.9811672284961039</v>
      </c>
      <c r="J25" s="3">
        <v>3.0410170453697498</v>
      </c>
      <c r="K25" s="3">
        <v>2.0667890299291076</v>
      </c>
      <c r="L25" s="3">
        <v>2.30459895318418</v>
      </c>
      <c r="M25" s="3">
        <v>1.5736628900069649</v>
      </c>
      <c r="N25" s="3">
        <v>1.2377311439776155</v>
      </c>
      <c r="O25" s="3">
        <v>0.63563169144482168</v>
      </c>
      <c r="P25" s="3">
        <v>0.8036133293593748</v>
      </c>
      <c r="Q25" s="3">
        <v>0</v>
      </c>
    </row>
    <row r="26" spans="1:17" x14ac:dyDescent="0.2">
      <c r="A26" s="2">
        <v>22</v>
      </c>
      <c r="B26" s="2">
        <f t="shared" ca="1" si="1"/>
        <v>0.43004483219670964</v>
      </c>
      <c r="F26" s="4">
        <v>22</v>
      </c>
      <c r="G26" s="3">
        <v>3.96</v>
      </c>
      <c r="H26" s="3">
        <v>3.6103092459384296</v>
      </c>
      <c r="I26" s="3">
        <v>3.1616763671715651</v>
      </c>
      <c r="J26" s="3">
        <v>2.4633671406355475</v>
      </c>
      <c r="K26" s="3">
        <v>2.5821904538050657</v>
      </c>
      <c r="L26" s="3">
        <v>1.7176739375921914</v>
      </c>
      <c r="M26" s="3">
        <v>1.6114300977020795</v>
      </c>
      <c r="N26" s="3">
        <v>1.1328579500333937</v>
      </c>
      <c r="O26" s="3">
        <v>1.0472655072652746</v>
      </c>
      <c r="P26" s="3">
        <v>0.3460650481715748</v>
      </c>
      <c r="Q26" s="3">
        <v>0</v>
      </c>
    </row>
    <row r="27" spans="1:17" x14ac:dyDescent="0.2">
      <c r="A27" s="2">
        <v>23</v>
      </c>
      <c r="B27" s="2">
        <f t="shared" ca="1" si="1"/>
        <v>-0.84254322007738336</v>
      </c>
      <c r="F27" s="4">
        <v>23</v>
      </c>
      <c r="G27" s="3">
        <v>3.96</v>
      </c>
      <c r="H27" s="3">
        <v>3.4873193368511983</v>
      </c>
      <c r="I27" s="3">
        <v>2.6628858592340299</v>
      </c>
      <c r="J27" s="3">
        <v>2.7016525883079674</v>
      </c>
      <c r="K27" s="3">
        <v>2.4521684917789903</v>
      </c>
      <c r="L27" s="3">
        <v>1.7524123630754038</v>
      </c>
      <c r="M27" s="3">
        <v>1.742904544300506</v>
      </c>
      <c r="N27" s="3">
        <v>1.1970549031996782</v>
      </c>
      <c r="O27" s="3">
        <v>0.57396384644532883</v>
      </c>
      <c r="P27" s="3">
        <v>0.35255753340420326</v>
      </c>
      <c r="Q27" s="3">
        <v>0</v>
      </c>
    </row>
    <row r="28" spans="1:17" x14ac:dyDescent="0.2">
      <c r="A28" s="2">
        <v>24</v>
      </c>
      <c r="B28" s="2">
        <f t="shared" ca="1" si="1"/>
        <v>-0.28285585569129679</v>
      </c>
      <c r="F28" s="4">
        <v>24</v>
      </c>
      <c r="G28" s="3">
        <v>3.9599999999999995</v>
      </c>
      <c r="H28" s="3">
        <v>3.7001595014827093</v>
      </c>
      <c r="I28" s="3">
        <v>2.8898197558260597</v>
      </c>
      <c r="J28" s="3">
        <v>2.9626906721060196</v>
      </c>
      <c r="K28" s="3">
        <v>2.5542787191051191</v>
      </c>
      <c r="L28" s="3">
        <v>1.8699249800503235</v>
      </c>
      <c r="M28" s="3">
        <v>1.6413262131354713</v>
      </c>
      <c r="N28" s="3">
        <v>1.376612460733327</v>
      </c>
      <c r="O28" s="3">
        <v>0.65703334475067887</v>
      </c>
      <c r="P28" s="3">
        <v>0.28320891592691111</v>
      </c>
      <c r="Q28" s="3">
        <v>0</v>
      </c>
    </row>
    <row r="29" spans="1:17" x14ac:dyDescent="0.2">
      <c r="A29" s="2">
        <v>25</v>
      </c>
      <c r="B29" s="2">
        <f t="shared" ca="1" si="1"/>
        <v>0.29046430592136496</v>
      </c>
      <c r="F29" s="4">
        <v>25</v>
      </c>
      <c r="G29" s="3">
        <v>3.96</v>
      </c>
      <c r="H29" s="3">
        <v>3.5139358663859235</v>
      </c>
      <c r="I29" s="3">
        <v>2.860686555856522</v>
      </c>
      <c r="J29" s="3">
        <v>2.57991248537525</v>
      </c>
      <c r="K29" s="3">
        <v>2.0183695379302158</v>
      </c>
      <c r="L29" s="3">
        <v>1.9239511122092281</v>
      </c>
      <c r="M29" s="3">
        <v>1.6643235969518406</v>
      </c>
      <c r="N29" s="3">
        <v>1.1447176683346094</v>
      </c>
      <c r="O29" s="3">
        <v>0.68970240624253421</v>
      </c>
      <c r="P29" s="3">
        <v>0.38416583109524222</v>
      </c>
      <c r="Q29" s="3">
        <v>0</v>
      </c>
    </row>
    <row r="30" spans="1:17" x14ac:dyDescent="0.2">
      <c r="A30" s="2">
        <v>26</v>
      </c>
      <c r="B30" s="2">
        <f t="shared" ca="1" si="1"/>
        <v>-0.78459580237294413</v>
      </c>
      <c r="F30" s="4">
        <v>26</v>
      </c>
      <c r="G30" s="3">
        <v>3.96</v>
      </c>
      <c r="H30" s="3">
        <v>3.5692242103528726</v>
      </c>
      <c r="I30" s="3">
        <v>3.170522213987355</v>
      </c>
      <c r="J30" s="3">
        <v>2.4612386293122208</v>
      </c>
      <c r="K30" s="3">
        <v>2.3485878060238088</v>
      </c>
      <c r="L30" s="3">
        <v>1.8561303131104159</v>
      </c>
      <c r="M30" s="3">
        <v>1.5018627383590408</v>
      </c>
      <c r="N30" s="3">
        <v>1.2679450735253919</v>
      </c>
      <c r="O30" s="3">
        <v>0.71451116429063444</v>
      </c>
      <c r="P30" s="3">
        <v>0.41545105597899584</v>
      </c>
      <c r="Q30" s="3">
        <v>0</v>
      </c>
    </row>
    <row r="31" spans="1:17" x14ac:dyDescent="0.2">
      <c r="A31" s="2">
        <v>27</v>
      </c>
      <c r="B31" s="2">
        <f t="shared" ca="1" si="1"/>
        <v>-1.1265268345099582</v>
      </c>
      <c r="F31" s="4">
        <v>27</v>
      </c>
      <c r="G31" s="3">
        <v>3.96</v>
      </c>
      <c r="H31" s="3">
        <v>3.6064962636961155</v>
      </c>
      <c r="I31" s="3">
        <v>2.9755453387550403</v>
      </c>
      <c r="J31" s="3">
        <v>2.7666632590923479</v>
      </c>
      <c r="K31" s="3">
        <v>2.4895735682387383</v>
      </c>
      <c r="L31" s="3">
        <v>1.742739475980893</v>
      </c>
      <c r="M31" s="3">
        <v>1.8172578200810721</v>
      </c>
      <c r="N31" s="3">
        <v>1.2950120934044227</v>
      </c>
      <c r="O31" s="3">
        <v>1.0560442022196794</v>
      </c>
      <c r="P31" s="3">
        <v>0.28379195392064943</v>
      </c>
      <c r="Q31" s="3">
        <v>0</v>
      </c>
    </row>
    <row r="32" spans="1:17" x14ac:dyDescent="0.2">
      <c r="A32" s="2">
        <v>28</v>
      </c>
      <c r="B32" s="2">
        <f t="shared" ca="1" si="1"/>
        <v>-5.8224848143794916E-2</v>
      </c>
      <c r="F32" s="4">
        <v>28</v>
      </c>
      <c r="G32" s="3">
        <v>3.9600000000000004</v>
      </c>
      <c r="H32" s="3">
        <v>3.5324952068333135</v>
      </c>
      <c r="I32" s="3">
        <v>3.3559920336235747</v>
      </c>
      <c r="J32" s="3">
        <v>2.4815984628834671</v>
      </c>
      <c r="K32" s="3">
        <v>2.540477315875409</v>
      </c>
      <c r="L32" s="3">
        <v>1.619091467526141</v>
      </c>
      <c r="M32" s="3">
        <v>1.4565024036474934</v>
      </c>
      <c r="N32" s="3">
        <v>1.3625484174147822</v>
      </c>
      <c r="O32" s="3">
        <v>0.83021388603743673</v>
      </c>
      <c r="P32" s="3">
        <v>0.25527213459774123</v>
      </c>
      <c r="Q32" s="3">
        <v>0</v>
      </c>
    </row>
    <row r="33" spans="1:17" x14ac:dyDescent="0.2">
      <c r="A33" s="2">
        <v>29</v>
      </c>
      <c r="B33" s="2">
        <f t="shared" ca="1" si="1"/>
        <v>0.91740317292650575</v>
      </c>
      <c r="F33" s="4">
        <v>29</v>
      </c>
      <c r="G33" s="3">
        <v>3.96</v>
      </c>
      <c r="H33" s="3">
        <v>3.4576209579703399</v>
      </c>
      <c r="I33" s="3">
        <v>3.068460798854892</v>
      </c>
      <c r="J33" s="3">
        <v>2.4501191787205721</v>
      </c>
      <c r="K33" s="3">
        <v>2.4734332252804268</v>
      </c>
      <c r="L33" s="3">
        <v>1.8842385659124889</v>
      </c>
      <c r="M33" s="3">
        <v>1.4427881794652935</v>
      </c>
      <c r="N33" s="3">
        <v>1.347298924520697</v>
      </c>
      <c r="O33" s="3">
        <v>1.0767530053174175</v>
      </c>
      <c r="P33" s="3">
        <v>0.40216135439375256</v>
      </c>
      <c r="Q33" s="3">
        <v>0</v>
      </c>
    </row>
    <row r="34" spans="1:17" x14ac:dyDescent="0.2">
      <c r="A34" s="2">
        <v>30</v>
      </c>
      <c r="B34" s="2">
        <f t="shared" ca="1" si="1"/>
        <v>-0.79372702151048347</v>
      </c>
      <c r="F34" s="4">
        <v>30</v>
      </c>
      <c r="G34" s="3">
        <v>3.96</v>
      </c>
      <c r="H34" s="3">
        <v>3.6694034069481876</v>
      </c>
      <c r="I34" s="3">
        <v>3.0502657060149581</v>
      </c>
      <c r="J34" s="3">
        <v>2.8485867164732777</v>
      </c>
      <c r="K34" s="3">
        <v>2.3951710901786587</v>
      </c>
      <c r="L34" s="3">
        <v>2.2000527207137401</v>
      </c>
      <c r="M34" s="3">
        <v>1.6077466968477063</v>
      </c>
      <c r="N34" s="3">
        <v>1.0107135127820157</v>
      </c>
      <c r="O34" s="3">
        <v>0.84990300531756102</v>
      </c>
      <c r="P34" s="3">
        <v>0.42257497233881419</v>
      </c>
      <c r="Q34" s="3">
        <v>0</v>
      </c>
    </row>
    <row r="35" spans="1:17" x14ac:dyDescent="0.2">
      <c r="A35" s="2">
        <v>31</v>
      </c>
      <c r="B35" s="2">
        <f t="shared" ca="1" si="1"/>
        <v>0.5101213774057729</v>
      </c>
      <c r="F35" s="4">
        <v>31</v>
      </c>
      <c r="G35" s="3">
        <v>3.96</v>
      </c>
      <c r="H35" s="3">
        <v>3.4365766914413793</v>
      </c>
      <c r="I35" s="3">
        <v>3.0033342432903494</v>
      </c>
      <c r="J35" s="3">
        <v>2.6020241956723624</v>
      </c>
      <c r="K35" s="3">
        <v>2.3280345524973689</v>
      </c>
      <c r="L35" s="3">
        <v>1.761743441345426</v>
      </c>
      <c r="M35" s="3">
        <v>1.5896901131679757</v>
      </c>
      <c r="N35" s="3">
        <v>1.3817463037661264</v>
      </c>
      <c r="O35" s="3">
        <v>0.85290383332640418</v>
      </c>
      <c r="P35" s="3">
        <v>0.32237875263215338</v>
      </c>
      <c r="Q35" s="3">
        <v>0</v>
      </c>
    </row>
    <row r="36" spans="1:17" x14ac:dyDescent="0.2">
      <c r="A36" s="2">
        <v>32</v>
      </c>
      <c r="B36" s="2">
        <f t="shared" ca="1" si="1"/>
        <v>0.15101206873874198</v>
      </c>
      <c r="F36" s="4">
        <v>32</v>
      </c>
      <c r="G36" s="3">
        <v>3.96</v>
      </c>
      <c r="H36" s="3">
        <v>3.6157747601952157</v>
      </c>
      <c r="I36" s="3">
        <v>3.1755096415762352</v>
      </c>
      <c r="J36" s="3">
        <v>2.4719000005604723</v>
      </c>
      <c r="K36" s="3">
        <v>2.6667330603571866</v>
      </c>
      <c r="L36" s="3">
        <v>1.6837780411135361</v>
      </c>
      <c r="M36" s="3">
        <v>1.9654882784843986</v>
      </c>
      <c r="N36" s="3">
        <v>1.5516723058327169</v>
      </c>
      <c r="O36" s="3">
        <v>0.86667836236743079</v>
      </c>
      <c r="P36" s="3">
        <v>0.33265117331705885</v>
      </c>
      <c r="Q36" s="3">
        <v>0</v>
      </c>
    </row>
    <row r="37" spans="1:17" x14ac:dyDescent="0.2">
      <c r="A37" s="2">
        <v>33</v>
      </c>
      <c r="B37" s="2">
        <f t="shared" ca="1" si="1"/>
        <v>0.8701961474454214</v>
      </c>
      <c r="F37" s="4">
        <v>33</v>
      </c>
      <c r="G37" s="3">
        <v>3.96</v>
      </c>
      <c r="H37" s="3">
        <v>3.5952911767640998</v>
      </c>
      <c r="I37" s="3">
        <v>3.0659702865598062</v>
      </c>
      <c r="J37" s="3">
        <v>2.781346043605359</v>
      </c>
      <c r="K37" s="3">
        <v>2.3172207798219038</v>
      </c>
      <c r="L37" s="3">
        <v>1.7840654554283033</v>
      </c>
      <c r="M37" s="3">
        <v>1.7109590113389512</v>
      </c>
      <c r="N37" s="3">
        <v>1.1332550964794299</v>
      </c>
      <c r="O37" s="3">
        <v>0.73608546868979907</v>
      </c>
      <c r="P37" s="3">
        <v>0.5205366458483548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0.43348070430731656</v>
      </c>
      <c r="F38" s="4">
        <v>34</v>
      </c>
      <c r="G38" s="3">
        <v>3.96</v>
      </c>
      <c r="H38" s="3">
        <v>3.5212552282180223</v>
      </c>
      <c r="I38" s="3">
        <v>3.3735967530139361</v>
      </c>
      <c r="J38" s="3">
        <v>2.8128677589739151</v>
      </c>
      <c r="K38" s="3">
        <v>2.3772241801076226</v>
      </c>
      <c r="L38" s="3">
        <v>2.410014487921968</v>
      </c>
      <c r="M38" s="3">
        <v>1.4190434751100727</v>
      </c>
      <c r="N38" s="3">
        <v>1.1591502858129599</v>
      </c>
      <c r="O38" s="3">
        <v>1.0040952437984638</v>
      </c>
      <c r="P38" s="3">
        <v>0.50240204812252887</v>
      </c>
      <c r="Q38" s="3">
        <v>0</v>
      </c>
    </row>
    <row r="39" spans="1:17" x14ac:dyDescent="0.2">
      <c r="A39" s="2">
        <v>35</v>
      </c>
      <c r="B39" s="2">
        <f t="shared" ca="1" si="2"/>
        <v>0.14463639539971335</v>
      </c>
      <c r="F39" s="4">
        <v>35</v>
      </c>
      <c r="G39" s="3">
        <v>3.96</v>
      </c>
      <c r="H39" s="3">
        <v>3.5994932666927673</v>
      </c>
      <c r="I39" s="3">
        <v>3.3104822309563238</v>
      </c>
      <c r="J39" s="3">
        <v>2.4939238335125928</v>
      </c>
      <c r="K39" s="3">
        <v>2.1711690983626823</v>
      </c>
      <c r="L39" s="3">
        <v>1.8027828825579051</v>
      </c>
      <c r="M39" s="3">
        <v>1.4467827123641861</v>
      </c>
      <c r="N39" s="3">
        <v>1.2206756321697192</v>
      </c>
      <c r="O39" s="3">
        <v>0.73150333598168815</v>
      </c>
      <c r="P39" s="3">
        <v>0.46497804422316757</v>
      </c>
      <c r="Q39" s="3">
        <v>0</v>
      </c>
    </row>
    <row r="40" spans="1:17" x14ac:dyDescent="0.2">
      <c r="A40" s="2">
        <v>36</v>
      </c>
      <c r="B40" s="2">
        <f t="shared" ca="1" si="2"/>
        <v>0.64967543254727611</v>
      </c>
      <c r="F40" s="4">
        <v>36</v>
      </c>
      <c r="G40" s="3">
        <v>3.96</v>
      </c>
      <c r="H40" s="3">
        <v>3.2569875326033864</v>
      </c>
      <c r="I40" s="3">
        <v>2.9892284529750359</v>
      </c>
      <c r="J40" s="3">
        <v>2.6743252930164996</v>
      </c>
      <c r="K40" s="3">
        <v>2.325184555215408</v>
      </c>
      <c r="L40" s="3">
        <v>1.8255492101435282</v>
      </c>
      <c r="M40" s="3">
        <v>1.4992773657935923</v>
      </c>
      <c r="N40" s="3">
        <v>1.1333390231177127</v>
      </c>
      <c r="O40" s="3">
        <v>0.77771498677258288</v>
      </c>
      <c r="P40" s="3">
        <v>0.38219947358241768</v>
      </c>
      <c r="Q40" s="3">
        <v>0</v>
      </c>
    </row>
    <row r="41" spans="1:17" x14ac:dyDescent="0.2">
      <c r="A41" s="2">
        <v>37</v>
      </c>
      <c r="B41" s="2">
        <f t="shared" ca="1" si="2"/>
        <v>-0.70726625495960538</v>
      </c>
      <c r="F41" s="4">
        <v>37</v>
      </c>
      <c r="G41" s="3">
        <v>3.96</v>
      </c>
      <c r="H41" s="3">
        <v>3.4979904561395694</v>
      </c>
      <c r="I41" s="3">
        <v>2.8755147420335252</v>
      </c>
      <c r="J41" s="3">
        <v>2.9978974147732886</v>
      </c>
      <c r="K41" s="3">
        <v>2.3336686647243763</v>
      </c>
      <c r="L41" s="3">
        <v>1.8038121562423803</v>
      </c>
      <c r="M41" s="3">
        <v>1.7496174209481647</v>
      </c>
      <c r="N41" s="3">
        <v>1.3610921392340016</v>
      </c>
      <c r="O41" s="3">
        <v>0.91419979814998964</v>
      </c>
      <c r="P41" s="3">
        <v>0.38982159244716819</v>
      </c>
      <c r="Q41" s="3">
        <v>0</v>
      </c>
    </row>
    <row r="42" spans="1:17" x14ac:dyDescent="0.2">
      <c r="A42" s="2">
        <v>38</v>
      </c>
      <c r="B42" s="2">
        <f t="shared" ca="1" si="2"/>
        <v>-0.86520835639232263</v>
      </c>
      <c r="F42" s="4">
        <v>38</v>
      </c>
      <c r="G42" s="3">
        <v>3.96</v>
      </c>
      <c r="H42" s="3">
        <v>3.5725014688482348</v>
      </c>
      <c r="I42" s="3">
        <v>2.9789328798004338</v>
      </c>
      <c r="J42" s="3">
        <v>2.5511687990787504</v>
      </c>
      <c r="K42" s="3">
        <v>2.1711282258183995</v>
      </c>
      <c r="L42" s="3">
        <v>1.963282570287068</v>
      </c>
      <c r="M42" s="3">
        <v>1.780297241440544</v>
      </c>
      <c r="N42" s="3">
        <v>0.93680572276030416</v>
      </c>
      <c r="O42" s="3">
        <v>0.89692753078370691</v>
      </c>
      <c r="P42" s="3">
        <v>0.36286794018373131</v>
      </c>
      <c r="Q42" s="3">
        <v>0</v>
      </c>
    </row>
    <row r="43" spans="1:17" x14ac:dyDescent="0.2">
      <c r="A43" s="2">
        <v>39</v>
      </c>
      <c r="B43" s="2">
        <f t="shared" ca="1" si="2"/>
        <v>-0.50507410818897258</v>
      </c>
      <c r="F43" s="4">
        <v>39</v>
      </c>
      <c r="G43" s="3">
        <v>3.9600000000000004</v>
      </c>
      <c r="H43" s="3">
        <v>3.7052924390791784</v>
      </c>
      <c r="I43" s="3">
        <v>3.0861231160831029</v>
      </c>
      <c r="J43" s="3">
        <v>2.8374093934979561</v>
      </c>
      <c r="K43" s="3">
        <v>2.2244514744372101</v>
      </c>
      <c r="L43" s="3">
        <v>1.8392689349490146</v>
      </c>
      <c r="M43" s="3">
        <v>1.5534769923043477</v>
      </c>
      <c r="N43" s="3">
        <v>1.3753158758711042</v>
      </c>
      <c r="O43" s="3">
        <v>0.66496812919587878</v>
      </c>
      <c r="P43" s="3">
        <v>0.79719733543132409</v>
      </c>
      <c r="Q43" s="3">
        <v>0</v>
      </c>
    </row>
    <row r="44" spans="1:17" x14ac:dyDescent="0.2">
      <c r="A44" s="2">
        <v>40</v>
      </c>
      <c r="B44" s="2">
        <f t="shared" ca="1" si="2"/>
        <v>1.3290179164203748</v>
      </c>
      <c r="F44" s="4">
        <v>40</v>
      </c>
      <c r="G44" s="3">
        <v>3.96</v>
      </c>
      <c r="H44" s="3">
        <v>3.5990959352213765</v>
      </c>
      <c r="I44" s="3">
        <v>3.3908391036315884</v>
      </c>
      <c r="J44" s="3">
        <v>2.5842258635333866</v>
      </c>
      <c r="K44" s="3">
        <v>2.5131274819199394</v>
      </c>
      <c r="L44" s="3">
        <v>1.8993732439646935</v>
      </c>
      <c r="M44" s="3">
        <v>1.3714053764035672</v>
      </c>
      <c r="N44" s="3">
        <v>1.1561452906548797</v>
      </c>
      <c r="O44" s="3">
        <v>1.1536501979118332</v>
      </c>
      <c r="P44" s="3">
        <v>0.36073069752911241</v>
      </c>
      <c r="Q44" s="3">
        <v>0</v>
      </c>
    </row>
    <row r="45" spans="1:17" x14ac:dyDescent="0.2">
      <c r="A45" s="2">
        <v>41</v>
      </c>
      <c r="B45" s="2">
        <f t="shared" ca="1" si="2"/>
        <v>-0.29069086166435254</v>
      </c>
      <c r="F45" s="4">
        <v>41</v>
      </c>
      <c r="G45" s="3">
        <v>3.96</v>
      </c>
      <c r="H45" s="3">
        <v>3.4702576830424006</v>
      </c>
      <c r="I45" s="3">
        <v>3.0941612724682597</v>
      </c>
      <c r="J45" s="3">
        <v>3.1317108892207814</v>
      </c>
      <c r="K45" s="3">
        <v>2.0319503587510868</v>
      </c>
      <c r="L45" s="3">
        <v>1.7836103302917965</v>
      </c>
      <c r="M45" s="3">
        <v>1.4144282973535596</v>
      </c>
      <c r="N45" s="3">
        <v>1.1483059971663001</v>
      </c>
      <c r="O45" s="3">
        <v>0.80520051017648919</v>
      </c>
      <c r="P45" s="3">
        <v>0.34234283947363747</v>
      </c>
      <c r="Q45" s="3">
        <v>0</v>
      </c>
    </row>
    <row r="46" spans="1:17" x14ac:dyDescent="0.2">
      <c r="A46" s="2">
        <v>42</v>
      </c>
      <c r="B46" s="2">
        <f t="shared" ca="1" si="2"/>
        <v>-0.80940228421134375</v>
      </c>
      <c r="F46" s="4">
        <v>42</v>
      </c>
      <c r="G46" s="3">
        <v>3.96</v>
      </c>
      <c r="H46" s="3">
        <v>3.3988810724124847</v>
      </c>
      <c r="I46" s="3">
        <v>2.6733682491667978</v>
      </c>
      <c r="J46" s="3">
        <v>2.7190556672979822</v>
      </c>
      <c r="K46" s="3">
        <v>2.3799644783314018</v>
      </c>
      <c r="L46" s="3">
        <v>2.2491819674936786</v>
      </c>
      <c r="M46" s="3">
        <v>1.78019902007991</v>
      </c>
      <c r="N46" s="3">
        <v>0.78118258035510646</v>
      </c>
      <c r="O46" s="3">
        <v>0.61795445904364488</v>
      </c>
      <c r="P46" s="3">
        <v>0.71806121374339926</v>
      </c>
      <c r="Q46" s="3">
        <v>0</v>
      </c>
    </row>
    <row r="47" spans="1:17" x14ac:dyDescent="0.2">
      <c r="A47" s="2">
        <v>43</v>
      </c>
      <c r="B47" s="2">
        <f t="shared" ca="1" si="2"/>
        <v>-2.1814330971181319</v>
      </c>
      <c r="F47" s="4">
        <v>43</v>
      </c>
      <c r="G47" s="3">
        <v>3.9600000000000004</v>
      </c>
      <c r="H47" s="3">
        <v>3.5790567142134622</v>
      </c>
      <c r="I47" s="3">
        <v>3.0778943259367941</v>
      </c>
      <c r="J47" s="3">
        <v>2.6458334523073535</v>
      </c>
      <c r="K47" s="3">
        <v>2.8745525535154881</v>
      </c>
      <c r="L47" s="3">
        <v>1.915042823515636</v>
      </c>
      <c r="M47" s="3">
        <v>1.5332981281958127</v>
      </c>
      <c r="N47" s="3">
        <v>1.2832424694625666</v>
      </c>
      <c r="O47" s="3">
        <v>0.85864521815269901</v>
      </c>
      <c r="P47" s="3">
        <v>0.46724972259650011</v>
      </c>
      <c r="Q47" s="3">
        <v>0</v>
      </c>
    </row>
    <row r="48" spans="1:17" x14ac:dyDescent="0.2">
      <c r="A48" s="2">
        <v>44</v>
      </c>
      <c r="B48" s="2">
        <f t="shared" ca="1" si="2"/>
        <v>-0.5273569228347551</v>
      </c>
      <c r="F48" s="4">
        <v>44</v>
      </c>
      <c r="G48" s="3">
        <v>3.9599999999999995</v>
      </c>
      <c r="H48" s="3">
        <v>3.4727931735402171</v>
      </c>
      <c r="I48" s="3">
        <v>3.2872127480582298</v>
      </c>
      <c r="J48" s="3">
        <v>2.5443133430779881</v>
      </c>
      <c r="K48" s="3">
        <v>2.5436408109278603</v>
      </c>
      <c r="L48" s="3">
        <v>1.7398518283854383</v>
      </c>
      <c r="M48" s="3">
        <v>1.603483090966404</v>
      </c>
      <c r="N48" s="3">
        <v>1.0662745246214111</v>
      </c>
      <c r="O48" s="3">
        <v>0.68872774159466432</v>
      </c>
      <c r="P48" s="3">
        <v>0.36021190728625047</v>
      </c>
      <c r="Q48" s="3">
        <v>0</v>
      </c>
    </row>
    <row r="49" spans="1:17" x14ac:dyDescent="0.2">
      <c r="A49" s="2">
        <v>45</v>
      </c>
      <c r="B49" s="2">
        <f t="shared" ca="1" si="2"/>
        <v>-0.19757666106991792</v>
      </c>
      <c r="F49" s="4">
        <v>45</v>
      </c>
      <c r="G49" s="3">
        <v>3.96</v>
      </c>
      <c r="H49" s="3">
        <v>3.4525115138725457</v>
      </c>
      <c r="I49" s="3">
        <v>3.0545245034931594</v>
      </c>
      <c r="J49" s="3">
        <v>2.5892470747825658</v>
      </c>
      <c r="K49" s="3">
        <v>2.3983343763184792</v>
      </c>
      <c r="L49" s="3">
        <v>1.7784140057943552</v>
      </c>
      <c r="M49" s="3">
        <v>1.4802595649760757</v>
      </c>
      <c r="N49" s="3">
        <v>1.0659126050905088</v>
      </c>
      <c r="O49" s="3">
        <v>0.7517166598702697</v>
      </c>
      <c r="P49" s="3">
        <v>0.44384693553596949</v>
      </c>
      <c r="Q49" s="3">
        <v>0</v>
      </c>
    </row>
    <row r="50" spans="1:17" x14ac:dyDescent="0.2">
      <c r="A50" s="2">
        <v>46</v>
      </c>
      <c r="B50" s="2">
        <f t="shared" ca="1" si="2"/>
        <v>-0.22229695203598382</v>
      </c>
      <c r="F50" s="4">
        <v>46</v>
      </c>
      <c r="G50" s="3">
        <v>3.9600000000000004</v>
      </c>
      <c r="H50" s="3">
        <v>3.407963139165735</v>
      </c>
      <c r="I50" s="3">
        <v>3.174873716279758</v>
      </c>
      <c r="J50" s="3">
        <v>2.7552903619743252</v>
      </c>
      <c r="K50" s="3">
        <v>2.4169994009419344</v>
      </c>
      <c r="L50" s="3">
        <v>2.3536049048254273</v>
      </c>
      <c r="M50" s="3">
        <v>1.9607708654851961</v>
      </c>
      <c r="N50" s="3">
        <v>0.90519841006548629</v>
      </c>
      <c r="O50" s="3">
        <v>0.69907996999152988</v>
      </c>
      <c r="P50" s="3">
        <v>0.41899157723747915</v>
      </c>
      <c r="Q50" s="3">
        <v>0</v>
      </c>
    </row>
    <row r="51" spans="1:17" x14ac:dyDescent="0.2">
      <c r="A51" s="2">
        <v>47</v>
      </c>
      <c r="B51" s="2">
        <f t="shared" ca="1" si="2"/>
        <v>-0.19126478249847276</v>
      </c>
      <c r="F51" s="4">
        <v>47</v>
      </c>
      <c r="G51" s="3">
        <v>3.96</v>
      </c>
      <c r="H51" s="3">
        <v>3.2640304705045122</v>
      </c>
      <c r="I51" s="3">
        <v>3.2974040827686246</v>
      </c>
      <c r="J51" s="3">
        <v>2.6774445495272294</v>
      </c>
      <c r="K51" s="3">
        <v>2.2655145100572445</v>
      </c>
      <c r="L51" s="3">
        <v>2.1252583051335603</v>
      </c>
      <c r="M51" s="3">
        <v>1.7353555539271368</v>
      </c>
      <c r="N51" s="3">
        <v>0.80010299208146551</v>
      </c>
      <c r="O51" s="3">
        <v>0.66757969961302988</v>
      </c>
      <c r="P51" s="3">
        <v>0.6480870598817865</v>
      </c>
      <c r="Q51" s="3">
        <v>0</v>
      </c>
    </row>
    <row r="52" spans="1:17" x14ac:dyDescent="0.2">
      <c r="A52" s="2">
        <v>48</v>
      </c>
      <c r="B52" s="2">
        <f t="shared" ca="1" si="2"/>
        <v>0.12988008956830094</v>
      </c>
      <c r="F52" s="4">
        <v>48</v>
      </c>
      <c r="G52" s="3">
        <v>3.96</v>
      </c>
      <c r="H52" s="3">
        <v>3.509002366071106</v>
      </c>
      <c r="I52" s="3">
        <v>3.2247048399848772</v>
      </c>
      <c r="J52" s="3">
        <v>2.5162277791753884</v>
      </c>
      <c r="K52" s="3">
        <v>2.5973528191793736</v>
      </c>
      <c r="L52" s="3">
        <v>2.338511597003309</v>
      </c>
      <c r="M52" s="3">
        <v>1.431476111675305</v>
      </c>
      <c r="N52" s="3">
        <v>1.160864437869326</v>
      </c>
      <c r="O52" s="3">
        <v>0.80649089663579743</v>
      </c>
      <c r="P52" s="3">
        <v>0.55604036486217046</v>
      </c>
      <c r="Q52" s="3">
        <v>0</v>
      </c>
    </row>
    <row r="53" spans="1:17" x14ac:dyDescent="0.2">
      <c r="A53" s="2">
        <v>49</v>
      </c>
      <c r="B53" s="2">
        <f t="shared" ca="1" si="2"/>
        <v>1.5693568895491249E-2</v>
      </c>
      <c r="F53" s="4">
        <v>49</v>
      </c>
      <c r="G53" s="3">
        <v>3.96</v>
      </c>
      <c r="H53" s="3">
        <v>3.2617979910311732</v>
      </c>
      <c r="I53" s="3">
        <v>3.1388728406716018</v>
      </c>
      <c r="J53" s="3">
        <v>2.7311660681901735</v>
      </c>
      <c r="K53" s="3">
        <v>2.750240065680142</v>
      </c>
      <c r="L53" s="3">
        <v>2.0167077504583606</v>
      </c>
      <c r="M53" s="3">
        <v>1.9132454959942151</v>
      </c>
      <c r="N53" s="3">
        <v>1.4095789200663997</v>
      </c>
      <c r="O53" s="3">
        <v>0.72897916147744779</v>
      </c>
      <c r="P53" s="3">
        <v>0.28471963168664843</v>
      </c>
      <c r="Q53" s="3">
        <v>0</v>
      </c>
    </row>
    <row r="54" spans="1:17" x14ac:dyDescent="0.2">
      <c r="A54" s="2">
        <v>50</v>
      </c>
      <c r="B54" s="2">
        <f t="shared" ca="1" si="2"/>
        <v>-0.18910524966387124</v>
      </c>
      <c r="F54" s="4">
        <v>50</v>
      </c>
      <c r="G54" s="3">
        <v>3.9600000000000004</v>
      </c>
      <c r="H54" s="3">
        <v>3.610505262853152</v>
      </c>
      <c r="I54" s="3">
        <v>2.5542792507684076</v>
      </c>
      <c r="J54" s="3">
        <v>2.6898602545356041</v>
      </c>
      <c r="K54" s="3">
        <v>2.2190756293631595</v>
      </c>
      <c r="L54" s="3">
        <v>1.9270724622443742</v>
      </c>
      <c r="M54" s="3">
        <v>1.518045762822529</v>
      </c>
      <c r="N54" s="3">
        <v>1.1865250419156521</v>
      </c>
      <c r="O54" s="3">
        <v>0.70793220994235528</v>
      </c>
      <c r="P54" s="3">
        <v>0.43685569116097311</v>
      </c>
      <c r="Q54" s="3">
        <v>0</v>
      </c>
    </row>
    <row r="55" spans="1:17" x14ac:dyDescent="0.2">
      <c r="A55" s="2">
        <v>51</v>
      </c>
      <c r="B55" s="2">
        <f t="shared" ca="1" si="2"/>
        <v>3.7424959748706146E-2</v>
      </c>
      <c r="F55" s="4">
        <v>51</v>
      </c>
      <c r="G55" s="3">
        <v>3.96</v>
      </c>
      <c r="H55" s="3">
        <v>3.6260693864008116</v>
      </c>
      <c r="I55" s="3">
        <v>3.0359001198002007</v>
      </c>
      <c r="J55" s="3">
        <v>2.7962633487567348</v>
      </c>
      <c r="K55" s="3">
        <v>2.3973982313599205</v>
      </c>
      <c r="L55" s="3">
        <v>1.9955005078568522</v>
      </c>
      <c r="M55" s="3">
        <v>1.8516471771256686</v>
      </c>
      <c r="N55" s="3">
        <v>1.6202064628278683</v>
      </c>
      <c r="O55" s="3">
        <v>0.72223963222049481</v>
      </c>
      <c r="P55" s="3">
        <v>0.46505037566081453</v>
      </c>
      <c r="Q55" s="3">
        <v>0</v>
      </c>
    </row>
    <row r="56" spans="1:17" x14ac:dyDescent="0.2">
      <c r="A56" s="2">
        <v>52</v>
      </c>
      <c r="B56" s="2">
        <f t="shared" ca="1" si="2"/>
        <v>0.65818590474088379</v>
      </c>
      <c r="F56" s="4">
        <v>52</v>
      </c>
      <c r="G56" s="3">
        <v>3.96</v>
      </c>
      <c r="H56" s="3">
        <v>3.5197877937037241</v>
      </c>
      <c r="I56" s="3">
        <v>3.0254802222745543</v>
      </c>
      <c r="J56" s="3">
        <v>2.6560363455788183</v>
      </c>
      <c r="K56" s="3">
        <v>2.1503189556954312</v>
      </c>
      <c r="L56" s="3">
        <v>2.0798522632381302</v>
      </c>
      <c r="M56" s="3">
        <v>1.6403416613106445</v>
      </c>
      <c r="N56" s="3">
        <v>1.2859044026127144</v>
      </c>
      <c r="O56" s="3">
        <v>0.92512890845859097</v>
      </c>
      <c r="P56" s="3">
        <v>0.31391955607588595</v>
      </c>
      <c r="Q56" s="3">
        <v>0</v>
      </c>
    </row>
    <row r="57" spans="1:17" x14ac:dyDescent="0.2">
      <c r="A57" s="2">
        <v>53</v>
      </c>
      <c r="B57" s="2">
        <f t="shared" ca="1" si="2"/>
        <v>0.61920945842168562</v>
      </c>
      <c r="F57" s="4">
        <v>53</v>
      </c>
      <c r="G57" s="3">
        <v>3.9600000000000004</v>
      </c>
      <c r="H57" s="3">
        <v>3.5244200248522604</v>
      </c>
      <c r="I57" s="3">
        <v>3.4560016748554498</v>
      </c>
      <c r="J57" s="3">
        <v>2.5405866279963001</v>
      </c>
      <c r="K57" s="3">
        <v>2.4868631583827132</v>
      </c>
      <c r="L57" s="3">
        <v>1.8707636751010372</v>
      </c>
      <c r="M57" s="3">
        <v>1.5903988390211417</v>
      </c>
      <c r="N57" s="3">
        <v>0.95426936556768993</v>
      </c>
      <c r="O57" s="3">
        <v>0.79256188723101995</v>
      </c>
      <c r="P57" s="3">
        <v>0.35352282686477182</v>
      </c>
      <c r="Q57" s="3">
        <v>0</v>
      </c>
    </row>
    <row r="58" spans="1:17" x14ac:dyDescent="0.2">
      <c r="A58" s="2">
        <v>54</v>
      </c>
      <c r="B58" s="2">
        <f t="shared" ca="1" si="2"/>
        <v>4.4241500551194746E-2</v>
      </c>
      <c r="F58" s="4">
        <v>54</v>
      </c>
      <c r="G58" s="3">
        <v>3.96</v>
      </c>
      <c r="H58" s="3">
        <v>3.4251401973391942</v>
      </c>
      <c r="I58" s="3">
        <v>3.1804344138108473</v>
      </c>
      <c r="J58" s="3">
        <v>3.1038646964069274</v>
      </c>
      <c r="K58" s="3">
        <v>2.312525162999401</v>
      </c>
      <c r="L58" s="3">
        <v>1.9866692990383046</v>
      </c>
      <c r="M58" s="3">
        <v>1.8968063514020512</v>
      </c>
      <c r="N58" s="3">
        <v>0.99098251206330301</v>
      </c>
      <c r="O58" s="3">
        <v>0.57200707093285175</v>
      </c>
      <c r="P58" s="3">
        <v>0.29414708992921185</v>
      </c>
      <c r="Q58" s="3">
        <v>0</v>
      </c>
    </row>
    <row r="59" spans="1:17" x14ac:dyDescent="0.2">
      <c r="A59" s="2">
        <v>55</v>
      </c>
      <c r="B59" s="2">
        <f t="shared" ca="1" si="2"/>
        <v>0.70437771966914675</v>
      </c>
      <c r="F59" s="4">
        <v>55</v>
      </c>
      <c r="G59" s="3">
        <v>3.96</v>
      </c>
      <c r="H59" s="3">
        <v>3.5838552547552611</v>
      </c>
      <c r="I59" s="3">
        <v>3.2409878403008743</v>
      </c>
      <c r="J59" s="3">
        <v>2.7846708029309797</v>
      </c>
      <c r="K59" s="3">
        <v>2.0056210281930671</v>
      </c>
      <c r="L59" s="3">
        <v>1.9971374242799573</v>
      </c>
      <c r="M59" s="3">
        <v>1.6880507051059566</v>
      </c>
      <c r="N59" s="3">
        <v>1.0654615900277096</v>
      </c>
      <c r="O59" s="3">
        <v>0.72443694071149722</v>
      </c>
      <c r="P59" s="3">
        <v>0.41097850026342442</v>
      </c>
      <c r="Q59" s="3">
        <v>0</v>
      </c>
    </row>
    <row r="60" spans="1:17" x14ac:dyDescent="0.2">
      <c r="A60" s="2">
        <v>56</v>
      </c>
      <c r="B60" s="2">
        <f t="shared" ca="1" si="2"/>
        <v>7.1700732865741523E-3</v>
      </c>
      <c r="F60" s="4">
        <v>56</v>
      </c>
      <c r="G60" s="3">
        <v>3.9600000000000004</v>
      </c>
      <c r="H60" s="3">
        <v>3.5219722706331962</v>
      </c>
      <c r="I60" s="3">
        <v>3.1661250767069773</v>
      </c>
      <c r="J60" s="3">
        <v>2.7438357436685963</v>
      </c>
      <c r="K60" s="3">
        <v>2.4601293621317737</v>
      </c>
      <c r="L60" s="3">
        <v>2.0750562165113946</v>
      </c>
      <c r="M60" s="3">
        <v>1.1829688490827655</v>
      </c>
      <c r="N60" s="3">
        <v>1.1196293425938608</v>
      </c>
      <c r="O60" s="3">
        <v>0.70658433881581462</v>
      </c>
      <c r="P60" s="3">
        <v>0.59311907808941622</v>
      </c>
      <c r="Q60" s="3">
        <v>0</v>
      </c>
    </row>
    <row r="61" spans="1:17" x14ac:dyDescent="0.2">
      <c r="A61" s="2">
        <v>57</v>
      </c>
      <c r="B61" s="2">
        <f t="shared" ca="1" si="2"/>
        <v>-1.1805012152625558</v>
      </c>
      <c r="F61" s="4">
        <v>57</v>
      </c>
      <c r="G61" s="3">
        <v>3.9599999999999995</v>
      </c>
      <c r="H61" s="3">
        <v>3.5479684944037997</v>
      </c>
      <c r="I61" s="3">
        <v>2.6537806819682177</v>
      </c>
      <c r="J61" s="3">
        <v>2.8550277552198868</v>
      </c>
      <c r="K61" s="3">
        <v>1.9963136177895373</v>
      </c>
      <c r="L61" s="3">
        <v>2.0285157083440479</v>
      </c>
      <c r="M61" s="3">
        <v>1.9088166286075603</v>
      </c>
      <c r="N61" s="3">
        <v>1.3908281755687619</v>
      </c>
      <c r="O61" s="3">
        <v>0.83303109561915978</v>
      </c>
      <c r="P61" s="3">
        <v>0.30761341053631214</v>
      </c>
      <c r="Q61" s="3">
        <v>0</v>
      </c>
    </row>
    <row r="62" spans="1:17" x14ac:dyDescent="0.2">
      <c r="A62" s="2">
        <v>58</v>
      </c>
      <c r="B62" s="2">
        <f t="shared" ca="1" si="2"/>
        <v>-0.56183071392851403</v>
      </c>
      <c r="F62" s="4">
        <v>58</v>
      </c>
      <c r="G62" s="3">
        <v>3.96</v>
      </c>
      <c r="H62" s="3">
        <v>3.6177675185912688</v>
      </c>
      <c r="I62" s="3">
        <v>3.4525427920060321</v>
      </c>
      <c r="J62" s="3">
        <v>2.9324333500906974</v>
      </c>
      <c r="K62" s="3">
        <v>2.2369491819587664</v>
      </c>
      <c r="L62" s="3">
        <v>1.9032859880078628</v>
      </c>
      <c r="M62" s="3">
        <v>1.3461276534281046</v>
      </c>
      <c r="N62" s="3">
        <v>1.3331875179570718</v>
      </c>
      <c r="O62" s="3">
        <v>1.1404843812643626</v>
      </c>
      <c r="P62" s="3">
        <v>0.24357720607829758</v>
      </c>
      <c r="Q62" s="3">
        <v>0</v>
      </c>
    </row>
    <row r="63" spans="1:17" x14ac:dyDescent="0.2">
      <c r="A63" s="2">
        <v>59</v>
      </c>
      <c r="B63" s="2">
        <f t="shared" ca="1" si="2"/>
        <v>-0.12475912341720036</v>
      </c>
      <c r="F63" s="4">
        <v>59</v>
      </c>
      <c r="G63" s="3">
        <v>3.9600000000000004</v>
      </c>
      <c r="H63" s="3">
        <v>3.4764719388323844</v>
      </c>
      <c r="I63" s="3">
        <v>3.0741729303916743</v>
      </c>
      <c r="J63" s="3">
        <v>2.5983323535016116</v>
      </c>
      <c r="K63" s="3">
        <v>2.3104151831713686</v>
      </c>
      <c r="L63" s="3">
        <v>2.2041355361627781</v>
      </c>
      <c r="M63" s="3">
        <v>1.6915083130371242</v>
      </c>
      <c r="N63" s="3">
        <v>1.0781936909856138</v>
      </c>
      <c r="O63" s="3">
        <v>1.0377217852680991</v>
      </c>
      <c r="P63" s="3">
        <v>0.33666457421753598</v>
      </c>
      <c r="Q63" s="3">
        <v>0</v>
      </c>
    </row>
    <row r="64" spans="1:17" x14ac:dyDescent="0.2">
      <c r="A64" s="2">
        <v>60</v>
      </c>
      <c r="B64" s="2">
        <f t="shared" ca="1" si="2"/>
        <v>0.64108841703113972</v>
      </c>
      <c r="F64" s="4">
        <v>60</v>
      </c>
      <c r="G64" s="3">
        <v>3.96</v>
      </c>
      <c r="H64" s="3">
        <v>3.6152930866656519</v>
      </c>
      <c r="I64" s="3">
        <v>3.251920121268717</v>
      </c>
      <c r="J64" s="3">
        <v>3.0035192520810061</v>
      </c>
      <c r="K64" s="3">
        <v>2.3055147988344062</v>
      </c>
      <c r="L64" s="3">
        <v>1.8516493025704939</v>
      </c>
      <c r="M64" s="3">
        <v>1.5273676576559128</v>
      </c>
      <c r="N64" s="3">
        <v>1.1053588888626205</v>
      </c>
      <c r="O64" s="3">
        <v>0.68945718940632472</v>
      </c>
      <c r="P64" s="3">
        <v>0.58874890022009008</v>
      </c>
      <c r="Q64" s="3">
        <v>0</v>
      </c>
    </row>
    <row r="65" spans="1:17" x14ac:dyDescent="0.2">
      <c r="A65" s="2">
        <v>61</v>
      </c>
      <c r="B65" s="2">
        <f t="shared" ca="1" si="2"/>
        <v>-0.48023950972743523</v>
      </c>
      <c r="F65" s="4">
        <v>61</v>
      </c>
      <c r="G65" s="3">
        <v>3.9599999999999995</v>
      </c>
      <c r="H65" s="3">
        <v>3.5816604265477174</v>
      </c>
      <c r="I65" s="3">
        <v>2.9908933771773847</v>
      </c>
      <c r="J65" s="3">
        <v>2.5004580883816923</v>
      </c>
      <c r="K65" s="3">
        <v>2.3125784809199499</v>
      </c>
      <c r="L65" s="3">
        <v>2.332978947394972</v>
      </c>
      <c r="M65" s="3">
        <v>1.6568676015721104</v>
      </c>
      <c r="N65" s="3">
        <v>1.297368311515724</v>
      </c>
      <c r="O65" s="3">
        <v>0.96454950678802465</v>
      </c>
      <c r="P65" s="3">
        <v>0.32627244389970361</v>
      </c>
      <c r="Q65" s="3">
        <v>0</v>
      </c>
    </row>
    <row r="66" spans="1:17" x14ac:dyDescent="0.2">
      <c r="A66" s="2">
        <v>62</v>
      </c>
      <c r="B66" s="2">
        <f t="shared" ca="1" si="2"/>
        <v>0.85655251908494801</v>
      </c>
      <c r="F66" s="4">
        <v>62</v>
      </c>
      <c r="G66" s="3">
        <v>3.96</v>
      </c>
      <c r="H66" s="3">
        <v>3.5533655112542784</v>
      </c>
      <c r="I66" s="3">
        <v>3.4630387635751076</v>
      </c>
      <c r="J66" s="3">
        <v>2.7899078869178822</v>
      </c>
      <c r="K66" s="3">
        <v>2.3973842106275183</v>
      </c>
      <c r="L66" s="3">
        <v>1.7037763834586903</v>
      </c>
      <c r="M66" s="3">
        <v>1.5862471176692718</v>
      </c>
      <c r="N66" s="3">
        <v>1.2043269103909664</v>
      </c>
      <c r="O66" s="3">
        <v>0.72993475275827824</v>
      </c>
      <c r="P66" s="3">
        <v>0.23431827645687792</v>
      </c>
      <c r="Q66" s="3">
        <v>0</v>
      </c>
    </row>
    <row r="67" spans="1:17" x14ac:dyDescent="0.2">
      <c r="A67" s="2">
        <v>63</v>
      </c>
      <c r="B67" s="2">
        <f t="shared" ca="1" si="2"/>
        <v>-0.23534941254157088</v>
      </c>
      <c r="F67" s="4">
        <v>63</v>
      </c>
      <c r="G67" s="3">
        <v>3.96</v>
      </c>
      <c r="H67" s="3">
        <v>3.5347613489142127</v>
      </c>
      <c r="I67" s="3">
        <v>3.267635836943759</v>
      </c>
      <c r="J67" s="3">
        <v>2.798423857435913</v>
      </c>
      <c r="K67" s="3">
        <v>2.5319300321091158</v>
      </c>
      <c r="L67" s="3">
        <v>2.179037871459895</v>
      </c>
      <c r="M67" s="3">
        <v>1.9321531640080323</v>
      </c>
      <c r="N67" s="3">
        <v>1.0188499677869745</v>
      </c>
      <c r="O67" s="3">
        <v>1.3365669279984296</v>
      </c>
      <c r="P67" s="3">
        <v>0.55993453169270635</v>
      </c>
      <c r="Q67" s="3">
        <v>0</v>
      </c>
    </row>
    <row r="68" spans="1:17" x14ac:dyDescent="0.2">
      <c r="A68" s="2">
        <v>64</v>
      </c>
      <c r="B68" s="2">
        <f t="shared" ca="1" si="2"/>
        <v>-1.2561377720310485</v>
      </c>
      <c r="F68" s="4">
        <v>64</v>
      </c>
      <c r="G68" s="3">
        <v>3.96</v>
      </c>
      <c r="H68" s="3">
        <v>3.3756085482191582</v>
      </c>
      <c r="I68" s="3">
        <v>3.213303798285132</v>
      </c>
      <c r="J68" s="3">
        <v>2.6495417202064089</v>
      </c>
      <c r="K68" s="3">
        <v>2.3986799952890632</v>
      </c>
      <c r="L68" s="3">
        <v>1.8131743676656675</v>
      </c>
      <c r="M68" s="3">
        <v>1.7591593065636864</v>
      </c>
      <c r="N68" s="3">
        <v>1.0393037515608339</v>
      </c>
      <c r="O68" s="3">
        <v>1.2048382778077962</v>
      </c>
      <c r="P68" s="3">
        <v>0.32925747784494547</v>
      </c>
      <c r="Q68" s="3">
        <v>0</v>
      </c>
    </row>
    <row r="69" spans="1:17" x14ac:dyDescent="0.2">
      <c r="A69" s="2">
        <v>65</v>
      </c>
      <c r="B69" s="2">
        <f t="shared" ca="1" si="2"/>
        <v>-0.47236006908640754</v>
      </c>
      <c r="F69" s="4">
        <v>65</v>
      </c>
      <c r="G69" s="3">
        <v>3.96</v>
      </c>
      <c r="H69" s="3">
        <v>3.591096004057857</v>
      </c>
      <c r="I69" s="3">
        <v>2.8518114342111343</v>
      </c>
      <c r="J69" s="3">
        <v>2.4139756850731704</v>
      </c>
      <c r="K69" s="3">
        <v>2.3491462460285417</v>
      </c>
      <c r="L69" s="3">
        <v>2.1510745511008151</v>
      </c>
      <c r="M69" s="3">
        <v>1.3953440948079845</v>
      </c>
      <c r="N69" s="3">
        <v>1.3980846695194522</v>
      </c>
      <c r="O69" s="3">
        <v>0.8391519529786845</v>
      </c>
      <c r="P69" s="3">
        <v>0.44471551160759232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-0.59036557737237083</v>
      </c>
      <c r="F70" s="4">
        <v>66</v>
      </c>
      <c r="G70" s="3">
        <v>3.96</v>
      </c>
      <c r="H70" s="3">
        <v>3.6546920406110166</v>
      </c>
      <c r="I70" s="3">
        <v>3.1071826048315292</v>
      </c>
      <c r="J70" s="3">
        <v>2.6154111374604421</v>
      </c>
      <c r="K70" s="3">
        <v>2.3455464495199636</v>
      </c>
      <c r="L70" s="3">
        <v>2.0440826375101326</v>
      </c>
      <c r="M70" s="3">
        <v>1.4403375438087687</v>
      </c>
      <c r="N70" s="3">
        <v>1.4811545595959794</v>
      </c>
      <c r="O70" s="3">
        <v>0.68138306746703792</v>
      </c>
      <c r="P70" s="3">
        <v>0.46671251643741718</v>
      </c>
      <c r="Q70" s="3">
        <v>0</v>
      </c>
    </row>
    <row r="71" spans="1:17" x14ac:dyDescent="0.2">
      <c r="A71" s="2">
        <v>67</v>
      </c>
      <c r="B71" s="2">
        <f t="shared" ca="1" si="3"/>
        <v>-0.43411960327320886</v>
      </c>
      <c r="F71" s="4">
        <v>67</v>
      </c>
      <c r="G71" s="3">
        <v>3.96</v>
      </c>
      <c r="H71" s="3">
        <v>3.3302802632020008</v>
      </c>
      <c r="I71" s="3">
        <v>3.1398274653005958</v>
      </c>
      <c r="J71" s="3">
        <v>2.8083821512627121</v>
      </c>
      <c r="K71" s="3">
        <v>2.3201081135738111</v>
      </c>
      <c r="L71" s="3">
        <v>2.1120560444114993</v>
      </c>
      <c r="M71" s="3">
        <v>1.3393384495816778</v>
      </c>
      <c r="N71" s="3">
        <v>1.4964076605455952</v>
      </c>
      <c r="O71" s="3">
        <v>0.71149371542087847</v>
      </c>
      <c r="P71" s="3">
        <v>0.64500562223387636</v>
      </c>
      <c r="Q71" s="3">
        <v>0</v>
      </c>
    </row>
    <row r="72" spans="1:17" x14ac:dyDescent="0.2">
      <c r="A72" s="2">
        <v>68</v>
      </c>
      <c r="B72" s="2">
        <f t="shared" ca="1" si="3"/>
        <v>-0.23049271335248878</v>
      </c>
      <c r="F72" s="4">
        <v>68</v>
      </c>
      <c r="G72" s="3">
        <v>3.96</v>
      </c>
      <c r="H72" s="3">
        <v>3.4442607962917307</v>
      </c>
      <c r="I72" s="3">
        <v>3.3324639578029722</v>
      </c>
      <c r="J72" s="3">
        <v>2.77343345086277</v>
      </c>
      <c r="K72" s="3">
        <v>2.0793262533552865</v>
      </c>
      <c r="L72" s="3">
        <v>1.9887069157390469</v>
      </c>
      <c r="M72" s="3">
        <v>1.3543324497483189</v>
      </c>
      <c r="N72" s="3">
        <v>0.80527191400333431</v>
      </c>
      <c r="O72" s="3">
        <v>0.94802417722579413</v>
      </c>
      <c r="P72" s="3">
        <v>0.3356454854207267</v>
      </c>
      <c r="Q72" s="3">
        <v>0</v>
      </c>
    </row>
    <row r="73" spans="1:17" x14ac:dyDescent="0.2">
      <c r="A73" s="2">
        <v>69</v>
      </c>
      <c r="B73" s="2">
        <f t="shared" ca="1" si="3"/>
        <v>-8.0103068125913918E-2</v>
      </c>
      <c r="F73" s="4">
        <v>69</v>
      </c>
      <c r="G73" s="3">
        <v>3.96</v>
      </c>
      <c r="H73" s="3">
        <v>3.4702283795887263</v>
      </c>
      <c r="I73" s="3">
        <v>3.3644352726090183</v>
      </c>
      <c r="J73" s="3">
        <v>2.9865978677552243</v>
      </c>
      <c r="K73" s="3">
        <v>2.4808389792206236</v>
      </c>
      <c r="L73" s="3">
        <v>1.8627321433221395</v>
      </c>
      <c r="M73" s="3">
        <v>1.5799869467319017</v>
      </c>
      <c r="N73" s="3">
        <v>0.97760217243446246</v>
      </c>
      <c r="O73" s="3">
        <v>0.7414306120145614</v>
      </c>
      <c r="P73" s="3">
        <v>0.43736590398899095</v>
      </c>
      <c r="Q73" s="3">
        <v>0</v>
      </c>
    </row>
    <row r="74" spans="1:17" x14ac:dyDescent="0.2">
      <c r="A74" s="2">
        <v>70</v>
      </c>
      <c r="B74" s="2">
        <f t="shared" ca="1" si="3"/>
        <v>1.277834678566385</v>
      </c>
      <c r="F74" s="4">
        <v>70</v>
      </c>
      <c r="G74" s="3">
        <v>3.9600000000000004</v>
      </c>
      <c r="H74" s="3">
        <v>3.5207372011001765</v>
      </c>
      <c r="I74" s="3">
        <v>3.3265728024017682</v>
      </c>
      <c r="J74" s="3">
        <v>2.9181363489029275</v>
      </c>
      <c r="K74" s="3">
        <v>2.3383824409498573</v>
      </c>
      <c r="L74" s="3">
        <v>1.7943348728906694</v>
      </c>
      <c r="M74" s="3">
        <v>1.6389817619717615</v>
      </c>
      <c r="N74" s="3">
        <v>0.86392431319366236</v>
      </c>
      <c r="O74" s="3">
        <v>0.66531768358318677</v>
      </c>
      <c r="P74" s="3">
        <v>0.38956389270362624</v>
      </c>
      <c r="Q74" s="3">
        <v>0</v>
      </c>
    </row>
    <row r="75" spans="1:17" x14ac:dyDescent="0.2">
      <c r="A75" s="2">
        <v>71</v>
      </c>
      <c r="B75" s="2">
        <f t="shared" ca="1" si="3"/>
        <v>1.8070218985762558</v>
      </c>
      <c r="F75" s="4">
        <v>71</v>
      </c>
      <c r="G75" s="3">
        <v>3.96</v>
      </c>
      <c r="H75" s="3">
        <v>3.6374065229263133</v>
      </c>
      <c r="I75" s="3">
        <v>3.1207011979751753</v>
      </c>
      <c r="J75" s="3">
        <v>3.0592413435368706</v>
      </c>
      <c r="K75" s="3">
        <v>2.2237599385026035</v>
      </c>
      <c r="L75" s="3">
        <v>1.6608719070504991</v>
      </c>
      <c r="M75" s="3">
        <v>1.2622569302172368</v>
      </c>
      <c r="N75" s="3">
        <v>1.0244433403007875</v>
      </c>
      <c r="O75" s="3">
        <v>0.81740449624967304</v>
      </c>
      <c r="P75" s="3">
        <v>0.83404585295102496</v>
      </c>
      <c r="Q75" s="3">
        <v>0</v>
      </c>
    </row>
    <row r="76" spans="1:17" x14ac:dyDescent="0.2">
      <c r="A76" s="2">
        <v>72</v>
      </c>
      <c r="B76" s="2">
        <f t="shared" ca="1" si="3"/>
        <v>0.62128837401247883</v>
      </c>
      <c r="F76" s="4">
        <v>72</v>
      </c>
      <c r="G76" s="3">
        <v>3.9600000000000004</v>
      </c>
      <c r="H76" s="3">
        <v>3.5745142338045208</v>
      </c>
      <c r="I76" s="3">
        <v>2.8236623845879887</v>
      </c>
      <c r="J76" s="3">
        <v>2.6510346801359406</v>
      </c>
      <c r="K76" s="3">
        <v>2.445498834387128</v>
      </c>
      <c r="L76" s="3">
        <v>2.0851170002777191</v>
      </c>
      <c r="M76" s="3">
        <v>1.4914163966764671</v>
      </c>
      <c r="N76" s="3">
        <v>1.1871527294571194</v>
      </c>
      <c r="O76" s="3">
        <v>0.83657168510562518</v>
      </c>
      <c r="P76" s="3">
        <v>0.3952862600346444</v>
      </c>
      <c r="Q76" s="3">
        <v>0</v>
      </c>
    </row>
    <row r="77" spans="1:17" x14ac:dyDescent="0.2">
      <c r="A77" s="2">
        <v>73</v>
      </c>
      <c r="B77" s="2">
        <f t="shared" ca="1" si="3"/>
        <v>0.34757267033160366</v>
      </c>
      <c r="F77" s="4">
        <v>73</v>
      </c>
      <c r="G77" s="3">
        <v>3.96</v>
      </c>
      <c r="H77" s="3">
        <v>3.2799499651324266</v>
      </c>
      <c r="I77" s="3">
        <v>3.3679810803354293</v>
      </c>
      <c r="J77" s="3">
        <v>2.561381198625702</v>
      </c>
      <c r="K77" s="3">
        <v>2.6718859392854579</v>
      </c>
      <c r="L77" s="3">
        <v>2.2118409232140936</v>
      </c>
      <c r="M77" s="3">
        <v>1.571488492138607</v>
      </c>
      <c r="N77" s="3">
        <v>1.2690712345316921</v>
      </c>
      <c r="O77" s="3">
        <v>0.89516393802368233</v>
      </c>
      <c r="P77" s="3">
        <v>0.48454743124018956</v>
      </c>
      <c r="Q77" s="3">
        <v>0</v>
      </c>
    </row>
    <row r="78" spans="1:17" x14ac:dyDescent="0.2">
      <c r="A78" s="2">
        <v>74</v>
      </c>
      <c r="B78" s="2">
        <f t="shared" ca="1" si="3"/>
        <v>0.51262396795367149</v>
      </c>
      <c r="F78" s="4">
        <v>74</v>
      </c>
      <c r="G78" s="3">
        <v>3.96</v>
      </c>
      <c r="H78" s="3">
        <v>3.4326483200372495</v>
      </c>
      <c r="I78" s="3">
        <v>3.2997004625957627</v>
      </c>
      <c r="J78" s="3">
        <v>2.7823134996104257</v>
      </c>
      <c r="K78" s="3">
        <v>2.3879155794311293</v>
      </c>
      <c r="L78" s="3">
        <v>2.0443505377966602</v>
      </c>
      <c r="M78" s="3">
        <v>1.4864614810050847</v>
      </c>
      <c r="N78" s="3">
        <v>1.1074602880974127</v>
      </c>
      <c r="O78" s="3">
        <v>0.90987084376944138</v>
      </c>
      <c r="P78" s="3">
        <v>0.41824819466672264</v>
      </c>
      <c r="Q78" s="3">
        <v>0</v>
      </c>
    </row>
    <row r="79" spans="1:17" x14ac:dyDescent="0.2">
      <c r="A79" s="2">
        <v>75</v>
      </c>
      <c r="B79" s="2">
        <f t="shared" ca="1" si="3"/>
        <v>-0.44147337452932423</v>
      </c>
      <c r="F79" s="4">
        <v>75</v>
      </c>
      <c r="G79" s="3">
        <v>3.9600000000000004</v>
      </c>
      <c r="H79" s="3">
        <v>3.6726097786025944</v>
      </c>
      <c r="I79" s="3">
        <v>3.1822289141442091</v>
      </c>
      <c r="J79" s="3">
        <v>2.9554663242269048</v>
      </c>
      <c r="K79" s="3">
        <v>2.3915988638250338</v>
      </c>
      <c r="L79" s="3">
        <v>2.2294679246518614</v>
      </c>
      <c r="M79" s="3">
        <v>1.770877671803877</v>
      </c>
      <c r="N79" s="3">
        <v>1.1559361335644367</v>
      </c>
      <c r="O79" s="3">
        <v>0.58180242159928497</v>
      </c>
      <c r="P79" s="3">
        <v>0.32100952718180453</v>
      </c>
      <c r="Q79" s="3">
        <v>0</v>
      </c>
    </row>
    <row r="80" spans="1:17" x14ac:dyDescent="0.2">
      <c r="A80" s="2">
        <v>76</v>
      </c>
      <c r="B80" s="2">
        <f t="shared" ca="1" si="3"/>
        <v>-0.852790180684318</v>
      </c>
      <c r="F80" s="4">
        <v>76</v>
      </c>
      <c r="G80" s="3">
        <v>3.96</v>
      </c>
      <c r="H80" s="3">
        <v>3.6261776610762744</v>
      </c>
      <c r="I80" s="3">
        <v>3.2155044285295253</v>
      </c>
      <c r="J80" s="3">
        <v>2.2395409834769993</v>
      </c>
      <c r="K80" s="3">
        <v>2.2359696852416096</v>
      </c>
      <c r="L80" s="3">
        <v>1.9450823606188268</v>
      </c>
      <c r="M80" s="3">
        <v>1.58183757182191</v>
      </c>
      <c r="N80" s="3">
        <v>1.0024935329619689</v>
      </c>
      <c r="O80" s="3">
        <v>0.6126676247903412</v>
      </c>
      <c r="P80" s="3">
        <v>0.25294443495089536</v>
      </c>
      <c r="Q80" s="3">
        <v>0</v>
      </c>
    </row>
    <row r="81" spans="1:17" x14ac:dyDescent="0.2">
      <c r="A81" s="2">
        <v>77</v>
      </c>
      <c r="B81" s="2">
        <f t="shared" ca="1" si="3"/>
        <v>-1.1568066667266943</v>
      </c>
      <c r="F81" s="4">
        <v>77</v>
      </c>
      <c r="G81" s="3">
        <v>3.96</v>
      </c>
      <c r="H81" s="3">
        <v>3.4877580466571692</v>
      </c>
      <c r="I81" s="3">
        <v>3.0798377310178928</v>
      </c>
      <c r="J81" s="3">
        <v>2.7451871838159869</v>
      </c>
      <c r="K81" s="3">
        <v>2.2556677263999316</v>
      </c>
      <c r="L81" s="3">
        <v>2.19467725352375</v>
      </c>
      <c r="M81" s="3">
        <v>1.9908190447416538</v>
      </c>
      <c r="N81" s="3">
        <v>1.4174391101714503</v>
      </c>
      <c r="O81" s="3">
        <v>0.64122050981657752</v>
      </c>
      <c r="P81" s="3">
        <v>0.37798956144701645</v>
      </c>
      <c r="Q81" s="3">
        <v>0</v>
      </c>
    </row>
    <row r="82" spans="1:17" x14ac:dyDescent="0.2">
      <c r="A82" s="2">
        <v>78</v>
      </c>
      <c r="B82" s="2">
        <f t="shared" ca="1" si="3"/>
        <v>-1.306677633733581</v>
      </c>
      <c r="F82" s="4">
        <v>78</v>
      </c>
      <c r="G82" s="3">
        <v>3.9599999999999995</v>
      </c>
      <c r="H82" s="3">
        <v>3.4759565603963716</v>
      </c>
      <c r="I82" s="3">
        <v>3.3642893757989674</v>
      </c>
      <c r="J82" s="3">
        <v>2.7165004049871939</v>
      </c>
      <c r="K82" s="3">
        <v>2.3316508397000204</v>
      </c>
      <c r="L82" s="3">
        <v>1.9614848979975998</v>
      </c>
      <c r="M82" s="3">
        <v>1.7496453711050648</v>
      </c>
      <c r="N82" s="3">
        <v>1.3092045100492469</v>
      </c>
      <c r="O82" s="3">
        <v>0.71551643628124828</v>
      </c>
      <c r="P82" s="3">
        <v>0.94162450805804698</v>
      </c>
      <c r="Q82" s="3">
        <v>0</v>
      </c>
    </row>
    <row r="83" spans="1:17" x14ac:dyDescent="0.2">
      <c r="A83" s="2">
        <v>79</v>
      </c>
      <c r="B83" s="2">
        <f t="shared" ca="1" si="3"/>
        <v>-0.81946306437814265</v>
      </c>
      <c r="F83" s="4">
        <v>79</v>
      </c>
      <c r="G83" s="3">
        <v>3.9600000000000004</v>
      </c>
      <c r="H83" s="3">
        <v>3.2765504788217719</v>
      </c>
      <c r="I83" s="3">
        <v>2.8858818688281231</v>
      </c>
      <c r="J83" s="3">
        <v>3.0325763609924263</v>
      </c>
      <c r="K83" s="3">
        <v>2.392193829317665</v>
      </c>
      <c r="L83" s="3">
        <v>2.0288550015487563</v>
      </c>
      <c r="M83" s="3">
        <v>1.7082461360484125</v>
      </c>
      <c r="N83" s="3">
        <v>1.7257242048309707</v>
      </c>
      <c r="O83" s="3">
        <v>0.83871298134104866</v>
      </c>
      <c r="P83" s="3">
        <v>0.41192667146359213</v>
      </c>
      <c r="Q83" s="3">
        <v>0</v>
      </c>
    </row>
    <row r="84" spans="1:17" x14ac:dyDescent="0.2">
      <c r="A84" s="2">
        <v>80</v>
      </c>
      <c r="B84" s="2">
        <f t="shared" ca="1" si="3"/>
        <v>1.5049146471716937</v>
      </c>
      <c r="F84" s="4">
        <v>80</v>
      </c>
      <c r="G84" s="3">
        <v>3.96</v>
      </c>
      <c r="H84" s="3">
        <v>3.4433004754817897</v>
      </c>
      <c r="I84" s="3">
        <v>3.2906245663386735</v>
      </c>
      <c r="J84" s="3">
        <v>2.4731165203446004</v>
      </c>
      <c r="K84" s="3">
        <v>2.4250249777821962</v>
      </c>
      <c r="L84" s="3">
        <v>1.7277193847146208</v>
      </c>
      <c r="M84" s="3">
        <v>1.9149860023974004</v>
      </c>
      <c r="N84" s="3">
        <v>0.98076016441588376</v>
      </c>
      <c r="O84" s="3">
        <v>0.76051217397504944</v>
      </c>
      <c r="P84" s="3">
        <v>0.2530057610894027</v>
      </c>
      <c r="Q84" s="3">
        <v>0</v>
      </c>
    </row>
    <row r="85" spans="1:17" x14ac:dyDescent="0.2">
      <c r="A85" s="2">
        <v>81</v>
      </c>
      <c r="B85" s="2">
        <f t="shared" ca="1" si="3"/>
        <v>0.24228469603021963</v>
      </c>
      <c r="F85" s="4">
        <v>81</v>
      </c>
      <c r="G85" s="3">
        <v>3.96</v>
      </c>
      <c r="H85" s="3">
        <v>3.6113126807495881</v>
      </c>
      <c r="I85" s="3">
        <v>3.086212104240686</v>
      </c>
      <c r="J85" s="3">
        <v>2.8816540794232188</v>
      </c>
      <c r="K85" s="3">
        <v>2.4220905635534318</v>
      </c>
      <c r="L85" s="3">
        <v>1.7340505238476183</v>
      </c>
      <c r="M85" s="3">
        <v>1.2070605914162258</v>
      </c>
      <c r="N85" s="3">
        <v>1.3231497673933277</v>
      </c>
      <c r="O85" s="3">
        <v>0.96085484729931192</v>
      </c>
      <c r="P85" s="3">
        <v>0.7638396025973031</v>
      </c>
      <c r="Q85" s="3">
        <v>0</v>
      </c>
    </row>
    <row r="86" spans="1:17" x14ac:dyDescent="0.2">
      <c r="A86" s="2">
        <v>82</v>
      </c>
      <c r="B86" s="2">
        <f t="shared" ca="1" si="3"/>
        <v>-0.93281351395377288</v>
      </c>
      <c r="F86" s="4">
        <v>82</v>
      </c>
      <c r="G86" s="3">
        <v>3.9600000000000004</v>
      </c>
      <c r="H86" s="3">
        <v>3.4691322533193247</v>
      </c>
      <c r="I86" s="3">
        <v>2.9959348164312054</v>
      </c>
      <c r="J86" s="3">
        <v>2.8824520849289157</v>
      </c>
      <c r="K86" s="3">
        <v>2.5226347594115706</v>
      </c>
      <c r="L86" s="3">
        <v>2.3525601037428521</v>
      </c>
      <c r="M86" s="3">
        <v>1.7318628142304406</v>
      </c>
      <c r="N86" s="3">
        <v>1.1083899527957637</v>
      </c>
      <c r="O86" s="3">
        <v>0.67435809461119578</v>
      </c>
      <c r="P86" s="3">
        <v>0.27878318799639107</v>
      </c>
      <c r="Q86" s="3">
        <v>0</v>
      </c>
    </row>
    <row r="87" spans="1:17" x14ac:dyDescent="0.2">
      <c r="A87" s="2">
        <v>83</v>
      </c>
      <c r="B87" s="2">
        <f t="shared" ca="1" si="3"/>
        <v>-0.12477329177271229</v>
      </c>
      <c r="F87" s="4">
        <v>83</v>
      </c>
      <c r="G87" s="3">
        <v>3.9600000000000004</v>
      </c>
      <c r="H87" s="3">
        <v>3.5827366985043598</v>
      </c>
      <c r="I87" s="3">
        <v>3.138824073305591</v>
      </c>
      <c r="J87" s="3">
        <v>2.4788442356847504</v>
      </c>
      <c r="K87" s="3">
        <v>2.5192458839856111</v>
      </c>
      <c r="L87" s="3">
        <v>1.984306932833656</v>
      </c>
      <c r="M87" s="3">
        <v>1.6818309460803564</v>
      </c>
      <c r="N87" s="3">
        <v>1.672166624640627</v>
      </c>
      <c r="O87" s="3">
        <v>0.9808752044623561</v>
      </c>
      <c r="P87" s="3">
        <v>0.42577550682278065</v>
      </c>
      <c r="Q87" s="3">
        <v>0</v>
      </c>
    </row>
    <row r="88" spans="1:17" x14ac:dyDescent="0.2">
      <c r="A88" s="2">
        <v>84</v>
      </c>
      <c r="B88" s="2">
        <f t="shared" ca="1" si="3"/>
        <v>0.7180891554111023</v>
      </c>
      <c r="F88" s="4">
        <v>84</v>
      </c>
      <c r="G88" s="3">
        <v>3.96</v>
      </c>
      <c r="H88" s="3">
        <v>3.6146273112864944</v>
      </c>
      <c r="I88" s="3">
        <v>3.2054425315248776</v>
      </c>
      <c r="J88" s="3">
        <v>2.5609294873237118</v>
      </c>
      <c r="K88" s="3">
        <v>2.2245178542888526</v>
      </c>
      <c r="L88" s="3">
        <v>1.7590730107603345</v>
      </c>
      <c r="M88" s="3">
        <v>1.6295352454016103</v>
      </c>
      <c r="N88" s="3">
        <v>1.1315275127835585</v>
      </c>
      <c r="O88" s="3">
        <v>0.94201932093676766</v>
      </c>
      <c r="P88" s="3">
        <v>0.31385655309614702</v>
      </c>
      <c r="Q88" s="3">
        <v>0</v>
      </c>
    </row>
    <row r="89" spans="1:17" x14ac:dyDescent="0.2">
      <c r="A89" s="2">
        <v>85</v>
      </c>
      <c r="B89" s="2">
        <f t="shared" ca="1" si="3"/>
        <v>-0.45566685458503914</v>
      </c>
      <c r="F89" s="4">
        <v>85</v>
      </c>
      <c r="G89" s="3">
        <v>3.96</v>
      </c>
      <c r="H89" s="3">
        <v>3.5803661550302857</v>
      </c>
      <c r="I89" s="3">
        <v>3.1254225478305004</v>
      </c>
      <c r="J89" s="3">
        <v>2.6798498433033315</v>
      </c>
      <c r="K89" s="3">
        <v>2.4233239094098864</v>
      </c>
      <c r="L89" s="3">
        <v>2.5008887397184747</v>
      </c>
      <c r="M89" s="3">
        <v>1.4228061868285202</v>
      </c>
      <c r="N89" s="3">
        <v>1.105618691810569</v>
      </c>
      <c r="O89" s="3">
        <v>0.91687842974929146</v>
      </c>
      <c r="P89" s="3">
        <v>0.46699456904169495</v>
      </c>
      <c r="Q89" s="3">
        <v>0</v>
      </c>
    </row>
    <row r="90" spans="1:17" x14ac:dyDescent="0.2">
      <c r="A90" s="2">
        <v>86</v>
      </c>
      <c r="B90" s="2">
        <f t="shared" ca="1" si="3"/>
        <v>2.941718631305365E-2</v>
      </c>
      <c r="F90" s="4">
        <v>86</v>
      </c>
      <c r="G90" s="3">
        <v>3.96</v>
      </c>
      <c r="H90" s="3">
        <v>3.5774680203919091</v>
      </c>
      <c r="I90" s="3">
        <v>3.4992046006557542</v>
      </c>
      <c r="J90" s="3">
        <v>2.7222148381801521</v>
      </c>
      <c r="K90" s="3">
        <v>2.5912099301567149</v>
      </c>
      <c r="L90" s="3">
        <v>2.267560775520554</v>
      </c>
      <c r="M90" s="3">
        <v>1.6173550980489879</v>
      </c>
      <c r="N90" s="3">
        <v>1.0415496580338826</v>
      </c>
      <c r="O90" s="3">
        <v>0.6162326683442565</v>
      </c>
      <c r="P90" s="3">
        <v>0.47424144127109491</v>
      </c>
      <c r="Q90" s="3">
        <v>0</v>
      </c>
    </row>
    <row r="91" spans="1:17" x14ac:dyDescent="0.2">
      <c r="A91" s="2">
        <v>87</v>
      </c>
      <c r="B91" s="2">
        <f t="shared" ca="1" si="3"/>
        <v>0.65249788963015309</v>
      </c>
      <c r="F91" s="4">
        <v>87</v>
      </c>
      <c r="G91" s="3">
        <v>3.96</v>
      </c>
      <c r="H91" s="3">
        <v>3.6302877394368016</v>
      </c>
      <c r="I91" s="3">
        <v>3.0433515509709639</v>
      </c>
      <c r="J91" s="3">
        <v>2.6016007608192506</v>
      </c>
      <c r="K91" s="3">
        <v>1.9118385226161936</v>
      </c>
      <c r="L91" s="3">
        <v>1.9933098577606825</v>
      </c>
      <c r="M91" s="3">
        <v>1.3807964860066302</v>
      </c>
      <c r="N91" s="3">
        <v>1.186859812142236</v>
      </c>
      <c r="O91" s="3">
        <v>0.65524742288064597</v>
      </c>
      <c r="P91" s="3">
        <v>0.27818063626617823</v>
      </c>
      <c r="Q91" s="3">
        <v>0</v>
      </c>
    </row>
    <row r="92" spans="1:17" x14ac:dyDescent="0.2">
      <c r="A92" s="2">
        <v>88</v>
      </c>
      <c r="B92" s="2">
        <f t="shared" ca="1" si="3"/>
        <v>-0.84835401312361203</v>
      </c>
      <c r="F92" s="4">
        <v>88</v>
      </c>
      <c r="G92" s="3">
        <v>3.9599999999999995</v>
      </c>
      <c r="H92" s="3">
        <v>3.492084392620892</v>
      </c>
      <c r="I92" s="3">
        <v>3.2921569663645789</v>
      </c>
      <c r="J92" s="3">
        <v>2.5997803609671712</v>
      </c>
      <c r="K92" s="3">
        <v>2.3765685032036057</v>
      </c>
      <c r="L92" s="3">
        <v>1.7390682537701001</v>
      </c>
      <c r="M92" s="3">
        <v>1.4143463057828241</v>
      </c>
      <c r="N92" s="3">
        <v>1.1121286773749521</v>
      </c>
      <c r="O92" s="3">
        <v>0.59361139771324711</v>
      </c>
      <c r="P92" s="3">
        <v>0.26952880028687937</v>
      </c>
      <c r="Q92" s="3">
        <v>0</v>
      </c>
    </row>
    <row r="93" spans="1:17" x14ac:dyDescent="0.2">
      <c r="A93" s="2">
        <v>89</v>
      </c>
      <c r="B93" s="2">
        <f t="shared" ca="1" si="3"/>
        <v>-0.4676586895483828</v>
      </c>
      <c r="F93" s="4">
        <v>89</v>
      </c>
      <c r="G93" s="3">
        <v>3.96</v>
      </c>
      <c r="H93" s="3">
        <v>3.5557339856066523</v>
      </c>
      <c r="I93" s="3">
        <v>3.1173721691102942</v>
      </c>
      <c r="J93" s="3">
        <v>2.4132229593402097</v>
      </c>
      <c r="K93" s="3">
        <v>2.7433924676755828</v>
      </c>
      <c r="L93" s="3">
        <v>2.1403219431239622</v>
      </c>
      <c r="M93" s="3">
        <v>1.809698190665286</v>
      </c>
      <c r="N93" s="3">
        <v>1.5180499880935938</v>
      </c>
      <c r="O93" s="3">
        <v>0.90837711398384136</v>
      </c>
      <c r="P93" s="3">
        <v>0.35738708430204863</v>
      </c>
      <c r="Q93" s="3">
        <v>0</v>
      </c>
    </row>
    <row r="94" spans="1:17" x14ac:dyDescent="0.2">
      <c r="A94" s="2">
        <v>90</v>
      </c>
      <c r="B94" s="2">
        <f t="shared" ca="1" si="3"/>
        <v>-1.654796986268998</v>
      </c>
      <c r="F94" s="4">
        <v>90</v>
      </c>
      <c r="G94" s="3">
        <v>3.96</v>
      </c>
      <c r="H94" s="3">
        <v>3.4061591478824944</v>
      </c>
      <c r="I94" s="3">
        <v>2.8530967104224776</v>
      </c>
      <c r="J94" s="3">
        <v>2.5973370436534946</v>
      </c>
      <c r="K94" s="3">
        <v>2.7788864278897116</v>
      </c>
      <c r="L94" s="3">
        <v>2.3192399419200447</v>
      </c>
      <c r="M94" s="3">
        <v>1.7773905772030909</v>
      </c>
      <c r="N94" s="3">
        <v>1.2738603399813362</v>
      </c>
      <c r="O94" s="3">
        <v>0.71368573496014587</v>
      </c>
      <c r="P94" s="3">
        <v>0.5002848250169657</v>
      </c>
      <c r="Q94" s="3">
        <v>0</v>
      </c>
    </row>
    <row r="95" spans="1:17" x14ac:dyDescent="0.2">
      <c r="A95" s="2">
        <v>91</v>
      </c>
      <c r="B95" s="2">
        <f t="shared" ca="1" si="3"/>
        <v>-1.6923118276347666</v>
      </c>
      <c r="F95" s="4">
        <v>91</v>
      </c>
      <c r="G95" s="3">
        <v>3.9600000000000004</v>
      </c>
      <c r="H95" s="3">
        <v>3.433230588771639</v>
      </c>
      <c r="I95" s="3">
        <v>3.4289349772270308</v>
      </c>
      <c r="J95" s="3">
        <v>2.8712775904969186</v>
      </c>
      <c r="K95" s="3">
        <v>2.2517427708873177</v>
      </c>
      <c r="L95" s="3">
        <v>2.2138220874798313</v>
      </c>
      <c r="M95" s="3">
        <v>1.3051352653377235</v>
      </c>
      <c r="N95" s="3">
        <v>0.95005373467891785</v>
      </c>
      <c r="O95" s="3">
        <v>0.89236217923893213</v>
      </c>
      <c r="P95" s="3">
        <v>0.43316913466452778</v>
      </c>
      <c r="Q95" s="3">
        <v>0</v>
      </c>
    </row>
    <row r="96" spans="1:17" x14ac:dyDescent="0.2">
      <c r="A96" s="2">
        <v>92</v>
      </c>
      <c r="B96" s="2">
        <f t="shared" ca="1" si="3"/>
        <v>-1.0082793350404915</v>
      </c>
      <c r="F96" s="4">
        <v>92</v>
      </c>
      <c r="G96" s="3">
        <v>3.9600000000000004</v>
      </c>
      <c r="H96" s="3">
        <v>3.4292869810615332</v>
      </c>
      <c r="I96" s="3">
        <v>3.2935813321025078</v>
      </c>
      <c r="J96" s="3">
        <v>2.8507278118549713</v>
      </c>
      <c r="K96" s="3">
        <v>2.1551386488598623</v>
      </c>
      <c r="L96" s="3">
        <v>1.9726875843144225</v>
      </c>
      <c r="M96" s="3">
        <v>1.1078992889184958</v>
      </c>
      <c r="N96" s="3">
        <v>1.4327578781873653</v>
      </c>
      <c r="O96" s="3">
        <v>0.92267280879432889</v>
      </c>
      <c r="P96" s="3">
        <v>0.5158034099443819</v>
      </c>
      <c r="Q96" s="3">
        <v>0</v>
      </c>
    </row>
    <row r="97" spans="1:17" x14ac:dyDescent="0.2">
      <c r="A97" s="2">
        <v>93</v>
      </c>
      <c r="B97" s="2">
        <f t="shared" ca="1" si="3"/>
        <v>0.44980490658443639</v>
      </c>
      <c r="F97" s="4">
        <v>93</v>
      </c>
      <c r="G97" s="3">
        <v>3.9600000000000004</v>
      </c>
      <c r="H97" s="3">
        <v>3.4804487212173645</v>
      </c>
      <c r="I97" s="3">
        <v>3.0308763152296079</v>
      </c>
      <c r="J97" s="3">
        <v>2.7881073614974068</v>
      </c>
      <c r="K97" s="3">
        <v>2.1366356534796305</v>
      </c>
      <c r="L97" s="3">
        <v>2.0058331211067544</v>
      </c>
      <c r="M97" s="3">
        <v>1.7048942307365773</v>
      </c>
      <c r="N97" s="3">
        <v>1.0742483076642906</v>
      </c>
      <c r="O97" s="3">
        <v>0.72231674036396987</v>
      </c>
      <c r="P97" s="3">
        <v>0.32647988026380781</v>
      </c>
      <c r="Q97" s="3">
        <v>0</v>
      </c>
    </row>
    <row r="98" spans="1:17" x14ac:dyDescent="0.2">
      <c r="A98" s="2">
        <v>94</v>
      </c>
      <c r="B98" s="2">
        <f t="shared" ca="1" si="3"/>
        <v>-0.51274142000748757</v>
      </c>
      <c r="F98" s="4">
        <v>94</v>
      </c>
      <c r="G98" s="3">
        <v>3.9600000000000004</v>
      </c>
      <c r="H98" s="3">
        <v>3.6178876821581927</v>
      </c>
      <c r="I98" s="3">
        <v>3.3055763465120398</v>
      </c>
      <c r="J98" s="3">
        <v>2.6799734326069276</v>
      </c>
      <c r="K98" s="3">
        <v>2.5661445907445986</v>
      </c>
      <c r="L98" s="3">
        <v>2.0734530451518003</v>
      </c>
      <c r="M98" s="3">
        <v>1.5927598257411268</v>
      </c>
      <c r="N98" s="3">
        <v>1.095838017745328</v>
      </c>
      <c r="O98" s="3">
        <v>0.58978762382855066</v>
      </c>
      <c r="P98" s="3">
        <v>0.41793823211627329</v>
      </c>
      <c r="Q98" s="3">
        <v>0</v>
      </c>
    </row>
    <row r="99" spans="1:17" x14ac:dyDescent="0.2">
      <c r="A99" s="2">
        <v>95</v>
      </c>
      <c r="B99" s="2">
        <f t="shared" ca="1" si="3"/>
        <v>0.11103640295374895</v>
      </c>
      <c r="F99" s="4">
        <v>95</v>
      </c>
      <c r="G99" s="3">
        <v>3.96</v>
      </c>
      <c r="H99" s="3">
        <v>3.3753092680537038</v>
      </c>
      <c r="I99" s="3">
        <v>3.2049812829079083</v>
      </c>
      <c r="J99" s="3">
        <v>2.6452416228101754</v>
      </c>
      <c r="K99" s="3">
        <v>2.482469498375091</v>
      </c>
      <c r="L99" s="3">
        <v>1.9679709472745248</v>
      </c>
      <c r="M99" s="3">
        <v>1.6865925597461862</v>
      </c>
      <c r="N99" s="3">
        <v>1.2046332665366197</v>
      </c>
      <c r="O99" s="3">
        <v>0.77358575483277459</v>
      </c>
      <c r="P99" s="3">
        <v>0.5529079146789958</v>
      </c>
      <c r="Q99" s="3">
        <v>0</v>
      </c>
    </row>
    <row r="100" spans="1:17" x14ac:dyDescent="0.2">
      <c r="A100" s="2">
        <v>96</v>
      </c>
      <c r="B100" s="2">
        <f t="shared" ca="1" si="3"/>
        <v>-0.8030061836901693</v>
      </c>
      <c r="F100" s="4">
        <v>96</v>
      </c>
      <c r="G100" s="3">
        <v>3.9599999999999995</v>
      </c>
      <c r="H100" s="3">
        <v>3.5039033989098014</v>
      </c>
      <c r="I100" s="3">
        <v>2.9466213000073394</v>
      </c>
      <c r="J100" s="3">
        <v>2.55986622900698</v>
      </c>
      <c r="K100" s="3">
        <v>1.9534920927770829</v>
      </c>
      <c r="L100" s="3">
        <v>2.2527491139981843</v>
      </c>
      <c r="M100" s="3">
        <v>1.0714569126661035</v>
      </c>
      <c r="N100" s="3">
        <v>1.1928417534367386</v>
      </c>
      <c r="O100" s="3">
        <v>0.75117070509830486</v>
      </c>
      <c r="P100" s="3">
        <v>0.32769781970993905</v>
      </c>
      <c r="Q100" s="3">
        <v>0</v>
      </c>
    </row>
    <row r="101" spans="1:17" x14ac:dyDescent="0.2">
      <c r="A101" s="2">
        <v>97</v>
      </c>
      <c r="B101" s="2">
        <f t="shared" ca="1" si="3"/>
        <v>0.29052833806105666</v>
      </c>
      <c r="F101" s="4">
        <v>97</v>
      </c>
      <c r="G101" s="3">
        <v>3.96</v>
      </c>
      <c r="H101" s="3">
        <v>3.6085603267894091</v>
      </c>
      <c r="I101" s="3">
        <v>3.4134555381890945</v>
      </c>
      <c r="J101" s="3">
        <v>2.8700598171899143</v>
      </c>
      <c r="K101" s="3">
        <v>2.3432836795067273</v>
      </c>
      <c r="L101" s="3">
        <v>1.9089645846147083</v>
      </c>
      <c r="M101" s="3">
        <v>1.6785838562178512</v>
      </c>
      <c r="N101" s="3">
        <v>0.93040078765667644</v>
      </c>
      <c r="O101" s="3">
        <v>0.89005173465309362</v>
      </c>
      <c r="P101" s="3">
        <v>0.2956128021795027</v>
      </c>
      <c r="Q101" s="3">
        <v>0</v>
      </c>
    </row>
    <row r="102" spans="1:17" x14ac:dyDescent="0.2">
      <c r="A102" s="2">
        <v>98</v>
      </c>
      <c r="B102" s="2">
        <f t="shared" ca="1" si="3"/>
        <v>-4.8837361929826045E-2</v>
      </c>
      <c r="F102" s="4">
        <v>98</v>
      </c>
      <c r="G102" s="3">
        <v>3.96</v>
      </c>
      <c r="H102" s="3">
        <v>3.4218353018988323</v>
      </c>
      <c r="I102" s="3">
        <v>3.2297037322322497</v>
      </c>
      <c r="J102" s="3">
        <v>2.7217280341072381</v>
      </c>
      <c r="K102" s="3">
        <v>2.3162198853235538</v>
      </c>
      <c r="L102" s="3">
        <v>1.6188184637896876</v>
      </c>
      <c r="M102" s="3">
        <v>1.6799181734862392</v>
      </c>
      <c r="N102" s="3">
        <v>1.1660920300496223</v>
      </c>
      <c r="O102" s="3">
        <v>0.96075000331686777</v>
      </c>
      <c r="P102" s="3">
        <v>0.37190136536723661</v>
      </c>
      <c r="Q102" s="3">
        <v>0</v>
      </c>
    </row>
    <row r="103" spans="1:17" x14ac:dyDescent="0.2">
      <c r="A103" s="2">
        <v>99</v>
      </c>
      <c r="B103" s="2">
        <f t="shared" ca="1" si="3"/>
        <v>0.198964137638109</v>
      </c>
      <c r="F103" s="4">
        <v>99</v>
      </c>
      <c r="G103" s="3">
        <v>3.9600000000000004</v>
      </c>
      <c r="H103" s="3">
        <v>3.0955876549006835</v>
      </c>
      <c r="I103" s="3">
        <v>3.2280049410305987</v>
      </c>
      <c r="J103" s="3">
        <v>2.959194312098552</v>
      </c>
      <c r="K103" s="3">
        <v>2.2524829732448017</v>
      </c>
      <c r="L103" s="3">
        <v>1.8820827199915744</v>
      </c>
      <c r="M103" s="3">
        <v>1.6995101847610576</v>
      </c>
      <c r="N103" s="3">
        <v>1.0645965225844358</v>
      </c>
      <c r="O103" s="3">
        <v>1.216704216484596</v>
      </c>
      <c r="P103" s="3">
        <v>0.32415790704072289</v>
      </c>
      <c r="Q103" s="3">
        <v>0</v>
      </c>
    </row>
    <row r="104" spans="1:17" x14ac:dyDescent="0.2">
      <c r="A104" s="2">
        <v>100</v>
      </c>
      <c r="B104" s="2">
        <f t="shared" ca="1" si="3"/>
        <v>1.8714409936994428E-2</v>
      </c>
      <c r="F104" s="4">
        <v>100</v>
      </c>
      <c r="G104" s="3">
        <v>3.9599999999999995</v>
      </c>
      <c r="H104" s="3">
        <v>3.4362931568129649</v>
      </c>
      <c r="I104" s="3">
        <v>3.3416646494100495</v>
      </c>
      <c r="J104" s="3">
        <v>2.6677370983428395</v>
      </c>
      <c r="K104" s="3">
        <v>2.3273600894759685</v>
      </c>
      <c r="L104" s="3">
        <v>2.0012677779007118</v>
      </c>
      <c r="M104" s="3">
        <v>1.9429380389834914</v>
      </c>
      <c r="N104" s="3">
        <v>1.3007117987529471</v>
      </c>
      <c r="O104" s="3">
        <v>0.51939716552941595</v>
      </c>
      <c r="P104" s="3">
        <v>0.18823833063245379</v>
      </c>
      <c r="Q104" s="3">
        <v>0</v>
      </c>
    </row>
  </sheetData>
  <hyperlinks>
    <hyperlink ref="A1" r:id="rId1" xr:uid="{D74C9D9C-9394-3E43-A8BE-2C72E3EA023A}"/>
    <hyperlink ref="A2" r:id="rId2" xr:uid="{69688835-204F-874A-8E89-38647B9F9AD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24</v>
      </c>
    </row>
    <row r="2" spans="1:5" x14ac:dyDescent="0.25">
      <c r="B2" s="8" t="s">
        <v>24</v>
      </c>
    </row>
    <row r="3" spans="1:5" x14ac:dyDescent="0.25">
      <c r="B3" s="9" t="s">
        <v>28</v>
      </c>
      <c r="C3" s="9"/>
    </row>
    <row r="4" spans="1:5" x14ac:dyDescent="0.25">
      <c r="B4" s="8" t="s">
        <v>25</v>
      </c>
    </row>
    <row r="5" spans="1:5" x14ac:dyDescent="0.25">
      <c r="B5" s="8" t="s">
        <v>26</v>
      </c>
    </row>
    <row r="7" spans="1:5" x14ac:dyDescent="0.25">
      <c r="B7" s="11" t="s">
        <v>20</v>
      </c>
      <c r="C7" s="11" t="s">
        <v>21</v>
      </c>
      <c r="E7" s="11" t="s">
        <v>24</v>
      </c>
    </row>
    <row r="8" spans="1:5" x14ac:dyDescent="0.25">
      <c r="B8" s="8" t="s">
        <v>22</v>
      </c>
      <c r="C8" s="8" t="s">
        <v>22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23</v>
      </c>
      <c r="C9" s="8" t="s">
        <v>22</v>
      </c>
    </row>
    <row r="10" spans="1:5" x14ac:dyDescent="0.25">
      <c r="B10" s="8" t="s">
        <v>23</v>
      </c>
      <c r="C10" s="8" t="s">
        <v>22</v>
      </c>
    </row>
    <row r="11" spans="1:5" x14ac:dyDescent="0.25">
      <c r="B11" s="8" t="s">
        <v>23</v>
      </c>
      <c r="C11" s="8" t="s">
        <v>23</v>
      </c>
    </row>
    <row r="12" spans="1:5" x14ac:dyDescent="0.25">
      <c r="B12" s="8" t="s">
        <v>22</v>
      </c>
      <c r="C12" s="8" t="s">
        <v>23</v>
      </c>
    </row>
    <row r="13" spans="1:5" x14ac:dyDescent="0.25">
      <c r="B13" s="8" t="s">
        <v>23</v>
      </c>
      <c r="C13" s="8" t="s">
        <v>23</v>
      </c>
    </row>
    <row r="14" spans="1:5" x14ac:dyDescent="0.25">
      <c r="B14" s="8" t="s">
        <v>22</v>
      </c>
      <c r="C14" s="8" t="s">
        <v>22</v>
      </c>
    </row>
    <row r="15" spans="1:5" x14ac:dyDescent="0.25">
      <c r="B15" s="8" t="s">
        <v>23</v>
      </c>
      <c r="C15" s="8" t="s">
        <v>23</v>
      </c>
    </row>
    <row r="16" spans="1:5" x14ac:dyDescent="0.25">
      <c r="B16" s="8" t="s">
        <v>22</v>
      </c>
      <c r="C16" s="8" t="s">
        <v>22</v>
      </c>
    </row>
    <row r="17" spans="2:3" x14ac:dyDescent="0.25">
      <c r="B17" s="8" t="s">
        <v>23</v>
      </c>
      <c r="C17" s="8" t="s">
        <v>22</v>
      </c>
    </row>
    <row r="18" spans="2:3" x14ac:dyDescent="0.25">
      <c r="B18" s="8" t="s">
        <v>22</v>
      </c>
      <c r="C18" s="8" t="s">
        <v>22</v>
      </c>
    </row>
    <row r="19" spans="2:3" x14ac:dyDescent="0.25">
      <c r="B19" s="8" t="s">
        <v>22</v>
      </c>
      <c r="C19" s="8" t="s">
        <v>22</v>
      </c>
    </row>
    <row r="20" spans="2:3" x14ac:dyDescent="0.25">
      <c r="B20" s="8" t="s">
        <v>22</v>
      </c>
      <c r="C20" s="8" t="s">
        <v>23</v>
      </c>
    </row>
    <row r="21" spans="2:3" x14ac:dyDescent="0.25">
      <c r="B21" s="8" t="s">
        <v>23</v>
      </c>
      <c r="C21" s="8" t="s">
        <v>23</v>
      </c>
    </row>
    <row r="22" spans="2:3" x14ac:dyDescent="0.25">
      <c r="B22" s="8" t="s">
        <v>23</v>
      </c>
      <c r="C22" s="8" t="s">
        <v>22</v>
      </c>
    </row>
    <row r="23" spans="2:3" x14ac:dyDescent="0.25">
      <c r="B23" s="8" t="s">
        <v>22</v>
      </c>
      <c r="C23" s="8" t="s">
        <v>22</v>
      </c>
    </row>
    <row r="24" spans="2:3" x14ac:dyDescent="0.25">
      <c r="B24" s="8" t="s">
        <v>23</v>
      </c>
      <c r="C24" s="8" t="s">
        <v>23</v>
      </c>
    </row>
    <row r="25" spans="2:3" x14ac:dyDescent="0.25">
      <c r="B25" s="8" t="s">
        <v>23</v>
      </c>
      <c r="C25" s="8" t="s">
        <v>23</v>
      </c>
    </row>
    <row r="26" spans="2:3" x14ac:dyDescent="0.25">
      <c r="B26" s="8" t="s">
        <v>22</v>
      </c>
      <c r="C26" s="8" t="s">
        <v>22</v>
      </c>
    </row>
    <row r="27" spans="2:3" x14ac:dyDescent="0.25">
      <c r="B27" s="8" t="s">
        <v>22</v>
      </c>
      <c r="C27" s="8" t="s">
        <v>22</v>
      </c>
    </row>
  </sheetData>
  <hyperlinks>
    <hyperlink ref="B3" r:id="rId1" xr:uid="{FF44839E-5187-E04A-B2FB-DF9FF4B73D53}"/>
    <hyperlink ref="A1" r:id="rId2" xr:uid="{C5755E74-93EB-E445-B79E-22FCC3D017A6}"/>
  </hyperlinks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</v>
      </c>
    </row>
    <row r="2" spans="1:1" x14ac:dyDescent="0.3">
      <c r="A2" s="1" t="s">
        <v>73</v>
      </c>
    </row>
    <row r="3" spans="1:1" x14ac:dyDescent="0.3">
      <c r="A3" s="1" t="s">
        <v>74</v>
      </c>
    </row>
    <row r="4" spans="1:1" x14ac:dyDescent="0.3">
      <c r="A4" s="1" t="s">
        <v>75</v>
      </c>
    </row>
    <row r="5" spans="1:1" x14ac:dyDescent="0.3">
      <c r="A5" s="1" t="s">
        <v>76</v>
      </c>
    </row>
    <row r="6" spans="1:1" x14ac:dyDescent="0.3">
      <c r="A6" s="1" t="s">
        <v>77</v>
      </c>
    </row>
    <row r="7" spans="1:1" x14ac:dyDescent="0.3">
      <c r="A7" s="1" t="s">
        <v>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248</v>
      </c>
    </row>
    <row r="2" spans="1:5" x14ac:dyDescent="0.3">
      <c r="B2" s="17" t="s">
        <v>63</v>
      </c>
      <c r="C2" s="16" t="s">
        <v>62</v>
      </c>
      <c r="D2" s="16" t="s">
        <v>61</v>
      </c>
      <c r="E2" s="16" t="s">
        <v>60</v>
      </c>
    </row>
    <row r="3" spans="1:5" x14ac:dyDescent="0.3">
      <c r="B3" s="1" t="s">
        <v>59</v>
      </c>
      <c r="C3" s="15">
        <f t="shared" ref="C3:C22" ca="1" si="0">RAND()</f>
        <v>0.1450505206338073</v>
      </c>
      <c r="D3" s="15">
        <f ca="1">C3+RAND()*(1-C3)</f>
        <v>0.42968504400541269</v>
      </c>
      <c r="E3" s="15"/>
    </row>
    <row r="4" spans="1:5" x14ac:dyDescent="0.3">
      <c r="B4" s="1" t="s">
        <v>59</v>
      </c>
      <c r="C4" s="15">
        <f t="shared" ca="1" si="0"/>
        <v>0.50085978404214448</v>
      </c>
      <c r="D4" s="15">
        <f t="shared" ref="D4:D12" ca="1" si="1">C4+RAND()*(1-C4)</f>
        <v>0.88551667590313277</v>
      </c>
      <c r="E4" s="15"/>
    </row>
    <row r="5" spans="1:5" x14ac:dyDescent="0.3">
      <c r="B5" s="1" t="s">
        <v>59</v>
      </c>
      <c r="C5" s="15">
        <f t="shared" ca="1" si="0"/>
        <v>0.17008040526585522</v>
      </c>
      <c r="D5" s="15">
        <f t="shared" ca="1" si="1"/>
        <v>0.61592922493745972</v>
      </c>
      <c r="E5" s="15"/>
    </row>
    <row r="6" spans="1:5" x14ac:dyDescent="0.3">
      <c r="B6" s="1" t="s">
        <v>59</v>
      </c>
      <c r="C6" s="15">
        <f t="shared" ca="1" si="0"/>
        <v>0.43282745845670001</v>
      </c>
      <c r="D6" s="15">
        <f t="shared" ca="1" si="1"/>
        <v>0.99208322310985197</v>
      </c>
      <c r="E6" s="15"/>
    </row>
    <row r="7" spans="1:5" x14ac:dyDescent="0.3">
      <c r="B7" s="1" t="s">
        <v>59</v>
      </c>
      <c r="C7" s="15">
        <f t="shared" ca="1" si="0"/>
        <v>0.55805818657057105</v>
      </c>
      <c r="D7" s="15">
        <f t="shared" ca="1" si="1"/>
        <v>0.94653947127730975</v>
      </c>
      <c r="E7" s="15"/>
    </row>
    <row r="8" spans="1:5" x14ac:dyDescent="0.3">
      <c r="B8" s="1" t="s">
        <v>59</v>
      </c>
      <c r="C8" s="15">
        <f t="shared" ca="1" si="0"/>
        <v>2.057010644501911E-2</v>
      </c>
      <c r="D8" s="15">
        <f t="shared" ca="1" si="1"/>
        <v>0.44793822997218541</v>
      </c>
      <c r="E8" s="15"/>
    </row>
    <row r="9" spans="1:5" x14ac:dyDescent="0.3">
      <c r="B9" s="1" t="s">
        <v>59</v>
      </c>
      <c r="C9" s="15">
        <f t="shared" ca="1" si="0"/>
        <v>0.61500463738234512</v>
      </c>
      <c r="D9" s="15">
        <f t="shared" ca="1" si="1"/>
        <v>0.91456517089583311</v>
      </c>
      <c r="E9" s="15"/>
    </row>
    <row r="10" spans="1:5" x14ac:dyDescent="0.3">
      <c r="B10" s="1" t="s">
        <v>59</v>
      </c>
      <c r="C10" s="15">
        <f t="shared" ca="1" si="0"/>
        <v>0.80981419099702856</v>
      </c>
      <c r="D10" s="15">
        <f t="shared" ca="1" si="1"/>
        <v>0.90419836688976307</v>
      </c>
      <c r="E10" s="15"/>
    </row>
    <row r="11" spans="1:5" x14ac:dyDescent="0.3">
      <c r="B11" s="1" t="s">
        <v>59</v>
      </c>
      <c r="C11" s="15">
        <f t="shared" ca="1" si="0"/>
        <v>0.56042809535804561</v>
      </c>
      <c r="D11" s="15">
        <f t="shared" ca="1" si="1"/>
        <v>0.64218059453883736</v>
      </c>
      <c r="E11" s="15"/>
    </row>
    <row r="12" spans="1:5" x14ac:dyDescent="0.3">
      <c r="B12" s="1" t="s">
        <v>59</v>
      </c>
      <c r="C12" s="15">
        <f t="shared" ca="1" si="0"/>
        <v>2.9898755295406754E-2</v>
      </c>
      <c r="D12" s="15">
        <f t="shared" ca="1" si="1"/>
        <v>0.26650436867108557</v>
      </c>
      <c r="E12" s="15"/>
    </row>
    <row r="13" spans="1:5" x14ac:dyDescent="0.3">
      <c r="B13" s="1" t="s">
        <v>58</v>
      </c>
      <c r="C13" s="15">
        <f t="shared" ca="1" si="0"/>
        <v>7.3846480988420504E-2</v>
      </c>
      <c r="D13" s="15"/>
      <c r="E13" s="15">
        <f t="shared" ref="E13:E22" ca="1" si="2">RAND()*C13</f>
        <v>3.0232198832455044E-2</v>
      </c>
    </row>
    <row r="14" spans="1:5" x14ac:dyDescent="0.3">
      <c r="B14" s="1" t="s">
        <v>58</v>
      </c>
      <c r="C14" s="15">
        <f t="shared" ca="1" si="0"/>
        <v>0.32719605328423118</v>
      </c>
      <c r="D14" s="15"/>
      <c r="E14" s="15">
        <f t="shared" ca="1" si="2"/>
        <v>0.13043060264672987</v>
      </c>
    </row>
    <row r="15" spans="1:5" x14ac:dyDescent="0.3">
      <c r="B15" s="1" t="s">
        <v>58</v>
      </c>
      <c r="C15" s="15">
        <f t="shared" ca="1" si="0"/>
        <v>0.29097742541554661</v>
      </c>
      <c r="D15" s="15"/>
      <c r="E15" s="15">
        <f t="shared" ca="1" si="2"/>
        <v>0.17318606695839053</v>
      </c>
    </row>
    <row r="16" spans="1:5" x14ac:dyDescent="0.3">
      <c r="B16" s="1" t="s">
        <v>58</v>
      </c>
      <c r="C16" s="15">
        <f t="shared" ca="1" si="0"/>
        <v>0.38168191763996795</v>
      </c>
      <c r="D16" s="15"/>
      <c r="E16" s="15">
        <f t="shared" ca="1" si="2"/>
        <v>1.8983479871069693E-2</v>
      </c>
    </row>
    <row r="17" spans="2:5" x14ac:dyDescent="0.3">
      <c r="B17" s="1" t="s">
        <v>58</v>
      </c>
      <c r="C17" s="15">
        <f t="shared" ca="1" si="0"/>
        <v>0.69432962737143755</v>
      </c>
      <c r="D17" s="15"/>
      <c r="E17" s="15">
        <f t="shared" ca="1" si="2"/>
        <v>0.41181440044287215</v>
      </c>
    </row>
    <row r="18" spans="2:5" x14ac:dyDescent="0.3">
      <c r="B18" s="1" t="s">
        <v>58</v>
      </c>
      <c r="C18" s="15">
        <f t="shared" ca="1" si="0"/>
        <v>0.32433700270474608</v>
      </c>
      <c r="D18" s="15"/>
      <c r="E18" s="15">
        <f t="shared" ca="1" si="2"/>
        <v>0.11587691944419287</v>
      </c>
    </row>
    <row r="19" spans="2:5" x14ac:dyDescent="0.3">
      <c r="B19" s="1" t="s">
        <v>58</v>
      </c>
      <c r="C19" s="15">
        <f t="shared" ca="1" si="0"/>
        <v>0.61066105479655586</v>
      </c>
      <c r="D19" s="15"/>
      <c r="E19" s="15">
        <f t="shared" ca="1" si="2"/>
        <v>0.3471537465177702</v>
      </c>
    </row>
    <row r="20" spans="2:5" x14ac:dyDescent="0.3">
      <c r="B20" s="1" t="s">
        <v>58</v>
      </c>
      <c r="C20" s="15">
        <f t="shared" ca="1" si="0"/>
        <v>2.1027951354355645E-2</v>
      </c>
      <c r="D20" s="15"/>
      <c r="E20" s="15">
        <f t="shared" ca="1" si="2"/>
        <v>6.3336245152706991E-4</v>
      </c>
    </row>
    <row r="21" spans="2:5" x14ac:dyDescent="0.3">
      <c r="B21" s="1" t="s">
        <v>58</v>
      </c>
      <c r="C21" s="15">
        <f t="shared" ca="1" si="0"/>
        <v>0.26749098609036781</v>
      </c>
      <c r="D21" s="15"/>
      <c r="E21" s="15">
        <f t="shared" ca="1" si="2"/>
        <v>0.26565319704976631</v>
      </c>
    </row>
    <row r="22" spans="2:5" x14ac:dyDescent="0.3">
      <c r="B22" s="1" t="s">
        <v>58</v>
      </c>
      <c r="C22" s="15">
        <f t="shared" ca="1" si="0"/>
        <v>0.44071905546569279</v>
      </c>
      <c r="D22" s="15"/>
      <c r="E22" s="15">
        <f t="shared" ca="1" si="2"/>
        <v>0.20233758220604414</v>
      </c>
    </row>
  </sheetData>
  <hyperlinks>
    <hyperlink ref="A1" r:id="rId1" xr:uid="{53B298E7-DA8E-2048-8255-4B6B8AEB0DB3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249</v>
      </c>
    </row>
    <row r="2" spans="1:6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</row>
    <row r="3" spans="1:6" x14ac:dyDescent="0.3">
      <c r="B3" s="1" t="s">
        <v>59</v>
      </c>
      <c r="C3" s="15">
        <f t="shared" ref="C3:C25" ca="1" si="0">RAND()</f>
        <v>9.7565146400056646E-2</v>
      </c>
      <c r="D3" s="15">
        <f t="shared" ref="D3:D12" ca="1" si="1">C3+RAND()*(1-C3)</f>
        <v>0.67499073851819869</v>
      </c>
      <c r="E3" s="15"/>
    </row>
    <row r="4" spans="1:6" x14ac:dyDescent="0.3">
      <c r="B4" s="1" t="s">
        <v>59</v>
      </c>
      <c r="C4" s="15">
        <f t="shared" ca="1" si="0"/>
        <v>0.54066342789673505</v>
      </c>
      <c r="D4" s="15">
        <f t="shared" ca="1" si="1"/>
        <v>0.55373215434111467</v>
      </c>
      <c r="E4" s="15"/>
    </row>
    <row r="5" spans="1:6" x14ac:dyDescent="0.3">
      <c r="B5" s="1" t="s">
        <v>59</v>
      </c>
      <c r="C5" s="15">
        <f t="shared" ca="1" si="0"/>
        <v>0.70634625372345705</v>
      </c>
      <c r="D5" s="15">
        <f t="shared" ca="1" si="1"/>
        <v>0.80550768011717122</v>
      </c>
      <c r="E5" s="15"/>
    </row>
    <row r="6" spans="1:6" x14ac:dyDescent="0.3">
      <c r="B6" s="1" t="s">
        <v>59</v>
      </c>
      <c r="C6" s="15">
        <f t="shared" ca="1" si="0"/>
        <v>0.78442546186364737</v>
      </c>
      <c r="D6" s="15">
        <f t="shared" ca="1" si="1"/>
        <v>0.95009936683551444</v>
      </c>
      <c r="E6" s="15"/>
    </row>
    <row r="7" spans="1:6" x14ac:dyDescent="0.3">
      <c r="B7" s="1" t="s">
        <v>59</v>
      </c>
      <c r="C7" s="15">
        <f t="shared" ca="1" si="0"/>
        <v>0.55530096152463659</v>
      </c>
      <c r="D7" s="15">
        <f t="shared" ca="1" si="1"/>
        <v>0.80457726281459307</v>
      </c>
      <c r="E7" s="15"/>
    </row>
    <row r="8" spans="1:6" x14ac:dyDescent="0.3">
      <c r="B8" s="1" t="s">
        <v>59</v>
      </c>
      <c r="C8" s="15">
        <f t="shared" ca="1" si="0"/>
        <v>0.56570504626488838</v>
      </c>
      <c r="D8" s="15">
        <f t="shared" ca="1" si="1"/>
        <v>0.91826457750944757</v>
      </c>
      <c r="E8" s="15"/>
    </row>
    <row r="9" spans="1:6" x14ac:dyDescent="0.3">
      <c r="B9" s="1" t="s">
        <v>59</v>
      </c>
      <c r="C9" s="15">
        <f t="shared" ca="1" si="0"/>
        <v>4.4001542115353787E-2</v>
      </c>
      <c r="D9" s="15">
        <f t="shared" ca="1" si="1"/>
        <v>0.79326900819531687</v>
      </c>
      <c r="E9" s="15"/>
    </row>
    <row r="10" spans="1:6" x14ac:dyDescent="0.3">
      <c r="B10" s="1" t="s">
        <v>59</v>
      </c>
      <c r="C10" s="15">
        <f t="shared" ca="1" si="0"/>
        <v>0.96049090921704872</v>
      </c>
      <c r="D10" s="15">
        <f t="shared" ca="1" si="1"/>
        <v>0.97803733811007121</v>
      </c>
      <c r="E10" s="15"/>
    </row>
    <row r="11" spans="1:6" x14ac:dyDescent="0.3">
      <c r="B11" s="1" t="s">
        <v>59</v>
      </c>
      <c r="C11" s="15">
        <f t="shared" ca="1" si="0"/>
        <v>0.85120157595275803</v>
      </c>
      <c r="D11" s="15">
        <f t="shared" ca="1" si="1"/>
        <v>0.85153199013763947</v>
      </c>
      <c r="E11" s="15"/>
    </row>
    <row r="12" spans="1:6" x14ac:dyDescent="0.3">
      <c r="B12" s="1" t="s">
        <v>59</v>
      </c>
      <c r="C12" s="15">
        <f t="shared" ca="1" si="0"/>
        <v>0.97082124775669876</v>
      </c>
      <c r="D12" s="15">
        <f t="shared" ca="1" si="1"/>
        <v>0.98342522171257341</v>
      </c>
      <c r="E12" s="15"/>
    </row>
    <row r="13" spans="1:6" x14ac:dyDescent="0.3">
      <c r="B13" s="1" t="s">
        <v>58</v>
      </c>
      <c r="C13" s="15">
        <f t="shared" ca="1" si="0"/>
        <v>0.85617191552023653</v>
      </c>
      <c r="D13" s="15"/>
      <c r="E13" s="15">
        <f t="shared" ref="E13:E22" ca="1" si="2">RAND()*C13</f>
        <v>0.50936641097423763</v>
      </c>
    </row>
    <row r="14" spans="1:6" x14ac:dyDescent="0.3">
      <c r="B14" s="1" t="s">
        <v>58</v>
      </c>
      <c r="C14" s="15">
        <f t="shared" ca="1" si="0"/>
        <v>0.9743717230287362</v>
      </c>
      <c r="D14" s="15"/>
      <c r="E14" s="15">
        <f t="shared" ca="1" si="2"/>
        <v>0.49351413103841013</v>
      </c>
    </row>
    <row r="15" spans="1:6" x14ac:dyDescent="0.3">
      <c r="B15" s="1" t="s">
        <v>58</v>
      </c>
      <c r="C15" s="15">
        <f t="shared" ca="1" si="0"/>
        <v>0.82218992463784002</v>
      </c>
      <c r="D15" s="15"/>
      <c r="E15" s="15">
        <f t="shared" ca="1" si="2"/>
        <v>0.6029277145637536</v>
      </c>
    </row>
    <row r="16" spans="1:6" x14ac:dyDescent="0.3">
      <c r="B16" s="1" t="s">
        <v>58</v>
      </c>
      <c r="C16" s="15">
        <f t="shared" ca="1" si="0"/>
        <v>0.57536476049812413</v>
      </c>
      <c r="D16" s="15"/>
      <c r="E16" s="15">
        <f t="shared" ca="1" si="2"/>
        <v>0.57422842912132188</v>
      </c>
    </row>
    <row r="17" spans="2:6" x14ac:dyDescent="0.3">
      <c r="B17" s="1" t="s">
        <v>58</v>
      </c>
      <c r="C17" s="15">
        <f t="shared" ca="1" si="0"/>
        <v>0.9385399173788288</v>
      </c>
      <c r="D17" s="15"/>
      <c r="E17" s="15">
        <f t="shared" ca="1" si="2"/>
        <v>0.24801562119327605</v>
      </c>
    </row>
    <row r="18" spans="2:6" x14ac:dyDescent="0.3">
      <c r="B18" s="1" t="s">
        <v>58</v>
      </c>
      <c r="C18" s="15">
        <f t="shared" ca="1" si="0"/>
        <v>0.5530411406007022</v>
      </c>
      <c r="D18" s="15"/>
      <c r="E18" s="15">
        <f t="shared" ca="1" si="2"/>
        <v>0.29252072253588007</v>
      </c>
    </row>
    <row r="19" spans="2:6" x14ac:dyDescent="0.3">
      <c r="B19" s="1" t="s">
        <v>58</v>
      </c>
      <c r="C19" s="15">
        <f t="shared" ca="1" si="0"/>
        <v>0.16793949554821452</v>
      </c>
      <c r="D19" s="15"/>
      <c r="E19" s="15">
        <f t="shared" ca="1" si="2"/>
        <v>7.0757836409895705E-2</v>
      </c>
    </row>
    <row r="20" spans="2:6" x14ac:dyDescent="0.3">
      <c r="B20" s="1" t="s">
        <v>58</v>
      </c>
      <c r="C20" s="15">
        <f t="shared" ca="1" si="0"/>
        <v>0.11769818581168223</v>
      </c>
      <c r="D20" s="15"/>
      <c r="E20" s="15">
        <f t="shared" ca="1" si="2"/>
        <v>9.3009882297103635E-2</v>
      </c>
    </row>
    <row r="21" spans="2:6" x14ac:dyDescent="0.3">
      <c r="B21" s="1" t="s">
        <v>58</v>
      </c>
      <c r="C21" s="15">
        <f t="shared" ca="1" si="0"/>
        <v>0.62759445879360709</v>
      </c>
      <c r="D21" s="15"/>
      <c r="E21" s="15">
        <f t="shared" ca="1" si="2"/>
        <v>0.38978016373806751</v>
      </c>
    </row>
    <row r="22" spans="2:6" x14ac:dyDescent="0.3">
      <c r="B22" s="1" t="s">
        <v>58</v>
      </c>
      <c r="C22" s="15">
        <f t="shared" ca="1" si="0"/>
        <v>0.5461822678170063</v>
      </c>
      <c r="D22" s="15"/>
      <c r="E22" s="15">
        <f t="shared" ca="1" si="2"/>
        <v>9.0785497371151727E-2</v>
      </c>
    </row>
    <row r="23" spans="2:6" x14ac:dyDescent="0.3">
      <c r="B23" s="1" t="s">
        <v>66</v>
      </c>
      <c r="C23" s="15">
        <f t="shared" ca="1" si="0"/>
        <v>0.36803308273996937</v>
      </c>
      <c r="F23" s="15">
        <f ca="1">RAND()</f>
        <v>0.40834040081015222</v>
      </c>
    </row>
    <row r="24" spans="2:6" x14ac:dyDescent="0.3">
      <c r="B24" s="1" t="s">
        <v>65</v>
      </c>
      <c r="C24" s="15">
        <f t="shared" ca="1" si="0"/>
        <v>0.12935166382850061</v>
      </c>
      <c r="F24" s="15">
        <f ca="1">RAND()</f>
        <v>0.53467094572505236</v>
      </c>
    </row>
    <row r="25" spans="2:6" x14ac:dyDescent="0.3">
      <c r="B25" s="1" t="s">
        <v>64</v>
      </c>
      <c r="C25" s="15">
        <f t="shared" ca="1" si="0"/>
        <v>0.25937086461418879</v>
      </c>
      <c r="F25" s="15">
        <f ca="1">RAND()</f>
        <v>0.1731196711666223</v>
      </c>
    </row>
  </sheetData>
  <hyperlinks>
    <hyperlink ref="A1" r:id="rId1" xr:uid="{BBA9A4C7-DF97-314C-A7AA-C345E61153AB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250</v>
      </c>
    </row>
    <row r="2" spans="1:9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  <c r="G2" s="19" t="s">
        <v>70</v>
      </c>
      <c r="H2" s="19" t="s">
        <v>69</v>
      </c>
      <c r="I2" s="18" t="s">
        <v>68</v>
      </c>
    </row>
    <row r="3" spans="1:9" x14ac:dyDescent="0.3">
      <c r="B3" s="1" t="s">
        <v>59</v>
      </c>
      <c r="C3" s="15">
        <f t="shared" ref="C3:C25" ca="1" si="0">RAND()</f>
        <v>9.6614449469730412E-2</v>
      </c>
      <c r="D3" s="15">
        <f t="shared" ref="D3:D12" ca="1" si="1">C3+RAND()*(1-C3)</f>
        <v>0.75689058634848438</v>
      </c>
      <c r="E3" s="15"/>
      <c r="G3" s="15">
        <f t="shared" ref="G3:G12" ca="1" si="2">SUMSQ($C3-$C$23,$D3-$F$23)</f>
        <v>0.71469814849699997</v>
      </c>
      <c r="H3" s="15">
        <f t="shared" ref="H3:H12" ca="1" si="3">SUMSQ($C3-$C$24,$D3-$F$24)</f>
        <v>5.5497457764536462E-2</v>
      </c>
      <c r="I3" s="15">
        <f t="shared" ref="I3:I12" ca="1" si="4">SUMSQ($C3-$C$25,$D3-$F$25)</f>
        <v>0.48424230792848966</v>
      </c>
    </row>
    <row r="4" spans="1:9" x14ac:dyDescent="0.3">
      <c r="B4" s="1" t="s">
        <v>59</v>
      </c>
      <c r="C4" s="15">
        <f t="shared" ca="1" si="0"/>
        <v>0.93999333518947281</v>
      </c>
      <c r="D4" s="15">
        <f t="shared" ca="1" si="1"/>
        <v>0.9537267174687607</v>
      </c>
      <c r="E4" s="15"/>
      <c r="G4" s="15">
        <f t="shared" ca="1" si="2"/>
        <v>0.11319809722398179</v>
      </c>
      <c r="H4" s="15">
        <f t="shared" ca="1" si="3"/>
        <v>0.85052166172174337</v>
      </c>
      <c r="I4" s="15">
        <f t="shared" ca="1" si="4"/>
        <v>1.3769687739769458</v>
      </c>
    </row>
    <row r="5" spans="1:9" x14ac:dyDescent="0.3">
      <c r="B5" s="1" t="s">
        <v>59</v>
      </c>
      <c r="C5" s="15">
        <f t="shared" ca="1" si="0"/>
        <v>0.69549221189725519</v>
      </c>
      <c r="D5" s="15">
        <f t="shared" ca="1" si="1"/>
        <v>0.91641866965212138</v>
      </c>
      <c r="E5" s="15"/>
      <c r="G5" s="15">
        <f t="shared" ca="1" si="2"/>
        <v>0.14459871559384624</v>
      </c>
      <c r="H5" s="15">
        <f t="shared" ca="1" si="3"/>
        <v>0.46277354411866362</v>
      </c>
      <c r="I5" s="15">
        <f t="shared" ca="1" si="4"/>
        <v>0.99699963141262105</v>
      </c>
    </row>
    <row r="6" spans="1:9" x14ac:dyDescent="0.3">
      <c r="B6" s="1" t="s">
        <v>59</v>
      </c>
      <c r="C6" s="15">
        <f t="shared" ca="1" si="0"/>
        <v>0.10449727024124422</v>
      </c>
      <c r="D6" s="15">
        <f t="shared" ca="1" si="1"/>
        <v>0.89945610365276241</v>
      </c>
      <c r="E6" s="15"/>
      <c r="G6" s="15">
        <f t="shared" ca="1" si="2"/>
        <v>0.7617088669649037</v>
      </c>
      <c r="H6" s="15">
        <f t="shared" ca="1" si="3"/>
        <v>1.3791560849079365E-2</v>
      </c>
      <c r="I6" s="15">
        <f t="shared" ca="1" si="4"/>
        <v>0.70062111022915718</v>
      </c>
    </row>
    <row r="7" spans="1:9" x14ac:dyDescent="0.3">
      <c r="B7" s="1" t="s">
        <v>59</v>
      </c>
      <c r="C7" s="15">
        <f t="shared" ca="1" si="0"/>
        <v>0.21019832794422255</v>
      </c>
      <c r="D7" s="15">
        <f t="shared" ca="1" si="1"/>
        <v>0.45393198336553536</v>
      </c>
      <c r="E7" s="15"/>
      <c r="G7" s="15">
        <f t="shared" ca="1" si="2"/>
        <v>0.5454563315265879</v>
      </c>
      <c r="H7" s="15">
        <f t="shared" ca="1" si="3"/>
        <v>0.31259897928456581</v>
      </c>
      <c r="I7" s="15">
        <f t="shared" ca="1" si="4"/>
        <v>0.15241067299822181</v>
      </c>
    </row>
    <row r="8" spans="1:9" x14ac:dyDescent="0.3">
      <c r="B8" s="1" t="s">
        <v>59</v>
      </c>
      <c r="C8" s="15">
        <f t="shared" ca="1" si="0"/>
        <v>0.1330004640344622</v>
      </c>
      <c r="D8" s="15">
        <f t="shared" ca="1" si="1"/>
        <v>0.32432245126051495</v>
      </c>
      <c r="E8" s="15"/>
      <c r="G8" s="15">
        <f t="shared" ca="1" si="2"/>
        <v>0.72179230822867968</v>
      </c>
      <c r="H8" s="15">
        <f t="shared" ca="1" si="3"/>
        <v>0.44180639974051994</v>
      </c>
      <c r="I8" s="15">
        <f t="shared" ca="1" si="4"/>
        <v>6.8743835514433166E-2</v>
      </c>
    </row>
    <row r="9" spans="1:9" x14ac:dyDescent="0.3">
      <c r="B9" s="1" t="s">
        <v>59</v>
      </c>
      <c r="C9" s="15">
        <f t="shared" ca="1" si="0"/>
        <v>0.92391272543804082</v>
      </c>
      <c r="D9" s="15">
        <f t="shared" ca="1" si="1"/>
        <v>0.9941942010484851</v>
      </c>
      <c r="E9" s="15"/>
      <c r="G9" s="15">
        <f t="shared" ca="1" si="2"/>
        <v>0.14200615386644441</v>
      </c>
      <c r="H9" s="15">
        <f t="shared" ca="1" si="3"/>
        <v>0.8207231041020876</v>
      </c>
      <c r="I9" s="15">
        <f t="shared" ca="1" si="4"/>
        <v>1.4261188600969184</v>
      </c>
    </row>
    <row r="10" spans="1:9" x14ac:dyDescent="0.3">
      <c r="B10" s="1" t="s">
        <v>59</v>
      </c>
      <c r="C10" s="15">
        <f t="shared" ca="1" si="0"/>
        <v>0.13588713931413199</v>
      </c>
      <c r="D10" s="15">
        <f t="shared" ca="1" si="1"/>
        <v>0.45937368084900965</v>
      </c>
      <c r="E10" s="15"/>
      <c r="G10" s="15">
        <f t="shared" ca="1" si="2"/>
        <v>0.65627104170828054</v>
      </c>
      <c r="H10" s="15">
        <f t="shared" ca="1" si="3"/>
        <v>0.28388645471655016</v>
      </c>
      <c r="I10" s="15">
        <f t="shared" ca="1" si="4"/>
        <v>0.15672861708581126</v>
      </c>
    </row>
    <row r="11" spans="1:9" x14ac:dyDescent="0.3">
      <c r="B11" s="1" t="s">
        <v>59</v>
      </c>
      <c r="C11" s="15">
        <f t="shared" ca="1" si="0"/>
        <v>0.60629817669903152</v>
      </c>
      <c r="D11" s="15">
        <f t="shared" ca="1" si="1"/>
        <v>0.68732495329513099</v>
      </c>
      <c r="E11" s="15"/>
      <c r="G11" s="15">
        <f t="shared" ca="1" si="2"/>
        <v>0.1099474641897938</v>
      </c>
      <c r="H11" s="15">
        <f t="shared" ca="1" si="3"/>
        <v>0.43104952595218882</v>
      </c>
      <c r="I11" s="15">
        <f t="shared" ca="1" si="4"/>
        <v>0.57432420131954065</v>
      </c>
    </row>
    <row r="12" spans="1:9" x14ac:dyDescent="0.3">
      <c r="B12" s="1" t="s">
        <v>59</v>
      </c>
      <c r="C12" s="15">
        <f t="shared" ca="1" si="0"/>
        <v>0.18398113059589405</v>
      </c>
      <c r="D12" s="15">
        <f t="shared" ca="1" si="1"/>
        <v>0.89045846651785865</v>
      </c>
      <c r="E12" s="15"/>
      <c r="G12" s="15">
        <f t="shared" ca="1" si="2"/>
        <v>0.63173582020528551</v>
      </c>
      <c r="H12" s="15">
        <f t="shared" ca="1" si="3"/>
        <v>3.5355636881903692E-2</v>
      </c>
      <c r="I12" s="15">
        <f t="shared" ca="1" si="4"/>
        <v>0.68104938641884649</v>
      </c>
    </row>
    <row r="13" spans="1:9" x14ac:dyDescent="0.3">
      <c r="B13" s="1" t="s">
        <v>58</v>
      </c>
      <c r="C13" s="15">
        <f t="shared" ca="1" si="0"/>
        <v>1.777931076398398E-2</v>
      </c>
      <c r="D13" s="15"/>
      <c r="E13" s="15">
        <f t="shared" ref="E13:E22" ca="1" si="5">RAND()*C13</f>
        <v>1.3507267594742876E-2</v>
      </c>
      <c r="G13" s="15">
        <f t="shared" ref="G13:G22" ca="1" si="6">SUMSQ(C13-$C$23,E13-$F$23)</f>
        <v>1.1976295221673818</v>
      </c>
      <c r="H13" s="15">
        <f t="shared" ref="H13:H22" ca="1" si="7">SUMSQ($C13-$C$24,$E13-$F$24)</f>
        <v>0.93217948974413423</v>
      </c>
      <c r="I13" s="15">
        <f t="shared" ref="I13:I22" ca="1" si="8">SUMSQ($C13-$C$25,$E13-$F$25)</f>
        <v>2.6908055941800933E-2</v>
      </c>
    </row>
    <row r="14" spans="1:9" x14ac:dyDescent="0.3">
      <c r="B14" s="1" t="s">
        <v>58</v>
      </c>
      <c r="C14" s="15">
        <f t="shared" ca="1" si="0"/>
        <v>0.99228955001255914</v>
      </c>
      <c r="D14" s="15"/>
      <c r="E14" s="15">
        <f t="shared" ca="1" si="5"/>
        <v>0.7615755329650491</v>
      </c>
      <c r="G14" s="15">
        <f t="shared" ca="1" si="6"/>
        <v>2.4609604322489573E-2</v>
      </c>
      <c r="H14" s="15">
        <f t="shared" ca="1" si="7"/>
        <v>0.99631465613331327</v>
      </c>
      <c r="I14" s="15">
        <f t="shared" ca="1" si="8"/>
        <v>1.1553653787227005</v>
      </c>
    </row>
    <row r="15" spans="1:9" x14ac:dyDescent="0.3">
      <c r="B15" s="1" t="s">
        <v>58</v>
      </c>
      <c r="C15" s="15">
        <f t="shared" ca="1" si="0"/>
        <v>0.520897483337742</v>
      </c>
      <c r="D15" s="15"/>
      <c r="E15" s="15">
        <f t="shared" ca="1" si="5"/>
        <v>0.47781245112690834</v>
      </c>
      <c r="G15" s="15">
        <f t="shared" ca="1" si="6"/>
        <v>0.18720332256942487</v>
      </c>
      <c r="H15" s="15">
        <f t="shared" ca="1" si="7"/>
        <v>0.50399346923329957</v>
      </c>
      <c r="I15" s="15">
        <f t="shared" ca="1" si="8"/>
        <v>0.29092227213642463</v>
      </c>
    </row>
    <row r="16" spans="1:9" x14ac:dyDescent="0.3">
      <c r="B16" s="1" t="s">
        <v>58</v>
      </c>
      <c r="C16" s="15">
        <f t="shared" ca="1" si="0"/>
        <v>0.3381179404025626</v>
      </c>
      <c r="D16" s="15"/>
      <c r="E16" s="15">
        <f t="shared" ca="1" si="5"/>
        <v>1.6128283097400178E-2</v>
      </c>
      <c r="G16" s="15">
        <f t="shared" ca="1" si="6"/>
        <v>0.71237456222359363</v>
      </c>
      <c r="H16" s="15">
        <f t="shared" ca="1" si="7"/>
        <v>1.0295350301293504</v>
      </c>
      <c r="I16" s="15">
        <f t="shared" ca="1" si="8"/>
        <v>2.9535125346164866E-2</v>
      </c>
    </row>
    <row r="17" spans="2:9" x14ac:dyDescent="0.3">
      <c r="B17" s="1" t="s">
        <v>58</v>
      </c>
      <c r="C17" s="15">
        <f t="shared" ca="1" si="0"/>
        <v>0.85607587857280187</v>
      </c>
      <c r="D17" s="15"/>
      <c r="E17" s="15">
        <f t="shared" ca="1" si="5"/>
        <v>0.80391283652296519</v>
      </c>
      <c r="G17" s="15">
        <f t="shared" ca="1" si="6"/>
        <v>4.0310180532161483E-2</v>
      </c>
      <c r="H17" s="15">
        <f t="shared" ca="1" si="7"/>
        <v>0.73285558899933445</v>
      </c>
      <c r="I17" s="15">
        <f t="shared" ca="1" si="8"/>
        <v>1.0115932328676176</v>
      </c>
    </row>
    <row r="18" spans="2:9" x14ac:dyDescent="0.3">
      <c r="B18" s="1" t="s">
        <v>58</v>
      </c>
      <c r="C18" s="15">
        <f t="shared" ca="1" si="0"/>
        <v>0.48855304125008925</v>
      </c>
      <c r="D18" s="15"/>
      <c r="E18" s="15">
        <f t="shared" ca="1" si="5"/>
        <v>0.46558376353717301</v>
      </c>
      <c r="G18" s="15">
        <f t="shared" ca="1" si="6"/>
        <v>0.21830534407810251</v>
      </c>
      <c r="H18" s="15">
        <f t="shared" ca="1" si="7"/>
        <v>0.48492169409320962</v>
      </c>
      <c r="I18" s="15">
        <f t="shared" ca="1" si="8"/>
        <v>0.25955130239167312</v>
      </c>
    </row>
    <row r="19" spans="2:9" x14ac:dyDescent="0.3">
      <c r="B19" s="1" t="s">
        <v>58</v>
      </c>
      <c r="C19" s="15">
        <f t="shared" ca="1" si="0"/>
        <v>0.22690249182053446</v>
      </c>
      <c r="D19" s="15"/>
      <c r="E19" s="15">
        <f t="shared" ca="1" si="5"/>
        <v>8.4889098661591708E-2</v>
      </c>
      <c r="G19" s="15">
        <f t="shared" ca="1" si="6"/>
        <v>0.77852972450994029</v>
      </c>
      <c r="H19" s="15">
        <f t="shared" ca="1" si="7"/>
        <v>0.84303470417165938</v>
      </c>
      <c r="I19" s="15">
        <f t="shared" ca="1" si="8"/>
        <v>3.243692770433685E-3</v>
      </c>
    </row>
    <row r="20" spans="2:9" x14ac:dyDescent="0.3">
      <c r="B20" s="1" t="s">
        <v>58</v>
      </c>
      <c r="C20" s="15">
        <f t="shared" ca="1" si="0"/>
        <v>0.82229319480542429</v>
      </c>
      <c r="D20" s="15"/>
      <c r="E20" s="15">
        <f t="shared" ca="1" si="5"/>
        <v>0.5644418026522865</v>
      </c>
      <c r="G20" s="15">
        <f t="shared" ca="1" si="6"/>
        <v>1.449903735831215E-2</v>
      </c>
      <c r="H20" s="15">
        <f t="shared" ca="1" si="7"/>
        <v>0.81858264490785126</v>
      </c>
      <c r="I20" s="15">
        <f t="shared" ca="1" si="8"/>
        <v>0.67019026570603069</v>
      </c>
    </row>
    <row r="21" spans="2:9" x14ac:dyDescent="0.3">
      <c r="B21" s="1" t="s">
        <v>58</v>
      </c>
      <c r="C21" s="15">
        <f t="shared" ca="1" si="0"/>
        <v>0.64068023031035881</v>
      </c>
      <c r="D21" s="15"/>
      <c r="E21" s="15">
        <f t="shared" ca="1" si="5"/>
        <v>0.36836142094974572</v>
      </c>
      <c r="G21" s="15">
        <f t="shared" ca="1" si="6"/>
        <v>0.14598043757415799</v>
      </c>
      <c r="H21" s="15">
        <f t="shared" ca="1" si="7"/>
        <v>0.76048459519363043</v>
      </c>
      <c r="I21" s="15">
        <f t="shared" ca="1" si="8"/>
        <v>0.31018295721211708</v>
      </c>
    </row>
    <row r="22" spans="2:9" x14ac:dyDescent="0.3">
      <c r="B22" s="1" t="s">
        <v>58</v>
      </c>
      <c r="C22" s="15">
        <f t="shared" ca="1" si="0"/>
        <v>7.8591179945883827E-2</v>
      </c>
      <c r="D22" s="15"/>
      <c r="E22" s="15">
        <f t="shared" ca="1" si="5"/>
        <v>6.0015539418801229E-2</v>
      </c>
      <c r="G22" s="15">
        <f t="shared" ca="1" si="6"/>
        <v>1.036317665688967</v>
      </c>
      <c r="H22" s="15">
        <f t="shared" ca="1" si="7"/>
        <v>0.84819434394416737</v>
      </c>
      <c r="I22" s="15">
        <f t="shared" ca="1" si="8"/>
        <v>9.0230175885352999E-3</v>
      </c>
    </row>
    <row r="23" spans="2:9" x14ac:dyDescent="0.3">
      <c r="B23" s="1" t="s">
        <v>66</v>
      </c>
      <c r="C23" s="15">
        <f t="shared" ca="1" si="0"/>
        <v>0.93042754939360606</v>
      </c>
      <c r="F23" s="15">
        <f ca="1">RAND()</f>
        <v>0.61741348108623384</v>
      </c>
    </row>
    <row r="24" spans="2:9" x14ac:dyDescent="0.3">
      <c r="B24" s="1" t="s">
        <v>65</v>
      </c>
      <c r="C24" s="15">
        <f t="shared" ca="1" si="0"/>
        <v>1.8102430605088649E-2</v>
      </c>
      <c r="F24" s="15">
        <f ca="1">RAND()</f>
        <v>0.97900164113490107</v>
      </c>
    </row>
    <row r="25" spans="2:9" x14ac:dyDescent="0.3">
      <c r="B25" s="1" t="s">
        <v>64</v>
      </c>
      <c r="C25" s="15">
        <f t="shared" ca="1" si="0"/>
        <v>0.17343537870045811</v>
      </c>
      <c r="F25" s="15">
        <f ca="1">RAND()</f>
        <v>6.5268686203168613E-2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7D85DEE9-86F8-7540-A027-420ABE74E899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9" t="s">
        <v>251</v>
      </c>
    </row>
    <row r="2" spans="1:10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10" x14ac:dyDescent="0.25">
      <c r="B3" s="8" t="s">
        <v>59</v>
      </c>
      <c r="C3" s="21">
        <f t="shared" ref="C3:C22" ca="1" si="0">RAND()</f>
        <v>0.43140382111730424</v>
      </c>
      <c r="D3" s="21">
        <f t="shared" ref="D3:D12" ca="1" si="1">C3+RAND()*(1-C3)</f>
        <v>0.64862107908252853</v>
      </c>
      <c r="E3" s="21"/>
      <c r="H3" s="21">
        <f t="shared" ref="H3:H12" ca="1" si="2">SUMSQ($C3-$C$24,$D3-$F$24)</f>
        <v>6.9865744160508031E-2</v>
      </c>
      <c r="I3" s="21">
        <f t="shared" ref="I3:I12" ca="1" si="3">SUMSQ($C3-$C$25,$D3-$F$25)</f>
        <v>6.0196927607304142E-2</v>
      </c>
      <c r="J3" s="21">
        <f t="shared" ref="J3:J12" ca="1" si="4">SUMSQ($C3-$C$26,$D3-$F$26)</f>
        <v>0.13758982177118995</v>
      </c>
    </row>
    <row r="4" spans="1:10" x14ac:dyDescent="0.25">
      <c r="B4" s="8" t="s">
        <v>59</v>
      </c>
      <c r="C4" s="21">
        <f t="shared" ca="1" si="0"/>
        <v>0.97597289238658813</v>
      </c>
      <c r="D4" s="21">
        <f t="shared" ca="1" si="1"/>
        <v>0.98515609758731537</v>
      </c>
      <c r="E4" s="21"/>
      <c r="H4" s="21">
        <f t="shared" ca="1" si="2"/>
        <v>0.54648883284081029</v>
      </c>
      <c r="I4" s="21">
        <f t="shared" ca="1" si="3"/>
        <v>0.61925754145754697</v>
      </c>
      <c r="J4" s="21">
        <f t="shared" ca="1" si="4"/>
        <v>0.17093822137379591</v>
      </c>
    </row>
    <row r="5" spans="1:10" x14ac:dyDescent="0.25">
      <c r="B5" s="8" t="s">
        <v>59</v>
      </c>
      <c r="C5" s="21">
        <f t="shared" ca="1" si="0"/>
        <v>0.84648301237561818</v>
      </c>
      <c r="D5" s="21">
        <f t="shared" ca="1" si="1"/>
        <v>0.84767170952145365</v>
      </c>
      <c r="E5" s="21"/>
      <c r="H5" s="21">
        <f t="shared" ca="1" si="2"/>
        <v>0.35488193577209526</v>
      </c>
      <c r="I5" s="21">
        <f t="shared" ca="1" si="3"/>
        <v>0.35772062104781266</v>
      </c>
      <c r="J5" s="21">
        <f t="shared" ca="1" si="4"/>
        <v>0.10242642996189857</v>
      </c>
    </row>
    <row r="6" spans="1:10" x14ac:dyDescent="0.25">
      <c r="B6" s="8" t="s">
        <v>59</v>
      </c>
      <c r="C6" s="21">
        <f t="shared" ca="1" si="0"/>
        <v>0.68357171423931573</v>
      </c>
      <c r="D6" s="21">
        <f t="shared" ca="1" si="1"/>
        <v>0.68826757283353901</v>
      </c>
      <c r="E6" s="21"/>
      <c r="H6" s="21">
        <f t="shared" ca="1" si="2"/>
        <v>0.21081125108043583</v>
      </c>
      <c r="I6" s="21">
        <f t="shared" ca="1" si="3"/>
        <v>0.13755185184825311</v>
      </c>
      <c r="J6" s="21">
        <f t="shared" ca="1" si="4"/>
        <v>0.10904533754181929</v>
      </c>
    </row>
    <row r="7" spans="1:10" x14ac:dyDescent="0.25">
      <c r="B7" s="8" t="s">
        <v>59</v>
      </c>
      <c r="C7" s="21">
        <f t="shared" ca="1" si="0"/>
        <v>0.17052550334161976</v>
      </c>
      <c r="D7" s="21">
        <f t="shared" ca="1" si="1"/>
        <v>0.94053444137090803</v>
      </c>
      <c r="E7" s="21"/>
      <c r="H7" s="21">
        <f t="shared" ca="1" si="2"/>
        <v>1.6228502572450471E-2</v>
      </c>
      <c r="I7" s="21">
        <f t="shared" ca="1" si="3"/>
        <v>0.36394214471471553</v>
      </c>
      <c r="J7" s="21">
        <f t="shared" ca="1" si="4"/>
        <v>0.15679418803394105</v>
      </c>
    </row>
    <row r="8" spans="1:10" x14ac:dyDescent="0.25">
      <c r="B8" s="8" t="s">
        <v>59</v>
      </c>
      <c r="C8" s="21">
        <f t="shared" ca="1" si="0"/>
        <v>0.64933429679495724</v>
      </c>
      <c r="D8" s="21">
        <f t="shared" ca="1" si="1"/>
        <v>0.96152111656982031</v>
      </c>
      <c r="E8" s="21"/>
      <c r="H8" s="21">
        <f t="shared" ca="1" si="2"/>
        <v>0.1732122054746342</v>
      </c>
      <c r="I8" s="21">
        <f t="shared" ca="1" si="3"/>
        <v>0.3526296731194587</v>
      </c>
      <c r="J8" s="21">
        <f t="shared" ca="1" si="4"/>
        <v>8.6712071299018395E-3</v>
      </c>
    </row>
    <row r="9" spans="1:10" x14ac:dyDescent="0.25">
      <c r="B9" s="8" t="s">
        <v>59</v>
      </c>
      <c r="C9" s="21">
        <f t="shared" ca="1" si="0"/>
        <v>0.69560179323423155</v>
      </c>
      <c r="D9" s="21">
        <f t="shared" ca="1" si="1"/>
        <v>0.99490219868683294</v>
      </c>
      <c r="E9" s="21"/>
      <c r="H9" s="21">
        <f t="shared" ca="1" si="2"/>
        <v>0.22135141769626837</v>
      </c>
      <c r="I9" s="21">
        <f t="shared" ca="1" si="3"/>
        <v>0.41196691567898303</v>
      </c>
      <c r="J9" s="21">
        <f t="shared" ca="1" si="4"/>
        <v>1.7674768029665451E-2</v>
      </c>
    </row>
    <row r="10" spans="1:10" x14ac:dyDescent="0.25">
      <c r="B10" s="8" t="s">
        <v>59</v>
      </c>
      <c r="C10" s="21">
        <f t="shared" ca="1" si="0"/>
        <v>0.57278660429996786</v>
      </c>
      <c r="D10" s="21">
        <f t="shared" ca="1" si="1"/>
        <v>0.71983643605650871</v>
      </c>
      <c r="E10" s="21"/>
      <c r="H10" s="21">
        <f t="shared" ca="1" si="2"/>
        <v>0.11850868057380738</v>
      </c>
      <c r="I10" s="21">
        <f t="shared" ca="1" si="3"/>
        <v>0.11609153436252923</v>
      </c>
      <c r="J10" s="21">
        <f t="shared" ca="1" si="4"/>
        <v>7.6122784283061615E-2</v>
      </c>
    </row>
    <row r="11" spans="1:10" x14ac:dyDescent="0.25">
      <c r="B11" s="8" t="s">
        <v>59</v>
      </c>
      <c r="C11" s="21">
        <f t="shared" ca="1" si="0"/>
        <v>0.91918806942412323</v>
      </c>
      <c r="D11" s="21">
        <f t="shared" ca="1" si="1"/>
        <v>0.97671361613550867</v>
      </c>
      <c r="E11" s="21"/>
      <c r="H11" s="21">
        <f t="shared" ca="1" si="2"/>
        <v>0.46500261118739733</v>
      </c>
      <c r="I11" s="21">
        <f t="shared" ca="1" si="3"/>
        <v>0.55251618079933063</v>
      </c>
      <c r="J11" s="21">
        <f t="shared" ca="1" si="4"/>
        <v>0.12746943084207787</v>
      </c>
    </row>
    <row r="12" spans="1:10" x14ac:dyDescent="0.25">
      <c r="B12" s="8" t="s">
        <v>59</v>
      </c>
      <c r="C12" s="21">
        <f t="shared" ca="1" si="0"/>
        <v>0.85228405031478838</v>
      </c>
      <c r="D12" s="21">
        <f t="shared" ca="1" si="1"/>
        <v>0.89899733023343675</v>
      </c>
      <c r="E12" s="21"/>
      <c r="H12" s="21">
        <f t="shared" ca="1" si="2"/>
        <v>0.36508306676862978</v>
      </c>
      <c r="I12" s="21">
        <f t="shared" ca="1" si="3"/>
        <v>0.41061346760189182</v>
      </c>
      <c r="J12" s="21">
        <f t="shared" ca="1" si="4"/>
        <v>9.3207072965748969E-2</v>
      </c>
    </row>
    <row r="13" spans="1:10" x14ac:dyDescent="0.25">
      <c r="B13" s="8" t="s">
        <v>58</v>
      </c>
      <c r="C13" s="21">
        <f t="shared" ca="1" si="0"/>
        <v>0.28678465174019352</v>
      </c>
      <c r="D13" s="21"/>
      <c r="E13" s="21">
        <f t="shared" ref="E13:E22" ca="1" si="5">RAND()*C13</f>
        <v>0.24406660747818412</v>
      </c>
      <c r="H13" s="21">
        <f t="shared" ref="H13:H22" ca="1" si="6">SUMSQ(C13-$C$24,E13-$F$24)</f>
        <v>0.35835702989732776</v>
      </c>
      <c r="I13" s="21">
        <f t="shared" ref="I13:I22" ca="1" si="7">SUMSQ($C13-$C$25,$E13-$F$25)</f>
        <v>5.0744113682952952E-2</v>
      </c>
      <c r="J13" s="21">
        <f t="shared" ref="J13:J22" ca="1" si="8">SUMSQ($C13-$C$26,$E13-$F$26)</f>
        <v>0.6408387971713827</v>
      </c>
    </row>
    <row r="14" spans="1:10" x14ac:dyDescent="0.25">
      <c r="B14" s="8" t="s">
        <v>58</v>
      </c>
      <c r="C14" s="21">
        <f t="shared" ca="1" si="0"/>
        <v>0.27498980564751685</v>
      </c>
      <c r="D14" s="21"/>
      <c r="E14" s="21">
        <f t="shared" ca="1" si="5"/>
        <v>0.25394282236197513</v>
      </c>
      <c r="H14" s="21">
        <f t="shared" ca="1" si="6"/>
        <v>0.34594168939518355</v>
      </c>
      <c r="I14" s="21">
        <f t="shared" ca="1" si="7"/>
        <v>5.1577389265591134E-2</v>
      </c>
      <c r="J14" s="21">
        <f t="shared" ca="1" si="8"/>
        <v>0.63273949484829561</v>
      </c>
    </row>
    <row r="15" spans="1:10" x14ac:dyDescent="0.25">
      <c r="B15" s="8" t="s">
        <v>58</v>
      </c>
      <c r="C15" s="21">
        <f t="shared" ca="1" si="0"/>
        <v>0.47647213094803675</v>
      </c>
      <c r="D15" s="21"/>
      <c r="E15" s="21">
        <f t="shared" ca="1" si="5"/>
        <v>4.4879974531231721E-2</v>
      </c>
      <c r="H15" s="21">
        <f t="shared" ca="1" si="6"/>
        <v>0.68571409708259745</v>
      </c>
      <c r="I15" s="21">
        <f t="shared" ca="1" si="7"/>
        <v>0.129688979729607</v>
      </c>
      <c r="J15" s="21">
        <f t="shared" ca="1" si="8"/>
        <v>0.91120891259947723</v>
      </c>
    </row>
    <row r="16" spans="1:10" x14ac:dyDescent="0.25">
      <c r="B16" s="8" t="s">
        <v>58</v>
      </c>
      <c r="C16" s="21">
        <f t="shared" ca="1" si="0"/>
        <v>0.13879554331494293</v>
      </c>
      <c r="D16" s="21"/>
      <c r="E16" s="21">
        <f t="shared" ca="1" si="5"/>
        <v>2.4672894261734059E-2</v>
      </c>
      <c r="H16" s="21">
        <f t="shared" ca="1" si="6"/>
        <v>0.67993485300857259</v>
      </c>
      <c r="I16" s="21">
        <f t="shared" ca="1" si="7"/>
        <v>0.23786428981799879</v>
      </c>
      <c r="J16" s="21">
        <f t="shared" ca="1" si="8"/>
        <v>1.1222685702158275</v>
      </c>
    </row>
    <row r="17" spans="2:27" x14ac:dyDescent="0.25">
      <c r="B17" s="8" t="s">
        <v>58</v>
      </c>
      <c r="C17" s="21">
        <f t="shared" ca="1" si="0"/>
        <v>0.1794682388973895</v>
      </c>
      <c r="D17" s="21"/>
      <c r="E17" s="21">
        <f t="shared" ca="1" si="5"/>
        <v>3.4305787610605473E-2</v>
      </c>
      <c r="H17" s="21">
        <f t="shared" ca="1" si="6"/>
        <v>0.65683234965779436</v>
      </c>
      <c r="I17" s="21">
        <f t="shared" ca="1" si="7"/>
        <v>0.20734131838525863</v>
      </c>
      <c r="J17" s="21">
        <f t="shared" ca="1" si="8"/>
        <v>1.0708316744769042</v>
      </c>
    </row>
    <row r="18" spans="2:27" x14ac:dyDescent="0.25">
      <c r="B18" s="8" t="s">
        <v>58</v>
      </c>
      <c r="C18" s="21">
        <f t="shared" ca="1" si="0"/>
        <v>0.32795312315850522</v>
      </c>
      <c r="D18" s="21"/>
      <c r="E18" s="21">
        <f t="shared" ca="1" si="5"/>
        <v>0.11739226726887808</v>
      </c>
      <c r="H18" s="21">
        <f t="shared" ca="1" si="6"/>
        <v>0.53044920449469779</v>
      </c>
      <c r="I18" s="21">
        <f t="shared" ca="1" si="7"/>
        <v>9.5838179362152845E-2</v>
      </c>
      <c r="J18" s="21">
        <f t="shared" ca="1" si="8"/>
        <v>0.82625388921348142</v>
      </c>
    </row>
    <row r="19" spans="2:27" x14ac:dyDescent="0.25">
      <c r="B19" s="8" t="s">
        <v>58</v>
      </c>
      <c r="C19" s="21">
        <f t="shared" ca="1" si="0"/>
        <v>2.0467564431932539E-2</v>
      </c>
      <c r="D19" s="21"/>
      <c r="E19" s="21">
        <f t="shared" ca="1" si="5"/>
        <v>1.6740521714504311E-2</v>
      </c>
      <c r="H19" s="21">
        <f t="shared" ca="1" si="6"/>
        <v>0.73346496904491776</v>
      </c>
      <c r="I19" s="21">
        <f t="shared" ca="1" si="7"/>
        <v>0.33058040382632842</v>
      </c>
      <c r="J19" s="21">
        <f t="shared" ca="1" si="8"/>
        <v>1.252045101166267</v>
      </c>
    </row>
    <row r="20" spans="2:27" x14ac:dyDescent="0.25">
      <c r="B20" s="8" t="s">
        <v>58</v>
      </c>
      <c r="C20" s="21">
        <f t="shared" ca="1" si="0"/>
        <v>0.65297992877041355</v>
      </c>
      <c r="D20" s="21"/>
      <c r="E20" s="21">
        <f t="shared" ca="1" si="5"/>
        <v>0.50839851704071126</v>
      </c>
      <c r="H20" s="21">
        <f t="shared" ca="1" si="6"/>
        <v>0.27278530949420432</v>
      </c>
      <c r="I20" s="21">
        <f t="shared" ca="1" si="7"/>
        <v>5.3915131570117694E-2</v>
      </c>
      <c r="J20" s="21">
        <f t="shared" ca="1" si="8"/>
        <v>0.24547871032295662</v>
      </c>
    </row>
    <row r="21" spans="2:27" x14ac:dyDescent="0.25">
      <c r="B21" s="8" t="s">
        <v>58</v>
      </c>
      <c r="C21" s="21">
        <f t="shared" ca="1" si="0"/>
        <v>0.49887875449197083</v>
      </c>
      <c r="D21" s="21"/>
      <c r="E21" s="21">
        <f t="shared" ca="1" si="5"/>
        <v>0.14403380353603917</v>
      </c>
      <c r="H21" s="21">
        <f t="shared" ca="1" si="6"/>
        <v>0.54816273506917945</v>
      </c>
      <c r="I21" s="21">
        <f t="shared" ca="1" si="7"/>
        <v>7.0245387040276469E-2</v>
      </c>
      <c r="J21" s="21">
        <f t="shared" ca="1" si="8"/>
        <v>0.72915429263743381</v>
      </c>
    </row>
    <row r="22" spans="2:27" x14ac:dyDescent="0.25">
      <c r="B22" s="8" t="s">
        <v>58</v>
      </c>
      <c r="C22" s="21">
        <f t="shared" ca="1" si="0"/>
        <v>0.72325328578445225</v>
      </c>
      <c r="D22" s="21"/>
      <c r="E22" s="21">
        <f t="shared" ca="1" si="5"/>
        <v>0.51131607801998857</v>
      </c>
      <c r="H22" s="21">
        <f t="shared" ca="1" si="6"/>
        <v>0.33231370960167961</v>
      </c>
      <c r="I22" s="21">
        <f t="shared" ca="1" si="7"/>
        <v>8.8600792200539819E-2</v>
      </c>
      <c r="J22" s="21">
        <f t="shared" ca="1" si="8"/>
        <v>0.26027755968097482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0.25079414389278187</v>
      </c>
      <c r="F24" s="21">
        <f ca="1">RAND()</f>
        <v>0.84161301843068337</v>
      </c>
      <c r="G24" s="23" t="s">
        <v>70</v>
      </c>
      <c r="H24" s="20" t="str">
        <f t="shared" ref="H24:AA24" ca="1" si="9">OFFSET($B$2,MATCH(SMALL($H$3:$H$22,H$27),$H$3:$H$22,0),0)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>Blue</v>
      </c>
      <c r="M24" s="20" t="str">
        <f t="shared" ca="1" si="9"/>
        <v>Blue</v>
      </c>
      <c r="N24" s="20" t="str">
        <f t="shared" ca="1" si="9"/>
        <v>Orange</v>
      </c>
      <c r="O24" s="20" t="str">
        <f t="shared" ca="1" si="9"/>
        <v>Orange</v>
      </c>
      <c r="P24" s="20" t="str">
        <f t="shared" ca="1" si="9"/>
        <v>Orange</v>
      </c>
      <c r="Q24" s="20" t="str">
        <f t="shared" ca="1" si="9"/>
        <v>Blue</v>
      </c>
      <c r="R24" s="20" t="str">
        <f t="shared" ca="1" si="9"/>
        <v>Orange</v>
      </c>
      <c r="S24" s="20" t="str">
        <f t="shared" ca="1" si="9"/>
        <v>Blue</v>
      </c>
      <c r="T24" s="20" t="str">
        <f t="shared" ca="1" si="9"/>
        <v>Blue</v>
      </c>
      <c r="U24" s="20" t="str">
        <f t="shared" ca="1" si="9"/>
        <v>Orange</v>
      </c>
      <c r="V24" s="20" t="str">
        <f t="shared" ca="1" si="9"/>
        <v>Blue</v>
      </c>
      <c r="W24" s="20" t="str">
        <f t="shared" ca="1" si="9"/>
        <v>Orange</v>
      </c>
      <c r="X24" s="20" t="str">
        <f t="shared" ca="1" si="9"/>
        <v>Orange</v>
      </c>
      <c r="Y24" s="20" t="str">
        <f t="shared" ca="1" si="9"/>
        <v>Orange</v>
      </c>
      <c r="Z24" s="20" t="str">
        <f t="shared" ca="1" si="9"/>
        <v>Orange</v>
      </c>
      <c r="AA24" s="20" t="str">
        <f t="shared" ca="1" si="9"/>
        <v>Orange</v>
      </c>
    </row>
    <row r="25" spans="2:27" x14ac:dyDescent="0.25">
      <c r="B25" s="8" t="s">
        <v>65</v>
      </c>
      <c r="C25" s="21">
        <f ca="1">RAND()</f>
        <v>0.4457334431043215</v>
      </c>
      <c r="F25" s="21">
        <f ca="1">RAND()</f>
        <v>0.40368927318338987</v>
      </c>
      <c r="G25" s="22" t="s">
        <v>69</v>
      </c>
      <c r="H25" s="20" t="str">
        <f t="shared" ref="H25:Q25" ca="1" si="10">OFFSET($B$2,MATCH(SMALL($I$3:$I$22,H$27),$I$3:$I$22,0),0)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Blue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>Orange</v>
      </c>
      <c r="O25" s="20" t="str">
        <f t="shared" ca="1" si="10"/>
        <v>Blue</v>
      </c>
      <c r="P25" s="20" t="str">
        <f t="shared" ca="1" si="10"/>
        <v>Orange</v>
      </c>
      <c r="Q25" s="20" t="str">
        <f t="shared" ca="1" si="10"/>
        <v>Blue</v>
      </c>
      <c r="R25" s="20" t="str">
        <f t="shared" ref="R25:AA25" ca="1" si="11">OFFSET($B$2,MATCH(SMALL($I$3:$I$22,R$27),$I$3:$I$22,0),0)</f>
        <v>Orange</v>
      </c>
      <c r="S25" s="20" t="str">
        <f t="shared" ca="1" si="11"/>
        <v>Orange</v>
      </c>
      <c r="T25" s="20" t="str">
        <f t="shared" ca="1" si="11"/>
        <v>Orange</v>
      </c>
      <c r="U25" s="20" t="str">
        <f t="shared" ca="1" si="11"/>
        <v>Blue</v>
      </c>
      <c r="V25" s="20" t="str">
        <f t="shared" ca="1" si="11"/>
        <v>Blue</v>
      </c>
      <c r="W25" s="20" t="str">
        <f t="shared" ca="1" si="11"/>
        <v>Blue</v>
      </c>
      <c r="X25" s="20" t="str">
        <f t="shared" ca="1" si="11"/>
        <v>Blue</v>
      </c>
      <c r="Y25" s="20" t="str">
        <f t="shared" ca="1" si="11"/>
        <v>Blue</v>
      </c>
      <c r="Z25" s="20" t="str">
        <f t="shared" ca="1" si="11"/>
        <v>Blue</v>
      </c>
      <c r="AA25" s="20" t="str">
        <f t="shared" ca="1" si="11"/>
        <v>Blue</v>
      </c>
    </row>
    <row r="26" spans="2:27" x14ac:dyDescent="0.25">
      <c r="B26" s="8" t="s">
        <v>64</v>
      </c>
      <c r="C26" s="21">
        <f ca="1">RAND()</f>
        <v>0.56265690544814506</v>
      </c>
      <c r="F26" s="21">
        <f ca="1">RAND()</f>
        <v>0.99555399712985237</v>
      </c>
      <c r="G26" s="19" t="s">
        <v>68</v>
      </c>
      <c r="H26" s="20" t="str">
        <f ca="1">OFFSET($B$2,MATCH(SMALL($J$3:$J$22,H$27),$J$3:$J$22,0),0)</f>
        <v>Blue</v>
      </c>
      <c r="I26" s="20" t="str">
        <f t="shared" ref="I26:AA26" ca="1" si="12">OFFSET($B$2,MATCH(SMALL($J$3:$J$22,I$27),$J$3:$J$22,0),0)</f>
        <v>Blue</v>
      </c>
      <c r="J26" s="20" t="str">
        <f t="shared" ca="1" si="12"/>
        <v>Blue</v>
      </c>
      <c r="K26" s="20" t="str">
        <f t="shared" ca="1" si="12"/>
        <v>Blue</v>
      </c>
      <c r="L26" s="20" t="str">
        <f t="shared" ca="1" si="12"/>
        <v>Blue</v>
      </c>
      <c r="M26" s="20" t="str">
        <f t="shared" ca="1" si="12"/>
        <v>Blue</v>
      </c>
      <c r="N26" s="20" t="str">
        <f t="shared" ca="1" si="12"/>
        <v>Blue</v>
      </c>
      <c r="O26" s="20" t="str">
        <f t="shared" ca="1" si="12"/>
        <v>Blue</v>
      </c>
      <c r="P26" s="20" t="str">
        <f t="shared" ca="1" si="12"/>
        <v>Blue</v>
      </c>
      <c r="Q26" s="20" t="str">
        <f t="shared" ca="1" si="12"/>
        <v>Blue</v>
      </c>
      <c r="R26" s="20" t="str">
        <f t="shared" ca="1" si="12"/>
        <v>Orange</v>
      </c>
      <c r="S26" s="20" t="str">
        <f t="shared" ca="1" si="12"/>
        <v>Orange</v>
      </c>
      <c r="T26" s="20" t="str">
        <f t="shared" ca="1" si="12"/>
        <v>Orange</v>
      </c>
      <c r="U26" s="20" t="str">
        <f t="shared" ca="1" si="12"/>
        <v>Orange</v>
      </c>
      <c r="V26" s="20" t="str">
        <f t="shared" ca="1" si="12"/>
        <v>Orange</v>
      </c>
      <c r="W26" s="20" t="str">
        <f t="shared" ca="1" si="12"/>
        <v>Orange</v>
      </c>
      <c r="X26" s="20" t="str">
        <f t="shared" ca="1" si="12"/>
        <v>Orange</v>
      </c>
      <c r="Y26" s="20" t="str">
        <f t="shared" ca="1" si="12"/>
        <v>Orange</v>
      </c>
      <c r="Z26" s="20" t="str">
        <f t="shared" ca="1" si="12"/>
        <v>Orange</v>
      </c>
      <c r="AA26" s="20" t="str">
        <f t="shared" ca="1" si="12"/>
        <v>Orange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386B2E1A-2615-5440-AE58-CC4B87256832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252</v>
      </c>
    </row>
    <row r="2" spans="1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28" x14ac:dyDescent="0.25">
      <c r="B3" s="8" t="s">
        <v>59</v>
      </c>
      <c r="C3" s="21">
        <f t="shared" ref="C3:C22" ca="1" si="0">RAND()</f>
        <v>0.85479059571679283</v>
      </c>
      <c r="D3" s="21">
        <f t="shared" ref="D3:D12" ca="1" si="1">C3+RAND()*(1-C3)</f>
        <v>0.96353152676802079</v>
      </c>
      <c r="E3" s="21"/>
      <c r="H3" s="21">
        <f t="shared" ref="H3:H12" ca="1" si="2">SUMSQ($C3-$C$24,$D3-$F$24)</f>
        <v>0.48358811571091026</v>
      </c>
      <c r="I3" s="21">
        <f t="shared" ref="I3:I12" ca="1" si="3">SUMSQ($C3-$C$25,$D3-$F$25)</f>
        <v>0.87741774837435782</v>
      </c>
      <c r="J3" s="21">
        <f t="shared" ref="J3:J12" ca="1" si="4">SUMSQ($C3-$C$26,$D3-$F$26)</f>
        <v>0.18885465651984601</v>
      </c>
      <c r="AB3" s="22" t="s">
        <v>71</v>
      </c>
    </row>
    <row r="4" spans="1:28" x14ac:dyDescent="0.25">
      <c r="B4" s="8" t="s">
        <v>59</v>
      </c>
      <c r="C4" s="21">
        <f t="shared" ca="1" si="0"/>
        <v>0.8723560998305292</v>
      </c>
      <c r="D4" s="21">
        <f t="shared" ca="1" si="1"/>
        <v>0.96280703284069946</v>
      </c>
      <c r="E4" s="21"/>
      <c r="H4" s="21">
        <f t="shared" ca="1" si="2"/>
        <v>0.50535463030873728</v>
      </c>
      <c r="I4" s="21">
        <f t="shared" ca="1" si="3"/>
        <v>0.87692752426706266</v>
      </c>
      <c r="J4" s="21">
        <f t="shared" ca="1" si="4"/>
        <v>0.19930035024891418</v>
      </c>
      <c r="AB4" s="26">
        <v>6</v>
      </c>
    </row>
    <row r="5" spans="1:28" x14ac:dyDescent="0.25">
      <c r="B5" s="8" t="s">
        <v>59</v>
      </c>
      <c r="C5" s="21">
        <f t="shared" ca="1" si="0"/>
        <v>0.97537650952383603</v>
      </c>
      <c r="D5" s="21">
        <f t="shared" ca="1" si="1"/>
        <v>0.9768775030742789</v>
      </c>
      <c r="E5" s="21"/>
      <c r="H5" s="21">
        <f t="shared" ca="1" si="2"/>
        <v>0.65689517970411249</v>
      </c>
      <c r="I5" s="21">
        <f t="shared" ca="1" si="3"/>
        <v>0.92096489033980089</v>
      </c>
      <c r="J5" s="21">
        <f t="shared" ca="1" si="4"/>
        <v>0.28462981063791931</v>
      </c>
    </row>
    <row r="6" spans="1:28" x14ac:dyDescent="0.25">
      <c r="B6" s="8" t="s">
        <v>59</v>
      </c>
      <c r="C6" s="21">
        <f t="shared" ca="1" si="0"/>
        <v>0.34526052313127553</v>
      </c>
      <c r="D6" s="21">
        <f t="shared" ca="1" si="1"/>
        <v>0.86941022692636571</v>
      </c>
      <c r="E6" s="21"/>
      <c r="H6" s="21">
        <f t="shared" ca="1" si="2"/>
        <v>5.8722401324958345E-2</v>
      </c>
      <c r="I6" s="21">
        <f t="shared" ca="1" si="3"/>
        <v>0.95341497000631703</v>
      </c>
      <c r="J6" s="21">
        <f t="shared" ca="1" si="4"/>
        <v>9.1215963796571931E-2</v>
      </c>
    </row>
    <row r="7" spans="1:28" x14ac:dyDescent="0.25">
      <c r="B7" s="8" t="s">
        <v>59</v>
      </c>
      <c r="C7" s="21">
        <f t="shared" ca="1" si="0"/>
        <v>4.58070247164023E-2</v>
      </c>
      <c r="D7" s="21">
        <f t="shared" ca="1" si="1"/>
        <v>0.190640827955393</v>
      </c>
      <c r="E7" s="21"/>
      <c r="H7" s="21">
        <f t="shared" ca="1" si="2"/>
        <v>0.2505493870336663</v>
      </c>
      <c r="I7" s="21">
        <f t="shared" ca="1" si="3"/>
        <v>0.65580892432479754</v>
      </c>
      <c r="J7" s="21">
        <f t="shared" ca="1" si="4"/>
        <v>0.46907006492945624</v>
      </c>
    </row>
    <row r="8" spans="1:28" x14ac:dyDescent="0.25">
      <c r="B8" s="8" t="s">
        <v>59</v>
      </c>
      <c r="C8" s="21">
        <f t="shared" ca="1" si="0"/>
        <v>0.67634349743706668</v>
      </c>
      <c r="D8" s="21">
        <f t="shared" ca="1" si="1"/>
        <v>0.95621092858166157</v>
      </c>
      <c r="E8" s="21"/>
      <c r="H8" s="21">
        <f t="shared" ca="1" si="2"/>
        <v>0.28845718260153619</v>
      </c>
      <c r="I8" s="21">
        <f t="shared" ca="1" si="3"/>
        <v>0.88993567873600798</v>
      </c>
      <c r="J8" s="21">
        <f t="shared" ca="1" si="4"/>
        <v>0.10858337269190067</v>
      </c>
    </row>
    <row r="9" spans="1:28" x14ac:dyDescent="0.25">
      <c r="B9" s="8" t="s">
        <v>59</v>
      </c>
      <c r="C9" s="21">
        <f t="shared" ca="1" si="0"/>
        <v>0.31058255064058427</v>
      </c>
      <c r="D9" s="21">
        <f t="shared" ca="1" si="1"/>
        <v>0.94973832570567684</v>
      </c>
      <c r="E9" s="21"/>
      <c r="H9" s="21">
        <f t="shared" ca="1" si="2"/>
        <v>9.2832053283596616E-2</v>
      </c>
      <c r="I9" s="21">
        <f t="shared" ca="1" si="3"/>
        <v>1.1306526937785195</v>
      </c>
      <c r="J9" s="21">
        <f t="shared" ca="1" si="4"/>
        <v>0.14847076042790591</v>
      </c>
    </row>
    <row r="10" spans="1:28" x14ac:dyDescent="0.25">
      <c r="B10" s="8" t="s">
        <v>59</v>
      </c>
      <c r="C10" s="21">
        <f t="shared" ca="1" si="0"/>
        <v>0.13306514557659244</v>
      </c>
      <c r="D10" s="21">
        <f t="shared" ca="1" si="1"/>
        <v>0.65633553693299895</v>
      </c>
      <c r="E10" s="21"/>
      <c r="H10" s="21">
        <f t="shared" ca="1" si="2"/>
        <v>9.65153435763994E-3</v>
      </c>
      <c r="I10" s="21">
        <f t="shared" ca="1" si="3"/>
        <v>0.89433484513844186</v>
      </c>
      <c r="J10" s="21">
        <f t="shared" ca="1" si="4"/>
        <v>0.17666669719649147</v>
      </c>
    </row>
    <row r="11" spans="1:28" x14ac:dyDescent="0.25">
      <c r="B11" s="8" t="s">
        <v>59</v>
      </c>
      <c r="C11" s="21">
        <f t="shared" ca="1" si="0"/>
        <v>0.99369300682581874</v>
      </c>
      <c r="D11" s="21">
        <f t="shared" ca="1" si="1"/>
        <v>0.99655188207256518</v>
      </c>
      <c r="E11" s="21"/>
      <c r="H11" s="21">
        <f t="shared" ca="1" si="2"/>
        <v>0.69751920445361504</v>
      </c>
      <c r="I11" s="21">
        <f t="shared" ca="1" si="3"/>
        <v>0.96406458266585482</v>
      </c>
      <c r="J11" s="21">
        <f t="shared" ca="1" si="4"/>
        <v>0.31365498797155433</v>
      </c>
    </row>
    <row r="12" spans="1:28" x14ac:dyDescent="0.25">
      <c r="B12" s="8" t="s">
        <v>59</v>
      </c>
      <c r="C12" s="21">
        <f t="shared" ca="1" si="0"/>
        <v>0.81525901026022796</v>
      </c>
      <c r="D12" s="21">
        <f t="shared" ca="1" si="1"/>
        <v>0.96843643465597495</v>
      </c>
      <c r="E12" s="21"/>
      <c r="H12" s="21">
        <f t="shared" ca="1" si="2"/>
        <v>0.43890135643503492</v>
      </c>
      <c r="I12" s="21">
        <f t="shared" ca="1" si="3"/>
        <v>0.88693683685515845</v>
      </c>
      <c r="J12" s="21">
        <f t="shared" ca="1" si="4"/>
        <v>0.16967868834227684</v>
      </c>
    </row>
    <row r="13" spans="1:28" x14ac:dyDescent="0.25">
      <c r="B13" s="8" t="s">
        <v>58</v>
      </c>
      <c r="C13" s="21">
        <f t="shared" ca="1" si="0"/>
        <v>0.52906090291235575</v>
      </c>
      <c r="D13" s="21"/>
      <c r="E13" s="21">
        <f t="shared" ref="E13:E22" ca="1" si="5">RAND()*C13</f>
        <v>0.45089484045509826</v>
      </c>
      <c r="H13" s="21">
        <f t="shared" ref="H13:H22" ca="1" si="6">SUMSQ(C13-$C$24,E13-$F$24)</f>
        <v>0.13054261417198459</v>
      </c>
      <c r="I13" s="21">
        <f t="shared" ref="I13:I22" ca="1" si="7">SUMSQ($C13-$C$25,$E13-$F$25)</f>
        <v>0.2757290194450599</v>
      </c>
      <c r="J13" s="21">
        <f t="shared" ref="J13:J22" ca="1" si="8">SUMSQ($C13-$C$26,$E13-$F$26)</f>
        <v>4.0435151195841484E-2</v>
      </c>
    </row>
    <row r="14" spans="1:28" x14ac:dyDescent="0.25">
      <c r="B14" s="8" t="s">
        <v>58</v>
      </c>
      <c r="C14" s="21">
        <f t="shared" ca="1" si="0"/>
        <v>0.19970890536091046</v>
      </c>
      <c r="D14" s="21"/>
      <c r="E14" s="21">
        <f t="shared" ca="1" si="5"/>
        <v>4.6744977065562271E-2</v>
      </c>
      <c r="H14" s="21">
        <f t="shared" ca="1" si="6"/>
        <v>0.37164134554010597</v>
      </c>
      <c r="I14" s="21">
        <f t="shared" ca="1" si="7"/>
        <v>0.40897372824509148</v>
      </c>
      <c r="J14" s="21">
        <f t="shared" ca="1" si="8"/>
        <v>0.48958672729538899</v>
      </c>
    </row>
    <row r="15" spans="1:28" x14ac:dyDescent="0.25">
      <c r="B15" s="8" t="s">
        <v>58</v>
      </c>
      <c r="C15" s="21">
        <f t="shared" ca="1" si="0"/>
        <v>0.96925660464912144</v>
      </c>
      <c r="D15" s="21"/>
      <c r="E15" s="21">
        <f t="shared" ca="1" si="5"/>
        <v>0.39174808662719146</v>
      </c>
      <c r="H15" s="21">
        <f t="shared" ca="1" si="6"/>
        <v>0.61416495884123279</v>
      </c>
      <c r="I15" s="21">
        <f t="shared" ca="1" si="7"/>
        <v>0.15005949805672275</v>
      </c>
      <c r="J15" s="21">
        <f t="shared" ca="1" si="8"/>
        <v>0.23994175215380747</v>
      </c>
    </row>
    <row r="16" spans="1:28" x14ac:dyDescent="0.25">
      <c r="B16" s="8" t="s">
        <v>58</v>
      </c>
      <c r="C16" s="21">
        <f t="shared" ca="1" si="0"/>
        <v>0.3941693326993565</v>
      </c>
      <c r="D16" s="21"/>
      <c r="E16" s="21">
        <f t="shared" ca="1" si="5"/>
        <v>0.33615361357917622</v>
      </c>
      <c r="H16" s="21">
        <f t="shared" ca="1" si="6"/>
        <v>0.12853884604839488</v>
      </c>
      <c r="I16" s="21">
        <f t="shared" ca="1" si="7"/>
        <v>0.29339772648400142</v>
      </c>
      <c r="J16" s="21">
        <f t="shared" ca="1" si="8"/>
        <v>0.12415491066544881</v>
      </c>
    </row>
    <row r="17" spans="2:27" x14ac:dyDescent="0.25">
      <c r="B17" s="8" t="s">
        <v>58</v>
      </c>
      <c r="C17" s="21">
        <f t="shared" ca="1" si="0"/>
        <v>0.11255721497319671</v>
      </c>
      <c r="D17" s="21"/>
      <c r="E17" s="21">
        <f t="shared" ca="1" si="5"/>
        <v>2.5597289544643218E-2</v>
      </c>
      <c r="H17" s="21">
        <f t="shared" ca="1" si="6"/>
        <v>0.41094077863707223</v>
      </c>
      <c r="I17" s="21">
        <f t="shared" ca="1" si="7"/>
        <v>0.52759506177763738</v>
      </c>
      <c r="J17" s="21">
        <f t="shared" ca="1" si="8"/>
        <v>0.58480523575021481</v>
      </c>
    </row>
    <row r="18" spans="2:27" x14ac:dyDescent="0.25">
      <c r="B18" s="8" t="s">
        <v>58</v>
      </c>
      <c r="C18" s="21">
        <f t="shared" ca="1" si="0"/>
        <v>8.5280174192435609E-2</v>
      </c>
      <c r="D18" s="21"/>
      <c r="E18" s="21">
        <f t="shared" ca="1" si="5"/>
        <v>6.9252629426686085E-2</v>
      </c>
      <c r="H18" s="21">
        <f t="shared" ca="1" si="6"/>
        <v>0.36506717301171515</v>
      </c>
      <c r="I18" s="21">
        <f t="shared" ca="1" si="7"/>
        <v>0.56975157263905918</v>
      </c>
      <c r="J18" s="21">
        <f t="shared" ca="1" si="8"/>
        <v>0.55694026360018156</v>
      </c>
    </row>
    <row r="19" spans="2:27" x14ac:dyDescent="0.25">
      <c r="B19" s="8" t="s">
        <v>58</v>
      </c>
      <c r="C19" s="21">
        <f t="shared" ca="1" si="0"/>
        <v>0.58912208318184933</v>
      </c>
      <c r="D19" s="21"/>
      <c r="E19" s="21">
        <f t="shared" ca="1" si="5"/>
        <v>0.53658028698197302</v>
      </c>
      <c r="H19" s="21">
        <f t="shared" ca="1" si="6"/>
        <v>0.14218731968112266</v>
      </c>
      <c r="I19" s="21">
        <f t="shared" ca="1" si="7"/>
        <v>0.32210819636744359</v>
      </c>
      <c r="J19" s="21">
        <f t="shared" ca="1" si="8"/>
        <v>1.4259820247101391E-2</v>
      </c>
    </row>
    <row r="20" spans="2:27" x14ac:dyDescent="0.25">
      <c r="B20" s="8" t="s">
        <v>58</v>
      </c>
      <c r="C20" s="21">
        <f t="shared" ca="1" si="0"/>
        <v>0.79714804759451208</v>
      </c>
      <c r="D20" s="21"/>
      <c r="E20" s="21">
        <f t="shared" ca="1" si="5"/>
        <v>0.26931825651669583</v>
      </c>
      <c r="H20" s="21">
        <f t="shared" ca="1" si="6"/>
        <v>0.4693538904237935</v>
      </c>
      <c r="I20" s="21">
        <f t="shared" ca="1" si="7"/>
        <v>6.0481717265838619E-2</v>
      </c>
      <c r="J20" s="21">
        <f t="shared" ca="1" si="8"/>
        <v>0.20474725239663427</v>
      </c>
    </row>
    <row r="21" spans="2:27" x14ac:dyDescent="0.25">
      <c r="B21" s="8" t="s">
        <v>58</v>
      </c>
      <c r="C21" s="21">
        <f t="shared" ca="1" si="0"/>
        <v>0.93353549650525358</v>
      </c>
      <c r="D21" s="21"/>
      <c r="E21" s="21">
        <f t="shared" ca="1" si="5"/>
        <v>0.52414485495299246</v>
      </c>
      <c r="H21" s="21">
        <f t="shared" ca="1" si="6"/>
        <v>0.51039596873414883</v>
      </c>
      <c r="I21" s="21">
        <f t="shared" ca="1" si="7"/>
        <v>0.25614583523583734</v>
      </c>
      <c r="J21" s="21">
        <f t="shared" ca="1" si="8"/>
        <v>0.16051474332916327</v>
      </c>
    </row>
    <row r="22" spans="2:27" x14ac:dyDescent="0.25">
      <c r="B22" s="8" t="s">
        <v>58</v>
      </c>
      <c r="C22" s="21">
        <f t="shared" ca="1" si="0"/>
        <v>0.90510916824304921</v>
      </c>
      <c r="D22" s="21"/>
      <c r="E22" s="21">
        <f t="shared" ca="1" si="5"/>
        <v>0.55341283313455514</v>
      </c>
      <c r="H22" s="21">
        <f t="shared" ca="1" si="6"/>
        <v>0.46444502310627434</v>
      </c>
      <c r="I22" s="21">
        <f t="shared" ca="1" si="7"/>
        <v>0.28153415766576062</v>
      </c>
      <c r="J22" s="21">
        <f t="shared" ca="1" si="8"/>
        <v>0.13316760002005273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0.23130422474989876</v>
      </c>
      <c r="F24" s="21">
        <f ca="1">RAND()</f>
        <v>0.65554961020563107</v>
      </c>
      <c r="G24" s="23" t="s">
        <v>70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65</v>
      </c>
      <c r="C25" s="21">
        <f ca="1">RAND()</f>
        <v>0.83891332871986524</v>
      </c>
      <c r="F25" s="21">
        <f ca="1">RAND()</f>
        <v>2.6960301090514616E-2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64</v>
      </c>
      <c r="C26" s="21">
        <f ca="1">RAND()</f>
        <v>0.55334212766876101</v>
      </c>
      <c r="F26" s="21">
        <f ca="1">RAND()</f>
        <v>0.6505084004157643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>Orange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FFA3289B-F794-0349-98E9-1227D53F05ED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2:28" x14ac:dyDescent="0.25">
      <c r="B3" s="8" t="s">
        <v>59</v>
      </c>
      <c r="C3" s="21">
        <f t="shared" ref="C3:C22" ca="1" si="0">RAND()</f>
        <v>0.16973057763544575</v>
      </c>
      <c r="D3" s="21">
        <f t="shared" ref="D3:D12" ca="1" si="1">C3+RAND()*(1-C3)</f>
        <v>0.19084681485799015</v>
      </c>
      <c r="E3" s="21"/>
      <c r="H3" s="21">
        <f t="shared" ref="H3:H12" ca="1" si="2">SUMSQ($C3-$C$24,$D3-$F$24)</f>
        <v>0.35575967579423295</v>
      </c>
      <c r="I3" s="21">
        <f t="shared" ref="I3:I12" ca="1" si="3">SUMSQ($C3-$C$25,$D3-$F$25)</f>
        <v>0.17962589028766057</v>
      </c>
      <c r="J3" s="21">
        <f t="shared" ref="J3:J12" ca="1" si="4">SUMSQ($C3-$C$26,$D3-$F$26)</f>
        <v>0.78584388506008329</v>
      </c>
      <c r="AB3" s="22" t="s">
        <v>71</v>
      </c>
    </row>
    <row r="4" spans="2:28" x14ac:dyDescent="0.25">
      <c r="B4" s="8" t="s">
        <v>59</v>
      </c>
      <c r="C4" s="21">
        <f t="shared" ca="1" si="0"/>
        <v>0.47167736475522215</v>
      </c>
      <c r="D4" s="21">
        <f t="shared" ca="1" si="1"/>
        <v>0.62203349407962594</v>
      </c>
      <c r="E4" s="21"/>
      <c r="H4" s="21">
        <f t="shared" ca="1" si="2"/>
        <v>6.347188188694311E-2</v>
      </c>
      <c r="I4" s="21">
        <f t="shared" ca="1" si="3"/>
        <v>0.10148756160020603</v>
      </c>
      <c r="J4" s="21">
        <f t="shared" ca="1" si="4"/>
        <v>0.13043828760028181</v>
      </c>
      <c r="AB4" s="26">
        <v>4</v>
      </c>
    </row>
    <row r="5" spans="2:28" x14ac:dyDescent="0.25">
      <c r="B5" s="8" t="s">
        <v>59</v>
      </c>
      <c r="C5" s="21">
        <f t="shared" ca="1" si="0"/>
        <v>0.32722749297519749</v>
      </c>
      <c r="D5" s="21">
        <f t="shared" ca="1" si="1"/>
        <v>0.97474665631819901</v>
      </c>
      <c r="E5" s="21"/>
      <c r="H5" s="21">
        <f t="shared" ca="1" si="2"/>
        <v>0.3640943497724296</v>
      </c>
      <c r="I5" s="21">
        <f t="shared" ca="1" si="3"/>
        <v>0.48910933909080279</v>
      </c>
      <c r="J5" s="21">
        <f t="shared" ca="1" si="4"/>
        <v>0.1508525377912944</v>
      </c>
    </row>
    <row r="6" spans="2:28" x14ac:dyDescent="0.25">
      <c r="B6" s="8" t="s">
        <v>59</v>
      </c>
      <c r="C6" s="21">
        <f t="shared" ca="1" si="0"/>
        <v>0.82062453116291567</v>
      </c>
      <c r="D6" s="21">
        <f t="shared" ca="1" si="1"/>
        <v>0.821640437164598</v>
      </c>
      <c r="E6" s="21"/>
      <c r="H6" s="21">
        <f t="shared" ca="1" si="2"/>
        <v>0.1283924418898498</v>
      </c>
      <c r="I6" s="21">
        <f t="shared" ca="1" si="3"/>
        <v>0.31266022106736829</v>
      </c>
      <c r="J6" s="21">
        <f t="shared" ca="1" si="4"/>
        <v>1.8272627156120984E-2</v>
      </c>
    </row>
    <row r="7" spans="2:28" x14ac:dyDescent="0.25">
      <c r="B7" s="8" t="s">
        <v>59</v>
      </c>
      <c r="C7" s="21">
        <f t="shared" ca="1" si="0"/>
        <v>0.33140163724625726</v>
      </c>
      <c r="D7" s="21">
        <f t="shared" ca="1" si="1"/>
        <v>0.96930784014214666</v>
      </c>
      <c r="E7" s="21"/>
      <c r="H7" s="21">
        <f t="shared" ca="1" si="2"/>
        <v>0.3558688702453322</v>
      </c>
      <c r="I7" s="21">
        <f t="shared" ca="1" si="3"/>
        <v>0.47998085446716754</v>
      </c>
      <c r="J7" s="21">
        <f t="shared" ca="1" si="4"/>
        <v>0.14686418201288245</v>
      </c>
    </row>
    <row r="8" spans="2:28" x14ac:dyDescent="0.25">
      <c r="B8" s="8" t="s">
        <v>59</v>
      </c>
      <c r="C8" s="21">
        <f t="shared" ca="1" si="0"/>
        <v>0.68859764465470141</v>
      </c>
      <c r="D8" s="21">
        <f t="shared" ca="1" si="1"/>
        <v>0.92232752705024124</v>
      </c>
      <c r="E8" s="21"/>
      <c r="H8" s="21">
        <f t="shared" ca="1" si="2"/>
        <v>0.18727789923822932</v>
      </c>
      <c r="I8" s="21">
        <f t="shared" ca="1" si="3"/>
        <v>0.37592930326190971</v>
      </c>
      <c r="J8" s="21">
        <f t="shared" ca="1" si="4"/>
        <v>1.0707933834084116E-3</v>
      </c>
    </row>
    <row r="9" spans="2:28" x14ac:dyDescent="0.25">
      <c r="B9" s="8" t="s">
        <v>59</v>
      </c>
      <c r="C9" s="21">
        <f t="shared" ca="1" si="0"/>
        <v>2.8227558832898958E-2</v>
      </c>
      <c r="D9" s="21">
        <f t="shared" ca="1" si="1"/>
        <v>0.53012455292623373</v>
      </c>
      <c r="E9" s="21"/>
      <c r="H9" s="21">
        <f t="shared" ca="1" si="2"/>
        <v>0.43428874861158234</v>
      </c>
      <c r="I9" s="21">
        <f t="shared" ca="1" si="3"/>
        <v>0.34126468191283232</v>
      </c>
      <c r="J9" s="21">
        <f t="shared" ca="1" si="4"/>
        <v>0.59494816603506939</v>
      </c>
    </row>
    <row r="10" spans="2:28" x14ac:dyDescent="0.25">
      <c r="B10" s="8" t="s">
        <v>59</v>
      </c>
      <c r="C10" s="21">
        <f t="shared" ca="1" si="0"/>
        <v>7.9146286721699322E-2</v>
      </c>
      <c r="D10" s="21">
        <f t="shared" ca="1" si="1"/>
        <v>0.8137757338124999</v>
      </c>
      <c r="E10" s="21"/>
      <c r="H10" s="21">
        <f t="shared" ca="1" si="2"/>
        <v>0.4733565628338775</v>
      </c>
      <c r="I10" s="21">
        <f t="shared" ca="1" si="3"/>
        <v>0.48793450640644453</v>
      </c>
      <c r="J10" s="21">
        <f t="shared" ca="1" si="4"/>
        <v>0.40149183032810626</v>
      </c>
    </row>
    <row r="11" spans="2:28" x14ac:dyDescent="0.25">
      <c r="B11" s="8" t="s">
        <v>59</v>
      </c>
      <c r="C11" s="21">
        <f t="shared" ca="1" si="0"/>
        <v>0.17798700390879918</v>
      </c>
      <c r="D11" s="21">
        <f t="shared" ca="1" si="1"/>
        <v>0.47956644643792046</v>
      </c>
      <c r="E11" s="21"/>
      <c r="H11" s="21">
        <f t="shared" ca="1" si="2"/>
        <v>0.25816220124704359</v>
      </c>
      <c r="I11" s="21">
        <f t="shared" ca="1" si="3"/>
        <v>0.18173811909375109</v>
      </c>
      <c r="J11" s="21">
        <f t="shared" ca="1" si="4"/>
        <v>0.45344010395766443</v>
      </c>
    </row>
    <row r="12" spans="2:28" x14ac:dyDescent="0.25">
      <c r="B12" s="8" t="s">
        <v>59</v>
      </c>
      <c r="C12" s="21">
        <f t="shared" ca="1" si="0"/>
        <v>0.86385448758997574</v>
      </c>
      <c r="D12" s="21">
        <f t="shared" ca="1" si="1"/>
        <v>0.88985983645601874</v>
      </c>
      <c r="E12" s="21"/>
      <c r="H12" s="21">
        <f t="shared" ca="1" si="2"/>
        <v>0.19186211094644479</v>
      </c>
      <c r="I12" s="21">
        <f t="shared" ca="1" si="3"/>
        <v>0.40898802640579335</v>
      </c>
      <c r="J12" s="21">
        <f t="shared" ca="1" si="4"/>
        <v>2.4487501911950597E-2</v>
      </c>
    </row>
    <row r="13" spans="2:28" x14ac:dyDescent="0.25">
      <c r="B13" s="8" t="s">
        <v>58</v>
      </c>
      <c r="C13" s="21">
        <f t="shared" ca="1" si="0"/>
        <v>0.16020751822248147</v>
      </c>
      <c r="D13" s="21"/>
      <c r="E13" s="21">
        <f t="shared" ref="E13:E22" ca="1" si="5">RAND()*C13</f>
        <v>0.1235507560950006</v>
      </c>
      <c r="H13" s="21">
        <f t="shared" ref="H13:H22" ca="1" si="6">SUMSQ(C13-$C$24,E13-$F$24)</f>
        <v>0.41041879741487375</v>
      </c>
      <c r="I13" s="21">
        <f t="shared" ref="I13:I22" ca="1" si="7">SUMSQ($C13-$C$25,$E13-$F$25)</f>
        <v>0.20933257582714326</v>
      </c>
      <c r="J13" s="21">
        <f t="shared" ref="J13:J22" ca="1" si="8">SUMSQ($C13-$C$26,$E13-$F$26)</f>
        <v>0.89555929481184715</v>
      </c>
    </row>
    <row r="14" spans="2:28" x14ac:dyDescent="0.25">
      <c r="B14" s="8" t="s">
        <v>58</v>
      </c>
      <c r="C14" s="21">
        <f t="shared" ca="1" si="0"/>
        <v>0.64469299375628508</v>
      </c>
      <c r="D14" s="21"/>
      <c r="E14" s="21">
        <f t="shared" ca="1" si="5"/>
        <v>0.21642925167589916</v>
      </c>
      <c r="H14" s="21">
        <f t="shared" ca="1" si="6"/>
        <v>7.6315948598014771E-2</v>
      </c>
      <c r="I14" s="21">
        <f t="shared" ca="1" si="7"/>
        <v>1.5841705611774289E-2</v>
      </c>
      <c r="J14" s="21">
        <f t="shared" ca="1" si="8"/>
        <v>0.46521241093790466</v>
      </c>
    </row>
    <row r="15" spans="2:28" x14ac:dyDescent="0.25">
      <c r="B15" s="8" t="s">
        <v>58</v>
      </c>
      <c r="C15" s="21">
        <f t="shared" ca="1" si="0"/>
        <v>0.34101461094381058</v>
      </c>
      <c r="D15" s="21"/>
      <c r="E15" s="21">
        <f t="shared" ca="1" si="5"/>
        <v>0.20462849847153666</v>
      </c>
      <c r="H15" s="21">
        <f t="shared" ca="1" si="6"/>
        <v>0.20020148595956017</v>
      </c>
      <c r="I15" s="21">
        <f t="shared" ca="1" si="7"/>
        <v>6.7321661635562427E-2</v>
      </c>
      <c r="J15" s="21">
        <f t="shared" ca="1" si="8"/>
        <v>0.61173267206529391</v>
      </c>
    </row>
    <row r="16" spans="2:28" x14ac:dyDescent="0.25">
      <c r="B16" s="8" t="s">
        <v>58</v>
      </c>
      <c r="C16" s="21">
        <f t="shared" ca="1" si="0"/>
        <v>0.64435503252320969</v>
      </c>
      <c r="D16" s="21"/>
      <c r="E16" s="21">
        <f t="shared" ca="1" si="5"/>
        <v>8.5216063226578972E-2</v>
      </c>
      <c r="H16" s="21">
        <f t="shared" ca="1" si="6"/>
        <v>0.16524263764317998</v>
      </c>
      <c r="I16" s="21">
        <f t="shared" ca="1" si="7"/>
        <v>6.0222849105169882E-2</v>
      </c>
      <c r="J16" s="21">
        <f t="shared" ca="1" si="8"/>
        <v>0.66070378163233223</v>
      </c>
    </row>
    <row r="17" spans="2:28" x14ac:dyDescent="0.25">
      <c r="B17" s="8" t="s">
        <v>58</v>
      </c>
      <c r="C17" s="21">
        <f t="shared" ca="1" si="0"/>
        <v>0.43430843764074356</v>
      </c>
      <c r="D17" s="21"/>
      <c r="E17" s="21">
        <f t="shared" ca="1" si="5"/>
        <v>0.39548094770110948</v>
      </c>
      <c r="H17" s="21">
        <f t="shared" ca="1" si="6"/>
        <v>7.2195572713750183E-2</v>
      </c>
      <c r="I17" s="21">
        <f t="shared" ca="1" si="7"/>
        <v>2.5012731117558841E-2</v>
      </c>
      <c r="J17" s="21">
        <f t="shared" ca="1" si="8"/>
        <v>0.32473747213173015</v>
      </c>
    </row>
    <row r="18" spans="2:28" x14ac:dyDescent="0.25">
      <c r="B18" s="8" t="s">
        <v>58</v>
      </c>
      <c r="C18" s="21">
        <f t="shared" ca="1" si="0"/>
        <v>0.63310933689432436</v>
      </c>
      <c r="D18" s="21"/>
      <c r="E18" s="21">
        <f t="shared" ca="1" si="5"/>
        <v>0.53678820602172628</v>
      </c>
      <c r="H18" s="21">
        <f t="shared" ca="1" si="6"/>
        <v>5.0245195138717922E-3</v>
      </c>
      <c r="I18" s="21">
        <f t="shared" ca="1" si="7"/>
        <v>5.0513700978226585E-2</v>
      </c>
      <c r="J18" s="21">
        <f t="shared" ca="1" si="8"/>
        <v>0.13427505245879523</v>
      </c>
    </row>
    <row r="19" spans="2:28" x14ac:dyDescent="0.25">
      <c r="B19" s="8" t="s">
        <v>58</v>
      </c>
      <c r="C19" s="21">
        <f t="shared" ca="1" si="0"/>
        <v>0.15313372210662757</v>
      </c>
      <c r="D19" s="21"/>
      <c r="E19" s="21">
        <f t="shared" ca="1" si="5"/>
        <v>1.0552587768001448E-2</v>
      </c>
      <c r="H19" s="21">
        <f t="shared" ca="1" si="6"/>
        <v>0.51339700543149458</v>
      </c>
      <c r="I19" s="21">
        <f t="shared" ca="1" si="7"/>
        <v>0.27242117925166054</v>
      </c>
      <c r="J19" s="21">
        <f t="shared" ca="1" si="8"/>
        <v>1.0906003928262211</v>
      </c>
    </row>
    <row r="20" spans="2:28" x14ac:dyDescent="0.25">
      <c r="B20" s="8" t="s">
        <v>58</v>
      </c>
      <c r="C20" s="21">
        <f t="shared" ca="1" si="0"/>
        <v>0.52346750178352208</v>
      </c>
      <c r="D20" s="21"/>
      <c r="E20" s="21">
        <f t="shared" ca="1" si="5"/>
        <v>0.21711995364230879</v>
      </c>
      <c r="H20" s="21">
        <f t="shared" ca="1" si="6"/>
        <v>0.10064599810698953</v>
      </c>
      <c r="I20" s="21">
        <f t="shared" ca="1" si="7"/>
        <v>1.3098746206026907E-2</v>
      </c>
      <c r="J20" s="21">
        <f t="shared" ca="1" si="8"/>
        <v>0.49419184010116801</v>
      </c>
    </row>
    <row r="21" spans="2:28" x14ac:dyDescent="0.25">
      <c r="B21" s="8" t="s">
        <v>58</v>
      </c>
      <c r="C21" s="21">
        <f t="shared" ca="1" si="0"/>
        <v>0.66178790702673118</v>
      </c>
      <c r="D21" s="21"/>
      <c r="E21" s="21">
        <f t="shared" ca="1" si="5"/>
        <v>0.34382063707236715</v>
      </c>
      <c r="H21" s="21">
        <f t="shared" ca="1" si="6"/>
        <v>2.1831070994119649E-2</v>
      </c>
      <c r="I21" s="21">
        <f t="shared" ca="1" si="7"/>
        <v>8.3817765146193528E-3</v>
      </c>
      <c r="J21" s="21">
        <f t="shared" ca="1" si="8"/>
        <v>0.30654609110259712</v>
      </c>
    </row>
    <row r="22" spans="2:28" x14ac:dyDescent="0.25">
      <c r="B22" s="8" t="s">
        <v>58</v>
      </c>
      <c r="C22" s="21">
        <f t="shared" ca="1" si="0"/>
        <v>0.39582621600340451</v>
      </c>
      <c r="D22" s="21"/>
      <c r="E22" s="21">
        <f t="shared" ca="1" si="5"/>
        <v>0.25192410393416365</v>
      </c>
      <c r="H22" s="21">
        <f t="shared" ca="1" si="6"/>
        <v>0.14067207647862701</v>
      </c>
      <c r="I22" s="21">
        <f t="shared" ca="1" si="7"/>
        <v>3.6167979521672985E-2</v>
      </c>
      <c r="J22" s="21">
        <f t="shared" ca="1" si="8"/>
        <v>0.51144161591905235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66</v>
      </c>
      <c r="C24" s="21">
        <f ca="1">RAND()</f>
        <v>0.6859849813228095</v>
      </c>
      <c r="F24" s="21">
        <f ca="1">RAND()</f>
        <v>0.48957924776013995</v>
      </c>
      <c r="G24" s="23" t="s">
        <v>70</v>
      </c>
      <c r="H24" s="20" t="str">
        <f t="shared" ref="H24:AA24" ca="1" si="9">IF(H27&lt;=k,OFFSET($B$2,MATCH(SMALL($H$3:$H$22,H$27),$H$3:$H$22,0),0),"")</f>
        <v>Orange</v>
      </c>
      <c r="I24" s="20" t="str">
        <f t="shared" ca="1" si="9"/>
        <v>Orange</v>
      </c>
      <c r="J24" s="20" t="str">
        <f t="shared" ca="1" si="9"/>
        <v>Blue</v>
      </c>
      <c r="K24" s="20" t="str">
        <f t="shared" ca="1" si="9"/>
        <v>Orange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65</v>
      </c>
      <c r="C25" s="21">
        <f ca="1">RAND()</f>
        <v>0.57335564058885535</v>
      </c>
      <c r="F25" s="21">
        <f ca="1">RAND()</f>
        <v>0.32012441865507757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64</v>
      </c>
      <c r="C26" s="21">
        <f ca="1">RAND()</f>
        <v>0.70747491769667781</v>
      </c>
      <c r="F26" s="21">
        <f ca="1">RAND()</f>
        <v>0.89559848019280386</v>
      </c>
      <c r="G26" s="19" t="s">
        <v>68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Blue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253</v>
      </c>
    </row>
  </sheetData>
  <hyperlinks>
    <hyperlink ref="A1" r:id="rId1" xr:uid="{CB879A62-BF7A-644C-B6E1-3558C4DF123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</v>
      </c>
    </row>
    <row r="2" spans="1:1" x14ac:dyDescent="0.3">
      <c r="A2" s="1" t="s">
        <v>54</v>
      </c>
    </row>
    <row r="3" spans="1:1" x14ac:dyDescent="0.3">
      <c r="A3" s="1" t="s">
        <v>55</v>
      </c>
    </row>
    <row r="4" spans="1:1" x14ac:dyDescent="0.3">
      <c r="A4" s="1" t="s">
        <v>56</v>
      </c>
    </row>
    <row r="5" spans="1:1" x14ac:dyDescent="0.3">
      <c r="A5" s="1" t="s">
        <v>57</v>
      </c>
    </row>
    <row r="6" spans="1:1" x14ac:dyDescent="0.3">
      <c r="A6" s="1" t="s">
        <v>44</v>
      </c>
    </row>
    <row r="7" spans="1:1" x14ac:dyDescent="0.3">
      <c r="A7" s="1" t="s">
        <v>42</v>
      </c>
    </row>
    <row r="8" spans="1:1" x14ac:dyDescent="0.3">
      <c r="A8" s="1" t="s">
        <v>40</v>
      </c>
    </row>
    <row r="9" spans="1:1" x14ac:dyDescent="0.3">
      <c r="A9" s="1" t="s">
        <v>38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48</v>
      </c>
      <c r="C2" s="14" t="s">
        <v>47</v>
      </c>
    </row>
    <row r="3" spans="2:3" x14ac:dyDescent="0.3">
      <c r="B3" s="10" t="s">
        <v>46</v>
      </c>
      <c r="C3" s="14" t="s">
        <v>45</v>
      </c>
    </row>
    <row r="4" spans="2:3" x14ac:dyDescent="0.3">
      <c r="B4" s="10" t="s">
        <v>44</v>
      </c>
      <c r="C4" s="14" t="s">
        <v>43</v>
      </c>
    </row>
    <row r="5" spans="2:3" x14ac:dyDescent="0.3">
      <c r="B5" s="10" t="s">
        <v>42</v>
      </c>
      <c r="C5" s="14" t="s">
        <v>41</v>
      </c>
    </row>
    <row r="6" spans="2:3" x14ac:dyDescent="0.3">
      <c r="B6" s="10" t="s">
        <v>40</v>
      </c>
      <c r="C6" s="14" t="s">
        <v>39</v>
      </c>
    </row>
    <row r="7" spans="2:3" x14ac:dyDescent="0.3">
      <c r="B7" s="10" t="s">
        <v>38</v>
      </c>
      <c r="C7" s="14" t="s">
        <v>37</v>
      </c>
    </row>
    <row r="8" spans="2:3" x14ac:dyDescent="0.3">
      <c r="B8" s="10" t="s">
        <v>36</v>
      </c>
      <c r="C8" s="14" t="s">
        <v>35</v>
      </c>
    </row>
    <row r="9" spans="2:3" x14ac:dyDescent="0.3">
      <c r="B9" s="10" t="s">
        <v>34</v>
      </c>
      <c r="C9" s="14" t="s">
        <v>33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179</v>
      </c>
    </row>
    <row r="2" spans="1:1" x14ac:dyDescent="0.3">
      <c r="A2" s="1" t="s">
        <v>180</v>
      </c>
    </row>
    <row r="3" spans="1:1" x14ac:dyDescent="0.3">
      <c r="A3" s="1" t="s">
        <v>181</v>
      </c>
    </row>
    <row r="4" spans="1:1" x14ac:dyDescent="0.3">
      <c r="A4" s="1" t="s">
        <v>182</v>
      </c>
    </row>
  </sheetData>
  <phoneticPr fontId="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78</v>
      </c>
      <c r="B1" s="27" t="s">
        <v>79</v>
      </c>
      <c r="C1" s="27" t="s">
        <v>80</v>
      </c>
      <c r="D1" s="27" t="s">
        <v>81</v>
      </c>
      <c r="E1" s="27" t="s">
        <v>82</v>
      </c>
      <c r="F1" s="27" t="s">
        <v>83</v>
      </c>
      <c r="G1" s="27" t="s">
        <v>84</v>
      </c>
      <c r="H1" s="27" t="s">
        <v>85</v>
      </c>
      <c r="I1" s="27" t="s">
        <v>86</v>
      </c>
      <c r="J1" s="27" t="s">
        <v>87</v>
      </c>
      <c r="K1" s="27" t="s">
        <v>88</v>
      </c>
    </row>
    <row r="2" spans="1:11" x14ac:dyDescent="0.2">
      <c r="A2" s="27" t="s">
        <v>89</v>
      </c>
      <c r="B2" s="27" t="s">
        <v>90</v>
      </c>
      <c r="C2" s="27">
        <v>1.8</v>
      </c>
      <c r="D2" s="27">
        <v>1999</v>
      </c>
      <c r="E2" s="27">
        <v>4</v>
      </c>
      <c r="F2" s="27" t="s">
        <v>91</v>
      </c>
      <c r="G2" s="27" t="s">
        <v>92</v>
      </c>
      <c r="H2" s="27">
        <v>18</v>
      </c>
      <c r="I2" s="27">
        <v>29</v>
      </c>
      <c r="J2" s="27" t="s">
        <v>6</v>
      </c>
      <c r="K2" s="27" t="s">
        <v>93</v>
      </c>
    </row>
    <row r="3" spans="1:11" x14ac:dyDescent="0.2">
      <c r="A3" s="27" t="s">
        <v>89</v>
      </c>
      <c r="B3" s="27" t="s">
        <v>90</v>
      </c>
      <c r="C3" s="27">
        <v>1.8</v>
      </c>
      <c r="D3" s="27">
        <v>1999</v>
      </c>
      <c r="E3" s="27">
        <v>4</v>
      </c>
      <c r="F3" s="27" t="s">
        <v>94</v>
      </c>
      <c r="G3" s="27" t="s">
        <v>92</v>
      </c>
      <c r="H3" s="27">
        <v>21</v>
      </c>
      <c r="I3" s="27">
        <v>29</v>
      </c>
      <c r="J3" s="27" t="s">
        <v>6</v>
      </c>
      <c r="K3" s="27" t="s">
        <v>93</v>
      </c>
    </row>
    <row r="4" spans="1:11" x14ac:dyDescent="0.2">
      <c r="A4" s="27" t="s">
        <v>89</v>
      </c>
      <c r="B4" s="27" t="s">
        <v>90</v>
      </c>
      <c r="C4" s="27">
        <v>2</v>
      </c>
      <c r="D4" s="27">
        <v>2008</v>
      </c>
      <c r="E4" s="27">
        <v>4</v>
      </c>
      <c r="F4" s="27" t="s">
        <v>95</v>
      </c>
      <c r="G4" s="27" t="s">
        <v>92</v>
      </c>
      <c r="H4" s="27">
        <v>20</v>
      </c>
      <c r="I4" s="27">
        <v>31</v>
      </c>
      <c r="J4" s="27" t="s">
        <v>6</v>
      </c>
      <c r="K4" s="27" t="s">
        <v>93</v>
      </c>
    </row>
    <row r="5" spans="1:11" x14ac:dyDescent="0.2">
      <c r="A5" s="27" t="s">
        <v>89</v>
      </c>
      <c r="B5" s="27" t="s">
        <v>90</v>
      </c>
      <c r="C5" s="27">
        <v>2</v>
      </c>
      <c r="D5" s="27">
        <v>2008</v>
      </c>
      <c r="E5" s="27">
        <v>4</v>
      </c>
      <c r="F5" s="27" t="s">
        <v>96</v>
      </c>
      <c r="G5" s="27" t="s">
        <v>92</v>
      </c>
      <c r="H5" s="27">
        <v>21</v>
      </c>
      <c r="I5" s="27">
        <v>30</v>
      </c>
      <c r="J5" s="27" t="s">
        <v>6</v>
      </c>
      <c r="K5" s="27" t="s">
        <v>93</v>
      </c>
    </row>
    <row r="6" spans="1:11" x14ac:dyDescent="0.2">
      <c r="A6" s="27" t="s">
        <v>89</v>
      </c>
      <c r="B6" s="27" t="s">
        <v>90</v>
      </c>
      <c r="C6" s="27">
        <v>2.8</v>
      </c>
      <c r="D6" s="27">
        <v>1999</v>
      </c>
      <c r="E6" s="27">
        <v>6</v>
      </c>
      <c r="F6" s="27" t="s">
        <v>91</v>
      </c>
      <c r="G6" s="27" t="s">
        <v>92</v>
      </c>
      <c r="H6" s="27">
        <v>16</v>
      </c>
      <c r="I6" s="27">
        <v>26</v>
      </c>
      <c r="J6" s="27" t="s">
        <v>6</v>
      </c>
      <c r="K6" s="27" t="s">
        <v>93</v>
      </c>
    </row>
    <row r="7" spans="1:11" x14ac:dyDescent="0.2">
      <c r="A7" s="27" t="s">
        <v>89</v>
      </c>
      <c r="B7" s="27" t="s">
        <v>90</v>
      </c>
      <c r="C7" s="27">
        <v>2.8</v>
      </c>
      <c r="D7" s="27">
        <v>1999</v>
      </c>
      <c r="E7" s="27">
        <v>6</v>
      </c>
      <c r="F7" s="27" t="s">
        <v>94</v>
      </c>
      <c r="G7" s="27" t="s">
        <v>92</v>
      </c>
      <c r="H7" s="27">
        <v>18</v>
      </c>
      <c r="I7" s="27">
        <v>26</v>
      </c>
      <c r="J7" s="27" t="s">
        <v>6</v>
      </c>
      <c r="K7" s="27" t="s">
        <v>93</v>
      </c>
    </row>
    <row r="8" spans="1:11" x14ac:dyDescent="0.2">
      <c r="A8" s="27" t="s">
        <v>89</v>
      </c>
      <c r="B8" s="27" t="s">
        <v>90</v>
      </c>
      <c r="C8" s="27">
        <v>3.1</v>
      </c>
      <c r="D8" s="27">
        <v>2008</v>
      </c>
      <c r="E8" s="27">
        <v>6</v>
      </c>
      <c r="F8" s="27" t="s">
        <v>96</v>
      </c>
      <c r="G8" s="27" t="s">
        <v>92</v>
      </c>
      <c r="H8" s="27">
        <v>18</v>
      </c>
      <c r="I8" s="27">
        <v>27</v>
      </c>
      <c r="J8" s="27" t="s">
        <v>6</v>
      </c>
      <c r="K8" s="27" t="s">
        <v>93</v>
      </c>
    </row>
    <row r="9" spans="1:11" x14ac:dyDescent="0.2">
      <c r="A9" s="27" t="s">
        <v>89</v>
      </c>
      <c r="B9" s="27" t="s">
        <v>97</v>
      </c>
      <c r="C9" s="27">
        <v>1.8</v>
      </c>
      <c r="D9" s="27">
        <v>1999</v>
      </c>
      <c r="E9" s="27">
        <v>4</v>
      </c>
      <c r="F9" s="27" t="s">
        <v>94</v>
      </c>
      <c r="G9" s="27">
        <v>4</v>
      </c>
      <c r="H9" s="27">
        <v>18</v>
      </c>
      <c r="I9" s="27">
        <v>26</v>
      </c>
      <c r="J9" s="27" t="s">
        <v>6</v>
      </c>
      <c r="K9" s="27" t="s">
        <v>93</v>
      </c>
    </row>
    <row r="10" spans="1:11" x14ac:dyDescent="0.2">
      <c r="A10" s="27" t="s">
        <v>89</v>
      </c>
      <c r="B10" s="27" t="s">
        <v>97</v>
      </c>
      <c r="C10" s="27">
        <v>1.8</v>
      </c>
      <c r="D10" s="27">
        <v>1999</v>
      </c>
      <c r="E10" s="27">
        <v>4</v>
      </c>
      <c r="F10" s="27" t="s">
        <v>91</v>
      </c>
      <c r="G10" s="27">
        <v>4</v>
      </c>
      <c r="H10" s="27">
        <v>16</v>
      </c>
      <c r="I10" s="27">
        <v>25</v>
      </c>
      <c r="J10" s="27" t="s">
        <v>6</v>
      </c>
      <c r="K10" s="27" t="s">
        <v>93</v>
      </c>
    </row>
    <row r="11" spans="1:11" x14ac:dyDescent="0.2">
      <c r="A11" s="27" t="s">
        <v>89</v>
      </c>
      <c r="B11" s="27" t="s">
        <v>97</v>
      </c>
      <c r="C11" s="27">
        <v>2</v>
      </c>
      <c r="D11" s="27">
        <v>2008</v>
      </c>
      <c r="E11" s="27">
        <v>4</v>
      </c>
      <c r="F11" s="27" t="s">
        <v>95</v>
      </c>
      <c r="G11" s="27">
        <v>4</v>
      </c>
      <c r="H11" s="27">
        <v>20</v>
      </c>
      <c r="I11" s="27">
        <v>28</v>
      </c>
      <c r="J11" s="27" t="s">
        <v>6</v>
      </c>
      <c r="K11" s="27" t="s">
        <v>93</v>
      </c>
    </row>
    <row r="12" spans="1:11" x14ac:dyDescent="0.2">
      <c r="A12" s="27" t="s">
        <v>89</v>
      </c>
      <c r="B12" s="27" t="s">
        <v>97</v>
      </c>
      <c r="C12" s="27">
        <v>2</v>
      </c>
      <c r="D12" s="27">
        <v>2008</v>
      </c>
      <c r="E12" s="27">
        <v>4</v>
      </c>
      <c r="F12" s="27" t="s">
        <v>98</v>
      </c>
      <c r="G12" s="27">
        <v>4</v>
      </c>
      <c r="H12" s="27">
        <v>19</v>
      </c>
      <c r="I12" s="27">
        <v>27</v>
      </c>
      <c r="J12" s="27" t="s">
        <v>6</v>
      </c>
      <c r="K12" s="27" t="s">
        <v>93</v>
      </c>
    </row>
    <row r="13" spans="1:11" x14ac:dyDescent="0.2">
      <c r="A13" s="27" t="s">
        <v>89</v>
      </c>
      <c r="B13" s="27" t="s">
        <v>97</v>
      </c>
      <c r="C13" s="27">
        <v>2.8</v>
      </c>
      <c r="D13" s="27">
        <v>1999</v>
      </c>
      <c r="E13" s="27">
        <v>6</v>
      </c>
      <c r="F13" s="27" t="s">
        <v>91</v>
      </c>
      <c r="G13" s="27">
        <v>4</v>
      </c>
      <c r="H13" s="27">
        <v>15</v>
      </c>
      <c r="I13" s="27">
        <v>25</v>
      </c>
      <c r="J13" s="27" t="s">
        <v>6</v>
      </c>
      <c r="K13" s="27" t="s">
        <v>93</v>
      </c>
    </row>
    <row r="14" spans="1:11" x14ac:dyDescent="0.2">
      <c r="A14" s="27" t="s">
        <v>89</v>
      </c>
      <c r="B14" s="27" t="s">
        <v>97</v>
      </c>
      <c r="C14" s="27">
        <v>2.8</v>
      </c>
      <c r="D14" s="27">
        <v>1999</v>
      </c>
      <c r="E14" s="27">
        <v>6</v>
      </c>
      <c r="F14" s="27" t="s">
        <v>94</v>
      </c>
      <c r="G14" s="27">
        <v>4</v>
      </c>
      <c r="H14" s="27">
        <v>17</v>
      </c>
      <c r="I14" s="27">
        <v>25</v>
      </c>
      <c r="J14" s="27" t="s">
        <v>6</v>
      </c>
      <c r="K14" s="27" t="s">
        <v>93</v>
      </c>
    </row>
    <row r="15" spans="1:11" x14ac:dyDescent="0.2">
      <c r="A15" s="27" t="s">
        <v>89</v>
      </c>
      <c r="B15" s="27" t="s">
        <v>97</v>
      </c>
      <c r="C15" s="27">
        <v>3.1</v>
      </c>
      <c r="D15" s="27">
        <v>2008</v>
      </c>
      <c r="E15" s="27">
        <v>6</v>
      </c>
      <c r="F15" s="27" t="s">
        <v>98</v>
      </c>
      <c r="G15" s="27">
        <v>4</v>
      </c>
      <c r="H15" s="27">
        <v>17</v>
      </c>
      <c r="I15" s="27">
        <v>25</v>
      </c>
      <c r="J15" s="27" t="s">
        <v>6</v>
      </c>
      <c r="K15" s="27" t="s">
        <v>93</v>
      </c>
    </row>
    <row r="16" spans="1:11" x14ac:dyDescent="0.2">
      <c r="A16" s="27" t="s">
        <v>89</v>
      </c>
      <c r="B16" s="27" t="s">
        <v>97</v>
      </c>
      <c r="C16" s="27">
        <v>3.1</v>
      </c>
      <c r="D16" s="27">
        <v>2008</v>
      </c>
      <c r="E16" s="27">
        <v>6</v>
      </c>
      <c r="F16" s="27" t="s">
        <v>95</v>
      </c>
      <c r="G16" s="27">
        <v>4</v>
      </c>
      <c r="H16" s="27">
        <v>15</v>
      </c>
      <c r="I16" s="27">
        <v>25</v>
      </c>
      <c r="J16" s="27" t="s">
        <v>6</v>
      </c>
      <c r="K16" s="27" t="s">
        <v>93</v>
      </c>
    </row>
    <row r="17" spans="1:11" x14ac:dyDescent="0.2">
      <c r="A17" s="27" t="s">
        <v>89</v>
      </c>
      <c r="B17" s="27" t="s">
        <v>99</v>
      </c>
      <c r="C17" s="27">
        <v>2.8</v>
      </c>
      <c r="D17" s="27">
        <v>1999</v>
      </c>
      <c r="E17" s="27">
        <v>6</v>
      </c>
      <c r="F17" s="27" t="s">
        <v>91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100</v>
      </c>
    </row>
    <row r="18" spans="1:11" x14ac:dyDescent="0.2">
      <c r="A18" s="27" t="s">
        <v>89</v>
      </c>
      <c r="B18" s="27" t="s">
        <v>99</v>
      </c>
      <c r="C18" s="27">
        <v>3.1</v>
      </c>
      <c r="D18" s="27">
        <v>2008</v>
      </c>
      <c r="E18" s="27">
        <v>6</v>
      </c>
      <c r="F18" s="27" t="s">
        <v>98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100</v>
      </c>
    </row>
    <row r="19" spans="1:11" x14ac:dyDescent="0.2">
      <c r="A19" s="27" t="s">
        <v>89</v>
      </c>
      <c r="B19" s="27" t="s">
        <v>99</v>
      </c>
      <c r="C19" s="27">
        <v>4.2</v>
      </c>
      <c r="D19" s="27">
        <v>2008</v>
      </c>
      <c r="E19" s="27">
        <v>8</v>
      </c>
      <c r="F19" s="27" t="s">
        <v>98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100</v>
      </c>
    </row>
    <row r="20" spans="1:11" x14ac:dyDescent="0.2">
      <c r="A20" s="27" t="s">
        <v>101</v>
      </c>
      <c r="B20" s="27" t="s">
        <v>102</v>
      </c>
      <c r="C20" s="27">
        <v>5.3</v>
      </c>
      <c r="D20" s="27">
        <v>2008</v>
      </c>
      <c r="E20" s="27">
        <v>8</v>
      </c>
      <c r="F20" s="27" t="s">
        <v>103</v>
      </c>
      <c r="G20" s="27" t="s">
        <v>104</v>
      </c>
      <c r="H20" s="27">
        <v>14</v>
      </c>
      <c r="I20" s="27">
        <v>20</v>
      </c>
      <c r="J20" s="27" t="s">
        <v>104</v>
      </c>
      <c r="K20" s="27" t="s">
        <v>105</v>
      </c>
    </row>
    <row r="21" spans="1:11" x14ac:dyDescent="0.2">
      <c r="A21" s="27" t="s">
        <v>101</v>
      </c>
      <c r="B21" s="27" t="s">
        <v>102</v>
      </c>
      <c r="C21" s="27">
        <v>5.3</v>
      </c>
      <c r="D21" s="27">
        <v>2008</v>
      </c>
      <c r="E21" s="27">
        <v>8</v>
      </c>
      <c r="F21" s="27" t="s">
        <v>103</v>
      </c>
      <c r="G21" s="27" t="s">
        <v>104</v>
      </c>
      <c r="H21" s="27">
        <v>11</v>
      </c>
      <c r="I21" s="27">
        <v>15</v>
      </c>
      <c r="J21" s="27" t="s">
        <v>106</v>
      </c>
      <c r="K21" s="27" t="s">
        <v>105</v>
      </c>
    </row>
    <row r="22" spans="1:11" x14ac:dyDescent="0.2">
      <c r="A22" s="27" t="s">
        <v>101</v>
      </c>
      <c r="B22" s="27" t="s">
        <v>102</v>
      </c>
      <c r="C22" s="27">
        <v>5.3</v>
      </c>
      <c r="D22" s="27">
        <v>2008</v>
      </c>
      <c r="E22" s="27">
        <v>8</v>
      </c>
      <c r="F22" s="27" t="s">
        <v>103</v>
      </c>
      <c r="G22" s="27" t="s">
        <v>104</v>
      </c>
      <c r="H22" s="27">
        <v>14</v>
      </c>
      <c r="I22" s="27">
        <v>20</v>
      </c>
      <c r="J22" s="27" t="s">
        <v>104</v>
      </c>
      <c r="K22" s="27" t="s">
        <v>105</v>
      </c>
    </row>
    <row r="23" spans="1:11" x14ac:dyDescent="0.2">
      <c r="A23" s="27" t="s">
        <v>101</v>
      </c>
      <c r="B23" s="27" t="s">
        <v>102</v>
      </c>
      <c r="C23" s="27">
        <v>5.7</v>
      </c>
      <c r="D23" s="27">
        <v>1999</v>
      </c>
      <c r="E23" s="27">
        <v>8</v>
      </c>
      <c r="F23" s="27" t="s">
        <v>103</v>
      </c>
      <c r="G23" s="27" t="s">
        <v>104</v>
      </c>
      <c r="H23" s="27">
        <v>13</v>
      </c>
      <c r="I23" s="27">
        <v>17</v>
      </c>
      <c r="J23" s="27" t="s">
        <v>104</v>
      </c>
      <c r="K23" s="27" t="s">
        <v>105</v>
      </c>
    </row>
    <row r="24" spans="1:11" x14ac:dyDescent="0.2">
      <c r="A24" s="27" t="s">
        <v>101</v>
      </c>
      <c r="B24" s="27" t="s">
        <v>102</v>
      </c>
      <c r="C24" s="27">
        <v>6</v>
      </c>
      <c r="D24" s="27">
        <v>2008</v>
      </c>
      <c r="E24" s="27">
        <v>8</v>
      </c>
      <c r="F24" s="27" t="s">
        <v>103</v>
      </c>
      <c r="G24" s="27" t="s">
        <v>104</v>
      </c>
      <c r="H24" s="27">
        <v>12</v>
      </c>
      <c r="I24" s="27">
        <v>17</v>
      </c>
      <c r="J24" s="27" t="s">
        <v>104</v>
      </c>
      <c r="K24" s="27" t="s">
        <v>105</v>
      </c>
    </row>
    <row r="25" spans="1:11" x14ac:dyDescent="0.2">
      <c r="A25" s="27" t="s">
        <v>101</v>
      </c>
      <c r="B25" s="27" t="s">
        <v>107</v>
      </c>
      <c r="C25" s="27">
        <v>5.7</v>
      </c>
      <c r="D25" s="27">
        <v>1999</v>
      </c>
      <c r="E25" s="27">
        <v>8</v>
      </c>
      <c r="F25" s="27" t="s">
        <v>95</v>
      </c>
      <c r="G25" s="27" t="s">
        <v>104</v>
      </c>
      <c r="H25" s="27">
        <v>16</v>
      </c>
      <c r="I25" s="27">
        <v>26</v>
      </c>
      <c r="J25" s="27" t="s">
        <v>6</v>
      </c>
      <c r="K25" s="27" t="s">
        <v>108</v>
      </c>
    </row>
    <row r="26" spans="1:11" x14ac:dyDescent="0.2">
      <c r="A26" s="27" t="s">
        <v>101</v>
      </c>
      <c r="B26" s="27" t="s">
        <v>107</v>
      </c>
      <c r="C26" s="27">
        <v>5.7</v>
      </c>
      <c r="D26" s="27">
        <v>1999</v>
      </c>
      <c r="E26" s="27">
        <v>8</v>
      </c>
      <c r="F26" s="27" t="s">
        <v>103</v>
      </c>
      <c r="G26" s="27" t="s">
        <v>104</v>
      </c>
      <c r="H26" s="27">
        <v>15</v>
      </c>
      <c r="I26" s="27">
        <v>23</v>
      </c>
      <c r="J26" s="27" t="s">
        <v>6</v>
      </c>
      <c r="K26" s="27" t="s">
        <v>108</v>
      </c>
    </row>
    <row r="27" spans="1:11" x14ac:dyDescent="0.2">
      <c r="A27" s="27" t="s">
        <v>101</v>
      </c>
      <c r="B27" s="27" t="s">
        <v>107</v>
      </c>
      <c r="C27" s="27">
        <v>6.2</v>
      </c>
      <c r="D27" s="27">
        <v>2008</v>
      </c>
      <c r="E27" s="27">
        <v>8</v>
      </c>
      <c r="F27" s="27" t="s">
        <v>95</v>
      </c>
      <c r="G27" s="27" t="s">
        <v>104</v>
      </c>
      <c r="H27" s="27">
        <v>16</v>
      </c>
      <c r="I27" s="27">
        <v>26</v>
      </c>
      <c r="J27" s="27" t="s">
        <v>6</v>
      </c>
      <c r="K27" s="27" t="s">
        <v>108</v>
      </c>
    </row>
    <row r="28" spans="1:11" x14ac:dyDescent="0.2">
      <c r="A28" s="27" t="s">
        <v>101</v>
      </c>
      <c r="B28" s="27" t="s">
        <v>107</v>
      </c>
      <c r="C28" s="27">
        <v>6.2</v>
      </c>
      <c r="D28" s="27">
        <v>2008</v>
      </c>
      <c r="E28" s="27">
        <v>8</v>
      </c>
      <c r="F28" s="27" t="s">
        <v>98</v>
      </c>
      <c r="G28" s="27" t="s">
        <v>104</v>
      </c>
      <c r="H28" s="27">
        <v>15</v>
      </c>
      <c r="I28" s="27">
        <v>25</v>
      </c>
      <c r="J28" s="27" t="s">
        <v>6</v>
      </c>
      <c r="K28" s="27" t="s">
        <v>108</v>
      </c>
    </row>
    <row r="29" spans="1:11" x14ac:dyDescent="0.2">
      <c r="A29" s="27" t="s">
        <v>101</v>
      </c>
      <c r="B29" s="27" t="s">
        <v>107</v>
      </c>
      <c r="C29" s="27">
        <v>7</v>
      </c>
      <c r="D29" s="27">
        <v>2008</v>
      </c>
      <c r="E29" s="27">
        <v>8</v>
      </c>
      <c r="F29" s="27" t="s">
        <v>95</v>
      </c>
      <c r="G29" s="27" t="s">
        <v>104</v>
      </c>
      <c r="H29" s="27">
        <v>15</v>
      </c>
      <c r="I29" s="27">
        <v>24</v>
      </c>
      <c r="J29" s="27" t="s">
        <v>6</v>
      </c>
      <c r="K29" s="27" t="s">
        <v>108</v>
      </c>
    </row>
    <row r="30" spans="1:11" x14ac:dyDescent="0.2">
      <c r="A30" s="27" t="s">
        <v>101</v>
      </c>
      <c r="B30" s="27" t="s">
        <v>109</v>
      </c>
      <c r="C30" s="27">
        <v>5.3</v>
      </c>
      <c r="D30" s="27">
        <v>2008</v>
      </c>
      <c r="E30" s="27">
        <v>8</v>
      </c>
      <c r="F30" s="27" t="s">
        <v>103</v>
      </c>
      <c r="G30" s="27">
        <v>4</v>
      </c>
      <c r="H30" s="27">
        <v>14</v>
      </c>
      <c r="I30" s="27">
        <v>19</v>
      </c>
      <c r="J30" s="27" t="s">
        <v>104</v>
      </c>
      <c r="K30" s="27" t="s">
        <v>105</v>
      </c>
    </row>
    <row r="31" spans="1:11" x14ac:dyDescent="0.2">
      <c r="A31" s="27" t="s">
        <v>101</v>
      </c>
      <c r="B31" s="27" t="s">
        <v>109</v>
      </c>
      <c r="C31" s="27">
        <v>5.3</v>
      </c>
      <c r="D31" s="27">
        <v>2008</v>
      </c>
      <c r="E31" s="27">
        <v>8</v>
      </c>
      <c r="F31" s="27" t="s">
        <v>103</v>
      </c>
      <c r="G31" s="27">
        <v>4</v>
      </c>
      <c r="H31" s="27">
        <v>11</v>
      </c>
      <c r="I31" s="27">
        <v>14</v>
      </c>
      <c r="J31" s="27" t="s">
        <v>106</v>
      </c>
      <c r="K31" s="27" t="s">
        <v>105</v>
      </c>
    </row>
    <row r="32" spans="1:11" x14ac:dyDescent="0.2">
      <c r="A32" s="27" t="s">
        <v>101</v>
      </c>
      <c r="B32" s="27" t="s">
        <v>109</v>
      </c>
      <c r="C32" s="27">
        <v>5.7</v>
      </c>
      <c r="D32" s="27">
        <v>1999</v>
      </c>
      <c r="E32" s="27">
        <v>8</v>
      </c>
      <c r="F32" s="27" t="s">
        <v>103</v>
      </c>
      <c r="G32" s="27">
        <v>4</v>
      </c>
      <c r="H32" s="27">
        <v>11</v>
      </c>
      <c r="I32" s="27">
        <v>15</v>
      </c>
      <c r="J32" s="27" t="s">
        <v>104</v>
      </c>
      <c r="K32" s="27" t="s">
        <v>105</v>
      </c>
    </row>
    <row r="33" spans="1:11" x14ac:dyDescent="0.2">
      <c r="A33" s="27" t="s">
        <v>101</v>
      </c>
      <c r="B33" s="27" t="s">
        <v>109</v>
      </c>
      <c r="C33" s="27">
        <v>6.5</v>
      </c>
      <c r="D33" s="27">
        <v>1999</v>
      </c>
      <c r="E33" s="27">
        <v>8</v>
      </c>
      <c r="F33" s="27" t="s">
        <v>103</v>
      </c>
      <c r="G33" s="27">
        <v>4</v>
      </c>
      <c r="H33" s="27">
        <v>14</v>
      </c>
      <c r="I33" s="27">
        <v>17</v>
      </c>
      <c r="J33" s="27" t="s">
        <v>110</v>
      </c>
      <c r="K33" s="27" t="s">
        <v>105</v>
      </c>
    </row>
    <row r="34" spans="1:11" x14ac:dyDescent="0.2">
      <c r="A34" s="27" t="s">
        <v>101</v>
      </c>
      <c r="B34" s="27" t="s">
        <v>111</v>
      </c>
      <c r="C34" s="27">
        <v>2.4</v>
      </c>
      <c r="D34" s="27">
        <v>1999</v>
      </c>
      <c r="E34" s="27">
        <v>4</v>
      </c>
      <c r="F34" s="27" t="s">
        <v>103</v>
      </c>
      <c r="G34" s="27" t="s">
        <v>92</v>
      </c>
      <c r="H34" s="27">
        <v>19</v>
      </c>
      <c r="I34" s="27">
        <v>27</v>
      </c>
      <c r="J34" s="27" t="s">
        <v>104</v>
      </c>
      <c r="K34" s="27" t="s">
        <v>100</v>
      </c>
    </row>
    <row r="35" spans="1:11" x14ac:dyDescent="0.2">
      <c r="A35" s="27" t="s">
        <v>101</v>
      </c>
      <c r="B35" s="27" t="s">
        <v>111</v>
      </c>
      <c r="C35" s="27">
        <v>2.4</v>
      </c>
      <c r="D35" s="27">
        <v>2008</v>
      </c>
      <c r="E35" s="27">
        <v>4</v>
      </c>
      <c r="F35" s="27" t="s">
        <v>103</v>
      </c>
      <c r="G35" s="27" t="s">
        <v>92</v>
      </c>
      <c r="H35" s="27">
        <v>22</v>
      </c>
      <c r="I35" s="27">
        <v>30</v>
      </c>
      <c r="J35" s="27" t="s">
        <v>104</v>
      </c>
      <c r="K35" s="27" t="s">
        <v>100</v>
      </c>
    </row>
    <row r="36" spans="1:11" x14ac:dyDescent="0.2">
      <c r="A36" s="27" t="s">
        <v>101</v>
      </c>
      <c r="B36" s="27" t="s">
        <v>111</v>
      </c>
      <c r="C36" s="27">
        <v>3.1</v>
      </c>
      <c r="D36" s="27">
        <v>1999</v>
      </c>
      <c r="E36" s="27">
        <v>6</v>
      </c>
      <c r="F36" s="27" t="s">
        <v>103</v>
      </c>
      <c r="G36" s="27" t="s">
        <v>92</v>
      </c>
      <c r="H36" s="27">
        <v>18</v>
      </c>
      <c r="I36" s="27">
        <v>26</v>
      </c>
      <c r="J36" s="27" t="s">
        <v>104</v>
      </c>
      <c r="K36" s="27" t="s">
        <v>100</v>
      </c>
    </row>
    <row r="37" spans="1:11" x14ac:dyDescent="0.2">
      <c r="A37" s="27" t="s">
        <v>101</v>
      </c>
      <c r="B37" s="27" t="s">
        <v>111</v>
      </c>
      <c r="C37" s="27">
        <v>3.5</v>
      </c>
      <c r="D37" s="27">
        <v>2008</v>
      </c>
      <c r="E37" s="27">
        <v>6</v>
      </c>
      <c r="F37" s="27" t="s">
        <v>103</v>
      </c>
      <c r="G37" s="27" t="s">
        <v>92</v>
      </c>
      <c r="H37" s="27">
        <v>18</v>
      </c>
      <c r="I37" s="27">
        <v>29</v>
      </c>
      <c r="J37" s="27" t="s">
        <v>104</v>
      </c>
      <c r="K37" s="27" t="s">
        <v>100</v>
      </c>
    </row>
    <row r="38" spans="1:11" x14ac:dyDescent="0.2">
      <c r="A38" s="27" t="s">
        <v>101</v>
      </c>
      <c r="B38" s="27" t="s">
        <v>111</v>
      </c>
      <c r="C38" s="27">
        <v>3.6</v>
      </c>
      <c r="D38" s="27">
        <v>2008</v>
      </c>
      <c r="E38" s="27">
        <v>6</v>
      </c>
      <c r="F38" s="27" t="s">
        <v>98</v>
      </c>
      <c r="G38" s="27" t="s">
        <v>92</v>
      </c>
      <c r="H38" s="27">
        <v>17</v>
      </c>
      <c r="I38" s="27">
        <v>26</v>
      </c>
      <c r="J38" s="27" t="s">
        <v>104</v>
      </c>
      <c r="K38" s="27" t="s">
        <v>100</v>
      </c>
    </row>
    <row r="39" spans="1:11" x14ac:dyDescent="0.2">
      <c r="A39" s="27" t="s">
        <v>112</v>
      </c>
      <c r="B39" s="27" t="s">
        <v>113</v>
      </c>
      <c r="C39" s="27">
        <v>2.4</v>
      </c>
      <c r="D39" s="27">
        <v>1999</v>
      </c>
      <c r="E39" s="27">
        <v>4</v>
      </c>
      <c r="F39" s="27" t="s">
        <v>114</v>
      </c>
      <c r="G39" s="27" t="s">
        <v>92</v>
      </c>
      <c r="H39" s="27">
        <v>18</v>
      </c>
      <c r="I39" s="27">
        <v>24</v>
      </c>
      <c r="J39" s="27" t="s">
        <v>104</v>
      </c>
      <c r="K39" s="27" t="s">
        <v>115</v>
      </c>
    </row>
    <row r="40" spans="1:11" x14ac:dyDescent="0.2">
      <c r="A40" s="27" t="s">
        <v>112</v>
      </c>
      <c r="B40" s="27" t="s">
        <v>113</v>
      </c>
      <c r="C40" s="27">
        <v>3</v>
      </c>
      <c r="D40" s="27">
        <v>1999</v>
      </c>
      <c r="E40" s="27">
        <v>6</v>
      </c>
      <c r="F40" s="27" t="s">
        <v>103</v>
      </c>
      <c r="G40" s="27" t="s">
        <v>92</v>
      </c>
      <c r="H40" s="27">
        <v>17</v>
      </c>
      <c r="I40" s="27">
        <v>24</v>
      </c>
      <c r="J40" s="27" t="s">
        <v>104</v>
      </c>
      <c r="K40" s="27" t="s">
        <v>115</v>
      </c>
    </row>
    <row r="41" spans="1:11" x14ac:dyDescent="0.2">
      <c r="A41" s="27" t="s">
        <v>112</v>
      </c>
      <c r="B41" s="27" t="s">
        <v>113</v>
      </c>
      <c r="C41" s="27">
        <v>3.3</v>
      </c>
      <c r="D41" s="27">
        <v>1999</v>
      </c>
      <c r="E41" s="27">
        <v>6</v>
      </c>
      <c r="F41" s="27" t="s">
        <v>103</v>
      </c>
      <c r="G41" s="27" t="s">
        <v>92</v>
      </c>
      <c r="H41" s="27">
        <v>16</v>
      </c>
      <c r="I41" s="27">
        <v>22</v>
      </c>
      <c r="J41" s="27" t="s">
        <v>104</v>
      </c>
      <c r="K41" s="27" t="s">
        <v>115</v>
      </c>
    </row>
    <row r="42" spans="1:11" x14ac:dyDescent="0.2">
      <c r="A42" s="27" t="s">
        <v>112</v>
      </c>
      <c r="B42" s="27" t="s">
        <v>113</v>
      </c>
      <c r="C42" s="27">
        <v>3.3</v>
      </c>
      <c r="D42" s="27">
        <v>1999</v>
      </c>
      <c r="E42" s="27">
        <v>6</v>
      </c>
      <c r="F42" s="27" t="s">
        <v>103</v>
      </c>
      <c r="G42" s="27" t="s">
        <v>92</v>
      </c>
      <c r="H42" s="27">
        <v>16</v>
      </c>
      <c r="I42" s="27">
        <v>22</v>
      </c>
      <c r="J42" s="27" t="s">
        <v>104</v>
      </c>
      <c r="K42" s="27" t="s">
        <v>115</v>
      </c>
    </row>
    <row r="43" spans="1:11" x14ac:dyDescent="0.2">
      <c r="A43" s="27" t="s">
        <v>112</v>
      </c>
      <c r="B43" s="27" t="s">
        <v>113</v>
      </c>
      <c r="C43" s="27">
        <v>3.3</v>
      </c>
      <c r="D43" s="27">
        <v>2008</v>
      </c>
      <c r="E43" s="27">
        <v>6</v>
      </c>
      <c r="F43" s="27" t="s">
        <v>103</v>
      </c>
      <c r="G43" s="27" t="s">
        <v>92</v>
      </c>
      <c r="H43" s="27">
        <v>17</v>
      </c>
      <c r="I43" s="27">
        <v>24</v>
      </c>
      <c r="J43" s="27" t="s">
        <v>104</v>
      </c>
      <c r="K43" s="27" t="s">
        <v>115</v>
      </c>
    </row>
    <row r="44" spans="1:11" x14ac:dyDescent="0.2">
      <c r="A44" s="27" t="s">
        <v>112</v>
      </c>
      <c r="B44" s="27" t="s">
        <v>113</v>
      </c>
      <c r="C44" s="27">
        <v>3.3</v>
      </c>
      <c r="D44" s="27">
        <v>2008</v>
      </c>
      <c r="E44" s="27">
        <v>6</v>
      </c>
      <c r="F44" s="27" t="s">
        <v>103</v>
      </c>
      <c r="G44" s="27" t="s">
        <v>92</v>
      </c>
      <c r="H44" s="27">
        <v>17</v>
      </c>
      <c r="I44" s="27">
        <v>24</v>
      </c>
      <c r="J44" s="27" t="s">
        <v>104</v>
      </c>
      <c r="K44" s="27" t="s">
        <v>115</v>
      </c>
    </row>
    <row r="45" spans="1:11" x14ac:dyDescent="0.2">
      <c r="A45" s="27" t="s">
        <v>112</v>
      </c>
      <c r="B45" s="27" t="s">
        <v>113</v>
      </c>
      <c r="C45" s="27">
        <v>3.3</v>
      </c>
      <c r="D45" s="27">
        <v>2008</v>
      </c>
      <c r="E45" s="27">
        <v>6</v>
      </c>
      <c r="F45" s="27" t="s">
        <v>103</v>
      </c>
      <c r="G45" s="27" t="s">
        <v>92</v>
      </c>
      <c r="H45" s="27">
        <v>11</v>
      </c>
      <c r="I45" s="27">
        <v>17</v>
      </c>
      <c r="J45" s="27" t="s">
        <v>106</v>
      </c>
      <c r="K45" s="27" t="s">
        <v>115</v>
      </c>
    </row>
    <row r="46" spans="1:11" x14ac:dyDescent="0.2">
      <c r="A46" s="27" t="s">
        <v>112</v>
      </c>
      <c r="B46" s="27" t="s">
        <v>113</v>
      </c>
      <c r="C46" s="27">
        <v>3.8</v>
      </c>
      <c r="D46" s="27">
        <v>1999</v>
      </c>
      <c r="E46" s="27">
        <v>6</v>
      </c>
      <c r="F46" s="27" t="s">
        <v>103</v>
      </c>
      <c r="G46" s="27" t="s">
        <v>92</v>
      </c>
      <c r="H46" s="27">
        <v>15</v>
      </c>
      <c r="I46" s="27">
        <v>22</v>
      </c>
      <c r="J46" s="27" t="s">
        <v>104</v>
      </c>
      <c r="K46" s="27" t="s">
        <v>115</v>
      </c>
    </row>
    <row r="47" spans="1:11" x14ac:dyDescent="0.2">
      <c r="A47" s="27" t="s">
        <v>112</v>
      </c>
      <c r="B47" s="27" t="s">
        <v>113</v>
      </c>
      <c r="C47" s="27">
        <v>3.8</v>
      </c>
      <c r="D47" s="27">
        <v>1999</v>
      </c>
      <c r="E47" s="27">
        <v>6</v>
      </c>
      <c r="F47" s="27" t="s">
        <v>103</v>
      </c>
      <c r="G47" s="27" t="s">
        <v>92</v>
      </c>
      <c r="H47" s="27">
        <v>15</v>
      </c>
      <c r="I47" s="27">
        <v>21</v>
      </c>
      <c r="J47" s="27" t="s">
        <v>104</v>
      </c>
      <c r="K47" s="27" t="s">
        <v>115</v>
      </c>
    </row>
    <row r="48" spans="1:11" x14ac:dyDescent="0.2">
      <c r="A48" s="27" t="s">
        <v>112</v>
      </c>
      <c r="B48" s="27" t="s">
        <v>113</v>
      </c>
      <c r="C48" s="27">
        <v>3.8</v>
      </c>
      <c r="D48" s="27">
        <v>2008</v>
      </c>
      <c r="E48" s="27">
        <v>6</v>
      </c>
      <c r="F48" s="27" t="s">
        <v>116</v>
      </c>
      <c r="G48" s="27" t="s">
        <v>92</v>
      </c>
      <c r="H48" s="27">
        <v>16</v>
      </c>
      <c r="I48" s="27">
        <v>23</v>
      </c>
      <c r="J48" s="27" t="s">
        <v>104</v>
      </c>
      <c r="K48" s="27" t="s">
        <v>115</v>
      </c>
    </row>
    <row r="49" spans="1:11" x14ac:dyDescent="0.2">
      <c r="A49" s="27" t="s">
        <v>112</v>
      </c>
      <c r="B49" s="27" t="s">
        <v>113</v>
      </c>
      <c r="C49" s="27">
        <v>4</v>
      </c>
      <c r="D49" s="27">
        <v>2008</v>
      </c>
      <c r="E49" s="27">
        <v>6</v>
      </c>
      <c r="F49" s="27" t="s">
        <v>116</v>
      </c>
      <c r="G49" s="27" t="s">
        <v>92</v>
      </c>
      <c r="H49" s="27">
        <v>16</v>
      </c>
      <c r="I49" s="27">
        <v>23</v>
      </c>
      <c r="J49" s="27" t="s">
        <v>104</v>
      </c>
      <c r="K49" s="27" t="s">
        <v>115</v>
      </c>
    </row>
    <row r="50" spans="1:11" x14ac:dyDescent="0.2">
      <c r="A50" s="27" t="s">
        <v>112</v>
      </c>
      <c r="B50" s="27" t="s">
        <v>117</v>
      </c>
      <c r="C50" s="27">
        <v>3.7</v>
      </c>
      <c r="D50" s="27">
        <v>2008</v>
      </c>
      <c r="E50" s="27">
        <v>6</v>
      </c>
      <c r="F50" s="27" t="s">
        <v>95</v>
      </c>
      <c r="G50" s="27">
        <v>4</v>
      </c>
      <c r="H50" s="27">
        <v>15</v>
      </c>
      <c r="I50" s="27">
        <v>19</v>
      </c>
      <c r="J50" s="27" t="s">
        <v>104</v>
      </c>
      <c r="K50" s="27" t="s">
        <v>118</v>
      </c>
    </row>
    <row r="51" spans="1:11" x14ac:dyDescent="0.2">
      <c r="A51" s="27" t="s">
        <v>112</v>
      </c>
      <c r="B51" s="27" t="s">
        <v>117</v>
      </c>
      <c r="C51" s="27">
        <v>3.7</v>
      </c>
      <c r="D51" s="27">
        <v>2008</v>
      </c>
      <c r="E51" s="27">
        <v>6</v>
      </c>
      <c r="F51" s="27" t="s">
        <v>103</v>
      </c>
      <c r="G51" s="27">
        <v>4</v>
      </c>
      <c r="H51" s="27">
        <v>14</v>
      </c>
      <c r="I51" s="27">
        <v>18</v>
      </c>
      <c r="J51" s="27" t="s">
        <v>104</v>
      </c>
      <c r="K51" s="27" t="s">
        <v>118</v>
      </c>
    </row>
    <row r="52" spans="1:11" x14ac:dyDescent="0.2">
      <c r="A52" s="27" t="s">
        <v>112</v>
      </c>
      <c r="B52" s="27" t="s">
        <v>117</v>
      </c>
      <c r="C52" s="27">
        <v>3.9</v>
      </c>
      <c r="D52" s="27">
        <v>1999</v>
      </c>
      <c r="E52" s="27">
        <v>6</v>
      </c>
      <c r="F52" s="27" t="s">
        <v>103</v>
      </c>
      <c r="G52" s="27">
        <v>4</v>
      </c>
      <c r="H52" s="27">
        <v>13</v>
      </c>
      <c r="I52" s="27">
        <v>17</v>
      </c>
      <c r="J52" s="27" t="s">
        <v>104</v>
      </c>
      <c r="K52" s="27" t="s">
        <v>118</v>
      </c>
    </row>
    <row r="53" spans="1:11" x14ac:dyDescent="0.2">
      <c r="A53" s="27" t="s">
        <v>112</v>
      </c>
      <c r="B53" s="27" t="s">
        <v>117</v>
      </c>
      <c r="C53" s="27">
        <v>3.9</v>
      </c>
      <c r="D53" s="27">
        <v>1999</v>
      </c>
      <c r="E53" s="27">
        <v>6</v>
      </c>
      <c r="F53" s="27" t="s">
        <v>94</v>
      </c>
      <c r="G53" s="27">
        <v>4</v>
      </c>
      <c r="H53" s="27">
        <v>14</v>
      </c>
      <c r="I53" s="27">
        <v>17</v>
      </c>
      <c r="J53" s="27" t="s">
        <v>104</v>
      </c>
      <c r="K53" s="27" t="s">
        <v>118</v>
      </c>
    </row>
    <row r="54" spans="1:11" x14ac:dyDescent="0.2">
      <c r="A54" s="27" t="s">
        <v>112</v>
      </c>
      <c r="B54" s="27" t="s">
        <v>117</v>
      </c>
      <c r="C54" s="27">
        <v>4.7</v>
      </c>
      <c r="D54" s="27">
        <v>2008</v>
      </c>
      <c r="E54" s="27">
        <v>8</v>
      </c>
      <c r="F54" s="27" t="s">
        <v>91</v>
      </c>
      <c r="G54" s="27">
        <v>4</v>
      </c>
      <c r="H54" s="27">
        <v>14</v>
      </c>
      <c r="I54" s="27">
        <v>19</v>
      </c>
      <c r="J54" s="27" t="s">
        <v>104</v>
      </c>
      <c r="K54" s="27" t="s">
        <v>118</v>
      </c>
    </row>
    <row r="55" spans="1:11" x14ac:dyDescent="0.2">
      <c r="A55" s="27" t="s">
        <v>112</v>
      </c>
      <c r="B55" s="27" t="s">
        <v>117</v>
      </c>
      <c r="C55" s="27">
        <v>4.7</v>
      </c>
      <c r="D55" s="27">
        <v>2008</v>
      </c>
      <c r="E55" s="27">
        <v>8</v>
      </c>
      <c r="F55" s="27" t="s">
        <v>91</v>
      </c>
      <c r="G55" s="27">
        <v>4</v>
      </c>
      <c r="H55" s="27">
        <v>14</v>
      </c>
      <c r="I55" s="27">
        <v>19</v>
      </c>
      <c r="J55" s="27" t="s">
        <v>104</v>
      </c>
      <c r="K55" s="27" t="s">
        <v>118</v>
      </c>
    </row>
    <row r="56" spans="1:11" x14ac:dyDescent="0.2">
      <c r="A56" s="27" t="s">
        <v>112</v>
      </c>
      <c r="B56" s="27" t="s">
        <v>117</v>
      </c>
      <c r="C56" s="27">
        <v>4.7</v>
      </c>
      <c r="D56" s="27">
        <v>2008</v>
      </c>
      <c r="E56" s="27">
        <v>8</v>
      </c>
      <c r="F56" s="27" t="s">
        <v>91</v>
      </c>
      <c r="G56" s="27">
        <v>4</v>
      </c>
      <c r="H56" s="27">
        <v>9</v>
      </c>
      <c r="I56" s="27">
        <v>12</v>
      </c>
      <c r="J56" s="27" t="s">
        <v>106</v>
      </c>
      <c r="K56" s="27" t="s">
        <v>118</v>
      </c>
    </row>
    <row r="57" spans="1:11" x14ac:dyDescent="0.2">
      <c r="A57" s="27" t="s">
        <v>112</v>
      </c>
      <c r="B57" s="27" t="s">
        <v>117</v>
      </c>
      <c r="C57" s="27">
        <v>5.2</v>
      </c>
      <c r="D57" s="27">
        <v>1999</v>
      </c>
      <c r="E57" s="27">
        <v>8</v>
      </c>
      <c r="F57" s="27" t="s">
        <v>94</v>
      </c>
      <c r="G57" s="27">
        <v>4</v>
      </c>
      <c r="H57" s="27">
        <v>11</v>
      </c>
      <c r="I57" s="27">
        <v>17</v>
      </c>
      <c r="J57" s="27" t="s">
        <v>104</v>
      </c>
      <c r="K57" s="27" t="s">
        <v>118</v>
      </c>
    </row>
    <row r="58" spans="1:11" x14ac:dyDescent="0.2">
      <c r="A58" s="27" t="s">
        <v>112</v>
      </c>
      <c r="B58" s="27" t="s">
        <v>117</v>
      </c>
      <c r="C58" s="27">
        <v>5.2</v>
      </c>
      <c r="D58" s="27">
        <v>1999</v>
      </c>
      <c r="E58" s="27">
        <v>8</v>
      </c>
      <c r="F58" s="27" t="s">
        <v>103</v>
      </c>
      <c r="G58" s="27">
        <v>4</v>
      </c>
      <c r="H58" s="27">
        <v>11</v>
      </c>
      <c r="I58" s="27">
        <v>15</v>
      </c>
      <c r="J58" s="27" t="s">
        <v>104</v>
      </c>
      <c r="K58" s="27" t="s">
        <v>118</v>
      </c>
    </row>
    <row r="59" spans="1:11" x14ac:dyDescent="0.2">
      <c r="A59" s="27" t="s">
        <v>112</v>
      </c>
      <c r="B59" s="27" t="s">
        <v>119</v>
      </c>
      <c r="C59" s="27">
        <v>3.9</v>
      </c>
      <c r="D59" s="27">
        <v>1999</v>
      </c>
      <c r="E59" s="27">
        <v>6</v>
      </c>
      <c r="F59" s="27" t="s">
        <v>103</v>
      </c>
      <c r="G59" s="27">
        <v>4</v>
      </c>
      <c r="H59" s="27">
        <v>13</v>
      </c>
      <c r="I59" s="27">
        <v>17</v>
      </c>
      <c r="J59" s="27" t="s">
        <v>104</v>
      </c>
      <c r="K59" s="27" t="s">
        <v>105</v>
      </c>
    </row>
    <row r="60" spans="1:11" x14ac:dyDescent="0.2">
      <c r="A60" s="27" t="s">
        <v>112</v>
      </c>
      <c r="B60" s="27" t="s">
        <v>119</v>
      </c>
      <c r="C60" s="27">
        <v>4.7</v>
      </c>
      <c r="D60" s="27">
        <v>2008</v>
      </c>
      <c r="E60" s="27">
        <v>8</v>
      </c>
      <c r="F60" s="27" t="s">
        <v>91</v>
      </c>
      <c r="G60" s="27">
        <v>4</v>
      </c>
      <c r="H60" s="27">
        <v>13</v>
      </c>
      <c r="I60" s="27">
        <v>17</v>
      </c>
      <c r="J60" s="27" t="s">
        <v>104</v>
      </c>
      <c r="K60" s="27" t="s">
        <v>105</v>
      </c>
    </row>
    <row r="61" spans="1:11" x14ac:dyDescent="0.2">
      <c r="A61" s="27" t="s">
        <v>112</v>
      </c>
      <c r="B61" s="27" t="s">
        <v>119</v>
      </c>
      <c r="C61" s="27">
        <v>4.7</v>
      </c>
      <c r="D61" s="27">
        <v>2008</v>
      </c>
      <c r="E61" s="27">
        <v>8</v>
      </c>
      <c r="F61" s="27" t="s">
        <v>91</v>
      </c>
      <c r="G61" s="27">
        <v>4</v>
      </c>
      <c r="H61" s="27">
        <v>9</v>
      </c>
      <c r="I61" s="27">
        <v>12</v>
      </c>
      <c r="J61" s="27" t="s">
        <v>106</v>
      </c>
      <c r="K61" s="27" t="s">
        <v>105</v>
      </c>
    </row>
    <row r="62" spans="1:11" x14ac:dyDescent="0.2">
      <c r="A62" s="27" t="s">
        <v>112</v>
      </c>
      <c r="B62" s="27" t="s">
        <v>119</v>
      </c>
      <c r="C62" s="27">
        <v>4.7</v>
      </c>
      <c r="D62" s="27">
        <v>2008</v>
      </c>
      <c r="E62" s="27">
        <v>8</v>
      </c>
      <c r="F62" s="27" t="s">
        <v>91</v>
      </c>
      <c r="G62" s="27">
        <v>4</v>
      </c>
      <c r="H62" s="27">
        <v>13</v>
      </c>
      <c r="I62" s="27">
        <v>17</v>
      </c>
      <c r="J62" s="27" t="s">
        <v>104</v>
      </c>
      <c r="K62" s="27" t="s">
        <v>105</v>
      </c>
    </row>
    <row r="63" spans="1:11" x14ac:dyDescent="0.2">
      <c r="A63" s="27" t="s">
        <v>112</v>
      </c>
      <c r="B63" s="27" t="s">
        <v>119</v>
      </c>
      <c r="C63" s="27">
        <v>5.2</v>
      </c>
      <c r="D63" s="27">
        <v>1999</v>
      </c>
      <c r="E63" s="27">
        <v>8</v>
      </c>
      <c r="F63" s="27" t="s">
        <v>103</v>
      </c>
      <c r="G63" s="27">
        <v>4</v>
      </c>
      <c r="H63" s="27">
        <v>11</v>
      </c>
      <c r="I63" s="27">
        <v>16</v>
      </c>
      <c r="J63" s="27" t="s">
        <v>104</v>
      </c>
      <c r="K63" s="27" t="s">
        <v>105</v>
      </c>
    </row>
    <row r="64" spans="1:11" x14ac:dyDescent="0.2">
      <c r="A64" s="27" t="s">
        <v>112</v>
      </c>
      <c r="B64" s="27" t="s">
        <v>119</v>
      </c>
      <c r="C64" s="27">
        <v>5.7</v>
      </c>
      <c r="D64" s="27">
        <v>2008</v>
      </c>
      <c r="E64" s="27">
        <v>8</v>
      </c>
      <c r="F64" s="27" t="s">
        <v>91</v>
      </c>
      <c r="G64" s="27">
        <v>4</v>
      </c>
      <c r="H64" s="27">
        <v>13</v>
      </c>
      <c r="I64" s="27">
        <v>18</v>
      </c>
      <c r="J64" s="27" t="s">
        <v>104</v>
      </c>
      <c r="K64" s="27" t="s">
        <v>105</v>
      </c>
    </row>
    <row r="65" spans="1:11" x14ac:dyDescent="0.2">
      <c r="A65" s="27" t="s">
        <v>112</v>
      </c>
      <c r="B65" s="27" t="s">
        <v>119</v>
      </c>
      <c r="C65" s="27">
        <v>5.9</v>
      </c>
      <c r="D65" s="27">
        <v>1999</v>
      </c>
      <c r="E65" s="27">
        <v>8</v>
      </c>
      <c r="F65" s="27" t="s">
        <v>103</v>
      </c>
      <c r="G65" s="27">
        <v>4</v>
      </c>
      <c r="H65" s="27">
        <v>11</v>
      </c>
      <c r="I65" s="27">
        <v>15</v>
      </c>
      <c r="J65" s="27" t="s">
        <v>104</v>
      </c>
      <c r="K65" s="27" t="s">
        <v>105</v>
      </c>
    </row>
    <row r="66" spans="1:11" x14ac:dyDescent="0.2">
      <c r="A66" s="27" t="s">
        <v>112</v>
      </c>
      <c r="B66" s="27" t="s">
        <v>120</v>
      </c>
      <c r="C66" s="27">
        <v>4.7</v>
      </c>
      <c r="D66" s="27">
        <v>2008</v>
      </c>
      <c r="E66" s="27">
        <v>8</v>
      </c>
      <c r="F66" s="27" t="s">
        <v>95</v>
      </c>
      <c r="G66" s="27">
        <v>4</v>
      </c>
      <c r="H66" s="27">
        <v>12</v>
      </c>
      <c r="I66" s="27">
        <v>16</v>
      </c>
      <c r="J66" s="27" t="s">
        <v>104</v>
      </c>
      <c r="K66" s="27" t="s">
        <v>118</v>
      </c>
    </row>
    <row r="67" spans="1:11" x14ac:dyDescent="0.2">
      <c r="A67" s="27" t="s">
        <v>112</v>
      </c>
      <c r="B67" s="27" t="s">
        <v>120</v>
      </c>
      <c r="C67" s="27">
        <v>4.7</v>
      </c>
      <c r="D67" s="27">
        <v>2008</v>
      </c>
      <c r="E67" s="27">
        <v>8</v>
      </c>
      <c r="F67" s="27" t="s">
        <v>91</v>
      </c>
      <c r="G67" s="27">
        <v>4</v>
      </c>
      <c r="H67" s="27">
        <v>9</v>
      </c>
      <c r="I67" s="27">
        <v>12</v>
      </c>
      <c r="J67" s="27" t="s">
        <v>106</v>
      </c>
      <c r="K67" s="27" t="s">
        <v>118</v>
      </c>
    </row>
    <row r="68" spans="1:11" x14ac:dyDescent="0.2">
      <c r="A68" s="27" t="s">
        <v>112</v>
      </c>
      <c r="B68" s="27" t="s">
        <v>120</v>
      </c>
      <c r="C68" s="27">
        <v>4.7</v>
      </c>
      <c r="D68" s="27">
        <v>2008</v>
      </c>
      <c r="E68" s="27">
        <v>8</v>
      </c>
      <c r="F68" s="27" t="s">
        <v>91</v>
      </c>
      <c r="G68" s="27">
        <v>4</v>
      </c>
      <c r="H68" s="27">
        <v>13</v>
      </c>
      <c r="I68" s="27">
        <v>17</v>
      </c>
      <c r="J68" s="27" t="s">
        <v>104</v>
      </c>
      <c r="K68" s="27" t="s">
        <v>118</v>
      </c>
    </row>
    <row r="69" spans="1:11" x14ac:dyDescent="0.2">
      <c r="A69" s="27" t="s">
        <v>112</v>
      </c>
      <c r="B69" s="27" t="s">
        <v>120</v>
      </c>
      <c r="C69" s="27">
        <v>4.7</v>
      </c>
      <c r="D69" s="27">
        <v>2008</v>
      </c>
      <c r="E69" s="27">
        <v>8</v>
      </c>
      <c r="F69" s="27" t="s">
        <v>91</v>
      </c>
      <c r="G69" s="27">
        <v>4</v>
      </c>
      <c r="H69" s="27">
        <v>13</v>
      </c>
      <c r="I69" s="27">
        <v>17</v>
      </c>
      <c r="J69" s="27" t="s">
        <v>104</v>
      </c>
      <c r="K69" s="27" t="s">
        <v>118</v>
      </c>
    </row>
    <row r="70" spans="1:11" x14ac:dyDescent="0.2">
      <c r="A70" s="27" t="s">
        <v>112</v>
      </c>
      <c r="B70" s="27" t="s">
        <v>120</v>
      </c>
      <c r="C70" s="27">
        <v>4.7</v>
      </c>
      <c r="D70" s="27">
        <v>2008</v>
      </c>
      <c r="E70" s="27">
        <v>8</v>
      </c>
      <c r="F70" s="27" t="s">
        <v>95</v>
      </c>
      <c r="G70" s="27">
        <v>4</v>
      </c>
      <c r="H70" s="27">
        <v>12</v>
      </c>
      <c r="I70" s="27">
        <v>16</v>
      </c>
      <c r="J70" s="27" t="s">
        <v>104</v>
      </c>
      <c r="K70" s="27" t="s">
        <v>118</v>
      </c>
    </row>
    <row r="71" spans="1:11" x14ac:dyDescent="0.2">
      <c r="A71" s="27" t="s">
        <v>112</v>
      </c>
      <c r="B71" s="27" t="s">
        <v>120</v>
      </c>
      <c r="C71" s="27">
        <v>4.7</v>
      </c>
      <c r="D71" s="27">
        <v>2008</v>
      </c>
      <c r="E71" s="27">
        <v>8</v>
      </c>
      <c r="F71" s="27" t="s">
        <v>95</v>
      </c>
      <c r="G71" s="27">
        <v>4</v>
      </c>
      <c r="H71" s="27">
        <v>9</v>
      </c>
      <c r="I71" s="27">
        <v>12</v>
      </c>
      <c r="J71" s="27" t="s">
        <v>106</v>
      </c>
      <c r="K71" s="27" t="s">
        <v>118</v>
      </c>
    </row>
    <row r="72" spans="1:11" x14ac:dyDescent="0.2">
      <c r="A72" s="27" t="s">
        <v>112</v>
      </c>
      <c r="B72" s="27" t="s">
        <v>120</v>
      </c>
      <c r="C72" s="27">
        <v>5.2</v>
      </c>
      <c r="D72" s="27">
        <v>1999</v>
      </c>
      <c r="E72" s="27">
        <v>8</v>
      </c>
      <c r="F72" s="27" t="s">
        <v>103</v>
      </c>
      <c r="G72" s="27">
        <v>4</v>
      </c>
      <c r="H72" s="27">
        <v>11</v>
      </c>
      <c r="I72" s="27">
        <v>15</v>
      </c>
      <c r="J72" s="27" t="s">
        <v>104</v>
      </c>
      <c r="K72" s="27" t="s">
        <v>118</v>
      </c>
    </row>
    <row r="73" spans="1:11" x14ac:dyDescent="0.2">
      <c r="A73" s="27" t="s">
        <v>112</v>
      </c>
      <c r="B73" s="27" t="s">
        <v>120</v>
      </c>
      <c r="C73" s="27">
        <v>5.2</v>
      </c>
      <c r="D73" s="27">
        <v>1999</v>
      </c>
      <c r="E73" s="27">
        <v>8</v>
      </c>
      <c r="F73" s="27" t="s">
        <v>94</v>
      </c>
      <c r="G73" s="27">
        <v>4</v>
      </c>
      <c r="H73" s="27">
        <v>11</v>
      </c>
      <c r="I73" s="27">
        <v>16</v>
      </c>
      <c r="J73" s="27" t="s">
        <v>104</v>
      </c>
      <c r="K73" s="27" t="s">
        <v>118</v>
      </c>
    </row>
    <row r="74" spans="1:11" x14ac:dyDescent="0.2">
      <c r="A74" s="27" t="s">
        <v>112</v>
      </c>
      <c r="B74" s="27" t="s">
        <v>120</v>
      </c>
      <c r="C74" s="27">
        <v>5.7</v>
      </c>
      <c r="D74" s="27">
        <v>2008</v>
      </c>
      <c r="E74" s="27">
        <v>8</v>
      </c>
      <c r="F74" s="27" t="s">
        <v>91</v>
      </c>
      <c r="G74" s="27">
        <v>4</v>
      </c>
      <c r="H74" s="27">
        <v>13</v>
      </c>
      <c r="I74" s="27">
        <v>17</v>
      </c>
      <c r="J74" s="27" t="s">
        <v>104</v>
      </c>
      <c r="K74" s="27" t="s">
        <v>118</v>
      </c>
    </row>
    <row r="75" spans="1:11" x14ac:dyDescent="0.2">
      <c r="A75" s="27" t="s">
        <v>112</v>
      </c>
      <c r="B75" s="27" t="s">
        <v>120</v>
      </c>
      <c r="C75" s="27">
        <v>5.9</v>
      </c>
      <c r="D75" s="27">
        <v>1999</v>
      </c>
      <c r="E75" s="27">
        <v>8</v>
      </c>
      <c r="F75" s="27" t="s">
        <v>103</v>
      </c>
      <c r="G75" s="27">
        <v>4</v>
      </c>
      <c r="H75" s="27">
        <v>11</v>
      </c>
      <c r="I75" s="27">
        <v>15</v>
      </c>
      <c r="J75" s="27" t="s">
        <v>104</v>
      </c>
      <c r="K75" s="27" t="s">
        <v>118</v>
      </c>
    </row>
    <row r="76" spans="1:11" x14ac:dyDescent="0.2">
      <c r="A76" s="27" t="s">
        <v>121</v>
      </c>
      <c r="B76" s="27" t="s">
        <v>122</v>
      </c>
      <c r="C76" s="27">
        <v>4.5999999999999996</v>
      </c>
      <c r="D76" s="27">
        <v>1999</v>
      </c>
      <c r="E76" s="27">
        <v>8</v>
      </c>
      <c r="F76" s="27" t="s">
        <v>103</v>
      </c>
      <c r="G76" s="27" t="s">
        <v>104</v>
      </c>
      <c r="H76" s="27">
        <v>11</v>
      </c>
      <c r="I76" s="27">
        <v>17</v>
      </c>
      <c r="J76" s="27" t="s">
        <v>104</v>
      </c>
      <c r="K76" s="27" t="s">
        <v>105</v>
      </c>
    </row>
    <row r="77" spans="1:11" x14ac:dyDescent="0.2">
      <c r="A77" s="27" t="s">
        <v>121</v>
      </c>
      <c r="B77" s="27" t="s">
        <v>122</v>
      </c>
      <c r="C77" s="27">
        <v>5.4</v>
      </c>
      <c r="D77" s="27">
        <v>1999</v>
      </c>
      <c r="E77" s="27">
        <v>8</v>
      </c>
      <c r="F77" s="27" t="s">
        <v>103</v>
      </c>
      <c r="G77" s="27" t="s">
        <v>104</v>
      </c>
      <c r="H77" s="27">
        <v>11</v>
      </c>
      <c r="I77" s="27">
        <v>17</v>
      </c>
      <c r="J77" s="27" t="s">
        <v>104</v>
      </c>
      <c r="K77" s="27" t="s">
        <v>105</v>
      </c>
    </row>
    <row r="78" spans="1:11" x14ac:dyDescent="0.2">
      <c r="A78" s="27" t="s">
        <v>121</v>
      </c>
      <c r="B78" s="27" t="s">
        <v>122</v>
      </c>
      <c r="C78" s="27">
        <v>5.4</v>
      </c>
      <c r="D78" s="27">
        <v>2008</v>
      </c>
      <c r="E78" s="27">
        <v>8</v>
      </c>
      <c r="F78" s="27" t="s">
        <v>116</v>
      </c>
      <c r="G78" s="27" t="s">
        <v>104</v>
      </c>
      <c r="H78" s="27">
        <v>12</v>
      </c>
      <c r="I78" s="27">
        <v>18</v>
      </c>
      <c r="J78" s="27" t="s">
        <v>104</v>
      </c>
      <c r="K78" s="27" t="s">
        <v>105</v>
      </c>
    </row>
    <row r="79" spans="1:11" x14ac:dyDescent="0.2">
      <c r="A79" s="27" t="s">
        <v>121</v>
      </c>
      <c r="B79" s="27" t="s">
        <v>123</v>
      </c>
      <c r="C79" s="27">
        <v>4</v>
      </c>
      <c r="D79" s="27">
        <v>1999</v>
      </c>
      <c r="E79" s="27">
        <v>6</v>
      </c>
      <c r="F79" s="27" t="s">
        <v>91</v>
      </c>
      <c r="G79" s="27">
        <v>4</v>
      </c>
      <c r="H79" s="27">
        <v>14</v>
      </c>
      <c r="I79" s="27">
        <v>17</v>
      </c>
      <c r="J79" s="27" t="s">
        <v>104</v>
      </c>
      <c r="K79" s="27" t="s">
        <v>105</v>
      </c>
    </row>
    <row r="80" spans="1:11" x14ac:dyDescent="0.2">
      <c r="A80" s="27" t="s">
        <v>121</v>
      </c>
      <c r="B80" s="27" t="s">
        <v>123</v>
      </c>
      <c r="C80" s="27">
        <v>4</v>
      </c>
      <c r="D80" s="27">
        <v>1999</v>
      </c>
      <c r="E80" s="27">
        <v>6</v>
      </c>
      <c r="F80" s="27" t="s">
        <v>94</v>
      </c>
      <c r="G80" s="27">
        <v>4</v>
      </c>
      <c r="H80" s="27">
        <v>15</v>
      </c>
      <c r="I80" s="27">
        <v>19</v>
      </c>
      <c r="J80" s="27" t="s">
        <v>104</v>
      </c>
      <c r="K80" s="27" t="s">
        <v>105</v>
      </c>
    </row>
    <row r="81" spans="1:11" x14ac:dyDescent="0.2">
      <c r="A81" s="27" t="s">
        <v>121</v>
      </c>
      <c r="B81" s="27" t="s">
        <v>123</v>
      </c>
      <c r="C81" s="27">
        <v>4</v>
      </c>
      <c r="D81" s="27">
        <v>1999</v>
      </c>
      <c r="E81" s="27">
        <v>6</v>
      </c>
      <c r="F81" s="27" t="s">
        <v>91</v>
      </c>
      <c r="G81" s="27">
        <v>4</v>
      </c>
      <c r="H81" s="27">
        <v>14</v>
      </c>
      <c r="I81" s="27">
        <v>17</v>
      </c>
      <c r="J81" s="27" t="s">
        <v>104</v>
      </c>
      <c r="K81" s="27" t="s">
        <v>105</v>
      </c>
    </row>
    <row r="82" spans="1:11" x14ac:dyDescent="0.2">
      <c r="A82" s="27" t="s">
        <v>121</v>
      </c>
      <c r="B82" s="27" t="s">
        <v>123</v>
      </c>
      <c r="C82" s="27">
        <v>4</v>
      </c>
      <c r="D82" s="27">
        <v>2008</v>
      </c>
      <c r="E82" s="27">
        <v>6</v>
      </c>
      <c r="F82" s="27" t="s">
        <v>91</v>
      </c>
      <c r="G82" s="27">
        <v>4</v>
      </c>
      <c r="H82" s="27">
        <v>13</v>
      </c>
      <c r="I82" s="27">
        <v>19</v>
      </c>
      <c r="J82" s="27" t="s">
        <v>104</v>
      </c>
      <c r="K82" s="27" t="s">
        <v>105</v>
      </c>
    </row>
    <row r="83" spans="1:11" x14ac:dyDescent="0.2">
      <c r="A83" s="27" t="s">
        <v>121</v>
      </c>
      <c r="B83" s="27" t="s">
        <v>123</v>
      </c>
      <c r="C83" s="27">
        <v>4.5999999999999996</v>
      </c>
      <c r="D83" s="27">
        <v>2008</v>
      </c>
      <c r="E83" s="27">
        <v>8</v>
      </c>
      <c r="F83" s="27" t="s">
        <v>116</v>
      </c>
      <c r="G83" s="27">
        <v>4</v>
      </c>
      <c r="H83" s="27">
        <v>13</v>
      </c>
      <c r="I83" s="27">
        <v>19</v>
      </c>
      <c r="J83" s="27" t="s">
        <v>104</v>
      </c>
      <c r="K83" s="27" t="s">
        <v>105</v>
      </c>
    </row>
    <row r="84" spans="1:11" x14ac:dyDescent="0.2">
      <c r="A84" s="27" t="s">
        <v>121</v>
      </c>
      <c r="B84" s="27" t="s">
        <v>123</v>
      </c>
      <c r="C84" s="27">
        <v>5</v>
      </c>
      <c r="D84" s="27">
        <v>1999</v>
      </c>
      <c r="E84" s="27">
        <v>8</v>
      </c>
      <c r="F84" s="27" t="s">
        <v>103</v>
      </c>
      <c r="G84" s="27">
        <v>4</v>
      </c>
      <c r="H84" s="27">
        <v>13</v>
      </c>
      <c r="I84" s="27">
        <v>17</v>
      </c>
      <c r="J84" s="27" t="s">
        <v>104</v>
      </c>
      <c r="K84" s="27" t="s">
        <v>105</v>
      </c>
    </row>
    <row r="85" spans="1:11" x14ac:dyDescent="0.2">
      <c r="A85" s="27" t="s">
        <v>121</v>
      </c>
      <c r="B85" s="27" t="s">
        <v>124</v>
      </c>
      <c r="C85" s="27">
        <v>4.2</v>
      </c>
      <c r="D85" s="27">
        <v>1999</v>
      </c>
      <c r="E85" s="27">
        <v>6</v>
      </c>
      <c r="F85" s="27" t="s">
        <v>103</v>
      </c>
      <c r="G85" s="27">
        <v>4</v>
      </c>
      <c r="H85" s="27">
        <v>14</v>
      </c>
      <c r="I85" s="27">
        <v>17</v>
      </c>
      <c r="J85" s="27" t="s">
        <v>104</v>
      </c>
      <c r="K85" s="27" t="s">
        <v>118</v>
      </c>
    </row>
    <row r="86" spans="1:11" x14ac:dyDescent="0.2">
      <c r="A86" s="27" t="s">
        <v>121</v>
      </c>
      <c r="B86" s="27" t="s">
        <v>124</v>
      </c>
      <c r="C86" s="27">
        <v>4.2</v>
      </c>
      <c r="D86" s="27">
        <v>1999</v>
      </c>
      <c r="E86" s="27">
        <v>6</v>
      </c>
      <c r="F86" s="27" t="s">
        <v>94</v>
      </c>
      <c r="G86" s="27">
        <v>4</v>
      </c>
      <c r="H86" s="27">
        <v>14</v>
      </c>
      <c r="I86" s="27">
        <v>17</v>
      </c>
      <c r="J86" s="27" t="s">
        <v>104</v>
      </c>
      <c r="K86" s="27" t="s">
        <v>118</v>
      </c>
    </row>
    <row r="87" spans="1:11" x14ac:dyDescent="0.2">
      <c r="A87" s="27" t="s">
        <v>121</v>
      </c>
      <c r="B87" s="27" t="s">
        <v>124</v>
      </c>
      <c r="C87" s="27">
        <v>4.5999999999999996</v>
      </c>
      <c r="D87" s="27">
        <v>1999</v>
      </c>
      <c r="E87" s="27">
        <v>8</v>
      </c>
      <c r="F87" s="27" t="s">
        <v>94</v>
      </c>
      <c r="G87" s="27">
        <v>4</v>
      </c>
      <c r="H87" s="27">
        <v>13</v>
      </c>
      <c r="I87" s="27">
        <v>16</v>
      </c>
      <c r="J87" s="27" t="s">
        <v>104</v>
      </c>
      <c r="K87" s="27" t="s">
        <v>118</v>
      </c>
    </row>
    <row r="88" spans="1:11" x14ac:dyDescent="0.2">
      <c r="A88" s="27" t="s">
        <v>121</v>
      </c>
      <c r="B88" s="27" t="s">
        <v>124</v>
      </c>
      <c r="C88" s="27">
        <v>4.5999999999999996</v>
      </c>
      <c r="D88" s="27">
        <v>1999</v>
      </c>
      <c r="E88" s="27">
        <v>8</v>
      </c>
      <c r="F88" s="27" t="s">
        <v>103</v>
      </c>
      <c r="G88" s="27">
        <v>4</v>
      </c>
      <c r="H88" s="27">
        <v>13</v>
      </c>
      <c r="I88" s="27">
        <v>16</v>
      </c>
      <c r="J88" s="27" t="s">
        <v>104</v>
      </c>
      <c r="K88" s="27" t="s">
        <v>118</v>
      </c>
    </row>
    <row r="89" spans="1:11" x14ac:dyDescent="0.2">
      <c r="A89" s="27" t="s">
        <v>121</v>
      </c>
      <c r="B89" s="27" t="s">
        <v>124</v>
      </c>
      <c r="C89" s="27">
        <v>4.5999999999999996</v>
      </c>
      <c r="D89" s="27">
        <v>2008</v>
      </c>
      <c r="E89" s="27">
        <v>8</v>
      </c>
      <c r="F89" s="27" t="s">
        <v>103</v>
      </c>
      <c r="G89" s="27">
        <v>4</v>
      </c>
      <c r="H89" s="27">
        <v>13</v>
      </c>
      <c r="I89" s="27">
        <v>17</v>
      </c>
      <c r="J89" s="27" t="s">
        <v>104</v>
      </c>
      <c r="K89" s="27" t="s">
        <v>118</v>
      </c>
    </row>
    <row r="90" spans="1:11" x14ac:dyDescent="0.2">
      <c r="A90" s="27" t="s">
        <v>121</v>
      </c>
      <c r="B90" s="27" t="s">
        <v>124</v>
      </c>
      <c r="C90" s="27">
        <v>5.4</v>
      </c>
      <c r="D90" s="27">
        <v>1999</v>
      </c>
      <c r="E90" s="27">
        <v>8</v>
      </c>
      <c r="F90" s="27" t="s">
        <v>103</v>
      </c>
      <c r="G90" s="27">
        <v>4</v>
      </c>
      <c r="H90" s="27">
        <v>11</v>
      </c>
      <c r="I90" s="27">
        <v>15</v>
      </c>
      <c r="J90" s="27" t="s">
        <v>104</v>
      </c>
      <c r="K90" s="27" t="s">
        <v>118</v>
      </c>
    </row>
    <row r="91" spans="1:11" x14ac:dyDescent="0.2">
      <c r="A91" s="27" t="s">
        <v>121</v>
      </c>
      <c r="B91" s="27" t="s">
        <v>124</v>
      </c>
      <c r="C91" s="27">
        <v>5.4</v>
      </c>
      <c r="D91" s="27">
        <v>2008</v>
      </c>
      <c r="E91" s="27">
        <v>8</v>
      </c>
      <c r="F91" s="27" t="s">
        <v>103</v>
      </c>
      <c r="G91" s="27">
        <v>4</v>
      </c>
      <c r="H91" s="27">
        <v>13</v>
      </c>
      <c r="I91" s="27">
        <v>17</v>
      </c>
      <c r="J91" s="27" t="s">
        <v>104</v>
      </c>
      <c r="K91" s="27" t="s">
        <v>118</v>
      </c>
    </row>
    <row r="92" spans="1:11" x14ac:dyDescent="0.2">
      <c r="A92" s="27" t="s">
        <v>121</v>
      </c>
      <c r="B92" s="27" t="s">
        <v>125</v>
      </c>
      <c r="C92" s="27">
        <v>3.8</v>
      </c>
      <c r="D92" s="27">
        <v>1999</v>
      </c>
      <c r="E92" s="27">
        <v>6</v>
      </c>
      <c r="F92" s="27" t="s">
        <v>94</v>
      </c>
      <c r="G92" s="27" t="s">
        <v>104</v>
      </c>
      <c r="H92" s="27">
        <v>18</v>
      </c>
      <c r="I92" s="27">
        <v>26</v>
      </c>
      <c r="J92" s="27" t="s">
        <v>104</v>
      </c>
      <c r="K92" s="27" t="s">
        <v>126</v>
      </c>
    </row>
    <row r="93" spans="1:11" x14ac:dyDescent="0.2">
      <c r="A93" s="27" t="s">
        <v>121</v>
      </c>
      <c r="B93" s="27" t="s">
        <v>125</v>
      </c>
      <c r="C93" s="27">
        <v>3.8</v>
      </c>
      <c r="D93" s="27">
        <v>1999</v>
      </c>
      <c r="E93" s="27">
        <v>6</v>
      </c>
      <c r="F93" s="27" t="s">
        <v>103</v>
      </c>
      <c r="G93" s="27" t="s">
        <v>104</v>
      </c>
      <c r="H93" s="27">
        <v>18</v>
      </c>
      <c r="I93" s="27">
        <v>25</v>
      </c>
      <c r="J93" s="27" t="s">
        <v>104</v>
      </c>
      <c r="K93" s="27" t="s">
        <v>126</v>
      </c>
    </row>
    <row r="94" spans="1:11" x14ac:dyDescent="0.2">
      <c r="A94" s="27" t="s">
        <v>121</v>
      </c>
      <c r="B94" s="27" t="s">
        <v>125</v>
      </c>
      <c r="C94" s="27">
        <v>4</v>
      </c>
      <c r="D94" s="27">
        <v>2008</v>
      </c>
      <c r="E94" s="27">
        <v>6</v>
      </c>
      <c r="F94" s="27" t="s">
        <v>94</v>
      </c>
      <c r="G94" s="27" t="s">
        <v>104</v>
      </c>
      <c r="H94" s="27">
        <v>17</v>
      </c>
      <c r="I94" s="27">
        <v>26</v>
      </c>
      <c r="J94" s="27" t="s">
        <v>104</v>
      </c>
      <c r="K94" s="27" t="s">
        <v>126</v>
      </c>
    </row>
    <row r="95" spans="1:11" x14ac:dyDescent="0.2">
      <c r="A95" s="27" t="s">
        <v>121</v>
      </c>
      <c r="B95" s="27" t="s">
        <v>125</v>
      </c>
      <c r="C95" s="27">
        <v>4</v>
      </c>
      <c r="D95" s="27">
        <v>2008</v>
      </c>
      <c r="E95" s="27">
        <v>6</v>
      </c>
      <c r="F95" s="27" t="s">
        <v>91</v>
      </c>
      <c r="G95" s="27" t="s">
        <v>104</v>
      </c>
      <c r="H95" s="27">
        <v>16</v>
      </c>
      <c r="I95" s="27">
        <v>24</v>
      </c>
      <c r="J95" s="27" t="s">
        <v>104</v>
      </c>
      <c r="K95" s="27" t="s">
        <v>126</v>
      </c>
    </row>
    <row r="96" spans="1:11" x14ac:dyDescent="0.2">
      <c r="A96" s="27" t="s">
        <v>121</v>
      </c>
      <c r="B96" s="27" t="s">
        <v>125</v>
      </c>
      <c r="C96" s="27">
        <v>4.5999999999999996</v>
      </c>
      <c r="D96" s="27">
        <v>1999</v>
      </c>
      <c r="E96" s="27">
        <v>8</v>
      </c>
      <c r="F96" s="27" t="s">
        <v>103</v>
      </c>
      <c r="G96" s="27" t="s">
        <v>104</v>
      </c>
      <c r="H96" s="27">
        <v>15</v>
      </c>
      <c r="I96" s="27">
        <v>21</v>
      </c>
      <c r="J96" s="27" t="s">
        <v>104</v>
      </c>
      <c r="K96" s="27" t="s">
        <v>126</v>
      </c>
    </row>
    <row r="97" spans="1:11" x14ac:dyDescent="0.2">
      <c r="A97" s="27" t="s">
        <v>121</v>
      </c>
      <c r="B97" s="27" t="s">
        <v>125</v>
      </c>
      <c r="C97" s="27">
        <v>4.5999999999999996</v>
      </c>
      <c r="D97" s="27">
        <v>1999</v>
      </c>
      <c r="E97" s="27">
        <v>8</v>
      </c>
      <c r="F97" s="27" t="s">
        <v>94</v>
      </c>
      <c r="G97" s="27" t="s">
        <v>104</v>
      </c>
      <c r="H97" s="27">
        <v>15</v>
      </c>
      <c r="I97" s="27">
        <v>22</v>
      </c>
      <c r="J97" s="27" t="s">
        <v>104</v>
      </c>
      <c r="K97" s="27" t="s">
        <v>126</v>
      </c>
    </row>
    <row r="98" spans="1:11" x14ac:dyDescent="0.2">
      <c r="A98" s="27" t="s">
        <v>121</v>
      </c>
      <c r="B98" s="27" t="s">
        <v>125</v>
      </c>
      <c r="C98" s="27">
        <v>4.5999999999999996</v>
      </c>
      <c r="D98" s="27">
        <v>2008</v>
      </c>
      <c r="E98" s="27">
        <v>8</v>
      </c>
      <c r="F98" s="27" t="s">
        <v>94</v>
      </c>
      <c r="G98" s="27" t="s">
        <v>104</v>
      </c>
      <c r="H98" s="27">
        <v>15</v>
      </c>
      <c r="I98" s="27">
        <v>23</v>
      </c>
      <c r="J98" s="27" t="s">
        <v>104</v>
      </c>
      <c r="K98" s="27" t="s">
        <v>126</v>
      </c>
    </row>
    <row r="99" spans="1:11" x14ac:dyDescent="0.2">
      <c r="A99" s="27" t="s">
        <v>121</v>
      </c>
      <c r="B99" s="27" t="s">
        <v>125</v>
      </c>
      <c r="C99" s="27">
        <v>4.5999999999999996</v>
      </c>
      <c r="D99" s="27">
        <v>2008</v>
      </c>
      <c r="E99" s="27">
        <v>8</v>
      </c>
      <c r="F99" s="27" t="s">
        <v>91</v>
      </c>
      <c r="G99" s="27" t="s">
        <v>104</v>
      </c>
      <c r="H99" s="27">
        <v>15</v>
      </c>
      <c r="I99" s="27">
        <v>22</v>
      </c>
      <c r="J99" s="27" t="s">
        <v>104</v>
      </c>
      <c r="K99" s="27" t="s">
        <v>126</v>
      </c>
    </row>
    <row r="100" spans="1:11" x14ac:dyDescent="0.2">
      <c r="A100" s="27" t="s">
        <v>121</v>
      </c>
      <c r="B100" s="27" t="s">
        <v>125</v>
      </c>
      <c r="C100" s="27">
        <v>5.4</v>
      </c>
      <c r="D100" s="27">
        <v>2008</v>
      </c>
      <c r="E100" s="27">
        <v>8</v>
      </c>
      <c r="F100" s="27" t="s">
        <v>95</v>
      </c>
      <c r="G100" s="27" t="s">
        <v>104</v>
      </c>
      <c r="H100" s="27">
        <v>14</v>
      </c>
      <c r="I100" s="27">
        <v>20</v>
      </c>
      <c r="J100" s="27" t="s">
        <v>6</v>
      </c>
      <c r="K100" s="27" t="s">
        <v>126</v>
      </c>
    </row>
    <row r="101" spans="1:11" x14ac:dyDescent="0.2">
      <c r="A101" s="27" t="s">
        <v>127</v>
      </c>
      <c r="B101" s="27" t="s">
        <v>128</v>
      </c>
      <c r="C101" s="27">
        <v>1.6</v>
      </c>
      <c r="D101" s="27">
        <v>1999</v>
      </c>
      <c r="E101" s="27">
        <v>4</v>
      </c>
      <c r="F101" s="27" t="s">
        <v>94</v>
      </c>
      <c r="G101" s="27" t="s">
        <v>92</v>
      </c>
      <c r="H101" s="27">
        <v>28</v>
      </c>
      <c r="I101" s="27">
        <v>33</v>
      </c>
      <c r="J101" s="27" t="s">
        <v>104</v>
      </c>
      <c r="K101" s="27" t="s">
        <v>126</v>
      </c>
    </row>
    <row r="102" spans="1:11" x14ac:dyDescent="0.2">
      <c r="A102" s="27" t="s">
        <v>127</v>
      </c>
      <c r="B102" s="27" t="s">
        <v>128</v>
      </c>
      <c r="C102" s="27">
        <v>1.6</v>
      </c>
      <c r="D102" s="27">
        <v>1999</v>
      </c>
      <c r="E102" s="27">
        <v>4</v>
      </c>
      <c r="F102" s="27" t="s">
        <v>103</v>
      </c>
      <c r="G102" s="27" t="s">
        <v>92</v>
      </c>
      <c r="H102" s="27">
        <v>24</v>
      </c>
      <c r="I102" s="27">
        <v>32</v>
      </c>
      <c r="J102" s="27" t="s">
        <v>104</v>
      </c>
      <c r="K102" s="27" t="s">
        <v>126</v>
      </c>
    </row>
    <row r="103" spans="1:11" x14ac:dyDescent="0.2">
      <c r="A103" s="27" t="s">
        <v>127</v>
      </c>
      <c r="B103" s="27" t="s">
        <v>128</v>
      </c>
      <c r="C103" s="27">
        <v>1.6</v>
      </c>
      <c r="D103" s="27">
        <v>1999</v>
      </c>
      <c r="E103" s="27">
        <v>4</v>
      </c>
      <c r="F103" s="27" t="s">
        <v>94</v>
      </c>
      <c r="G103" s="27" t="s">
        <v>92</v>
      </c>
      <c r="H103" s="27">
        <v>25</v>
      </c>
      <c r="I103" s="27">
        <v>32</v>
      </c>
      <c r="J103" s="27" t="s">
        <v>104</v>
      </c>
      <c r="K103" s="27" t="s">
        <v>126</v>
      </c>
    </row>
    <row r="104" spans="1:11" x14ac:dyDescent="0.2">
      <c r="A104" s="27" t="s">
        <v>127</v>
      </c>
      <c r="B104" s="27" t="s">
        <v>128</v>
      </c>
      <c r="C104" s="27">
        <v>1.6</v>
      </c>
      <c r="D104" s="27">
        <v>1999</v>
      </c>
      <c r="E104" s="27">
        <v>4</v>
      </c>
      <c r="F104" s="27" t="s">
        <v>94</v>
      </c>
      <c r="G104" s="27" t="s">
        <v>92</v>
      </c>
      <c r="H104" s="27">
        <v>23</v>
      </c>
      <c r="I104" s="27">
        <v>29</v>
      </c>
      <c r="J104" s="27" t="s">
        <v>6</v>
      </c>
      <c r="K104" s="27" t="s">
        <v>126</v>
      </c>
    </row>
    <row r="105" spans="1:11" x14ac:dyDescent="0.2">
      <c r="A105" s="27" t="s">
        <v>127</v>
      </c>
      <c r="B105" s="27" t="s">
        <v>128</v>
      </c>
      <c r="C105" s="27">
        <v>1.6</v>
      </c>
      <c r="D105" s="27">
        <v>1999</v>
      </c>
      <c r="E105" s="27">
        <v>4</v>
      </c>
      <c r="F105" s="27" t="s">
        <v>103</v>
      </c>
      <c r="G105" s="27" t="s">
        <v>92</v>
      </c>
      <c r="H105" s="27">
        <v>24</v>
      </c>
      <c r="I105" s="27">
        <v>32</v>
      </c>
      <c r="J105" s="27" t="s">
        <v>104</v>
      </c>
      <c r="K105" s="27" t="s">
        <v>126</v>
      </c>
    </row>
    <row r="106" spans="1:11" x14ac:dyDescent="0.2">
      <c r="A106" s="27" t="s">
        <v>127</v>
      </c>
      <c r="B106" s="27" t="s">
        <v>128</v>
      </c>
      <c r="C106" s="27">
        <v>1.8</v>
      </c>
      <c r="D106" s="27">
        <v>2008</v>
      </c>
      <c r="E106" s="27">
        <v>4</v>
      </c>
      <c r="F106" s="27" t="s">
        <v>94</v>
      </c>
      <c r="G106" s="27" t="s">
        <v>92</v>
      </c>
      <c r="H106" s="27">
        <v>26</v>
      </c>
      <c r="I106" s="27">
        <v>34</v>
      </c>
      <c r="J106" s="27" t="s">
        <v>104</v>
      </c>
      <c r="K106" s="27" t="s">
        <v>126</v>
      </c>
    </row>
    <row r="107" spans="1:11" x14ac:dyDescent="0.2">
      <c r="A107" s="27" t="s">
        <v>127</v>
      </c>
      <c r="B107" s="27" t="s">
        <v>128</v>
      </c>
      <c r="C107" s="27">
        <v>1.8</v>
      </c>
      <c r="D107" s="27">
        <v>2008</v>
      </c>
      <c r="E107" s="27">
        <v>4</v>
      </c>
      <c r="F107" s="27" t="s">
        <v>91</v>
      </c>
      <c r="G107" s="27" t="s">
        <v>92</v>
      </c>
      <c r="H107" s="27">
        <v>25</v>
      </c>
      <c r="I107" s="27">
        <v>36</v>
      </c>
      <c r="J107" s="27" t="s">
        <v>104</v>
      </c>
      <c r="K107" s="27" t="s">
        <v>126</v>
      </c>
    </row>
    <row r="108" spans="1:11" x14ac:dyDescent="0.2">
      <c r="A108" s="27" t="s">
        <v>127</v>
      </c>
      <c r="B108" s="27" t="s">
        <v>128</v>
      </c>
      <c r="C108" s="27">
        <v>1.8</v>
      </c>
      <c r="D108" s="27">
        <v>2008</v>
      </c>
      <c r="E108" s="27">
        <v>4</v>
      </c>
      <c r="F108" s="27" t="s">
        <v>91</v>
      </c>
      <c r="G108" s="27" t="s">
        <v>92</v>
      </c>
      <c r="H108" s="27">
        <v>24</v>
      </c>
      <c r="I108" s="27">
        <v>36</v>
      </c>
      <c r="J108" s="27" t="s">
        <v>129</v>
      </c>
      <c r="K108" s="27" t="s">
        <v>126</v>
      </c>
    </row>
    <row r="109" spans="1:11" x14ac:dyDescent="0.2">
      <c r="A109" s="27" t="s">
        <v>127</v>
      </c>
      <c r="B109" s="27" t="s">
        <v>128</v>
      </c>
      <c r="C109" s="27">
        <v>2</v>
      </c>
      <c r="D109" s="27">
        <v>2008</v>
      </c>
      <c r="E109" s="27">
        <v>4</v>
      </c>
      <c r="F109" s="27" t="s">
        <v>95</v>
      </c>
      <c r="G109" s="27" t="s">
        <v>92</v>
      </c>
      <c r="H109" s="27">
        <v>21</v>
      </c>
      <c r="I109" s="27">
        <v>29</v>
      </c>
      <c r="J109" s="27" t="s">
        <v>6</v>
      </c>
      <c r="K109" s="27" t="s">
        <v>126</v>
      </c>
    </row>
    <row r="110" spans="1:11" x14ac:dyDescent="0.2">
      <c r="A110" s="27" t="s">
        <v>130</v>
      </c>
      <c r="B110" s="27" t="s">
        <v>131</v>
      </c>
      <c r="C110" s="27">
        <v>2.4</v>
      </c>
      <c r="D110" s="27">
        <v>1999</v>
      </c>
      <c r="E110" s="27">
        <v>4</v>
      </c>
      <c r="F110" s="27" t="s">
        <v>103</v>
      </c>
      <c r="G110" s="27" t="s">
        <v>92</v>
      </c>
      <c r="H110" s="27">
        <v>18</v>
      </c>
      <c r="I110" s="27">
        <v>26</v>
      </c>
      <c r="J110" s="27" t="s">
        <v>104</v>
      </c>
      <c r="K110" s="27" t="s">
        <v>100</v>
      </c>
    </row>
    <row r="111" spans="1:11" x14ac:dyDescent="0.2">
      <c r="A111" s="27" t="s">
        <v>130</v>
      </c>
      <c r="B111" s="27" t="s">
        <v>131</v>
      </c>
      <c r="C111" s="27">
        <v>2.4</v>
      </c>
      <c r="D111" s="27">
        <v>1999</v>
      </c>
      <c r="E111" s="27">
        <v>4</v>
      </c>
      <c r="F111" s="27" t="s">
        <v>94</v>
      </c>
      <c r="G111" s="27" t="s">
        <v>92</v>
      </c>
      <c r="H111" s="27">
        <v>18</v>
      </c>
      <c r="I111" s="27">
        <v>27</v>
      </c>
      <c r="J111" s="27" t="s">
        <v>104</v>
      </c>
      <c r="K111" s="27" t="s">
        <v>100</v>
      </c>
    </row>
    <row r="112" spans="1:11" x14ac:dyDescent="0.2">
      <c r="A112" s="27" t="s">
        <v>130</v>
      </c>
      <c r="B112" s="27" t="s">
        <v>131</v>
      </c>
      <c r="C112" s="27">
        <v>2.4</v>
      </c>
      <c r="D112" s="27">
        <v>2008</v>
      </c>
      <c r="E112" s="27">
        <v>4</v>
      </c>
      <c r="F112" s="27" t="s">
        <v>103</v>
      </c>
      <c r="G112" s="27" t="s">
        <v>92</v>
      </c>
      <c r="H112" s="27">
        <v>21</v>
      </c>
      <c r="I112" s="27">
        <v>30</v>
      </c>
      <c r="J112" s="27" t="s">
        <v>104</v>
      </c>
      <c r="K112" s="27" t="s">
        <v>100</v>
      </c>
    </row>
    <row r="113" spans="1:11" x14ac:dyDescent="0.2">
      <c r="A113" s="27" t="s">
        <v>130</v>
      </c>
      <c r="B113" s="27" t="s">
        <v>131</v>
      </c>
      <c r="C113" s="27">
        <v>2.4</v>
      </c>
      <c r="D113" s="27">
        <v>2008</v>
      </c>
      <c r="E113" s="27">
        <v>4</v>
      </c>
      <c r="F113" s="27" t="s">
        <v>94</v>
      </c>
      <c r="G113" s="27" t="s">
        <v>92</v>
      </c>
      <c r="H113" s="27">
        <v>21</v>
      </c>
      <c r="I113" s="27">
        <v>31</v>
      </c>
      <c r="J113" s="27" t="s">
        <v>104</v>
      </c>
      <c r="K113" s="27" t="s">
        <v>100</v>
      </c>
    </row>
    <row r="114" spans="1:11" x14ac:dyDescent="0.2">
      <c r="A114" s="27" t="s">
        <v>130</v>
      </c>
      <c r="B114" s="27" t="s">
        <v>131</v>
      </c>
      <c r="C114" s="27">
        <v>2.5</v>
      </c>
      <c r="D114" s="27">
        <v>1999</v>
      </c>
      <c r="E114" s="27">
        <v>6</v>
      </c>
      <c r="F114" s="27" t="s">
        <v>103</v>
      </c>
      <c r="G114" s="27" t="s">
        <v>92</v>
      </c>
      <c r="H114" s="27">
        <v>18</v>
      </c>
      <c r="I114" s="27">
        <v>26</v>
      </c>
      <c r="J114" s="27" t="s">
        <v>104</v>
      </c>
      <c r="K114" s="27" t="s">
        <v>100</v>
      </c>
    </row>
    <row r="115" spans="1:11" x14ac:dyDescent="0.2">
      <c r="A115" s="27" t="s">
        <v>130</v>
      </c>
      <c r="B115" s="27" t="s">
        <v>131</v>
      </c>
      <c r="C115" s="27">
        <v>2.5</v>
      </c>
      <c r="D115" s="27">
        <v>1999</v>
      </c>
      <c r="E115" s="27">
        <v>6</v>
      </c>
      <c r="F115" s="27" t="s">
        <v>94</v>
      </c>
      <c r="G115" s="27" t="s">
        <v>92</v>
      </c>
      <c r="H115" s="27">
        <v>18</v>
      </c>
      <c r="I115" s="27">
        <v>26</v>
      </c>
      <c r="J115" s="27" t="s">
        <v>104</v>
      </c>
      <c r="K115" s="27" t="s">
        <v>100</v>
      </c>
    </row>
    <row r="116" spans="1:11" x14ac:dyDescent="0.2">
      <c r="A116" s="27" t="s">
        <v>130</v>
      </c>
      <c r="B116" s="27" t="s">
        <v>131</v>
      </c>
      <c r="C116" s="27">
        <v>3.3</v>
      </c>
      <c r="D116" s="27">
        <v>2008</v>
      </c>
      <c r="E116" s="27">
        <v>6</v>
      </c>
      <c r="F116" s="27" t="s">
        <v>91</v>
      </c>
      <c r="G116" s="27" t="s">
        <v>92</v>
      </c>
      <c r="H116" s="27">
        <v>19</v>
      </c>
      <c r="I116" s="27">
        <v>28</v>
      </c>
      <c r="J116" s="27" t="s">
        <v>104</v>
      </c>
      <c r="K116" s="27" t="s">
        <v>100</v>
      </c>
    </row>
    <row r="117" spans="1:11" x14ac:dyDescent="0.2">
      <c r="A117" s="27" t="s">
        <v>130</v>
      </c>
      <c r="B117" s="27" t="s">
        <v>132</v>
      </c>
      <c r="C117" s="27">
        <v>2</v>
      </c>
      <c r="D117" s="27">
        <v>1999</v>
      </c>
      <c r="E117" s="27">
        <v>4</v>
      </c>
      <c r="F117" s="27" t="s">
        <v>103</v>
      </c>
      <c r="G117" s="27" t="s">
        <v>92</v>
      </c>
      <c r="H117" s="27">
        <v>19</v>
      </c>
      <c r="I117" s="27">
        <v>26</v>
      </c>
      <c r="J117" s="27" t="s">
        <v>104</v>
      </c>
      <c r="K117" s="27" t="s">
        <v>126</v>
      </c>
    </row>
    <row r="118" spans="1:11" x14ac:dyDescent="0.2">
      <c r="A118" s="27" t="s">
        <v>130</v>
      </c>
      <c r="B118" s="27" t="s">
        <v>132</v>
      </c>
      <c r="C118" s="27">
        <v>2</v>
      </c>
      <c r="D118" s="27">
        <v>1999</v>
      </c>
      <c r="E118" s="27">
        <v>4</v>
      </c>
      <c r="F118" s="27" t="s">
        <v>94</v>
      </c>
      <c r="G118" s="27" t="s">
        <v>92</v>
      </c>
      <c r="H118" s="27">
        <v>19</v>
      </c>
      <c r="I118" s="27">
        <v>29</v>
      </c>
      <c r="J118" s="27" t="s">
        <v>104</v>
      </c>
      <c r="K118" s="27" t="s">
        <v>126</v>
      </c>
    </row>
    <row r="119" spans="1:11" x14ac:dyDescent="0.2">
      <c r="A119" s="27" t="s">
        <v>130</v>
      </c>
      <c r="B119" s="27" t="s">
        <v>132</v>
      </c>
      <c r="C119" s="27">
        <v>2</v>
      </c>
      <c r="D119" s="27">
        <v>2008</v>
      </c>
      <c r="E119" s="27">
        <v>4</v>
      </c>
      <c r="F119" s="27" t="s">
        <v>94</v>
      </c>
      <c r="G119" s="27" t="s">
        <v>92</v>
      </c>
      <c r="H119" s="27">
        <v>20</v>
      </c>
      <c r="I119" s="27">
        <v>28</v>
      </c>
      <c r="J119" s="27" t="s">
        <v>104</v>
      </c>
      <c r="K119" s="27" t="s">
        <v>126</v>
      </c>
    </row>
    <row r="120" spans="1:11" x14ac:dyDescent="0.2">
      <c r="A120" s="27" t="s">
        <v>130</v>
      </c>
      <c r="B120" s="27" t="s">
        <v>132</v>
      </c>
      <c r="C120" s="27">
        <v>2</v>
      </c>
      <c r="D120" s="27">
        <v>2008</v>
      </c>
      <c r="E120" s="27">
        <v>4</v>
      </c>
      <c r="F120" s="27" t="s">
        <v>103</v>
      </c>
      <c r="G120" s="27" t="s">
        <v>92</v>
      </c>
      <c r="H120" s="27">
        <v>20</v>
      </c>
      <c r="I120" s="27">
        <v>27</v>
      </c>
      <c r="J120" s="27" t="s">
        <v>104</v>
      </c>
      <c r="K120" s="27" t="s">
        <v>126</v>
      </c>
    </row>
    <row r="121" spans="1:11" x14ac:dyDescent="0.2">
      <c r="A121" s="27" t="s">
        <v>130</v>
      </c>
      <c r="B121" s="27" t="s">
        <v>132</v>
      </c>
      <c r="C121" s="27">
        <v>2.7</v>
      </c>
      <c r="D121" s="27">
        <v>2008</v>
      </c>
      <c r="E121" s="27">
        <v>6</v>
      </c>
      <c r="F121" s="27" t="s">
        <v>103</v>
      </c>
      <c r="G121" s="27" t="s">
        <v>92</v>
      </c>
      <c r="H121" s="27">
        <v>17</v>
      </c>
      <c r="I121" s="27">
        <v>24</v>
      </c>
      <c r="J121" s="27" t="s">
        <v>104</v>
      </c>
      <c r="K121" s="27" t="s">
        <v>126</v>
      </c>
    </row>
    <row r="122" spans="1:11" x14ac:dyDescent="0.2">
      <c r="A122" s="27" t="s">
        <v>130</v>
      </c>
      <c r="B122" s="27" t="s">
        <v>132</v>
      </c>
      <c r="C122" s="27">
        <v>2.7</v>
      </c>
      <c r="D122" s="27">
        <v>2008</v>
      </c>
      <c r="E122" s="27">
        <v>6</v>
      </c>
      <c r="F122" s="27" t="s">
        <v>95</v>
      </c>
      <c r="G122" s="27" t="s">
        <v>92</v>
      </c>
      <c r="H122" s="27">
        <v>16</v>
      </c>
      <c r="I122" s="27">
        <v>24</v>
      </c>
      <c r="J122" s="27" t="s">
        <v>104</v>
      </c>
      <c r="K122" s="27" t="s">
        <v>126</v>
      </c>
    </row>
    <row r="123" spans="1:11" x14ac:dyDescent="0.2">
      <c r="A123" s="27" t="s">
        <v>130</v>
      </c>
      <c r="B123" s="27" t="s">
        <v>132</v>
      </c>
      <c r="C123" s="27">
        <v>2.7</v>
      </c>
      <c r="D123" s="27">
        <v>2008</v>
      </c>
      <c r="E123" s="27">
        <v>6</v>
      </c>
      <c r="F123" s="27" t="s">
        <v>94</v>
      </c>
      <c r="G123" s="27" t="s">
        <v>92</v>
      </c>
      <c r="H123" s="27">
        <v>17</v>
      </c>
      <c r="I123" s="27">
        <v>24</v>
      </c>
      <c r="J123" s="27" t="s">
        <v>104</v>
      </c>
      <c r="K123" s="27" t="s">
        <v>126</v>
      </c>
    </row>
    <row r="124" spans="1:11" x14ac:dyDescent="0.2">
      <c r="A124" s="27" t="s">
        <v>133</v>
      </c>
      <c r="B124" s="27" t="s">
        <v>134</v>
      </c>
      <c r="C124" s="27">
        <v>3</v>
      </c>
      <c r="D124" s="27">
        <v>2008</v>
      </c>
      <c r="E124" s="27">
        <v>6</v>
      </c>
      <c r="F124" s="27" t="s">
        <v>91</v>
      </c>
      <c r="G124" s="27">
        <v>4</v>
      </c>
      <c r="H124" s="27">
        <v>17</v>
      </c>
      <c r="I124" s="27">
        <v>22</v>
      </c>
      <c r="J124" s="27" t="s">
        <v>110</v>
      </c>
      <c r="K124" s="27" t="s">
        <v>105</v>
      </c>
    </row>
    <row r="125" spans="1:11" x14ac:dyDescent="0.2">
      <c r="A125" s="27" t="s">
        <v>133</v>
      </c>
      <c r="B125" s="27" t="s">
        <v>134</v>
      </c>
      <c r="C125" s="27">
        <v>3.7</v>
      </c>
      <c r="D125" s="27">
        <v>2008</v>
      </c>
      <c r="E125" s="27">
        <v>6</v>
      </c>
      <c r="F125" s="27" t="s">
        <v>91</v>
      </c>
      <c r="G125" s="27">
        <v>4</v>
      </c>
      <c r="H125" s="27">
        <v>15</v>
      </c>
      <c r="I125" s="27">
        <v>19</v>
      </c>
      <c r="J125" s="27" t="s">
        <v>104</v>
      </c>
      <c r="K125" s="27" t="s">
        <v>105</v>
      </c>
    </row>
    <row r="126" spans="1:11" x14ac:dyDescent="0.2">
      <c r="A126" s="27" t="s">
        <v>133</v>
      </c>
      <c r="B126" s="27" t="s">
        <v>134</v>
      </c>
      <c r="C126" s="27">
        <v>4</v>
      </c>
      <c r="D126" s="27">
        <v>1999</v>
      </c>
      <c r="E126" s="27">
        <v>6</v>
      </c>
      <c r="F126" s="27" t="s">
        <v>103</v>
      </c>
      <c r="G126" s="27">
        <v>4</v>
      </c>
      <c r="H126" s="27">
        <v>15</v>
      </c>
      <c r="I126" s="27">
        <v>20</v>
      </c>
      <c r="J126" s="27" t="s">
        <v>104</v>
      </c>
      <c r="K126" s="27" t="s">
        <v>105</v>
      </c>
    </row>
    <row r="127" spans="1:11" x14ac:dyDescent="0.2">
      <c r="A127" s="27" t="s">
        <v>133</v>
      </c>
      <c r="B127" s="27" t="s">
        <v>134</v>
      </c>
      <c r="C127" s="27">
        <v>4.7</v>
      </c>
      <c r="D127" s="27">
        <v>1999</v>
      </c>
      <c r="E127" s="27">
        <v>8</v>
      </c>
      <c r="F127" s="27" t="s">
        <v>103</v>
      </c>
      <c r="G127" s="27">
        <v>4</v>
      </c>
      <c r="H127" s="27">
        <v>14</v>
      </c>
      <c r="I127" s="27">
        <v>17</v>
      </c>
      <c r="J127" s="27" t="s">
        <v>104</v>
      </c>
      <c r="K127" s="27" t="s">
        <v>105</v>
      </c>
    </row>
    <row r="128" spans="1:11" x14ac:dyDescent="0.2">
      <c r="A128" s="27" t="s">
        <v>133</v>
      </c>
      <c r="B128" s="27" t="s">
        <v>134</v>
      </c>
      <c r="C128" s="27">
        <v>4.7</v>
      </c>
      <c r="D128" s="27">
        <v>2008</v>
      </c>
      <c r="E128" s="27">
        <v>8</v>
      </c>
      <c r="F128" s="27" t="s">
        <v>91</v>
      </c>
      <c r="G128" s="27">
        <v>4</v>
      </c>
      <c r="H128" s="27">
        <v>9</v>
      </c>
      <c r="I128" s="27">
        <v>12</v>
      </c>
      <c r="J128" s="27" t="s">
        <v>106</v>
      </c>
      <c r="K128" s="27" t="s">
        <v>105</v>
      </c>
    </row>
    <row r="129" spans="1:11" x14ac:dyDescent="0.2">
      <c r="A129" s="27" t="s">
        <v>133</v>
      </c>
      <c r="B129" s="27" t="s">
        <v>134</v>
      </c>
      <c r="C129" s="27">
        <v>4.7</v>
      </c>
      <c r="D129" s="27">
        <v>2008</v>
      </c>
      <c r="E129" s="27">
        <v>8</v>
      </c>
      <c r="F129" s="27" t="s">
        <v>91</v>
      </c>
      <c r="G129" s="27">
        <v>4</v>
      </c>
      <c r="H129" s="27">
        <v>14</v>
      </c>
      <c r="I129" s="27">
        <v>19</v>
      </c>
      <c r="J129" s="27" t="s">
        <v>104</v>
      </c>
      <c r="K129" s="27" t="s">
        <v>105</v>
      </c>
    </row>
    <row r="130" spans="1:11" x14ac:dyDescent="0.2">
      <c r="A130" s="27" t="s">
        <v>133</v>
      </c>
      <c r="B130" s="27" t="s">
        <v>134</v>
      </c>
      <c r="C130" s="27">
        <v>5.7</v>
      </c>
      <c r="D130" s="27">
        <v>2008</v>
      </c>
      <c r="E130" s="27">
        <v>8</v>
      </c>
      <c r="F130" s="27" t="s">
        <v>91</v>
      </c>
      <c r="G130" s="27">
        <v>4</v>
      </c>
      <c r="H130" s="27">
        <v>13</v>
      </c>
      <c r="I130" s="27">
        <v>18</v>
      </c>
      <c r="J130" s="27" t="s">
        <v>104</v>
      </c>
      <c r="K130" s="27" t="s">
        <v>105</v>
      </c>
    </row>
    <row r="131" spans="1:11" x14ac:dyDescent="0.2">
      <c r="A131" s="27" t="s">
        <v>133</v>
      </c>
      <c r="B131" s="27" t="s">
        <v>134</v>
      </c>
      <c r="C131" s="27">
        <v>6.1</v>
      </c>
      <c r="D131" s="27">
        <v>2008</v>
      </c>
      <c r="E131" s="27">
        <v>8</v>
      </c>
      <c r="F131" s="27" t="s">
        <v>91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105</v>
      </c>
    </row>
    <row r="132" spans="1:11" x14ac:dyDescent="0.2">
      <c r="A132" s="27" t="s">
        <v>135</v>
      </c>
      <c r="B132" s="27" t="s">
        <v>136</v>
      </c>
      <c r="C132" s="27">
        <v>4</v>
      </c>
      <c r="D132" s="27">
        <v>1999</v>
      </c>
      <c r="E132" s="27">
        <v>8</v>
      </c>
      <c r="F132" s="27" t="s">
        <v>103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105</v>
      </c>
    </row>
    <row r="133" spans="1:11" x14ac:dyDescent="0.2">
      <c r="A133" s="27" t="s">
        <v>135</v>
      </c>
      <c r="B133" s="27" t="s">
        <v>136</v>
      </c>
      <c r="C133" s="27">
        <v>4.2</v>
      </c>
      <c r="D133" s="27">
        <v>2008</v>
      </c>
      <c r="E133" s="27">
        <v>8</v>
      </c>
      <c r="F133" s="27" t="s">
        <v>98</v>
      </c>
      <c r="G133" s="27">
        <v>4</v>
      </c>
      <c r="H133" s="27">
        <v>12</v>
      </c>
      <c r="I133" s="27">
        <v>18</v>
      </c>
      <c r="J133" s="27" t="s">
        <v>104</v>
      </c>
      <c r="K133" s="27" t="s">
        <v>105</v>
      </c>
    </row>
    <row r="134" spans="1:11" x14ac:dyDescent="0.2">
      <c r="A134" s="27" t="s">
        <v>135</v>
      </c>
      <c r="B134" s="27" t="s">
        <v>136</v>
      </c>
      <c r="C134" s="27">
        <v>4.4000000000000004</v>
      </c>
      <c r="D134" s="27">
        <v>2008</v>
      </c>
      <c r="E134" s="27">
        <v>8</v>
      </c>
      <c r="F134" s="27" t="s">
        <v>98</v>
      </c>
      <c r="G134" s="27">
        <v>4</v>
      </c>
      <c r="H134" s="27">
        <v>12</v>
      </c>
      <c r="I134" s="27">
        <v>18</v>
      </c>
      <c r="J134" s="27" t="s">
        <v>104</v>
      </c>
      <c r="K134" s="27" t="s">
        <v>105</v>
      </c>
    </row>
    <row r="135" spans="1:11" x14ac:dyDescent="0.2">
      <c r="A135" s="27" t="s">
        <v>135</v>
      </c>
      <c r="B135" s="27" t="s">
        <v>136</v>
      </c>
      <c r="C135" s="27">
        <v>4.5999999999999996</v>
      </c>
      <c r="D135" s="27">
        <v>1999</v>
      </c>
      <c r="E135" s="27">
        <v>8</v>
      </c>
      <c r="F135" s="27" t="s">
        <v>103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105</v>
      </c>
    </row>
    <row r="136" spans="1:11" x14ac:dyDescent="0.2">
      <c r="A136" s="27" t="s">
        <v>137</v>
      </c>
      <c r="B136" s="27" t="s">
        <v>138</v>
      </c>
      <c r="C136" s="27">
        <v>5.4</v>
      </c>
      <c r="D136" s="27">
        <v>1999</v>
      </c>
      <c r="E136" s="27">
        <v>8</v>
      </c>
      <c r="F136" s="27" t="s">
        <v>103</v>
      </c>
      <c r="G136" s="27" t="s">
        <v>104</v>
      </c>
      <c r="H136" s="27">
        <v>11</v>
      </c>
      <c r="I136" s="27">
        <v>17</v>
      </c>
      <c r="J136" s="27" t="s">
        <v>104</v>
      </c>
      <c r="K136" s="27" t="s">
        <v>105</v>
      </c>
    </row>
    <row r="137" spans="1:11" x14ac:dyDescent="0.2">
      <c r="A137" s="27" t="s">
        <v>137</v>
      </c>
      <c r="B137" s="27" t="s">
        <v>138</v>
      </c>
      <c r="C137" s="27">
        <v>5.4</v>
      </c>
      <c r="D137" s="27">
        <v>1999</v>
      </c>
      <c r="E137" s="27">
        <v>8</v>
      </c>
      <c r="F137" s="27" t="s">
        <v>103</v>
      </c>
      <c r="G137" s="27" t="s">
        <v>104</v>
      </c>
      <c r="H137" s="27">
        <v>11</v>
      </c>
      <c r="I137" s="27">
        <v>16</v>
      </c>
      <c r="J137" s="27" t="s">
        <v>6</v>
      </c>
      <c r="K137" s="27" t="s">
        <v>105</v>
      </c>
    </row>
    <row r="138" spans="1:11" x14ac:dyDescent="0.2">
      <c r="A138" s="27" t="s">
        <v>137</v>
      </c>
      <c r="B138" s="27" t="s">
        <v>138</v>
      </c>
      <c r="C138" s="27">
        <v>5.4</v>
      </c>
      <c r="D138" s="27">
        <v>2008</v>
      </c>
      <c r="E138" s="27">
        <v>8</v>
      </c>
      <c r="F138" s="27" t="s">
        <v>116</v>
      </c>
      <c r="G138" s="27" t="s">
        <v>104</v>
      </c>
      <c r="H138" s="27">
        <v>12</v>
      </c>
      <c r="I138" s="27">
        <v>18</v>
      </c>
      <c r="J138" s="27" t="s">
        <v>104</v>
      </c>
      <c r="K138" s="27" t="s">
        <v>105</v>
      </c>
    </row>
    <row r="139" spans="1:11" x14ac:dyDescent="0.2">
      <c r="A139" s="27" t="s">
        <v>139</v>
      </c>
      <c r="B139" s="27" t="s">
        <v>140</v>
      </c>
      <c r="C139" s="27">
        <v>4</v>
      </c>
      <c r="D139" s="27">
        <v>1999</v>
      </c>
      <c r="E139" s="27">
        <v>6</v>
      </c>
      <c r="F139" s="27" t="s">
        <v>91</v>
      </c>
      <c r="G139" s="27">
        <v>4</v>
      </c>
      <c r="H139" s="27">
        <v>14</v>
      </c>
      <c r="I139" s="27">
        <v>17</v>
      </c>
      <c r="J139" s="27" t="s">
        <v>104</v>
      </c>
      <c r="K139" s="27" t="s">
        <v>105</v>
      </c>
    </row>
    <row r="140" spans="1:11" x14ac:dyDescent="0.2">
      <c r="A140" s="27" t="s">
        <v>139</v>
      </c>
      <c r="B140" s="27" t="s">
        <v>140</v>
      </c>
      <c r="C140" s="27">
        <v>4</v>
      </c>
      <c r="D140" s="27">
        <v>2008</v>
      </c>
      <c r="E140" s="27">
        <v>6</v>
      </c>
      <c r="F140" s="27" t="s">
        <v>91</v>
      </c>
      <c r="G140" s="27">
        <v>4</v>
      </c>
      <c r="H140" s="27">
        <v>13</v>
      </c>
      <c r="I140" s="27">
        <v>19</v>
      </c>
      <c r="J140" s="27" t="s">
        <v>104</v>
      </c>
      <c r="K140" s="27" t="s">
        <v>105</v>
      </c>
    </row>
    <row r="141" spans="1:11" x14ac:dyDescent="0.2">
      <c r="A141" s="27" t="s">
        <v>139</v>
      </c>
      <c r="B141" s="27" t="s">
        <v>140</v>
      </c>
      <c r="C141" s="27">
        <v>4.5999999999999996</v>
      </c>
      <c r="D141" s="27">
        <v>2008</v>
      </c>
      <c r="E141" s="27">
        <v>8</v>
      </c>
      <c r="F141" s="27" t="s">
        <v>116</v>
      </c>
      <c r="G141" s="27">
        <v>4</v>
      </c>
      <c r="H141" s="27">
        <v>13</v>
      </c>
      <c r="I141" s="27">
        <v>19</v>
      </c>
      <c r="J141" s="27" t="s">
        <v>104</v>
      </c>
      <c r="K141" s="27" t="s">
        <v>105</v>
      </c>
    </row>
    <row r="142" spans="1:11" x14ac:dyDescent="0.2">
      <c r="A142" s="27" t="s">
        <v>139</v>
      </c>
      <c r="B142" s="27" t="s">
        <v>140</v>
      </c>
      <c r="C142" s="27">
        <v>5</v>
      </c>
      <c r="D142" s="27">
        <v>1999</v>
      </c>
      <c r="E142" s="27">
        <v>8</v>
      </c>
      <c r="F142" s="27" t="s">
        <v>103</v>
      </c>
      <c r="G142" s="27">
        <v>4</v>
      </c>
      <c r="H142" s="27">
        <v>13</v>
      </c>
      <c r="I142" s="27">
        <v>17</v>
      </c>
      <c r="J142" s="27" t="s">
        <v>104</v>
      </c>
      <c r="K142" s="27" t="s">
        <v>105</v>
      </c>
    </row>
    <row r="143" spans="1:11" x14ac:dyDescent="0.2">
      <c r="A143" s="27" t="s">
        <v>141</v>
      </c>
      <c r="B143" s="27" t="s">
        <v>142</v>
      </c>
      <c r="C143" s="27">
        <v>2.4</v>
      </c>
      <c r="D143" s="27">
        <v>1999</v>
      </c>
      <c r="E143" s="27">
        <v>4</v>
      </c>
      <c r="F143" s="27" t="s">
        <v>94</v>
      </c>
      <c r="G143" s="27" t="s">
        <v>92</v>
      </c>
      <c r="H143" s="27">
        <v>21</v>
      </c>
      <c r="I143" s="27">
        <v>29</v>
      </c>
      <c r="J143" s="27" t="s">
        <v>104</v>
      </c>
      <c r="K143" s="27" t="s">
        <v>93</v>
      </c>
    </row>
    <row r="144" spans="1:11" x14ac:dyDescent="0.2">
      <c r="A144" s="27" t="s">
        <v>141</v>
      </c>
      <c r="B144" s="27" t="s">
        <v>142</v>
      </c>
      <c r="C144" s="27">
        <v>2.4</v>
      </c>
      <c r="D144" s="27">
        <v>1999</v>
      </c>
      <c r="E144" s="27">
        <v>4</v>
      </c>
      <c r="F144" s="27" t="s">
        <v>103</v>
      </c>
      <c r="G144" s="27" t="s">
        <v>92</v>
      </c>
      <c r="H144" s="27">
        <v>19</v>
      </c>
      <c r="I144" s="27">
        <v>27</v>
      </c>
      <c r="J144" s="27" t="s">
        <v>104</v>
      </c>
      <c r="K144" s="27" t="s">
        <v>93</v>
      </c>
    </row>
    <row r="145" spans="1:11" x14ac:dyDescent="0.2">
      <c r="A145" s="27" t="s">
        <v>141</v>
      </c>
      <c r="B145" s="27" t="s">
        <v>142</v>
      </c>
      <c r="C145" s="27">
        <v>2.5</v>
      </c>
      <c r="D145" s="27">
        <v>2008</v>
      </c>
      <c r="E145" s="27">
        <v>4</v>
      </c>
      <c r="F145" s="27" t="s">
        <v>96</v>
      </c>
      <c r="G145" s="27" t="s">
        <v>92</v>
      </c>
      <c r="H145" s="27">
        <v>23</v>
      </c>
      <c r="I145" s="27">
        <v>31</v>
      </c>
      <c r="J145" s="27" t="s">
        <v>104</v>
      </c>
      <c r="K145" s="27" t="s">
        <v>100</v>
      </c>
    </row>
    <row r="146" spans="1:11" x14ac:dyDescent="0.2">
      <c r="A146" s="27" t="s">
        <v>141</v>
      </c>
      <c r="B146" s="27" t="s">
        <v>142</v>
      </c>
      <c r="C146" s="27">
        <v>2.5</v>
      </c>
      <c r="D146" s="27">
        <v>2008</v>
      </c>
      <c r="E146" s="27">
        <v>4</v>
      </c>
      <c r="F146" s="27" t="s">
        <v>95</v>
      </c>
      <c r="G146" s="27" t="s">
        <v>92</v>
      </c>
      <c r="H146" s="27">
        <v>23</v>
      </c>
      <c r="I146" s="27">
        <v>32</v>
      </c>
      <c r="J146" s="27" t="s">
        <v>104</v>
      </c>
      <c r="K146" s="27" t="s">
        <v>100</v>
      </c>
    </row>
    <row r="147" spans="1:11" x14ac:dyDescent="0.2">
      <c r="A147" s="27" t="s">
        <v>141</v>
      </c>
      <c r="B147" s="27" t="s">
        <v>142</v>
      </c>
      <c r="C147" s="27">
        <v>3.5</v>
      </c>
      <c r="D147" s="27">
        <v>2008</v>
      </c>
      <c r="E147" s="27">
        <v>6</v>
      </c>
      <c r="F147" s="27" t="s">
        <v>95</v>
      </c>
      <c r="G147" s="27" t="s">
        <v>92</v>
      </c>
      <c r="H147" s="27">
        <v>19</v>
      </c>
      <c r="I147" s="27">
        <v>27</v>
      </c>
      <c r="J147" s="27" t="s">
        <v>6</v>
      </c>
      <c r="K147" s="27" t="s">
        <v>100</v>
      </c>
    </row>
    <row r="148" spans="1:11" x14ac:dyDescent="0.2">
      <c r="A148" s="27" t="s">
        <v>141</v>
      </c>
      <c r="B148" s="27" t="s">
        <v>142</v>
      </c>
      <c r="C148" s="27">
        <v>3.5</v>
      </c>
      <c r="D148" s="27">
        <v>2008</v>
      </c>
      <c r="E148" s="27">
        <v>6</v>
      </c>
      <c r="F148" s="27" t="s">
        <v>96</v>
      </c>
      <c r="G148" s="27" t="s">
        <v>92</v>
      </c>
      <c r="H148" s="27">
        <v>19</v>
      </c>
      <c r="I148" s="27">
        <v>26</v>
      </c>
      <c r="J148" s="27" t="s">
        <v>6</v>
      </c>
      <c r="K148" s="27" t="s">
        <v>100</v>
      </c>
    </row>
    <row r="149" spans="1:11" x14ac:dyDescent="0.2">
      <c r="A149" s="27" t="s">
        <v>141</v>
      </c>
      <c r="B149" s="27" t="s">
        <v>143</v>
      </c>
      <c r="C149" s="27">
        <v>3</v>
      </c>
      <c r="D149" s="27">
        <v>1999</v>
      </c>
      <c r="E149" s="27">
        <v>6</v>
      </c>
      <c r="F149" s="27" t="s">
        <v>103</v>
      </c>
      <c r="G149" s="27" t="s">
        <v>92</v>
      </c>
      <c r="H149" s="27">
        <v>18</v>
      </c>
      <c r="I149" s="27">
        <v>26</v>
      </c>
      <c r="J149" s="27" t="s">
        <v>104</v>
      </c>
      <c r="K149" s="27" t="s">
        <v>100</v>
      </c>
    </row>
    <row r="150" spans="1:11" x14ac:dyDescent="0.2">
      <c r="A150" s="27" t="s">
        <v>141</v>
      </c>
      <c r="B150" s="27" t="s">
        <v>143</v>
      </c>
      <c r="C150" s="27">
        <v>3</v>
      </c>
      <c r="D150" s="27">
        <v>1999</v>
      </c>
      <c r="E150" s="27">
        <v>6</v>
      </c>
      <c r="F150" s="27" t="s">
        <v>94</v>
      </c>
      <c r="G150" s="27" t="s">
        <v>92</v>
      </c>
      <c r="H150" s="27">
        <v>19</v>
      </c>
      <c r="I150" s="27">
        <v>25</v>
      </c>
      <c r="J150" s="27" t="s">
        <v>104</v>
      </c>
      <c r="K150" s="27" t="s">
        <v>100</v>
      </c>
    </row>
    <row r="151" spans="1:11" x14ac:dyDescent="0.2">
      <c r="A151" s="27" t="s">
        <v>141</v>
      </c>
      <c r="B151" s="27" t="s">
        <v>143</v>
      </c>
      <c r="C151" s="27">
        <v>3.5</v>
      </c>
      <c r="D151" s="27">
        <v>2008</v>
      </c>
      <c r="E151" s="27">
        <v>6</v>
      </c>
      <c r="F151" s="27" t="s">
        <v>96</v>
      </c>
      <c r="G151" s="27" t="s">
        <v>92</v>
      </c>
      <c r="H151" s="27">
        <v>19</v>
      </c>
      <c r="I151" s="27">
        <v>25</v>
      </c>
      <c r="J151" s="27" t="s">
        <v>6</v>
      </c>
      <c r="K151" s="27" t="s">
        <v>100</v>
      </c>
    </row>
    <row r="152" spans="1:11" x14ac:dyDescent="0.2">
      <c r="A152" s="27" t="s">
        <v>141</v>
      </c>
      <c r="B152" s="27" t="s">
        <v>144</v>
      </c>
      <c r="C152" s="27">
        <v>3.3</v>
      </c>
      <c r="D152" s="27">
        <v>1999</v>
      </c>
      <c r="E152" s="27">
        <v>6</v>
      </c>
      <c r="F152" s="27" t="s">
        <v>103</v>
      </c>
      <c r="G152" s="27">
        <v>4</v>
      </c>
      <c r="H152" s="27">
        <v>14</v>
      </c>
      <c r="I152" s="27">
        <v>17</v>
      </c>
      <c r="J152" s="27" t="s">
        <v>104</v>
      </c>
      <c r="K152" s="27" t="s">
        <v>105</v>
      </c>
    </row>
    <row r="153" spans="1:11" x14ac:dyDescent="0.2">
      <c r="A153" s="27" t="s">
        <v>141</v>
      </c>
      <c r="B153" s="27" t="s">
        <v>144</v>
      </c>
      <c r="C153" s="27">
        <v>3.3</v>
      </c>
      <c r="D153" s="27">
        <v>1999</v>
      </c>
      <c r="E153" s="27">
        <v>6</v>
      </c>
      <c r="F153" s="27" t="s">
        <v>94</v>
      </c>
      <c r="G153" s="27">
        <v>4</v>
      </c>
      <c r="H153" s="27">
        <v>15</v>
      </c>
      <c r="I153" s="27">
        <v>17</v>
      </c>
      <c r="J153" s="27" t="s">
        <v>104</v>
      </c>
      <c r="K153" s="27" t="s">
        <v>105</v>
      </c>
    </row>
    <row r="154" spans="1:11" x14ac:dyDescent="0.2">
      <c r="A154" s="27" t="s">
        <v>141</v>
      </c>
      <c r="B154" s="27" t="s">
        <v>144</v>
      </c>
      <c r="C154" s="27">
        <v>4</v>
      </c>
      <c r="D154" s="27">
        <v>2008</v>
      </c>
      <c r="E154" s="27">
        <v>6</v>
      </c>
      <c r="F154" s="27" t="s">
        <v>91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105</v>
      </c>
    </row>
    <row r="155" spans="1:11" x14ac:dyDescent="0.2">
      <c r="A155" s="27" t="s">
        <v>141</v>
      </c>
      <c r="B155" s="27" t="s">
        <v>144</v>
      </c>
      <c r="C155" s="27">
        <v>5.6</v>
      </c>
      <c r="D155" s="27">
        <v>2008</v>
      </c>
      <c r="E155" s="27">
        <v>8</v>
      </c>
      <c r="F155" s="27" t="s">
        <v>145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105</v>
      </c>
    </row>
    <row r="156" spans="1:11" x14ac:dyDescent="0.2">
      <c r="A156" s="27" t="s">
        <v>146</v>
      </c>
      <c r="B156" s="27" t="s">
        <v>147</v>
      </c>
      <c r="C156" s="27">
        <v>3.1</v>
      </c>
      <c r="D156" s="27">
        <v>1999</v>
      </c>
      <c r="E156" s="27">
        <v>6</v>
      </c>
      <c r="F156" s="27" t="s">
        <v>103</v>
      </c>
      <c r="G156" s="27" t="s">
        <v>92</v>
      </c>
      <c r="H156" s="27">
        <v>18</v>
      </c>
      <c r="I156" s="27">
        <v>26</v>
      </c>
      <c r="J156" s="27" t="s">
        <v>104</v>
      </c>
      <c r="K156" s="27" t="s">
        <v>100</v>
      </c>
    </row>
    <row r="157" spans="1:11" x14ac:dyDescent="0.2">
      <c r="A157" s="27" t="s">
        <v>146</v>
      </c>
      <c r="B157" s="27" t="s">
        <v>147</v>
      </c>
      <c r="C157" s="27">
        <v>3.8</v>
      </c>
      <c r="D157" s="27">
        <v>1999</v>
      </c>
      <c r="E157" s="27">
        <v>6</v>
      </c>
      <c r="F157" s="27" t="s">
        <v>103</v>
      </c>
      <c r="G157" s="27" t="s">
        <v>92</v>
      </c>
      <c r="H157" s="27">
        <v>16</v>
      </c>
      <c r="I157" s="27">
        <v>26</v>
      </c>
      <c r="J157" s="27" t="s">
        <v>6</v>
      </c>
      <c r="K157" s="27" t="s">
        <v>100</v>
      </c>
    </row>
    <row r="158" spans="1:11" x14ac:dyDescent="0.2">
      <c r="A158" s="27" t="s">
        <v>146</v>
      </c>
      <c r="B158" s="27" t="s">
        <v>147</v>
      </c>
      <c r="C158" s="27">
        <v>3.8</v>
      </c>
      <c r="D158" s="27">
        <v>1999</v>
      </c>
      <c r="E158" s="27">
        <v>6</v>
      </c>
      <c r="F158" s="27" t="s">
        <v>103</v>
      </c>
      <c r="G158" s="27" t="s">
        <v>92</v>
      </c>
      <c r="H158" s="27">
        <v>17</v>
      </c>
      <c r="I158" s="27">
        <v>27</v>
      </c>
      <c r="J158" s="27" t="s">
        <v>104</v>
      </c>
      <c r="K158" s="27" t="s">
        <v>100</v>
      </c>
    </row>
    <row r="159" spans="1:11" x14ac:dyDescent="0.2">
      <c r="A159" s="27" t="s">
        <v>146</v>
      </c>
      <c r="B159" s="27" t="s">
        <v>147</v>
      </c>
      <c r="C159" s="27">
        <v>3.8</v>
      </c>
      <c r="D159" s="27">
        <v>2008</v>
      </c>
      <c r="E159" s="27">
        <v>6</v>
      </c>
      <c r="F159" s="27" t="s">
        <v>103</v>
      </c>
      <c r="G159" s="27" t="s">
        <v>92</v>
      </c>
      <c r="H159" s="27">
        <v>18</v>
      </c>
      <c r="I159" s="27">
        <v>28</v>
      </c>
      <c r="J159" s="27" t="s">
        <v>104</v>
      </c>
      <c r="K159" s="27" t="s">
        <v>100</v>
      </c>
    </row>
    <row r="160" spans="1:11" x14ac:dyDescent="0.2">
      <c r="A160" s="27" t="s">
        <v>146</v>
      </c>
      <c r="B160" s="27" t="s">
        <v>147</v>
      </c>
      <c r="C160" s="27">
        <v>5.3</v>
      </c>
      <c r="D160" s="27">
        <v>2008</v>
      </c>
      <c r="E160" s="27">
        <v>8</v>
      </c>
      <c r="F160" s="27" t="s">
        <v>148</v>
      </c>
      <c r="G160" s="27" t="s">
        <v>92</v>
      </c>
      <c r="H160" s="27">
        <v>16</v>
      </c>
      <c r="I160" s="27">
        <v>25</v>
      </c>
      <c r="J160" s="27" t="s">
        <v>6</v>
      </c>
      <c r="K160" s="27" t="s">
        <v>100</v>
      </c>
    </row>
    <row r="161" spans="1:11" x14ac:dyDescent="0.2">
      <c r="A161" s="27" t="s">
        <v>149</v>
      </c>
      <c r="B161" s="27" t="s">
        <v>150</v>
      </c>
      <c r="C161" s="27">
        <v>2.5</v>
      </c>
      <c r="D161" s="27">
        <v>1999</v>
      </c>
      <c r="E161" s="27">
        <v>4</v>
      </c>
      <c r="F161" s="27" t="s">
        <v>94</v>
      </c>
      <c r="G161" s="27">
        <v>4</v>
      </c>
      <c r="H161" s="27">
        <v>18</v>
      </c>
      <c r="I161" s="27">
        <v>25</v>
      </c>
      <c r="J161" s="27" t="s">
        <v>104</v>
      </c>
      <c r="K161" s="27" t="s">
        <v>105</v>
      </c>
    </row>
    <row r="162" spans="1:11" x14ac:dyDescent="0.2">
      <c r="A162" s="27" t="s">
        <v>149</v>
      </c>
      <c r="B162" s="27" t="s">
        <v>150</v>
      </c>
      <c r="C162" s="27">
        <v>2.5</v>
      </c>
      <c r="D162" s="27">
        <v>1999</v>
      </c>
      <c r="E162" s="27">
        <v>4</v>
      </c>
      <c r="F162" s="27" t="s">
        <v>103</v>
      </c>
      <c r="G162" s="27">
        <v>4</v>
      </c>
      <c r="H162" s="27">
        <v>18</v>
      </c>
      <c r="I162" s="27">
        <v>24</v>
      </c>
      <c r="J162" s="27" t="s">
        <v>104</v>
      </c>
      <c r="K162" s="27" t="s">
        <v>105</v>
      </c>
    </row>
    <row r="163" spans="1:11" x14ac:dyDescent="0.2">
      <c r="A163" s="27" t="s">
        <v>149</v>
      </c>
      <c r="B163" s="27" t="s">
        <v>150</v>
      </c>
      <c r="C163" s="27">
        <v>2.5</v>
      </c>
      <c r="D163" s="27">
        <v>2008</v>
      </c>
      <c r="E163" s="27">
        <v>4</v>
      </c>
      <c r="F163" s="27" t="s">
        <v>94</v>
      </c>
      <c r="G163" s="27">
        <v>4</v>
      </c>
      <c r="H163" s="27">
        <v>20</v>
      </c>
      <c r="I163" s="27">
        <v>27</v>
      </c>
      <c r="J163" s="27" t="s">
        <v>104</v>
      </c>
      <c r="K163" s="27" t="s">
        <v>105</v>
      </c>
    </row>
    <row r="164" spans="1:11" x14ac:dyDescent="0.2">
      <c r="A164" s="27" t="s">
        <v>149</v>
      </c>
      <c r="B164" s="27" t="s">
        <v>150</v>
      </c>
      <c r="C164" s="27">
        <v>2.5</v>
      </c>
      <c r="D164" s="27">
        <v>2008</v>
      </c>
      <c r="E164" s="27">
        <v>4</v>
      </c>
      <c r="F164" s="27" t="s">
        <v>94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105</v>
      </c>
    </row>
    <row r="165" spans="1:11" x14ac:dyDescent="0.2">
      <c r="A165" s="27" t="s">
        <v>149</v>
      </c>
      <c r="B165" s="27" t="s">
        <v>150</v>
      </c>
      <c r="C165" s="27">
        <v>2.5</v>
      </c>
      <c r="D165" s="27">
        <v>2008</v>
      </c>
      <c r="E165" s="27">
        <v>4</v>
      </c>
      <c r="F165" s="27" t="s">
        <v>103</v>
      </c>
      <c r="G165" s="27">
        <v>4</v>
      </c>
      <c r="H165" s="27">
        <v>20</v>
      </c>
      <c r="I165" s="27">
        <v>26</v>
      </c>
      <c r="J165" s="27" t="s">
        <v>104</v>
      </c>
      <c r="K165" s="27" t="s">
        <v>105</v>
      </c>
    </row>
    <row r="166" spans="1:11" x14ac:dyDescent="0.2">
      <c r="A166" s="27" t="s">
        <v>149</v>
      </c>
      <c r="B166" s="27" t="s">
        <v>150</v>
      </c>
      <c r="C166" s="27">
        <v>2.5</v>
      </c>
      <c r="D166" s="27">
        <v>2008</v>
      </c>
      <c r="E166" s="27">
        <v>4</v>
      </c>
      <c r="F166" s="27" t="s">
        <v>103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105</v>
      </c>
    </row>
    <row r="167" spans="1:11" x14ac:dyDescent="0.2">
      <c r="A167" s="27" t="s">
        <v>149</v>
      </c>
      <c r="B167" s="27" t="s">
        <v>151</v>
      </c>
      <c r="C167" s="27">
        <v>2.2000000000000002</v>
      </c>
      <c r="D167" s="27">
        <v>1999</v>
      </c>
      <c r="E167" s="27">
        <v>4</v>
      </c>
      <c r="F167" s="27" t="s">
        <v>103</v>
      </c>
      <c r="G167" s="27">
        <v>4</v>
      </c>
      <c r="H167" s="27">
        <v>21</v>
      </c>
      <c r="I167" s="27">
        <v>26</v>
      </c>
      <c r="J167" s="27" t="s">
        <v>104</v>
      </c>
      <c r="K167" s="27" t="s">
        <v>126</v>
      </c>
    </row>
    <row r="168" spans="1:11" x14ac:dyDescent="0.2">
      <c r="A168" s="27" t="s">
        <v>149</v>
      </c>
      <c r="B168" s="27" t="s">
        <v>151</v>
      </c>
      <c r="C168" s="27">
        <v>2.2000000000000002</v>
      </c>
      <c r="D168" s="27">
        <v>1999</v>
      </c>
      <c r="E168" s="27">
        <v>4</v>
      </c>
      <c r="F168" s="27" t="s">
        <v>94</v>
      </c>
      <c r="G168" s="27">
        <v>4</v>
      </c>
      <c r="H168" s="27">
        <v>19</v>
      </c>
      <c r="I168" s="27">
        <v>26</v>
      </c>
      <c r="J168" s="27" t="s">
        <v>104</v>
      </c>
      <c r="K168" s="27" t="s">
        <v>126</v>
      </c>
    </row>
    <row r="169" spans="1:11" x14ac:dyDescent="0.2">
      <c r="A169" s="27" t="s">
        <v>149</v>
      </c>
      <c r="B169" s="27" t="s">
        <v>151</v>
      </c>
      <c r="C169" s="27">
        <v>2.5</v>
      </c>
      <c r="D169" s="27">
        <v>1999</v>
      </c>
      <c r="E169" s="27">
        <v>4</v>
      </c>
      <c r="F169" s="27" t="s">
        <v>94</v>
      </c>
      <c r="G169" s="27">
        <v>4</v>
      </c>
      <c r="H169" s="27">
        <v>19</v>
      </c>
      <c r="I169" s="27">
        <v>26</v>
      </c>
      <c r="J169" s="27" t="s">
        <v>104</v>
      </c>
      <c r="K169" s="27" t="s">
        <v>126</v>
      </c>
    </row>
    <row r="170" spans="1:11" x14ac:dyDescent="0.2">
      <c r="A170" s="27" t="s">
        <v>149</v>
      </c>
      <c r="B170" s="27" t="s">
        <v>151</v>
      </c>
      <c r="C170" s="27">
        <v>2.5</v>
      </c>
      <c r="D170" s="27">
        <v>1999</v>
      </c>
      <c r="E170" s="27">
        <v>4</v>
      </c>
      <c r="F170" s="27" t="s">
        <v>103</v>
      </c>
      <c r="G170" s="27">
        <v>4</v>
      </c>
      <c r="H170" s="27">
        <v>19</v>
      </c>
      <c r="I170" s="27">
        <v>26</v>
      </c>
      <c r="J170" s="27" t="s">
        <v>104</v>
      </c>
      <c r="K170" s="27" t="s">
        <v>126</v>
      </c>
    </row>
    <row r="171" spans="1:11" x14ac:dyDescent="0.2">
      <c r="A171" s="27" t="s">
        <v>149</v>
      </c>
      <c r="B171" s="27" t="s">
        <v>151</v>
      </c>
      <c r="C171" s="27">
        <v>2.5</v>
      </c>
      <c r="D171" s="27">
        <v>2008</v>
      </c>
      <c r="E171" s="27">
        <v>4</v>
      </c>
      <c r="F171" s="27" t="s">
        <v>148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93</v>
      </c>
    </row>
    <row r="172" spans="1:11" x14ac:dyDescent="0.2">
      <c r="A172" s="27" t="s">
        <v>149</v>
      </c>
      <c r="B172" s="27" t="s">
        <v>151</v>
      </c>
      <c r="C172" s="27">
        <v>2.5</v>
      </c>
      <c r="D172" s="27">
        <v>2008</v>
      </c>
      <c r="E172" s="27">
        <v>4</v>
      </c>
      <c r="F172" s="27" t="s">
        <v>148</v>
      </c>
      <c r="G172" s="27">
        <v>4</v>
      </c>
      <c r="H172" s="27">
        <v>20</v>
      </c>
      <c r="I172" s="27">
        <v>27</v>
      </c>
      <c r="J172" s="27" t="s">
        <v>104</v>
      </c>
      <c r="K172" s="27" t="s">
        <v>93</v>
      </c>
    </row>
    <row r="173" spans="1:11" x14ac:dyDescent="0.2">
      <c r="A173" s="27" t="s">
        <v>149</v>
      </c>
      <c r="B173" s="27" t="s">
        <v>151</v>
      </c>
      <c r="C173" s="27">
        <v>2.5</v>
      </c>
      <c r="D173" s="27">
        <v>2008</v>
      </c>
      <c r="E173" s="27">
        <v>4</v>
      </c>
      <c r="F173" s="27" t="s">
        <v>94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93</v>
      </c>
    </row>
    <row r="174" spans="1:11" x14ac:dyDescent="0.2">
      <c r="A174" s="27" t="s">
        <v>149</v>
      </c>
      <c r="B174" s="27" t="s">
        <v>151</v>
      </c>
      <c r="C174" s="27">
        <v>2.5</v>
      </c>
      <c r="D174" s="27">
        <v>2008</v>
      </c>
      <c r="E174" s="27">
        <v>4</v>
      </c>
      <c r="F174" s="27" t="s">
        <v>94</v>
      </c>
      <c r="G174" s="27">
        <v>4</v>
      </c>
      <c r="H174" s="27">
        <v>20</v>
      </c>
      <c r="I174" s="27">
        <v>27</v>
      </c>
      <c r="J174" s="27" t="s">
        <v>104</v>
      </c>
      <c r="K174" s="27" t="s">
        <v>93</v>
      </c>
    </row>
    <row r="175" spans="1:11" x14ac:dyDescent="0.2">
      <c r="A175" s="27" t="s">
        <v>152</v>
      </c>
      <c r="B175" s="27" t="s">
        <v>153</v>
      </c>
      <c r="C175" s="27">
        <v>2.7</v>
      </c>
      <c r="D175" s="27">
        <v>1999</v>
      </c>
      <c r="E175" s="27">
        <v>4</v>
      </c>
      <c r="F175" s="27" t="s">
        <v>94</v>
      </c>
      <c r="G175" s="27">
        <v>4</v>
      </c>
      <c r="H175" s="27">
        <v>15</v>
      </c>
      <c r="I175" s="27">
        <v>20</v>
      </c>
      <c r="J175" s="27" t="s">
        <v>104</v>
      </c>
      <c r="K175" s="27" t="s">
        <v>105</v>
      </c>
    </row>
    <row r="176" spans="1:11" x14ac:dyDescent="0.2">
      <c r="A176" s="27" t="s">
        <v>152</v>
      </c>
      <c r="B176" s="27" t="s">
        <v>153</v>
      </c>
      <c r="C176" s="27">
        <v>2.7</v>
      </c>
      <c r="D176" s="27">
        <v>1999</v>
      </c>
      <c r="E176" s="27">
        <v>4</v>
      </c>
      <c r="F176" s="27" t="s">
        <v>103</v>
      </c>
      <c r="G176" s="27">
        <v>4</v>
      </c>
      <c r="H176" s="27">
        <v>16</v>
      </c>
      <c r="I176" s="27">
        <v>20</v>
      </c>
      <c r="J176" s="27" t="s">
        <v>104</v>
      </c>
      <c r="K176" s="27" t="s">
        <v>105</v>
      </c>
    </row>
    <row r="177" spans="1:11" x14ac:dyDescent="0.2">
      <c r="A177" s="27" t="s">
        <v>152</v>
      </c>
      <c r="B177" s="27" t="s">
        <v>153</v>
      </c>
      <c r="C177" s="27">
        <v>3.4</v>
      </c>
      <c r="D177" s="27">
        <v>1999</v>
      </c>
      <c r="E177" s="27">
        <v>6</v>
      </c>
      <c r="F177" s="27" t="s">
        <v>103</v>
      </c>
      <c r="G177" s="27">
        <v>4</v>
      </c>
      <c r="H177" s="27">
        <v>15</v>
      </c>
      <c r="I177" s="27">
        <v>19</v>
      </c>
      <c r="J177" s="27" t="s">
        <v>104</v>
      </c>
      <c r="K177" s="27" t="s">
        <v>105</v>
      </c>
    </row>
    <row r="178" spans="1:11" x14ac:dyDescent="0.2">
      <c r="A178" s="27" t="s">
        <v>152</v>
      </c>
      <c r="B178" s="27" t="s">
        <v>153</v>
      </c>
      <c r="C178" s="27">
        <v>3.4</v>
      </c>
      <c r="D178" s="27">
        <v>1999</v>
      </c>
      <c r="E178" s="27">
        <v>6</v>
      </c>
      <c r="F178" s="27" t="s">
        <v>94</v>
      </c>
      <c r="G178" s="27">
        <v>4</v>
      </c>
      <c r="H178" s="27">
        <v>15</v>
      </c>
      <c r="I178" s="27">
        <v>17</v>
      </c>
      <c r="J178" s="27" t="s">
        <v>104</v>
      </c>
      <c r="K178" s="27" t="s">
        <v>105</v>
      </c>
    </row>
    <row r="179" spans="1:11" x14ac:dyDescent="0.2">
      <c r="A179" s="27" t="s">
        <v>152</v>
      </c>
      <c r="B179" s="27" t="s">
        <v>153</v>
      </c>
      <c r="C179" s="27">
        <v>4</v>
      </c>
      <c r="D179" s="27">
        <v>2008</v>
      </c>
      <c r="E179" s="27">
        <v>6</v>
      </c>
      <c r="F179" s="27" t="s">
        <v>91</v>
      </c>
      <c r="G179" s="27">
        <v>4</v>
      </c>
      <c r="H179" s="27">
        <v>16</v>
      </c>
      <c r="I179" s="27">
        <v>20</v>
      </c>
      <c r="J179" s="27" t="s">
        <v>104</v>
      </c>
      <c r="K179" s="27" t="s">
        <v>105</v>
      </c>
    </row>
    <row r="180" spans="1:11" x14ac:dyDescent="0.2">
      <c r="A180" s="27" t="s">
        <v>152</v>
      </c>
      <c r="B180" s="27" t="s">
        <v>153</v>
      </c>
      <c r="C180" s="27">
        <v>4.7</v>
      </c>
      <c r="D180" s="27">
        <v>2008</v>
      </c>
      <c r="E180" s="27">
        <v>8</v>
      </c>
      <c r="F180" s="27" t="s">
        <v>91</v>
      </c>
      <c r="G180" s="27">
        <v>4</v>
      </c>
      <c r="H180" s="27">
        <v>14</v>
      </c>
      <c r="I180" s="27">
        <v>17</v>
      </c>
      <c r="J180" s="27" t="s">
        <v>104</v>
      </c>
      <c r="K180" s="27" t="s">
        <v>105</v>
      </c>
    </row>
    <row r="181" spans="1:11" x14ac:dyDescent="0.2">
      <c r="A181" s="27" t="s">
        <v>152</v>
      </c>
      <c r="B181" s="27" t="s">
        <v>154</v>
      </c>
      <c r="C181" s="27">
        <v>2.2000000000000002</v>
      </c>
      <c r="D181" s="27">
        <v>1999</v>
      </c>
      <c r="E181" s="27">
        <v>4</v>
      </c>
      <c r="F181" s="27" t="s">
        <v>94</v>
      </c>
      <c r="G181" s="27" t="s">
        <v>92</v>
      </c>
      <c r="H181" s="27">
        <v>21</v>
      </c>
      <c r="I181" s="27">
        <v>29</v>
      </c>
      <c r="J181" s="27" t="s">
        <v>104</v>
      </c>
      <c r="K181" s="27" t="s">
        <v>100</v>
      </c>
    </row>
    <row r="182" spans="1:11" x14ac:dyDescent="0.2">
      <c r="A182" s="27" t="s">
        <v>152</v>
      </c>
      <c r="B182" s="27" t="s">
        <v>154</v>
      </c>
      <c r="C182" s="27">
        <v>2.2000000000000002</v>
      </c>
      <c r="D182" s="27">
        <v>1999</v>
      </c>
      <c r="E182" s="27">
        <v>4</v>
      </c>
      <c r="F182" s="27" t="s">
        <v>103</v>
      </c>
      <c r="G182" s="27" t="s">
        <v>92</v>
      </c>
      <c r="H182" s="27">
        <v>21</v>
      </c>
      <c r="I182" s="27">
        <v>27</v>
      </c>
      <c r="J182" s="27" t="s">
        <v>104</v>
      </c>
      <c r="K182" s="27" t="s">
        <v>100</v>
      </c>
    </row>
    <row r="183" spans="1:11" x14ac:dyDescent="0.2">
      <c r="A183" s="27" t="s">
        <v>152</v>
      </c>
      <c r="B183" s="27" t="s">
        <v>154</v>
      </c>
      <c r="C183" s="27">
        <v>2.4</v>
      </c>
      <c r="D183" s="27">
        <v>2008</v>
      </c>
      <c r="E183" s="27">
        <v>4</v>
      </c>
      <c r="F183" s="27" t="s">
        <v>94</v>
      </c>
      <c r="G183" s="27" t="s">
        <v>92</v>
      </c>
      <c r="H183" s="27">
        <v>21</v>
      </c>
      <c r="I183" s="27">
        <v>31</v>
      </c>
      <c r="J183" s="27" t="s">
        <v>104</v>
      </c>
      <c r="K183" s="27" t="s">
        <v>100</v>
      </c>
    </row>
    <row r="184" spans="1:11" x14ac:dyDescent="0.2">
      <c r="A184" s="27" t="s">
        <v>152</v>
      </c>
      <c r="B184" s="27" t="s">
        <v>154</v>
      </c>
      <c r="C184" s="27">
        <v>2.4</v>
      </c>
      <c r="D184" s="27">
        <v>2008</v>
      </c>
      <c r="E184" s="27">
        <v>4</v>
      </c>
      <c r="F184" s="27" t="s">
        <v>91</v>
      </c>
      <c r="G184" s="27" t="s">
        <v>92</v>
      </c>
      <c r="H184" s="27">
        <v>21</v>
      </c>
      <c r="I184" s="27">
        <v>31</v>
      </c>
      <c r="J184" s="27" t="s">
        <v>104</v>
      </c>
      <c r="K184" s="27" t="s">
        <v>100</v>
      </c>
    </row>
    <row r="185" spans="1:11" x14ac:dyDescent="0.2">
      <c r="A185" s="27" t="s">
        <v>152</v>
      </c>
      <c r="B185" s="27" t="s">
        <v>154</v>
      </c>
      <c r="C185" s="27">
        <v>3</v>
      </c>
      <c r="D185" s="27">
        <v>1999</v>
      </c>
      <c r="E185" s="27">
        <v>6</v>
      </c>
      <c r="F185" s="27" t="s">
        <v>103</v>
      </c>
      <c r="G185" s="27" t="s">
        <v>92</v>
      </c>
      <c r="H185" s="27">
        <v>18</v>
      </c>
      <c r="I185" s="27">
        <v>26</v>
      </c>
      <c r="J185" s="27" t="s">
        <v>104</v>
      </c>
      <c r="K185" s="27" t="s">
        <v>100</v>
      </c>
    </row>
    <row r="186" spans="1:11" x14ac:dyDescent="0.2">
      <c r="A186" s="27" t="s">
        <v>152</v>
      </c>
      <c r="B186" s="27" t="s">
        <v>154</v>
      </c>
      <c r="C186" s="27">
        <v>3</v>
      </c>
      <c r="D186" s="27">
        <v>1999</v>
      </c>
      <c r="E186" s="27">
        <v>6</v>
      </c>
      <c r="F186" s="27" t="s">
        <v>94</v>
      </c>
      <c r="G186" s="27" t="s">
        <v>92</v>
      </c>
      <c r="H186" s="27">
        <v>18</v>
      </c>
      <c r="I186" s="27">
        <v>26</v>
      </c>
      <c r="J186" s="27" t="s">
        <v>104</v>
      </c>
      <c r="K186" s="27" t="s">
        <v>100</v>
      </c>
    </row>
    <row r="187" spans="1:11" x14ac:dyDescent="0.2">
      <c r="A187" s="27" t="s">
        <v>152</v>
      </c>
      <c r="B187" s="27" t="s">
        <v>154</v>
      </c>
      <c r="C187" s="27">
        <v>3.5</v>
      </c>
      <c r="D187" s="27">
        <v>2008</v>
      </c>
      <c r="E187" s="27">
        <v>6</v>
      </c>
      <c r="F187" s="27" t="s">
        <v>98</v>
      </c>
      <c r="G187" s="27" t="s">
        <v>92</v>
      </c>
      <c r="H187" s="27">
        <v>19</v>
      </c>
      <c r="I187" s="27">
        <v>28</v>
      </c>
      <c r="J187" s="27" t="s">
        <v>104</v>
      </c>
      <c r="K187" s="27" t="s">
        <v>100</v>
      </c>
    </row>
    <row r="188" spans="1:11" x14ac:dyDescent="0.2">
      <c r="A188" s="27" t="s">
        <v>152</v>
      </c>
      <c r="B188" s="27" t="s">
        <v>155</v>
      </c>
      <c r="C188" s="27">
        <v>2.2000000000000002</v>
      </c>
      <c r="D188" s="27">
        <v>1999</v>
      </c>
      <c r="E188" s="27">
        <v>4</v>
      </c>
      <c r="F188" s="27" t="s">
        <v>103</v>
      </c>
      <c r="G188" s="27" t="s">
        <v>92</v>
      </c>
      <c r="H188" s="27">
        <v>21</v>
      </c>
      <c r="I188" s="27">
        <v>27</v>
      </c>
      <c r="J188" s="27" t="s">
        <v>104</v>
      </c>
      <c r="K188" s="27" t="s">
        <v>93</v>
      </c>
    </row>
    <row r="189" spans="1:11" x14ac:dyDescent="0.2">
      <c r="A189" s="27" t="s">
        <v>152</v>
      </c>
      <c r="B189" s="27" t="s">
        <v>155</v>
      </c>
      <c r="C189" s="27">
        <v>2.2000000000000002</v>
      </c>
      <c r="D189" s="27">
        <v>1999</v>
      </c>
      <c r="E189" s="27">
        <v>4</v>
      </c>
      <c r="F189" s="27" t="s">
        <v>94</v>
      </c>
      <c r="G189" s="27" t="s">
        <v>92</v>
      </c>
      <c r="H189" s="27">
        <v>21</v>
      </c>
      <c r="I189" s="27">
        <v>29</v>
      </c>
      <c r="J189" s="27" t="s">
        <v>104</v>
      </c>
      <c r="K189" s="27" t="s">
        <v>93</v>
      </c>
    </row>
    <row r="190" spans="1:11" x14ac:dyDescent="0.2">
      <c r="A190" s="27" t="s">
        <v>152</v>
      </c>
      <c r="B190" s="27" t="s">
        <v>155</v>
      </c>
      <c r="C190" s="27">
        <v>2.4</v>
      </c>
      <c r="D190" s="27">
        <v>2008</v>
      </c>
      <c r="E190" s="27">
        <v>4</v>
      </c>
      <c r="F190" s="27" t="s">
        <v>94</v>
      </c>
      <c r="G190" s="27" t="s">
        <v>92</v>
      </c>
      <c r="H190" s="27">
        <v>21</v>
      </c>
      <c r="I190" s="27">
        <v>31</v>
      </c>
      <c r="J190" s="27" t="s">
        <v>104</v>
      </c>
      <c r="K190" s="27" t="s">
        <v>93</v>
      </c>
    </row>
    <row r="191" spans="1:11" x14ac:dyDescent="0.2">
      <c r="A191" s="27" t="s">
        <v>152</v>
      </c>
      <c r="B191" s="27" t="s">
        <v>155</v>
      </c>
      <c r="C191" s="27">
        <v>2.4</v>
      </c>
      <c r="D191" s="27">
        <v>2008</v>
      </c>
      <c r="E191" s="27">
        <v>4</v>
      </c>
      <c r="F191" s="27" t="s">
        <v>145</v>
      </c>
      <c r="G191" s="27" t="s">
        <v>92</v>
      </c>
      <c r="H191" s="27">
        <v>22</v>
      </c>
      <c r="I191" s="27">
        <v>31</v>
      </c>
      <c r="J191" s="27" t="s">
        <v>104</v>
      </c>
      <c r="K191" s="27" t="s">
        <v>93</v>
      </c>
    </row>
    <row r="192" spans="1:11" x14ac:dyDescent="0.2">
      <c r="A192" s="27" t="s">
        <v>152</v>
      </c>
      <c r="B192" s="27" t="s">
        <v>155</v>
      </c>
      <c r="C192" s="27">
        <v>3</v>
      </c>
      <c r="D192" s="27">
        <v>1999</v>
      </c>
      <c r="E192" s="27">
        <v>6</v>
      </c>
      <c r="F192" s="27" t="s">
        <v>103</v>
      </c>
      <c r="G192" s="27" t="s">
        <v>92</v>
      </c>
      <c r="H192" s="27">
        <v>18</v>
      </c>
      <c r="I192" s="27">
        <v>26</v>
      </c>
      <c r="J192" s="27" t="s">
        <v>104</v>
      </c>
      <c r="K192" s="27" t="s">
        <v>93</v>
      </c>
    </row>
    <row r="193" spans="1:11" x14ac:dyDescent="0.2">
      <c r="A193" s="27" t="s">
        <v>152</v>
      </c>
      <c r="B193" s="27" t="s">
        <v>155</v>
      </c>
      <c r="C193" s="27">
        <v>3</v>
      </c>
      <c r="D193" s="27">
        <v>1999</v>
      </c>
      <c r="E193" s="27">
        <v>6</v>
      </c>
      <c r="F193" s="27" t="s">
        <v>94</v>
      </c>
      <c r="G193" s="27" t="s">
        <v>92</v>
      </c>
      <c r="H193" s="27">
        <v>18</v>
      </c>
      <c r="I193" s="27">
        <v>26</v>
      </c>
      <c r="J193" s="27" t="s">
        <v>104</v>
      </c>
      <c r="K193" s="27" t="s">
        <v>93</v>
      </c>
    </row>
    <row r="194" spans="1:11" x14ac:dyDescent="0.2">
      <c r="A194" s="27" t="s">
        <v>152</v>
      </c>
      <c r="B194" s="27" t="s">
        <v>155</v>
      </c>
      <c r="C194" s="27">
        <v>3.3</v>
      </c>
      <c r="D194" s="27">
        <v>2008</v>
      </c>
      <c r="E194" s="27">
        <v>6</v>
      </c>
      <c r="F194" s="27" t="s">
        <v>145</v>
      </c>
      <c r="G194" s="27" t="s">
        <v>92</v>
      </c>
      <c r="H194" s="27">
        <v>18</v>
      </c>
      <c r="I194" s="27">
        <v>27</v>
      </c>
      <c r="J194" s="27" t="s">
        <v>104</v>
      </c>
      <c r="K194" s="27" t="s">
        <v>93</v>
      </c>
    </row>
    <row r="195" spans="1:11" x14ac:dyDescent="0.2">
      <c r="A195" s="27" t="s">
        <v>152</v>
      </c>
      <c r="B195" s="27" t="s">
        <v>156</v>
      </c>
      <c r="C195" s="27">
        <v>1.8</v>
      </c>
      <c r="D195" s="27">
        <v>1999</v>
      </c>
      <c r="E195" s="27">
        <v>4</v>
      </c>
      <c r="F195" s="27" t="s">
        <v>114</v>
      </c>
      <c r="G195" s="27" t="s">
        <v>92</v>
      </c>
      <c r="H195" s="27">
        <v>24</v>
      </c>
      <c r="I195" s="27">
        <v>30</v>
      </c>
      <c r="J195" s="27" t="s">
        <v>104</v>
      </c>
      <c r="K195" s="27" t="s">
        <v>93</v>
      </c>
    </row>
    <row r="196" spans="1:11" x14ac:dyDescent="0.2">
      <c r="A196" s="27" t="s">
        <v>152</v>
      </c>
      <c r="B196" s="27" t="s">
        <v>156</v>
      </c>
      <c r="C196" s="27">
        <v>1.8</v>
      </c>
      <c r="D196" s="27">
        <v>1999</v>
      </c>
      <c r="E196" s="27">
        <v>4</v>
      </c>
      <c r="F196" s="27" t="s">
        <v>103</v>
      </c>
      <c r="G196" s="27" t="s">
        <v>92</v>
      </c>
      <c r="H196" s="27">
        <v>24</v>
      </c>
      <c r="I196" s="27">
        <v>33</v>
      </c>
      <c r="J196" s="27" t="s">
        <v>104</v>
      </c>
      <c r="K196" s="27" t="s">
        <v>93</v>
      </c>
    </row>
    <row r="197" spans="1:11" x14ac:dyDescent="0.2">
      <c r="A197" s="27" t="s">
        <v>152</v>
      </c>
      <c r="B197" s="27" t="s">
        <v>156</v>
      </c>
      <c r="C197" s="27">
        <v>1.8</v>
      </c>
      <c r="D197" s="27">
        <v>1999</v>
      </c>
      <c r="E197" s="27">
        <v>4</v>
      </c>
      <c r="F197" s="27" t="s">
        <v>94</v>
      </c>
      <c r="G197" s="27" t="s">
        <v>92</v>
      </c>
      <c r="H197" s="27">
        <v>26</v>
      </c>
      <c r="I197" s="27">
        <v>35</v>
      </c>
      <c r="J197" s="27" t="s">
        <v>104</v>
      </c>
      <c r="K197" s="27" t="s">
        <v>93</v>
      </c>
    </row>
    <row r="198" spans="1:11" x14ac:dyDescent="0.2">
      <c r="A198" s="27" t="s">
        <v>152</v>
      </c>
      <c r="B198" s="27" t="s">
        <v>156</v>
      </c>
      <c r="C198" s="27">
        <v>1.8</v>
      </c>
      <c r="D198" s="27">
        <v>2008</v>
      </c>
      <c r="E198" s="27">
        <v>4</v>
      </c>
      <c r="F198" s="27" t="s">
        <v>94</v>
      </c>
      <c r="G198" s="27" t="s">
        <v>92</v>
      </c>
      <c r="H198" s="27">
        <v>28</v>
      </c>
      <c r="I198" s="27">
        <v>37</v>
      </c>
      <c r="J198" s="27" t="s">
        <v>104</v>
      </c>
      <c r="K198" s="27" t="s">
        <v>93</v>
      </c>
    </row>
    <row r="199" spans="1:11" x14ac:dyDescent="0.2">
      <c r="A199" s="27" t="s">
        <v>152</v>
      </c>
      <c r="B199" s="27" t="s">
        <v>156</v>
      </c>
      <c r="C199" s="27">
        <v>1.8</v>
      </c>
      <c r="D199" s="27">
        <v>2008</v>
      </c>
      <c r="E199" s="27">
        <v>4</v>
      </c>
      <c r="F199" s="27" t="s">
        <v>103</v>
      </c>
      <c r="G199" s="27" t="s">
        <v>92</v>
      </c>
      <c r="H199" s="27">
        <v>26</v>
      </c>
      <c r="I199" s="27">
        <v>35</v>
      </c>
      <c r="J199" s="27" t="s">
        <v>104</v>
      </c>
      <c r="K199" s="27" t="s">
        <v>93</v>
      </c>
    </row>
    <row r="200" spans="1:11" x14ac:dyDescent="0.2">
      <c r="A200" s="27" t="s">
        <v>152</v>
      </c>
      <c r="B200" s="27" t="s">
        <v>157</v>
      </c>
      <c r="C200" s="27">
        <v>4.7</v>
      </c>
      <c r="D200" s="27">
        <v>1999</v>
      </c>
      <c r="E200" s="27">
        <v>8</v>
      </c>
      <c r="F200" s="27" t="s">
        <v>103</v>
      </c>
      <c r="G200" s="27">
        <v>4</v>
      </c>
      <c r="H200" s="27">
        <v>11</v>
      </c>
      <c r="I200" s="27">
        <v>15</v>
      </c>
      <c r="J200" s="27" t="s">
        <v>104</v>
      </c>
      <c r="K200" s="27" t="s">
        <v>105</v>
      </c>
    </row>
    <row r="201" spans="1:11" x14ac:dyDescent="0.2">
      <c r="A201" s="27" t="s">
        <v>152</v>
      </c>
      <c r="B201" s="27" t="s">
        <v>157</v>
      </c>
      <c r="C201" s="27">
        <v>5.7</v>
      </c>
      <c r="D201" s="27">
        <v>2008</v>
      </c>
      <c r="E201" s="27">
        <v>8</v>
      </c>
      <c r="F201" s="27" t="s">
        <v>98</v>
      </c>
      <c r="G201" s="27">
        <v>4</v>
      </c>
      <c r="H201" s="27">
        <v>13</v>
      </c>
      <c r="I201" s="27">
        <v>18</v>
      </c>
      <c r="J201" s="27" t="s">
        <v>104</v>
      </c>
      <c r="K201" s="27" t="s">
        <v>105</v>
      </c>
    </row>
    <row r="202" spans="1:11" x14ac:dyDescent="0.2">
      <c r="A202" s="27" t="s">
        <v>152</v>
      </c>
      <c r="B202" s="27" t="s">
        <v>158</v>
      </c>
      <c r="C202" s="27">
        <v>2.7</v>
      </c>
      <c r="D202" s="27">
        <v>1999</v>
      </c>
      <c r="E202" s="27">
        <v>4</v>
      </c>
      <c r="F202" s="27" t="s">
        <v>94</v>
      </c>
      <c r="G202" s="27">
        <v>4</v>
      </c>
      <c r="H202" s="27">
        <v>15</v>
      </c>
      <c r="I202" s="27">
        <v>20</v>
      </c>
      <c r="J202" s="27" t="s">
        <v>104</v>
      </c>
      <c r="K202" s="27" t="s">
        <v>118</v>
      </c>
    </row>
    <row r="203" spans="1:11" x14ac:dyDescent="0.2">
      <c r="A203" s="27" t="s">
        <v>152</v>
      </c>
      <c r="B203" s="27" t="s">
        <v>158</v>
      </c>
      <c r="C203" s="27">
        <v>2.7</v>
      </c>
      <c r="D203" s="27">
        <v>1999</v>
      </c>
      <c r="E203" s="27">
        <v>4</v>
      </c>
      <c r="F203" s="27" t="s">
        <v>103</v>
      </c>
      <c r="G203" s="27">
        <v>4</v>
      </c>
      <c r="H203" s="27">
        <v>16</v>
      </c>
      <c r="I203" s="27">
        <v>20</v>
      </c>
      <c r="J203" s="27" t="s">
        <v>104</v>
      </c>
      <c r="K203" s="27" t="s">
        <v>118</v>
      </c>
    </row>
    <row r="204" spans="1:11" x14ac:dyDescent="0.2">
      <c r="A204" s="27" t="s">
        <v>152</v>
      </c>
      <c r="B204" s="27" t="s">
        <v>158</v>
      </c>
      <c r="C204" s="27">
        <v>2.7</v>
      </c>
      <c r="D204" s="27">
        <v>2008</v>
      </c>
      <c r="E204" s="27">
        <v>4</v>
      </c>
      <c r="F204" s="27" t="s">
        <v>94</v>
      </c>
      <c r="G204" s="27">
        <v>4</v>
      </c>
      <c r="H204" s="27">
        <v>17</v>
      </c>
      <c r="I204" s="27">
        <v>22</v>
      </c>
      <c r="J204" s="27" t="s">
        <v>104</v>
      </c>
      <c r="K204" s="27" t="s">
        <v>118</v>
      </c>
    </row>
    <row r="205" spans="1:11" x14ac:dyDescent="0.2">
      <c r="A205" s="27" t="s">
        <v>152</v>
      </c>
      <c r="B205" s="27" t="s">
        <v>158</v>
      </c>
      <c r="C205" s="27">
        <v>3.4</v>
      </c>
      <c r="D205" s="27">
        <v>1999</v>
      </c>
      <c r="E205" s="27">
        <v>6</v>
      </c>
      <c r="F205" s="27" t="s">
        <v>94</v>
      </c>
      <c r="G205" s="27">
        <v>4</v>
      </c>
      <c r="H205" s="27">
        <v>15</v>
      </c>
      <c r="I205" s="27">
        <v>17</v>
      </c>
      <c r="J205" s="27" t="s">
        <v>104</v>
      </c>
      <c r="K205" s="27" t="s">
        <v>118</v>
      </c>
    </row>
    <row r="206" spans="1:11" x14ac:dyDescent="0.2">
      <c r="A206" s="27" t="s">
        <v>152</v>
      </c>
      <c r="B206" s="27" t="s">
        <v>158</v>
      </c>
      <c r="C206" s="27">
        <v>3.4</v>
      </c>
      <c r="D206" s="27">
        <v>1999</v>
      </c>
      <c r="E206" s="27">
        <v>6</v>
      </c>
      <c r="F206" s="27" t="s">
        <v>103</v>
      </c>
      <c r="G206" s="27">
        <v>4</v>
      </c>
      <c r="H206" s="27">
        <v>15</v>
      </c>
      <c r="I206" s="27">
        <v>19</v>
      </c>
      <c r="J206" s="27" t="s">
        <v>104</v>
      </c>
      <c r="K206" s="27" t="s">
        <v>118</v>
      </c>
    </row>
    <row r="207" spans="1:11" x14ac:dyDescent="0.2">
      <c r="A207" s="27" t="s">
        <v>152</v>
      </c>
      <c r="B207" s="27" t="s">
        <v>158</v>
      </c>
      <c r="C207" s="27">
        <v>4</v>
      </c>
      <c r="D207" s="27">
        <v>2008</v>
      </c>
      <c r="E207" s="27">
        <v>6</v>
      </c>
      <c r="F207" s="27" t="s">
        <v>95</v>
      </c>
      <c r="G207" s="27">
        <v>4</v>
      </c>
      <c r="H207" s="27">
        <v>15</v>
      </c>
      <c r="I207" s="27">
        <v>18</v>
      </c>
      <c r="J207" s="27" t="s">
        <v>104</v>
      </c>
      <c r="K207" s="27" t="s">
        <v>118</v>
      </c>
    </row>
    <row r="208" spans="1:11" x14ac:dyDescent="0.2">
      <c r="A208" s="27" t="s">
        <v>152</v>
      </c>
      <c r="B208" s="27" t="s">
        <v>158</v>
      </c>
      <c r="C208" s="27">
        <v>4</v>
      </c>
      <c r="D208" s="27">
        <v>2008</v>
      </c>
      <c r="E208" s="27">
        <v>6</v>
      </c>
      <c r="F208" s="27" t="s">
        <v>91</v>
      </c>
      <c r="G208" s="27">
        <v>4</v>
      </c>
      <c r="H208" s="27">
        <v>16</v>
      </c>
      <c r="I208" s="27">
        <v>20</v>
      </c>
      <c r="J208" s="27" t="s">
        <v>104</v>
      </c>
      <c r="K208" s="27" t="s">
        <v>118</v>
      </c>
    </row>
    <row r="209" spans="1:11" x14ac:dyDescent="0.2">
      <c r="A209" s="27" t="s">
        <v>159</v>
      </c>
      <c r="B209" s="27" t="s">
        <v>160</v>
      </c>
      <c r="C209" s="27">
        <v>2</v>
      </c>
      <c r="D209" s="27">
        <v>1999</v>
      </c>
      <c r="E209" s="27">
        <v>4</v>
      </c>
      <c r="F209" s="27" t="s">
        <v>94</v>
      </c>
      <c r="G209" s="27" t="s">
        <v>92</v>
      </c>
      <c r="H209" s="27">
        <v>21</v>
      </c>
      <c r="I209" s="27">
        <v>29</v>
      </c>
      <c r="J209" s="27" t="s">
        <v>104</v>
      </c>
      <c r="K209" s="27" t="s">
        <v>93</v>
      </c>
    </row>
    <row r="210" spans="1:11" x14ac:dyDescent="0.2">
      <c r="A210" s="27" t="s">
        <v>159</v>
      </c>
      <c r="B210" s="27" t="s">
        <v>160</v>
      </c>
      <c r="C210" s="27">
        <v>2</v>
      </c>
      <c r="D210" s="27">
        <v>1999</v>
      </c>
      <c r="E210" s="27">
        <v>4</v>
      </c>
      <c r="F210" s="27" t="s">
        <v>103</v>
      </c>
      <c r="G210" s="27" t="s">
        <v>92</v>
      </c>
      <c r="H210" s="27">
        <v>19</v>
      </c>
      <c r="I210" s="27">
        <v>26</v>
      </c>
      <c r="J210" s="27" t="s">
        <v>104</v>
      </c>
      <c r="K210" s="27" t="s">
        <v>93</v>
      </c>
    </row>
    <row r="211" spans="1:11" x14ac:dyDescent="0.2">
      <c r="A211" s="27" t="s">
        <v>159</v>
      </c>
      <c r="B211" s="27" t="s">
        <v>160</v>
      </c>
      <c r="C211" s="27">
        <v>2</v>
      </c>
      <c r="D211" s="27">
        <v>2008</v>
      </c>
      <c r="E211" s="27">
        <v>4</v>
      </c>
      <c r="F211" s="27" t="s">
        <v>95</v>
      </c>
      <c r="G211" s="27" t="s">
        <v>92</v>
      </c>
      <c r="H211" s="27">
        <v>21</v>
      </c>
      <c r="I211" s="27">
        <v>29</v>
      </c>
      <c r="J211" s="27" t="s">
        <v>6</v>
      </c>
      <c r="K211" s="27" t="s">
        <v>93</v>
      </c>
    </row>
    <row r="212" spans="1:11" x14ac:dyDescent="0.2">
      <c r="A212" s="27" t="s">
        <v>159</v>
      </c>
      <c r="B212" s="27" t="s">
        <v>160</v>
      </c>
      <c r="C212" s="27">
        <v>2</v>
      </c>
      <c r="D212" s="27">
        <v>2008</v>
      </c>
      <c r="E212" s="27">
        <v>4</v>
      </c>
      <c r="F212" s="27" t="s">
        <v>98</v>
      </c>
      <c r="G212" s="27" t="s">
        <v>92</v>
      </c>
      <c r="H212" s="27">
        <v>22</v>
      </c>
      <c r="I212" s="27">
        <v>29</v>
      </c>
      <c r="J212" s="27" t="s">
        <v>6</v>
      </c>
      <c r="K212" s="27" t="s">
        <v>93</v>
      </c>
    </row>
    <row r="213" spans="1:11" x14ac:dyDescent="0.2">
      <c r="A213" s="27" t="s">
        <v>159</v>
      </c>
      <c r="B213" s="27" t="s">
        <v>160</v>
      </c>
      <c r="C213" s="27">
        <v>2.8</v>
      </c>
      <c r="D213" s="27">
        <v>1999</v>
      </c>
      <c r="E213" s="27">
        <v>6</v>
      </c>
      <c r="F213" s="27" t="s">
        <v>94</v>
      </c>
      <c r="G213" s="27" t="s">
        <v>92</v>
      </c>
      <c r="H213" s="27">
        <v>17</v>
      </c>
      <c r="I213" s="27">
        <v>24</v>
      </c>
      <c r="J213" s="27" t="s">
        <v>104</v>
      </c>
      <c r="K213" s="27" t="s">
        <v>93</v>
      </c>
    </row>
    <row r="214" spans="1:11" x14ac:dyDescent="0.2">
      <c r="A214" s="27" t="s">
        <v>159</v>
      </c>
      <c r="B214" s="27" t="s">
        <v>161</v>
      </c>
      <c r="C214" s="27">
        <v>1.9</v>
      </c>
      <c r="D214" s="27">
        <v>1999</v>
      </c>
      <c r="E214" s="27">
        <v>4</v>
      </c>
      <c r="F214" s="27" t="s">
        <v>94</v>
      </c>
      <c r="G214" s="27" t="s">
        <v>92</v>
      </c>
      <c r="H214" s="27">
        <v>33</v>
      </c>
      <c r="I214" s="27">
        <v>44</v>
      </c>
      <c r="J214" s="27" t="s">
        <v>110</v>
      </c>
      <c r="K214" s="27" t="s">
        <v>93</v>
      </c>
    </row>
    <row r="215" spans="1:11" x14ac:dyDescent="0.2">
      <c r="A215" s="27" t="s">
        <v>159</v>
      </c>
      <c r="B215" s="27" t="s">
        <v>161</v>
      </c>
      <c r="C215" s="27">
        <v>2</v>
      </c>
      <c r="D215" s="27">
        <v>1999</v>
      </c>
      <c r="E215" s="27">
        <v>4</v>
      </c>
      <c r="F215" s="27" t="s">
        <v>94</v>
      </c>
      <c r="G215" s="27" t="s">
        <v>92</v>
      </c>
      <c r="H215" s="27">
        <v>21</v>
      </c>
      <c r="I215" s="27">
        <v>29</v>
      </c>
      <c r="J215" s="27" t="s">
        <v>104</v>
      </c>
      <c r="K215" s="27" t="s">
        <v>93</v>
      </c>
    </row>
    <row r="216" spans="1:11" x14ac:dyDescent="0.2">
      <c r="A216" s="27" t="s">
        <v>159</v>
      </c>
      <c r="B216" s="27" t="s">
        <v>161</v>
      </c>
      <c r="C216" s="27">
        <v>2</v>
      </c>
      <c r="D216" s="27">
        <v>1999</v>
      </c>
      <c r="E216" s="27">
        <v>4</v>
      </c>
      <c r="F216" s="27" t="s">
        <v>103</v>
      </c>
      <c r="G216" s="27" t="s">
        <v>92</v>
      </c>
      <c r="H216" s="27">
        <v>19</v>
      </c>
      <c r="I216" s="27">
        <v>26</v>
      </c>
      <c r="J216" s="27" t="s">
        <v>104</v>
      </c>
      <c r="K216" s="27" t="s">
        <v>93</v>
      </c>
    </row>
    <row r="217" spans="1:11" x14ac:dyDescent="0.2">
      <c r="A217" s="27" t="s">
        <v>159</v>
      </c>
      <c r="B217" s="27" t="s">
        <v>161</v>
      </c>
      <c r="C217" s="27">
        <v>2</v>
      </c>
      <c r="D217" s="27">
        <v>2008</v>
      </c>
      <c r="E217" s="27">
        <v>4</v>
      </c>
      <c r="F217" s="27" t="s">
        <v>98</v>
      </c>
      <c r="G217" s="27" t="s">
        <v>92</v>
      </c>
      <c r="H217" s="27">
        <v>22</v>
      </c>
      <c r="I217" s="27">
        <v>29</v>
      </c>
      <c r="J217" s="27" t="s">
        <v>6</v>
      </c>
      <c r="K217" s="27" t="s">
        <v>93</v>
      </c>
    </row>
    <row r="218" spans="1:11" x14ac:dyDescent="0.2">
      <c r="A218" s="27" t="s">
        <v>159</v>
      </c>
      <c r="B218" s="27" t="s">
        <v>161</v>
      </c>
      <c r="C218" s="27">
        <v>2</v>
      </c>
      <c r="D218" s="27">
        <v>2008</v>
      </c>
      <c r="E218" s="27">
        <v>4</v>
      </c>
      <c r="F218" s="27" t="s">
        <v>95</v>
      </c>
      <c r="G218" s="27" t="s">
        <v>92</v>
      </c>
      <c r="H218" s="27">
        <v>21</v>
      </c>
      <c r="I218" s="27">
        <v>29</v>
      </c>
      <c r="J218" s="27" t="s">
        <v>6</v>
      </c>
      <c r="K218" s="27" t="s">
        <v>93</v>
      </c>
    </row>
    <row r="219" spans="1:11" x14ac:dyDescent="0.2">
      <c r="A219" s="27" t="s">
        <v>159</v>
      </c>
      <c r="B219" s="27" t="s">
        <v>161</v>
      </c>
      <c r="C219" s="27">
        <v>2.5</v>
      </c>
      <c r="D219" s="27">
        <v>2008</v>
      </c>
      <c r="E219" s="27">
        <v>5</v>
      </c>
      <c r="F219" s="27" t="s">
        <v>98</v>
      </c>
      <c r="G219" s="27" t="s">
        <v>92</v>
      </c>
      <c r="H219" s="27">
        <v>21</v>
      </c>
      <c r="I219" s="27">
        <v>29</v>
      </c>
      <c r="J219" s="27" t="s">
        <v>104</v>
      </c>
      <c r="K219" s="27" t="s">
        <v>93</v>
      </c>
    </row>
    <row r="220" spans="1:11" x14ac:dyDescent="0.2">
      <c r="A220" s="27" t="s">
        <v>159</v>
      </c>
      <c r="B220" s="27" t="s">
        <v>161</v>
      </c>
      <c r="C220" s="27">
        <v>2.5</v>
      </c>
      <c r="D220" s="27">
        <v>2008</v>
      </c>
      <c r="E220" s="27">
        <v>5</v>
      </c>
      <c r="F220" s="27" t="s">
        <v>94</v>
      </c>
      <c r="G220" s="27" t="s">
        <v>92</v>
      </c>
      <c r="H220" s="27">
        <v>21</v>
      </c>
      <c r="I220" s="27">
        <v>29</v>
      </c>
      <c r="J220" s="27" t="s">
        <v>104</v>
      </c>
      <c r="K220" s="27" t="s">
        <v>93</v>
      </c>
    </row>
    <row r="221" spans="1:11" x14ac:dyDescent="0.2">
      <c r="A221" s="27" t="s">
        <v>159</v>
      </c>
      <c r="B221" s="27" t="s">
        <v>161</v>
      </c>
      <c r="C221" s="27">
        <v>2.8</v>
      </c>
      <c r="D221" s="27">
        <v>1999</v>
      </c>
      <c r="E221" s="27">
        <v>6</v>
      </c>
      <c r="F221" s="27" t="s">
        <v>103</v>
      </c>
      <c r="G221" s="27" t="s">
        <v>92</v>
      </c>
      <c r="H221" s="27">
        <v>16</v>
      </c>
      <c r="I221" s="27">
        <v>23</v>
      </c>
      <c r="J221" s="27" t="s">
        <v>104</v>
      </c>
      <c r="K221" s="27" t="s">
        <v>93</v>
      </c>
    </row>
    <row r="222" spans="1:11" x14ac:dyDescent="0.2">
      <c r="A222" s="27" t="s">
        <v>159</v>
      </c>
      <c r="B222" s="27" t="s">
        <v>161</v>
      </c>
      <c r="C222" s="27">
        <v>2.8</v>
      </c>
      <c r="D222" s="27">
        <v>1999</v>
      </c>
      <c r="E222" s="27">
        <v>6</v>
      </c>
      <c r="F222" s="27" t="s">
        <v>94</v>
      </c>
      <c r="G222" s="27" t="s">
        <v>92</v>
      </c>
      <c r="H222" s="27">
        <v>17</v>
      </c>
      <c r="I222" s="27">
        <v>24</v>
      </c>
      <c r="J222" s="27" t="s">
        <v>104</v>
      </c>
      <c r="K222" s="27" t="s">
        <v>93</v>
      </c>
    </row>
    <row r="223" spans="1:11" x14ac:dyDescent="0.2">
      <c r="A223" s="27" t="s">
        <v>159</v>
      </c>
      <c r="B223" s="27" t="s">
        <v>162</v>
      </c>
      <c r="C223" s="27">
        <v>1.9</v>
      </c>
      <c r="D223" s="27">
        <v>1999</v>
      </c>
      <c r="E223" s="27">
        <v>4</v>
      </c>
      <c r="F223" s="27" t="s">
        <v>94</v>
      </c>
      <c r="G223" s="27" t="s">
        <v>92</v>
      </c>
      <c r="H223" s="27">
        <v>35</v>
      </c>
      <c r="I223" s="27">
        <v>44</v>
      </c>
      <c r="J223" s="27" t="s">
        <v>110</v>
      </c>
      <c r="K223" s="27" t="s">
        <v>126</v>
      </c>
    </row>
    <row r="224" spans="1:11" x14ac:dyDescent="0.2">
      <c r="A224" s="27" t="s">
        <v>159</v>
      </c>
      <c r="B224" s="27" t="s">
        <v>162</v>
      </c>
      <c r="C224" s="27">
        <v>1.9</v>
      </c>
      <c r="D224" s="27">
        <v>1999</v>
      </c>
      <c r="E224" s="27">
        <v>4</v>
      </c>
      <c r="F224" s="27" t="s">
        <v>103</v>
      </c>
      <c r="G224" s="27" t="s">
        <v>92</v>
      </c>
      <c r="H224" s="27">
        <v>29</v>
      </c>
      <c r="I224" s="27">
        <v>41</v>
      </c>
      <c r="J224" s="27" t="s">
        <v>110</v>
      </c>
      <c r="K224" s="27" t="s">
        <v>126</v>
      </c>
    </row>
    <row r="225" spans="1:11" x14ac:dyDescent="0.2">
      <c r="A225" s="27" t="s">
        <v>159</v>
      </c>
      <c r="B225" s="27" t="s">
        <v>162</v>
      </c>
      <c r="C225" s="27">
        <v>2</v>
      </c>
      <c r="D225" s="27">
        <v>1999</v>
      </c>
      <c r="E225" s="27">
        <v>4</v>
      </c>
      <c r="F225" s="27" t="s">
        <v>94</v>
      </c>
      <c r="G225" s="27" t="s">
        <v>92</v>
      </c>
      <c r="H225" s="27">
        <v>21</v>
      </c>
      <c r="I225" s="27">
        <v>29</v>
      </c>
      <c r="J225" s="27" t="s">
        <v>104</v>
      </c>
      <c r="K225" s="27" t="s">
        <v>126</v>
      </c>
    </row>
    <row r="226" spans="1:11" x14ac:dyDescent="0.2">
      <c r="A226" s="27" t="s">
        <v>159</v>
      </c>
      <c r="B226" s="27" t="s">
        <v>162</v>
      </c>
      <c r="C226" s="27">
        <v>2</v>
      </c>
      <c r="D226" s="27">
        <v>1999</v>
      </c>
      <c r="E226" s="27">
        <v>4</v>
      </c>
      <c r="F226" s="27" t="s">
        <v>103</v>
      </c>
      <c r="G226" s="27" t="s">
        <v>92</v>
      </c>
      <c r="H226" s="27">
        <v>19</v>
      </c>
      <c r="I226" s="27">
        <v>26</v>
      </c>
      <c r="J226" s="27" t="s">
        <v>104</v>
      </c>
      <c r="K226" s="27" t="s">
        <v>126</v>
      </c>
    </row>
    <row r="227" spans="1:11" x14ac:dyDescent="0.2">
      <c r="A227" s="27" t="s">
        <v>159</v>
      </c>
      <c r="B227" s="27" t="s">
        <v>162</v>
      </c>
      <c r="C227" s="27">
        <v>2.5</v>
      </c>
      <c r="D227" s="27">
        <v>2008</v>
      </c>
      <c r="E227" s="27">
        <v>5</v>
      </c>
      <c r="F227" s="27" t="s">
        <v>94</v>
      </c>
      <c r="G227" s="27" t="s">
        <v>92</v>
      </c>
      <c r="H227" s="27">
        <v>20</v>
      </c>
      <c r="I227" s="27">
        <v>28</v>
      </c>
      <c r="J227" s="27" t="s">
        <v>104</v>
      </c>
      <c r="K227" s="27" t="s">
        <v>126</v>
      </c>
    </row>
    <row r="228" spans="1:11" x14ac:dyDescent="0.2">
      <c r="A228" s="27" t="s">
        <v>159</v>
      </c>
      <c r="B228" s="27" t="s">
        <v>162</v>
      </c>
      <c r="C228" s="27">
        <v>2.5</v>
      </c>
      <c r="D228" s="27">
        <v>2008</v>
      </c>
      <c r="E228" s="27">
        <v>5</v>
      </c>
      <c r="F228" s="27" t="s">
        <v>98</v>
      </c>
      <c r="G228" s="27" t="s">
        <v>92</v>
      </c>
      <c r="H228" s="27">
        <v>20</v>
      </c>
      <c r="I228" s="27">
        <v>29</v>
      </c>
      <c r="J228" s="27" t="s">
        <v>104</v>
      </c>
      <c r="K228" s="27" t="s">
        <v>126</v>
      </c>
    </row>
    <row r="229" spans="1:11" x14ac:dyDescent="0.2">
      <c r="A229" s="27" t="s">
        <v>159</v>
      </c>
      <c r="B229" s="27" t="s">
        <v>163</v>
      </c>
      <c r="C229" s="27">
        <v>1.8</v>
      </c>
      <c r="D229" s="27">
        <v>1999</v>
      </c>
      <c r="E229" s="27">
        <v>4</v>
      </c>
      <c r="F229" s="27" t="s">
        <v>94</v>
      </c>
      <c r="G229" s="27" t="s">
        <v>92</v>
      </c>
      <c r="H229" s="27">
        <v>21</v>
      </c>
      <c r="I229" s="27">
        <v>29</v>
      </c>
      <c r="J229" s="27" t="s">
        <v>6</v>
      </c>
      <c r="K229" s="27" t="s">
        <v>100</v>
      </c>
    </row>
    <row r="230" spans="1:11" x14ac:dyDescent="0.2">
      <c r="A230" s="27" t="s">
        <v>159</v>
      </c>
      <c r="B230" s="27" t="s">
        <v>163</v>
      </c>
      <c r="C230" s="27">
        <v>1.8</v>
      </c>
      <c r="D230" s="27">
        <v>1999</v>
      </c>
      <c r="E230" s="27">
        <v>4</v>
      </c>
      <c r="F230" s="27" t="s">
        <v>91</v>
      </c>
      <c r="G230" s="27" t="s">
        <v>92</v>
      </c>
      <c r="H230" s="27">
        <v>18</v>
      </c>
      <c r="I230" s="27">
        <v>29</v>
      </c>
      <c r="J230" s="27" t="s">
        <v>6</v>
      </c>
      <c r="K230" s="27" t="s">
        <v>100</v>
      </c>
    </row>
    <row r="231" spans="1:11" x14ac:dyDescent="0.2">
      <c r="A231" s="27" t="s">
        <v>159</v>
      </c>
      <c r="B231" s="27" t="s">
        <v>163</v>
      </c>
      <c r="C231" s="27">
        <v>2</v>
      </c>
      <c r="D231" s="27">
        <v>2008</v>
      </c>
      <c r="E231" s="27">
        <v>4</v>
      </c>
      <c r="F231" s="27" t="s">
        <v>98</v>
      </c>
      <c r="G231" s="27" t="s">
        <v>92</v>
      </c>
      <c r="H231" s="27">
        <v>19</v>
      </c>
      <c r="I231" s="27">
        <v>28</v>
      </c>
      <c r="J231" s="27" t="s">
        <v>6</v>
      </c>
      <c r="K231" s="27" t="s">
        <v>100</v>
      </c>
    </row>
    <row r="232" spans="1:11" x14ac:dyDescent="0.2">
      <c r="A232" s="27" t="s">
        <v>159</v>
      </c>
      <c r="B232" s="27" t="s">
        <v>163</v>
      </c>
      <c r="C232" s="27">
        <v>2</v>
      </c>
      <c r="D232" s="27">
        <v>2008</v>
      </c>
      <c r="E232" s="27">
        <v>4</v>
      </c>
      <c r="F232" s="27" t="s">
        <v>95</v>
      </c>
      <c r="G232" s="27" t="s">
        <v>92</v>
      </c>
      <c r="H232" s="27">
        <v>21</v>
      </c>
      <c r="I232" s="27">
        <v>29</v>
      </c>
      <c r="J232" s="27" t="s">
        <v>6</v>
      </c>
      <c r="K232" s="27" t="s">
        <v>100</v>
      </c>
    </row>
    <row r="233" spans="1:11" x14ac:dyDescent="0.2">
      <c r="A233" s="27" t="s">
        <v>159</v>
      </c>
      <c r="B233" s="27" t="s">
        <v>163</v>
      </c>
      <c r="C233" s="27">
        <v>2.8</v>
      </c>
      <c r="D233" s="27">
        <v>1999</v>
      </c>
      <c r="E233" s="27">
        <v>6</v>
      </c>
      <c r="F233" s="27" t="s">
        <v>91</v>
      </c>
      <c r="G233" s="27" t="s">
        <v>92</v>
      </c>
      <c r="H233" s="27">
        <v>16</v>
      </c>
      <c r="I233" s="27">
        <v>26</v>
      </c>
      <c r="J233" s="27" t="s">
        <v>6</v>
      </c>
      <c r="K233" s="27" t="s">
        <v>100</v>
      </c>
    </row>
    <row r="234" spans="1:11" x14ac:dyDescent="0.2">
      <c r="A234" s="27" t="s">
        <v>159</v>
      </c>
      <c r="B234" s="27" t="s">
        <v>163</v>
      </c>
      <c r="C234" s="27">
        <v>2.8</v>
      </c>
      <c r="D234" s="27">
        <v>1999</v>
      </c>
      <c r="E234" s="27">
        <v>6</v>
      </c>
      <c r="F234" s="27" t="s">
        <v>94</v>
      </c>
      <c r="G234" s="27" t="s">
        <v>92</v>
      </c>
      <c r="H234" s="27">
        <v>18</v>
      </c>
      <c r="I234" s="27">
        <v>26</v>
      </c>
      <c r="J234" s="27" t="s">
        <v>6</v>
      </c>
      <c r="K234" s="27" t="s">
        <v>100</v>
      </c>
    </row>
    <row r="235" spans="1:11" x14ac:dyDescent="0.2">
      <c r="A235" s="27" t="s">
        <v>159</v>
      </c>
      <c r="B235" s="27" t="s">
        <v>163</v>
      </c>
      <c r="C235" s="27">
        <v>3.6</v>
      </c>
      <c r="D235" s="27">
        <v>2008</v>
      </c>
      <c r="E235" s="27">
        <v>6</v>
      </c>
      <c r="F235" s="27" t="s">
        <v>98</v>
      </c>
      <c r="G235" s="27" t="s">
        <v>92</v>
      </c>
      <c r="H235" s="27">
        <v>17</v>
      </c>
      <c r="I235" s="27">
        <v>26</v>
      </c>
      <c r="J235" s="27" t="s">
        <v>6</v>
      </c>
      <c r="K235" s="27" t="s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2" x14ac:dyDescent="0.2">
      <c r="A1" s="27" t="s">
        <v>85</v>
      </c>
      <c r="B1" s="27" t="s">
        <v>164</v>
      </c>
      <c r="C1" s="27"/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</row>
    <row r="2" spans="1:12" x14ac:dyDescent="0.2">
      <c r="A2" s="27">
        <v>18</v>
      </c>
      <c r="B2" s="27">
        <v>1</v>
      </c>
      <c r="C2" s="27"/>
      <c r="D2" s="28" cm="1">
        <f t="array" ref="D2:D235">TREND(A2:A235,B2:B235,B2:B235,FALSE)</f>
        <v>16.858974358974358</v>
      </c>
      <c r="E2" s="28">
        <f>D2-A2</f>
        <v>-1.1410256410256423</v>
      </c>
      <c r="F2" s="28">
        <f>STDEV(E2:E235)</f>
        <v>4.2559456788893932</v>
      </c>
      <c r="G2" s="28">
        <f>_xlfn.NORM.DIST(E2,0,$F$2,FALSE)</f>
        <v>9.0428595220514676E-2</v>
      </c>
      <c r="H2" s="28" cm="1">
        <f t="array" ref="H2">SUM(LN(G2:G235))</f>
        <v>-670.43779208802937</v>
      </c>
      <c r="I2" s="28">
        <f>COUNT(A2:A235)</f>
        <v>234</v>
      </c>
      <c r="J2" s="28">
        <v>1</v>
      </c>
      <c r="K2" s="28">
        <f>-2*H2+2*J2</f>
        <v>1342.8755841760587</v>
      </c>
      <c r="L2" s="28"/>
    </row>
    <row r="3" spans="1:12" x14ac:dyDescent="0.2">
      <c r="A3" s="27">
        <v>21</v>
      </c>
      <c r="B3" s="27">
        <v>1</v>
      </c>
      <c r="C3" s="27"/>
      <c r="D3" s="28">
        <v>16.858974358974358</v>
      </c>
      <c r="E3" s="28">
        <f t="shared" ref="E3:E66" si="0">D3-A3</f>
        <v>-4.1410256410256423</v>
      </c>
      <c r="G3" s="28">
        <f t="shared" ref="G3:G66" si="1">_xlfn.NORM.DIST(E3,0,$F$2,FALSE)</f>
        <v>5.8389578885814829E-2</v>
      </c>
      <c r="L3" s="28"/>
    </row>
    <row r="4" spans="1:12" x14ac:dyDescent="0.2">
      <c r="A4" s="27">
        <v>20</v>
      </c>
      <c r="B4" s="27">
        <v>1</v>
      </c>
      <c r="C4" s="27"/>
      <c r="D4" s="28">
        <v>16.858974358974358</v>
      </c>
      <c r="E4" s="28">
        <f t="shared" si="0"/>
        <v>-3.1410256410256423</v>
      </c>
      <c r="G4" s="28">
        <f t="shared" si="1"/>
        <v>7.138971945227178E-2</v>
      </c>
      <c r="H4" s="28" t="s">
        <v>172</v>
      </c>
      <c r="I4" s="28" t="s">
        <v>173</v>
      </c>
      <c r="L4" s="28"/>
    </row>
    <row r="5" spans="1:12" x14ac:dyDescent="0.2">
      <c r="A5" s="27">
        <v>21</v>
      </c>
      <c r="B5" s="27">
        <v>1</v>
      </c>
      <c r="C5" s="27"/>
      <c r="D5" s="28">
        <v>16.858974358974358</v>
      </c>
      <c r="E5" s="28">
        <f t="shared" si="0"/>
        <v>-4.1410256410256423</v>
      </c>
      <c r="G5" s="28">
        <f t="shared" si="1"/>
        <v>5.8389578885814829E-2</v>
      </c>
      <c r="H5" s="28">
        <f>SUMSQ(E2:E235)</f>
        <v>4220.3461538461506</v>
      </c>
      <c r="I5" s="28">
        <f>H5/I2</f>
        <v>18.035667324128848</v>
      </c>
      <c r="L5" s="28"/>
    </row>
    <row r="6" spans="1:12" x14ac:dyDescent="0.2">
      <c r="A6" s="27">
        <v>16</v>
      </c>
      <c r="B6" s="27">
        <v>1</v>
      </c>
      <c r="C6" s="27"/>
      <c r="D6" s="28">
        <v>16.858974358974358</v>
      </c>
      <c r="E6" s="28">
        <f t="shared" si="0"/>
        <v>0.8589743589743577</v>
      </c>
      <c r="G6" s="28">
        <f t="shared" si="1"/>
        <v>9.1847742433773194E-2</v>
      </c>
      <c r="L6" s="28"/>
    </row>
    <row r="7" spans="1:12" x14ac:dyDescent="0.2">
      <c r="A7" s="27">
        <v>18</v>
      </c>
      <c r="B7" s="27">
        <v>1</v>
      </c>
      <c r="C7" s="27"/>
      <c r="D7" s="28">
        <v>16.858974358974358</v>
      </c>
      <c r="E7" s="28">
        <f t="shared" si="0"/>
        <v>-1.1410256410256423</v>
      </c>
      <c r="G7" s="28">
        <f t="shared" si="1"/>
        <v>9.0428595220514676E-2</v>
      </c>
      <c r="H7" s="28" t="s">
        <v>175</v>
      </c>
      <c r="K7" s="28" t="s">
        <v>177</v>
      </c>
      <c r="L7" s="28"/>
    </row>
    <row r="8" spans="1:12" x14ac:dyDescent="0.2">
      <c r="A8" s="27">
        <v>18</v>
      </c>
      <c r="B8" s="27">
        <v>1</v>
      </c>
      <c r="C8" s="27"/>
      <c r="D8" s="28">
        <v>16.858974358974358</v>
      </c>
      <c r="E8" s="28">
        <f t="shared" si="0"/>
        <v>-1.1410256410256423</v>
      </c>
      <c r="G8" s="28">
        <f t="shared" si="1"/>
        <v>9.0428595220514676E-2</v>
      </c>
      <c r="H8" s="28">
        <f>I2*LN(I5)</f>
        <v>676.81020777694471</v>
      </c>
      <c r="K8" s="28">
        <f>H8+2*J2</f>
        <v>678.81020777694471</v>
      </c>
      <c r="L8" s="28"/>
    </row>
    <row r="9" spans="1:12" x14ac:dyDescent="0.2">
      <c r="A9" s="27">
        <v>18</v>
      </c>
      <c r="B9" s="27">
        <v>1</v>
      </c>
      <c r="C9" s="27"/>
      <c r="D9" s="28">
        <v>16.858974358974358</v>
      </c>
      <c r="E9" s="28">
        <f t="shared" si="0"/>
        <v>-1.1410256410256423</v>
      </c>
      <c r="G9" s="28">
        <f t="shared" si="1"/>
        <v>9.0428595220514676E-2</v>
      </c>
      <c r="L9" s="28"/>
    </row>
    <row r="10" spans="1:12" x14ac:dyDescent="0.2">
      <c r="A10" s="27">
        <v>16</v>
      </c>
      <c r="B10" s="27">
        <v>1</v>
      </c>
      <c r="C10" s="27"/>
      <c r="D10" s="28">
        <v>16.858974358974358</v>
      </c>
      <c r="E10" s="28">
        <f t="shared" si="0"/>
        <v>0.8589743589743577</v>
      </c>
      <c r="G10" s="28">
        <f t="shared" si="1"/>
        <v>9.1847742433773194E-2</v>
      </c>
      <c r="H10" s="28" t="s">
        <v>176</v>
      </c>
      <c r="L10" s="28"/>
    </row>
    <row r="11" spans="1:12" x14ac:dyDescent="0.2">
      <c r="A11" s="27">
        <v>20</v>
      </c>
      <c r="B11" s="27">
        <v>1</v>
      </c>
      <c r="C11" s="27"/>
      <c r="D11" s="28">
        <v>16.858974358974358</v>
      </c>
      <c r="E11" s="28">
        <f t="shared" si="0"/>
        <v>-3.1410256410256423</v>
      </c>
      <c r="G11" s="28">
        <f t="shared" si="1"/>
        <v>7.138971945227178E-2</v>
      </c>
      <c r="H11" s="28">
        <f>I2*LN(2*PI())</f>
        <v>430.06323353978684</v>
      </c>
      <c r="L11" s="28"/>
    </row>
    <row r="12" spans="1:12" x14ac:dyDescent="0.2">
      <c r="A12" s="27">
        <v>19</v>
      </c>
      <c r="B12" s="27">
        <v>1</v>
      </c>
      <c r="C12" s="27"/>
      <c r="D12" s="28">
        <v>16.858974358974358</v>
      </c>
      <c r="E12" s="28">
        <f t="shared" si="0"/>
        <v>-2.1410256410256423</v>
      </c>
      <c r="G12" s="28">
        <f t="shared" si="1"/>
        <v>8.2596026638649928E-2</v>
      </c>
      <c r="L12" s="28"/>
    </row>
    <row r="13" spans="1:12" x14ac:dyDescent="0.2">
      <c r="A13" s="27">
        <v>15</v>
      </c>
      <c r="B13" s="27">
        <v>1</v>
      </c>
      <c r="C13" s="27"/>
      <c r="D13" s="28">
        <v>16.858974358974358</v>
      </c>
      <c r="E13" s="28">
        <f t="shared" si="0"/>
        <v>1.8589743589743577</v>
      </c>
      <c r="G13" s="28">
        <f t="shared" si="1"/>
        <v>8.5208821600122359E-2</v>
      </c>
      <c r="H13" s="28" t="s">
        <v>174</v>
      </c>
      <c r="K13" s="28" t="s">
        <v>170</v>
      </c>
      <c r="L13" s="28"/>
    </row>
    <row r="14" spans="1:12" x14ac:dyDescent="0.2">
      <c r="A14" s="27">
        <v>17</v>
      </c>
      <c r="B14" s="27">
        <v>1</v>
      </c>
      <c r="C14" s="27"/>
      <c r="D14" s="28">
        <v>16.858974358974358</v>
      </c>
      <c r="E14" s="28">
        <f t="shared" si="0"/>
        <v>-0.1410256410256423</v>
      </c>
      <c r="G14" s="28">
        <f t="shared" si="1"/>
        <v>9.3686186441259228E-2</v>
      </c>
      <c r="H14" s="28">
        <f>H8+H11+I2</f>
        <v>1340.8734413167315</v>
      </c>
      <c r="K14" s="28">
        <f>H14+2*J2</f>
        <v>1342.8734413167315</v>
      </c>
      <c r="L14" s="28"/>
    </row>
    <row r="15" spans="1:12" x14ac:dyDescent="0.2">
      <c r="A15" s="27">
        <v>17</v>
      </c>
      <c r="B15" s="27">
        <v>1</v>
      </c>
      <c r="C15" s="27"/>
      <c r="D15" s="28">
        <v>16.858974358974358</v>
      </c>
      <c r="E15" s="28">
        <f t="shared" si="0"/>
        <v>-0.1410256410256423</v>
      </c>
      <c r="G15" s="28">
        <f t="shared" si="1"/>
        <v>9.3686186441259228E-2</v>
      </c>
      <c r="L15" s="28"/>
    </row>
    <row r="16" spans="1:12" x14ac:dyDescent="0.2">
      <c r="A16" s="27">
        <v>15</v>
      </c>
      <c r="B16" s="27">
        <v>1</v>
      </c>
      <c r="C16" s="27"/>
      <c r="D16" s="28">
        <v>16.858974358974358</v>
      </c>
      <c r="E16" s="28">
        <f t="shared" si="0"/>
        <v>1.8589743589743577</v>
      </c>
      <c r="G16" s="28">
        <f t="shared" si="1"/>
        <v>8.5208821600122359E-2</v>
      </c>
      <c r="L16" s="28"/>
    </row>
    <row r="17" spans="1:12" x14ac:dyDescent="0.2">
      <c r="A17" s="27">
        <v>15</v>
      </c>
      <c r="B17" s="27">
        <v>1</v>
      </c>
      <c r="C17" s="27"/>
      <c r="D17" s="28">
        <v>16.858974358974358</v>
      </c>
      <c r="E17" s="28">
        <f t="shared" si="0"/>
        <v>1.8589743589743577</v>
      </c>
      <c r="G17" s="28">
        <f t="shared" si="1"/>
        <v>8.5208821600122359E-2</v>
      </c>
      <c r="L17" s="28"/>
    </row>
    <row r="18" spans="1:12" x14ac:dyDescent="0.2">
      <c r="A18" s="27">
        <v>17</v>
      </c>
      <c r="B18" s="27">
        <v>1</v>
      </c>
      <c r="C18" s="27"/>
      <c r="D18" s="28">
        <v>16.858974358974358</v>
      </c>
      <c r="E18" s="28">
        <f t="shared" si="0"/>
        <v>-0.1410256410256423</v>
      </c>
      <c r="G18" s="28">
        <f t="shared" si="1"/>
        <v>9.3686186441259228E-2</v>
      </c>
      <c r="L18" s="28"/>
    </row>
    <row r="19" spans="1:12" x14ac:dyDescent="0.2">
      <c r="A19" s="27">
        <v>16</v>
      </c>
      <c r="B19" s="27">
        <v>1</v>
      </c>
      <c r="C19" s="27"/>
      <c r="D19" s="28">
        <v>16.858974358974358</v>
      </c>
      <c r="E19" s="28">
        <f t="shared" si="0"/>
        <v>0.8589743589743577</v>
      </c>
      <c r="G19" s="28">
        <f t="shared" si="1"/>
        <v>9.1847742433773194E-2</v>
      </c>
      <c r="L19" s="28"/>
    </row>
    <row r="20" spans="1:12" x14ac:dyDescent="0.2">
      <c r="A20" s="27">
        <v>14</v>
      </c>
      <c r="B20" s="27">
        <v>1</v>
      </c>
      <c r="C20" s="27"/>
      <c r="D20" s="28">
        <v>16.858974358974358</v>
      </c>
      <c r="E20" s="28">
        <f t="shared" si="0"/>
        <v>2.8589743589743577</v>
      </c>
      <c r="G20" s="28">
        <f t="shared" si="1"/>
        <v>7.4803820711623142E-2</v>
      </c>
      <c r="L20" s="28"/>
    </row>
    <row r="21" spans="1:12" x14ac:dyDescent="0.2">
      <c r="A21" s="27">
        <v>11</v>
      </c>
      <c r="B21" s="27">
        <v>1</v>
      </c>
      <c r="C21" s="27"/>
      <c r="D21" s="28">
        <v>16.858974358974358</v>
      </c>
      <c r="E21" s="28">
        <f t="shared" si="0"/>
        <v>5.8589743589743577</v>
      </c>
      <c r="G21" s="28">
        <f t="shared" si="1"/>
        <v>3.6339616015446226E-2</v>
      </c>
      <c r="L21" s="28"/>
    </row>
    <row r="22" spans="1:12" x14ac:dyDescent="0.2">
      <c r="A22" s="27">
        <v>14</v>
      </c>
      <c r="B22" s="27">
        <v>1</v>
      </c>
      <c r="C22" s="27"/>
      <c r="D22" s="28">
        <v>16.858974358974358</v>
      </c>
      <c r="E22" s="28">
        <f t="shared" si="0"/>
        <v>2.8589743589743577</v>
      </c>
      <c r="G22" s="28">
        <f t="shared" si="1"/>
        <v>7.4803820711623142E-2</v>
      </c>
      <c r="L22" s="28"/>
    </row>
    <row r="23" spans="1:12" x14ac:dyDescent="0.2">
      <c r="A23" s="27">
        <v>13</v>
      </c>
      <c r="B23" s="27">
        <v>1</v>
      </c>
      <c r="C23" s="27"/>
      <c r="D23" s="28">
        <v>16.858974358974358</v>
      </c>
      <c r="E23" s="28">
        <f t="shared" si="0"/>
        <v>3.8589743589743577</v>
      </c>
      <c r="G23" s="28">
        <f t="shared" si="1"/>
        <v>6.2142132155231941E-2</v>
      </c>
      <c r="L23" s="28"/>
    </row>
    <row r="24" spans="1:12" x14ac:dyDescent="0.2">
      <c r="A24" s="27">
        <v>12</v>
      </c>
      <c r="B24" s="27">
        <v>1</v>
      </c>
      <c r="C24" s="27"/>
      <c r="D24" s="28">
        <v>16.858974358974358</v>
      </c>
      <c r="E24" s="28">
        <f t="shared" si="0"/>
        <v>4.8589743589743577</v>
      </c>
      <c r="G24" s="28">
        <f t="shared" si="1"/>
        <v>4.8850798619149906E-2</v>
      </c>
      <c r="L24" s="28"/>
    </row>
    <row r="25" spans="1:12" x14ac:dyDescent="0.2">
      <c r="A25" s="27">
        <v>16</v>
      </c>
      <c r="B25" s="27">
        <v>1</v>
      </c>
      <c r="C25" s="27"/>
      <c r="D25" s="28">
        <v>16.858974358974358</v>
      </c>
      <c r="E25" s="28">
        <f t="shared" si="0"/>
        <v>0.8589743589743577</v>
      </c>
      <c r="G25" s="28">
        <f t="shared" si="1"/>
        <v>9.1847742433773194E-2</v>
      </c>
      <c r="L25" s="28"/>
    </row>
    <row r="26" spans="1:12" x14ac:dyDescent="0.2">
      <c r="A26" s="27">
        <v>15</v>
      </c>
      <c r="B26" s="27">
        <v>1</v>
      </c>
      <c r="C26" s="27"/>
      <c r="D26" s="28">
        <v>16.858974358974358</v>
      </c>
      <c r="E26" s="28">
        <f t="shared" si="0"/>
        <v>1.8589743589743577</v>
      </c>
      <c r="G26" s="28">
        <f t="shared" si="1"/>
        <v>8.5208821600122359E-2</v>
      </c>
      <c r="L26" s="28"/>
    </row>
    <row r="27" spans="1:12" x14ac:dyDescent="0.2">
      <c r="A27" s="27">
        <v>16</v>
      </c>
      <c r="B27" s="27">
        <v>1</v>
      </c>
      <c r="C27" s="27"/>
      <c r="D27" s="28">
        <v>16.858974358974358</v>
      </c>
      <c r="E27" s="28">
        <f t="shared" si="0"/>
        <v>0.8589743589743577</v>
      </c>
      <c r="G27" s="28">
        <f t="shared" si="1"/>
        <v>9.1847742433773194E-2</v>
      </c>
      <c r="L27" s="28"/>
    </row>
    <row r="28" spans="1:12" x14ac:dyDescent="0.2">
      <c r="A28" s="27">
        <v>15</v>
      </c>
      <c r="B28" s="27">
        <v>1</v>
      </c>
      <c r="C28" s="27"/>
      <c r="D28" s="28">
        <v>16.858974358974358</v>
      </c>
      <c r="E28" s="28">
        <f t="shared" si="0"/>
        <v>1.8589743589743577</v>
      </c>
      <c r="G28" s="28">
        <f t="shared" si="1"/>
        <v>8.5208821600122359E-2</v>
      </c>
      <c r="L28" s="28"/>
    </row>
    <row r="29" spans="1:12" x14ac:dyDescent="0.2">
      <c r="A29" s="27">
        <v>15</v>
      </c>
      <c r="B29" s="27">
        <v>1</v>
      </c>
      <c r="C29" s="27"/>
      <c r="D29" s="28">
        <v>16.858974358974358</v>
      </c>
      <c r="E29" s="28">
        <f t="shared" si="0"/>
        <v>1.8589743589743577</v>
      </c>
      <c r="G29" s="28">
        <f t="shared" si="1"/>
        <v>8.5208821600122359E-2</v>
      </c>
      <c r="L29" s="28"/>
    </row>
    <row r="30" spans="1:12" x14ac:dyDescent="0.2">
      <c r="A30" s="27">
        <v>14</v>
      </c>
      <c r="B30" s="27">
        <v>1</v>
      </c>
      <c r="C30" s="27"/>
      <c r="D30" s="28">
        <v>16.858974358974358</v>
      </c>
      <c r="E30" s="28">
        <f t="shared" si="0"/>
        <v>2.8589743589743577</v>
      </c>
      <c r="G30" s="28">
        <f t="shared" si="1"/>
        <v>7.4803820711623142E-2</v>
      </c>
      <c r="L30" s="28"/>
    </row>
    <row r="31" spans="1:12" x14ac:dyDescent="0.2">
      <c r="A31" s="27">
        <v>11</v>
      </c>
      <c r="B31" s="27">
        <v>1</v>
      </c>
      <c r="C31" s="27"/>
      <c r="D31" s="28">
        <v>16.858974358974358</v>
      </c>
      <c r="E31" s="28">
        <f t="shared" si="0"/>
        <v>5.8589743589743577</v>
      </c>
      <c r="G31" s="28">
        <f t="shared" si="1"/>
        <v>3.6339616015446226E-2</v>
      </c>
      <c r="L31" s="28"/>
    </row>
    <row r="32" spans="1:12" x14ac:dyDescent="0.2">
      <c r="A32" s="27">
        <v>11</v>
      </c>
      <c r="B32" s="27">
        <v>1</v>
      </c>
      <c r="C32" s="27"/>
      <c r="D32" s="28">
        <v>16.858974358974358</v>
      </c>
      <c r="E32" s="28">
        <f t="shared" si="0"/>
        <v>5.8589743589743577</v>
      </c>
      <c r="G32" s="28">
        <f t="shared" si="1"/>
        <v>3.6339616015446226E-2</v>
      </c>
      <c r="L32" s="28"/>
    </row>
    <row r="33" spans="1:12" x14ac:dyDescent="0.2">
      <c r="A33" s="27">
        <v>14</v>
      </c>
      <c r="B33" s="27">
        <v>1</v>
      </c>
      <c r="C33" s="27"/>
      <c r="D33" s="28">
        <v>16.858974358974358</v>
      </c>
      <c r="E33" s="28">
        <f t="shared" si="0"/>
        <v>2.8589743589743577</v>
      </c>
      <c r="G33" s="28">
        <f t="shared" si="1"/>
        <v>7.4803820711623142E-2</v>
      </c>
      <c r="L33" s="28"/>
    </row>
    <row r="34" spans="1:12" x14ac:dyDescent="0.2">
      <c r="A34" s="27">
        <v>19</v>
      </c>
      <c r="B34" s="27">
        <v>1</v>
      </c>
      <c r="C34" s="27"/>
      <c r="D34" s="28">
        <v>16.858974358974358</v>
      </c>
      <c r="E34" s="28">
        <f t="shared" si="0"/>
        <v>-2.1410256410256423</v>
      </c>
      <c r="G34" s="28">
        <f t="shared" si="1"/>
        <v>8.2596026638649928E-2</v>
      </c>
      <c r="L34" s="28"/>
    </row>
    <row r="35" spans="1:12" x14ac:dyDescent="0.2">
      <c r="A35" s="27">
        <v>22</v>
      </c>
      <c r="B35" s="27">
        <v>1</v>
      </c>
      <c r="C35" s="27"/>
      <c r="D35" s="28">
        <v>16.858974358974358</v>
      </c>
      <c r="E35" s="28">
        <f t="shared" si="0"/>
        <v>-5.1410256410256423</v>
      </c>
      <c r="G35" s="28">
        <f t="shared" si="1"/>
        <v>4.5191645925457373E-2</v>
      </c>
      <c r="L35" s="28"/>
    </row>
    <row r="36" spans="1:12" x14ac:dyDescent="0.2">
      <c r="A36" s="27">
        <v>18</v>
      </c>
      <c r="B36" s="27">
        <v>1</v>
      </c>
      <c r="C36" s="27"/>
      <c r="D36" s="28">
        <v>16.858974358974358</v>
      </c>
      <c r="E36" s="28">
        <f t="shared" si="0"/>
        <v>-1.1410256410256423</v>
      </c>
      <c r="G36" s="28">
        <f t="shared" si="1"/>
        <v>9.0428595220514676E-2</v>
      </c>
      <c r="L36" s="28"/>
    </row>
    <row r="37" spans="1:12" x14ac:dyDescent="0.2">
      <c r="A37" s="27">
        <v>18</v>
      </c>
      <c r="B37" s="27">
        <v>1</v>
      </c>
      <c r="C37" s="27"/>
      <c r="D37" s="28">
        <v>16.858974358974358</v>
      </c>
      <c r="E37" s="28">
        <f t="shared" si="0"/>
        <v>-1.1410256410256423</v>
      </c>
      <c r="G37" s="28">
        <f t="shared" si="1"/>
        <v>9.0428595220514676E-2</v>
      </c>
      <c r="L37" s="28"/>
    </row>
    <row r="38" spans="1:12" x14ac:dyDescent="0.2">
      <c r="A38" s="27">
        <v>17</v>
      </c>
      <c r="B38" s="27">
        <v>1</v>
      </c>
      <c r="C38" s="27"/>
      <c r="D38" s="28">
        <v>16.858974358974358</v>
      </c>
      <c r="E38" s="28">
        <f t="shared" si="0"/>
        <v>-0.1410256410256423</v>
      </c>
      <c r="G38" s="28">
        <f t="shared" si="1"/>
        <v>9.3686186441259228E-2</v>
      </c>
      <c r="L38" s="28"/>
    </row>
    <row r="39" spans="1:12" x14ac:dyDescent="0.2">
      <c r="A39" s="27">
        <v>18</v>
      </c>
      <c r="B39" s="27">
        <v>1</v>
      </c>
      <c r="C39" s="27"/>
      <c r="D39" s="28">
        <v>16.858974358974358</v>
      </c>
      <c r="E39" s="28">
        <f t="shared" si="0"/>
        <v>-1.1410256410256423</v>
      </c>
      <c r="G39" s="28">
        <f t="shared" si="1"/>
        <v>9.0428595220514676E-2</v>
      </c>
      <c r="L39" s="28"/>
    </row>
    <row r="40" spans="1:12" x14ac:dyDescent="0.2">
      <c r="A40" s="27">
        <v>17</v>
      </c>
      <c r="B40" s="27">
        <v>1</v>
      </c>
      <c r="C40" s="27"/>
      <c r="D40" s="28">
        <v>16.858974358974358</v>
      </c>
      <c r="E40" s="28">
        <f t="shared" si="0"/>
        <v>-0.1410256410256423</v>
      </c>
      <c r="G40" s="28">
        <f t="shared" si="1"/>
        <v>9.3686186441259228E-2</v>
      </c>
      <c r="L40" s="28"/>
    </row>
    <row r="41" spans="1:12" x14ac:dyDescent="0.2">
      <c r="A41" s="27">
        <v>16</v>
      </c>
      <c r="B41" s="27">
        <v>1</v>
      </c>
      <c r="C41" s="27"/>
      <c r="D41" s="28">
        <v>16.858974358974358</v>
      </c>
      <c r="E41" s="28">
        <f t="shared" si="0"/>
        <v>0.8589743589743577</v>
      </c>
      <c r="G41" s="28">
        <f t="shared" si="1"/>
        <v>9.1847742433773194E-2</v>
      </c>
      <c r="L41" s="28"/>
    </row>
    <row r="42" spans="1:12" x14ac:dyDescent="0.2">
      <c r="A42" s="27">
        <v>16</v>
      </c>
      <c r="B42" s="27">
        <v>1</v>
      </c>
      <c r="C42" s="27"/>
      <c r="D42" s="28">
        <v>16.858974358974358</v>
      </c>
      <c r="E42" s="28">
        <f t="shared" si="0"/>
        <v>0.8589743589743577</v>
      </c>
      <c r="G42" s="28">
        <f t="shared" si="1"/>
        <v>9.1847742433773194E-2</v>
      </c>
      <c r="L42" s="28"/>
    </row>
    <row r="43" spans="1:12" x14ac:dyDescent="0.2">
      <c r="A43" s="27">
        <v>17</v>
      </c>
      <c r="B43" s="27">
        <v>1</v>
      </c>
      <c r="C43" s="27"/>
      <c r="D43" s="28">
        <v>16.858974358974358</v>
      </c>
      <c r="E43" s="28">
        <f t="shared" si="0"/>
        <v>-0.1410256410256423</v>
      </c>
      <c r="G43" s="28">
        <f t="shared" si="1"/>
        <v>9.3686186441259228E-2</v>
      </c>
      <c r="L43" s="28"/>
    </row>
    <row r="44" spans="1:12" x14ac:dyDescent="0.2">
      <c r="A44" s="27">
        <v>17</v>
      </c>
      <c r="B44" s="27">
        <v>1</v>
      </c>
      <c r="C44" s="27"/>
      <c r="D44" s="28">
        <v>16.858974358974358</v>
      </c>
      <c r="E44" s="28">
        <f t="shared" si="0"/>
        <v>-0.1410256410256423</v>
      </c>
      <c r="G44" s="28">
        <f t="shared" si="1"/>
        <v>9.3686186441259228E-2</v>
      </c>
      <c r="L44" s="28"/>
    </row>
    <row r="45" spans="1:12" x14ac:dyDescent="0.2">
      <c r="A45" s="27">
        <v>11</v>
      </c>
      <c r="B45" s="27">
        <v>1</v>
      </c>
      <c r="C45" s="27"/>
      <c r="D45" s="28">
        <v>16.858974358974358</v>
      </c>
      <c r="E45" s="28">
        <f t="shared" si="0"/>
        <v>5.8589743589743577</v>
      </c>
      <c r="G45" s="28">
        <f t="shared" si="1"/>
        <v>3.6339616015446226E-2</v>
      </c>
      <c r="L45" s="28"/>
    </row>
    <row r="46" spans="1:12" x14ac:dyDescent="0.2">
      <c r="A46" s="27">
        <v>15</v>
      </c>
      <c r="B46" s="27">
        <v>1</v>
      </c>
      <c r="C46" s="27"/>
      <c r="D46" s="28">
        <v>16.858974358974358</v>
      </c>
      <c r="E46" s="28">
        <f t="shared" si="0"/>
        <v>1.8589743589743577</v>
      </c>
      <c r="G46" s="28">
        <f t="shared" si="1"/>
        <v>8.5208821600122359E-2</v>
      </c>
      <c r="L46" s="28"/>
    </row>
    <row r="47" spans="1:12" x14ac:dyDescent="0.2">
      <c r="A47" s="27">
        <v>15</v>
      </c>
      <c r="B47" s="27">
        <v>1</v>
      </c>
      <c r="C47" s="27"/>
      <c r="D47" s="28">
        <v>16.858974358974358</v>
      </c>
      <c r="E47" s="28">
        <f t="shared" si="0"/>
        <v>1.8589743589743577</v>
      </c>
      <c r="G47" s="28">
        <f t="shared" si="1"/>
        <v>8.5208821600122359E-2</v>
      </c>
      <c r="L47" s="28"/>
    </row>
    <row r="48" spans="1:12" x14ac:dyDescent="0.2">
      <c r="A48" s="27">
        <v>16</v>
      </c>
      <c r="B48" s="27">
        <v>1</v>
      </c>
      <c r="C48" s="27"/>
      <c r="D48" s="28">
        <v>16.858974358974358</v>
      </c>
      <c r="E48" s="28">
        <f t="shared" si="0"/>
        <v>0.8589743589743577</v>
      </c>
      <c r="G48" s="28">
        <f t="shared" si="1"/>
        <v>9.1847742433773194E-2</v>
      </c>
      <c r="L48" s="28"/>
    </row>
    <row r="49" spans="1:12" x14ac:dyDescent="0.2">
      <c r="A49" s="27">
        <v>16</v>
      </c>
      <c r="B49" s="27">
        <v>1</v>
      </c>
      <c r="C49" s="27"/>
      <c r="D49" s="28">
        <v>16.858974358974358</v>
      </c>
      <c r="E49" s="28">
        <f t="shared" si="0"/>
        <v>0.8589743589743577</v>
      </c>
      <c r="G49" s="28">
        <f t="shared" si="1"/>
        <v>9.1847742433773194E-2</v>
      </c>
      <c r="L49" s="28"/>
    </row>
    <row r="50" spans="1:12" x14ac:dyDescent="0.2">
      <c r="A50" s="27">
        <v>15</v>
      </c>
      <c r="B50" s="27">
        <v>1</v>
      </c>
      <c r="C50" s="27"/>
      <c r="D50" s="28">
        <v>16.858974358974358</v>
      </c>
      <c r="E50" s="28">
        <f t="shared" si="0"/>
        <v>1.8589743589743577</v>
      </c>
      <c r="G50" s="28">
        <f t="shared" si="1"/>
        <v>8.5208821600122359E-2</v>
      </c>
      <c r="L50" s="28"/>
    </row>
    <row r="51" spans="1:12" x14ac:dyDescent="0.2">
      <c r="A51" s="27">
        <v>14</v>
      </c>
      <c r="B51" s="27">
        <v>1</v>
      </c>
      <c r="C51" s="27"/>
      <c r="D51" s="28">
        <v>16.858974358974358</v>
      </c>
      <c r="E51" s="28">
        <f t="shared" si="0"/>
        <v>2.8589743589743577</v>
      </c>
      <c r="G51" s="28">
        <f t="shared" si="1"/>
        <v>7.4803820711623142E-2</v>
      </c>
      <c r="L51" s="28"/>
    </row>
    <row r="52" spans="1:12" x14ac:dyDescent="0.2">
      <c r="A52" s="27">
        <v>13</v>
      </c>
      <c r="B52" s="27">
        <v>1</v>
      </c>
      <c r="C52" s="27"/>
      <c r="D52" s="28">
        <v>16.858974358974358</v>
      </c>
      <c r="E52" s="28">
        <f t="shared" si="0"/>
        <v>3.8589743589743577</v>
      </c>
      <c r="G52" s="28">
        <f t="shared" si="1"/>
        <v>6.2142132155231941E-2</v>
      </c>
      <c r="L52" s="28"/>
    </row>
    <row r="53" spans="1:12" x14ac:dyDescent="0.2">
      <c r="A53" s="27">
        <v>14</v>
      </c>
      <c r="B53" s="27">
        <v>1</v>
      </c>
      <c r="C53" s="27"/>
      <c r="D53" s="28">
        <v>16.858974358974358</v>
      </c>
      <c r="E53" s="28">
        <f t="shared" si="0"/>
        <v>2.8589743589743577</v>
      </c>
      <c r="G53" s="28">
        <f t="shared" si="1"/>
        <v>7.4803820711623142E-2</v>
      </c>
      <c r="L53" s="28"/>
    </row>
    <row r="54" spans="1:12" x14ac:dyDescent="0.2">
      <c r="A54" s="27">
        <v>14</v>
      </c>
      <c r="B54" s="27">
        <v>1</v>
      </c>
      <c r="C54" s="27"/>
      <c r="D54" s="28">
        <v>16.858974358974358</v>
      </c>
      <c r="E54" s="28">
        <f t="shared" si="0"/>
        <v>2.8589743589743577</v>
      </c>
      <c r="G54" s="28">
        <f t="shared" si="1"/>
        <v>7.4803820711623142E-2</v>
      </c>
      <c r="L54" s="28"/>
    </row>
    <row r="55" spans="1:12" x14ac:dyDescent="0.2">
      <c r="A55" s="27">
        <v>14</v>
      </c>
      <c r="B55" s="27">
        <v>1</v>
      </c>
      <c r="C55" s="27"/>
      <c r="D55" s="28">
        <v>16.858974358974358</v>
      </c>
      <c r="E55" s="28">
        <f t="shared" si="0"/>
        <v>2.8589743589743577</v>
      </c>
      <c r="G55" s="28">
        <f t="shared" si="1"/>
        <v>7.4803820711623142E-2</v>
      </c>
      <c r="L55" s="28"/>
    </row>
    <row r="56" spans="1:12" x14ac:dyDescent="0.2">
      <c r="A56" s="27">
        <v>9</v>
      </c>
      <c r="B56" s="27">
        <v>1</v>
      </c>
      <c r="C56" s="27"/>
      <c r="D56" s="28">
        <v>16.858974358974358</v>
      </c>
      <c r="E56" s="28">
        <f t="shared" si="0"/>
        <v>7.8589743589743577</v>
      </c>
      <c r="G56" s="28">
        <f t="shared" si="1"/>
        <v>1.7039902700084295E-2</v>
      </c>
      <c r="L56" s="28"/>
    </row>
    <row r="57" spans="1:12" x14ac:dyDescent="0.2">
      <c r="A57" s="27">
        <v>11</v>
      </c>
      <c r="B57" s="27">
        <v>1</v>
      </c>
      <c r="C57" s="27"/>
      <c r="D57" s="28">
        <v>16.858974358974358</v>
      </c>
      <c r="E57" s="28">
        <f t="shared" si="0"/>
        <v>5.8589743589743577</v>
      </c>
      <c r="G57" s="28">
        <f t="shared" si="1"/>
        <v>3.6339616015446226E-2</v>
      </c>
      <c r="L57" s="28"/>
    </row>
    <row r="58" spans="1:12" x14ac:dyDescent="0.2">
      <c r="A58" s="27">
        <v>11</v>
      </c>
      <c r="B58" s="27">
        <v>1</v>
      </c>
      <c r="C58" s="27"/>
      <c r="D58" s="28">
        <v>16.858974358974358</v>
      </c>
      <c r="E58" s="28">
        <f t="shared" si="0"/>
        <v>5.8589743589743577</v>
      </c>
      <c r="G58" s="28">
        <f t="shared" si="1"/>
        <v>3.6339616015446226E-2</v>
      </c>
      <c r="L58" s="28"/>
    </row>
    <row r="59" spans="1:12" x14ac:dyDescent="0.2">
      <c r="A59" s="27">
        <v>13</v>
      </c>
      <c r="B59" s="27">
        <v>1</v>
      </c>
      <c r="C59" s="27"/>
      <c r="D59" s="28">
        <v>16.858974358974358</v>
      </c>
      <c r="E59" s="28">
        <f t="shared" si="0"/>
        <v>3.8589743589743577</v>
      </c>
      <c r="G59" s="28">
        <f t="shared" si="1"/>
        <v>6.2142132155231941E-2</v>
      </c>
      <c r="L59" s="28"/>
    </row>
    <row r="60" spans="1:12" x14ac:dyDescent="0.2">
      <c r="A60" s="27">
        <v>13</v>
      </c>
      <c r="B60" s="27">
        <v>1</v>
      </c>
      <c r="C60" s="27"/>
      <c r="D60" s="28">
        <v>16.858974358974358</v>
      </c>
      <c r="E60" s="28">
        <f t="shared" si="0"/>
        <v>3.8589743589743577</v>
      </c>
      <c r="G60" s="28">
        <f t="shared" si="1"/>
        <v>6.2142132155231941E-2</v>
      </c>
      <c r="L60" s="28"/>
    </row>
    <row r="61" spans="1:12" x14ac:dyDescent="0.2">
      <c r="A61" s="27">
        <v>9</v>
      </c>
      <c r="B61" s="27">
        <v>1</v>
      </c>
      <c r="C61" s="27"/>
      <c r="D61" s="28">
        <v>16.858974358974358</v>
      </c>
      <c r="E61" s="28">
        <f t="shared" si="0"/>
        <v>7.8589743589743577</v>
      </c>
      <c r="G61" s="28">
        <f t="shared" si="1"/>
        <v>1.7039902700084295E-2</v>
      </c>
      <c r="L61" s="28"/>
    </row>
    <row r="62" spans="1:12" x14ac:dyDescent="0.2">
      <c r="A62" s="27">
        <v>13</v>
      </c>
      <c r="B62" s="27">
        <v>1</v>
      </c>
      <c r="C62" s="27"/>
      <c r="D62" s="28">
        <v>16.858974358974358</v>
      </c>
      <c r="E62" s="28">
        <f t="shared" si="0"/>
        <v>3.8589743589743577</v>
      </c>
      <c r="G62" s="28">
        <f t="shared" si="1"/>
        <v>6.2142132155231941E-2</v>
      </c>
      <c r="L62" s="28"/>
    </row>
    <row r="63" spans="1:12" x14ac:dyDescent="0.2">
      <c r="A63" s="27">
        <v>11</v>
      </c>
      <c r="B63" s="27">
        <v>1</v>
      </c>
      <c r="C63" s="27"/>
      <c r="D63" s="28">
        <v>16.858974358974358</v>
      </c>
      <c r="E63" s="28">
        <f t="shared" si="0"/>
        <v>5.8589743589743577</v>
      </c>
      <c r="G63" s="28">
        <f t="shared" si="1"/>
        <v>3.6339616015446226E-2</v>
      </c>
      <c r="L63" s="28"/>
    </row>
    <row r="64" spans="1:12" x14ac:dyDescent="0.2">
      <c r="A64" s="27">
        <v>13</v>
      </c>
      <c r="B64" s="27">
        <v>1</v>
      </c>
      <c r="C64" s="27"/>
      <c r="D64" s="28">
        <v>16.858974358974358</v>
      </c>
      <c r="E64" s="28">
        <f t="shared" si="0"/>
        <v>3.8589743589743577</v>
      </c>
      <c r="G64" s="28">
        <f t="shared" si="1"/>
        <v>6.2142132155231941E-2</v>
      </c>
      <c r="L64" s="28"/>
    </row>
    <row r="65" spans="1:12" x14ac:dyDescent="0.2">
      <c r="A65" s="27">
        <v>11</v>
      </c>
      <c r="B65" s="27">
        <v>1</v>
      </c>
      <c r="C65" s="27"/>
      <c r="D65" s="28">
        <v>16.858974358974358</v>
      </c>
      <c r="E65" s="28">
        <f t="shared" si="0"/>
        <v>5.8589743589743577</v>
      </c>
      <c r="G65" s="28">
        <f t="shared" si="1"/>
        <v>3.6339616015446226E-2</v>
      </c>
      <c r="L65" s="28"/>
    </row>
    <row r="66" spans="1:12" x14ac:dyDescent="0.2">
      <c r="A66" s="27">
        <v>12</v>
      </c>
      <c r="B66" s="27">
        <v>1</v>
      </c>
      <c r="C66" s="27"/>
      <c r="D66" s="28">
        <v>16.858974358974358</v>
      </c>
      <c r="E66" s="28">
        <f t="shared" si="0"/>
        <v>4.8589743589743577</v>
      </c>
      <c r="G66" s="28">
        <f t="shared" si="1"/>
        <v>4.8850798619149906E-2</v>
      </c>
      <c r="L66" s="28"/>
    </row>
    <row r="67" spans="1:12" x14ac:dyDescent="0.2">
      <c r="A67" s="27">
        <v>9</v>
      </c>
      <c r="B67" s="27">
        <v>1</v>
      </c>
      <c r="C67" s="27"/>
      <c r="D67" s="28">
        <v>16.858974358974358</v>
      </c>
      <c r="E67" s="28">
        <f t="shared" ref="E67:E130" si="2">D67-A67</f>
        <v>7.8589743589743577</v>
      </c>
      <c r="G67" s="28">
        <f t="shared" ref="G67:G130" si="3">_xlfn.NORM.DIST(E67,0,$F$2,FALSE)</f>
        <v>1.7039902700084295E-2</v>
      </c>
      <c r="L67" s="28"/>
    </row>
    <row r="68" spans="1:12" x14ac:dyDescent="0.2">
      <c r="A68" s="27">
        <v>13</v>
      </c>
      <c r="B68" s="27">
        <v>1</v>
      </c>
      <c r="C68" s="27"/>
      <c r="D68" s="28">
        <v>16.858974358974358</v>
      </c>
      <c r="E68" s="28">
        <f t="shared" si="2"/>
        <v>3.8589743589743577</v>
      </c>
      <c r="G68" s="28">
        <f t="shared" si="3"/>
        <v>6.2142132155231941E-2</v>
      </c>
      <c r="L68" s="28"/>
    </row>
    <row r="69" spans="1:12" x14ac:dyDescent="0.2">
      <c r="A69" s="27">
        <v>13</v>
      </c>
      <c r="B69" s="27">
        <v>1</v>
      </c>
      <c r="C69" s="27"/>
      <c r="D69" s="28">
        <v>16.858974358974358</v>
      </c>
      <c r="E69" s="28">
        <f t="shared" si="2"/>
        <v>3.8589743589743577</v>
      </c>
      <c r="G69" s="28">
        <f t="shared" si="3"/>
        <v>6.2142132155231941E-2</v>
      </c>
      <c r="L69" s="28"/>
    </row>
    <row r="70" spans="1:12" x14ac:dyDescent="0.2">
      <c r="A70" s="27">
        <v>12</v>
      </c>
      <c r="B70" s="27">
        <v>1</v>
      </c>
      <c r="C70" s="27"/>
      <c r="D70" s="28">
        <v>16.858974358974358</v>
      </c>
      <c r="E70" s="28">
        <f t="shared" si="2"/>
        <v>4.8589743589743577</v>
      </c>
      <c r="G70" s="28">
        <f t="shared" si="3"/>
        <v>4.8850798619149906E-2</v>
      </c>
      <c r="L70" s="28"/>
    </row>
    <row r="71" spans="1:12" x14ac:dyDescent="0.2">
      <c r="A71" s="27">
        <v>9</v>
      </c>
      <c r="B71" s="27">
        <v>1</v>
      </c>
      <c r="C71" s="27"/>
      <c r="D71" s="28">
        <v>16.858974358974358</v>
      </c>
      <c r="E71" s="28">
        <f t="shared" si="2"/>
        <v>7.8589743589743577</v>
      </c>
      <c r="G71" s="28">
        <f t="shared" si="3"/>
        <v>1.7039902700084295E-2</v>
      </c>
      <c r="L71" s="28"/>
    </row>
    <row r="72" spans="1:12" x14ac:dyDescent="0.2">
      <c r="A72" s="27">
        <v>11</v>
      </c>
      <c r="B72" s="27">
        <v>1</v>
      </c>
      <c r="C72" s="27"/>
      <c r="D72" s="28">
        <v>16.858974358974358</v>
      </c>
      <c r="E72" s="28">
        <f t="shared" si="2"/>
        <v>5.8589743589743577</v>
      </c>
      <c r="G72" s="28">
        <f t="shared" si="3"/>
        <v>3.6339616015446226E-2</v>
      </c>
      <c r="L72" s="28"/>
    </row>
    <row r="73" spans="1:12" x14ac:dyDescent="0.2">
      <c r="A73" s="27">
        <v>11</v>
      </c>
      <c r="B73" s="27">
        <v>1</v>
      </c>
      <c r="C73" s="27"/>
      <c r="D73" s="28">
        <v>16.858974358974358</v>
      </c>
      <c r="E73" s="28">
        <f t="shared" si="2"/>
        <v>5.8589743589743577</v>
      </c>
      <c r="G73" s="28">
        <f t="shared" si="3"/>
        <v>3.6339616015446226E-2</v>
      </c>
      <c r="L73" s="28"/>
    </row>
    <row r="74" spans="1:12" x14ac:dyDescent="0.2">
      <c r="A74" s="27">
        <v>13</v>
      </c>
      <c r="B74" s="27">
        <v>1</v>
      </c>
      <c r="C74" s="27"/>
      <c r="D74" s="28">
        <v>16.858974358974358</v>
      </c>
      <c r="E74" s="28">
        <f t="shared" si="2"/>
        <v>3.8589743589743577</v>
      </c>
      <c r="G74" s="28">
        <f t="shared" si="3"/>
        <v>6.2142132155231941E-2</v>
      </c>
      <c r="L74" s="28"/>
    </row>
    <row r="75" spans="1:12" x14ac:dyDescent="0.2">
      <c r="A75" s="27">
        <v>11</v>
      </c>
      <c r="B75" s="27">
        <v>1</v>
      </c>
      <c r="C75" s="27"/>
      <c r="D75" s="28">
        <v>16.858974358974358</v>
      </c>
      <c r="E75" s="28">
        <f t="shared" si="2"/>
        <v>5.8589743589743577</v>
      </c>
      <c r="G75" s="28">
        <f t="shared" si="3"/>
        <v>3.6339616015446226E-2</v>
      </c>
      <c r="L75" s="28"/>
    </row>
    <row r="76" spans="1:12" x14ac:dyDescent="0.2">
      <c r="A76" s="27">
        <v>11</v>
      </c>
      <c r="B76" s="27">
        <v>1</v>
      </c>
      <c r="C76" s="27"/>
      <c r="D76" s="28">
        <v>16.858974358974358</v>
      </c>
      <c r="E76" s="28">
        <f t="shared" si="2"/>
        <v>5.8589743589743577</v>
      </c>
      <c r="G76" s="28">
        <f t="shared" si="3"/>
        <v>3.6339616015446226E-2</v>
      </c>
      <c r="L76" s="28"/>
    </row>
    <row r="77" spans="1:12" x14ac:dyDescent="0.2">
      <c r="A77" s="27">
        <v>11</v>
      </c>
      <c r="B77" s="27">
        <v>1</v>
      </c>
      <c r="C77" s="27"/>
      <c r="D77" s="28">
        <v>16.858974358974358</v>
      </c>
      <c r="E77" s="28">
        <f t="shared" si="2"/>
        <v>5.8589743589743577</v>
      </c>
      <c r="G77" s="28">
        <f t="shared" si="3"/>
        <v>3.6339616015446226E-2</v>
      </c>
      <c r="L77" s="28"/>
    </row>
    <row r="78" spans="1:12" x14ac:dyDescent="0.2">
      <c r="A78" s="27">
        <v>12</v>
      </c>
      <c r="B78" s="27">
        <v>1</v>
      </c>
      <c r="C78" s="27"/>
      <c r="D78" s="28">
        <v>16.858974358974358</v>
      </c>
      <c r="E78" s="28">
        <f t="shared" si="2"/>
        <v>4.8589743589743577</v>
      </c>
      <c r="G78" s="28">
        <f t="shared" si="3"/>
        <v>4.8850798619149906E-2</v>
      </c>
      <c r="L78" s="28"/>
    </row>
    <row r="79" spans="1:12" x14ac:dyDescent="0.2">
      <c r="A79" s="27">
        <v>14</v>
      </c>
      <c r="B79" s="27">
        <v>1</v>
      </c>
      <c r="C79" s="27"/>
      <c r="D79" s="28">
        <v>16.858974358974358</v>
      </c>
      <c r="E79" s="28">
        <f t="shared" si="2"/>
        <v>2.8589743589743577</v>
      </c>
      <c r="G79" s="28">
        <f t="shared" si="3"/>
        <v>7.4803820711623142E-2</v>
      </c>
      <c r="L79" s="28"/>
    </row>
    <row r="80" spans="1:12" x14ac:dyDescent="0.2">
      <c r="A80" s="27">
        <v>15</v>
      </c>
      <c r="B80" s="27">
        <v>1</v>
      </c>
      <c r="C80" s="27"/>
      <c r="D80" s="28">
        <v>16.858974358974358</v>
      </c>
      <c r="E80" s="28">
        <f t="shared" si="2"/>
        <v>1.8589743589743577</v>
      </c>
      <c r="G80" s="28">
        <f t="shared" si="3"/>
        <v>8.5208821600122359E-2</v>
      </c>
      <c r="L80" s="28"/>
    </row>
    <row r="81" spans="1:12" x14ac:dyDescent="0.2">
      <c r="A81" s="27">
        <v>14</v>
      </c>
      <c r="B81" s="27">
        <v>1</v>
      </c>
      <c r="C81" s="27"/>
      <c r="D81" s="28">
        <v>16.858974358974358</v>
      </c>
      <c r="E81" s="28">
        <f t="shared" si="2"/>
        <v>2.8589743589743577</v>
      </c>
      <c r="G81" s="28">
        <f t="shared" si="3"/>
        <v>7.4803820711623142E-2</v>
      </c>
      <c r="L81" s="28"/>
    </row>
    <row r="82" spans="1:12" x14ac:dyDescent="0.2">
      <c r="A82" s="27">
        <v>13</v>
      </c>
      <c r="B82" s="27">
        <v>1</v>
      </c>
      <c r="C82" s="27"/>
      <c r="D82" s="28">
        <v>16.858974358974358</v>
      </c>
      <c r="E82" s="28">
        <f t="shared" si="2"/>
        <v>3.8589743589743577</v>
      </c>
      <c r="G82" s="28">
        <f t="shared" si="3"/>
        <v>6.2142132155231941E-2</v>
      </c>
      <c r="L82" s="28"/>
    </row>
    <row r="83" spans="1:12" x14ac:dyDescent="0.2">
      <c r="A83" s="27">
        <v>13</v>
      </c>
      <c r="B83" s="27">
        <v>1</v>
      </c>
      <c r="C83" s="27"/>
      <c r="D83" s="28">
        <v>16.858974358974358</v>
      </c>
      <c r="E83" s="28">
        <f t="shared" si="2"/>
        <v>3.8589743589743577</v>
      </c>
      <c r="G83" s="28">
        <f t="shared" si="3"/>
        <v>6.2142132155231941E-2</v>
      </c>
      <c r="L83" s="28"/>
    </row>
    <row r="84" spans="1:12" x14ac:dyDescent="0.2">
      <c r="A84" s="27">
        <v>13</v>
      </c>
      <c r="B84" s="27">
        <v>1</v>
      </c>
      <c r="C84" s="27"/>
      <c r="D84" s="28">
        <v>16.858974358974358</v>
      </c>
      <c r="E84" s="28">
        <f t="shared" si="2"/>
        <v>3.8589743589743577</v>
      </c>
      <c r="G84" s="28">
        <f t="shared" si="3"/>
        <v>6.2142132155231941E-2</v>
      </c>
      <c r="L84" s="28"/>
    </row>
    <row r="85" spans="1:12" x14ac:dyDescent="0.2">
      <c r="A85" s="27">
        <v>14</v>
      </c>
      <c r="B85" s="27">
        <v>1</v>
      </c>
      <c r="C85" s="27"/>
      <c r="D85" s="28">
        <v>16.858974358974358</v>
      </c>
      <c r="E85" s="28">
        <f t="shared" si="2"/>
        <v>2.8589743589743577</v>
      </c>
      <c r="G85" s="28">
        <f t="shared" si="3"/>
        <v>7.4803820711623142E-2</v>
      </c>
      <c r="L85" s="28"/>
    </row>
    <row r="86" spans="1:12" x14ac:dyDescent="0.2">
      <c r="A86" s="27">
        <v>14</v>
      </c>
      <c r="B86" s="27">
        <v>1</v>
      </c>
      <c r="C86" s="27"/>
      <c r="D86" s="28">
        <v>16.858974358974358</v>
      </c>
      <c r="E86" s="28">
        <f t="shared" si="2"/>
        <v>2.8589743589743577</v>
      </c>
      <c r="G86" s="28">
        <f t="shared" si="3"/>
        <v>7.4803820711623142E-2</v>
      </c>
      <c r="L86" s="28"/>
    </row>
    <row r="87" spans="1:12" x14ac:dyDescent="0.2">
      <c r="A87" s="27">
        <v>13</v>
      </c>
      <c r="B87" s="27">
        <v>1</v>
      </c>
      <c r="C87" s="27"/>
      <c r="D87" s="28">
        <v>16.858974358974358</v>
      </c>
      <c r="E87" s="28">
        <f t="shared" si="2"/>
        <v>3.8589743589743577</v>
      </c>
      <c r="G87" s="28">
        <f t="shared" si="3"/>
        <v>6.2142132155231941E-2</v>
      </c>
      <c r="L87" s="28"/>
    </row>
    <row r="88" spans="1:12" x14ac:dyDescent="0.2">
      <c r="A88" s="27">
        <v>13</v>
      </c>
      <c r="B88" s="27">
        <v>1</v>
      </c>
      <c r="C88" s="27"/>
      <c r="D88" s="28">
        <v>16.858974358974358</v>
      </c>
      <c r="E88" s="28">
        <f t="shared" si="2"/>
        <v>3.8589743589743577</v>
      </c>
      <c r="G88" s="28">
        <f t="shared" si="3"/>
        <v>6.2142132155231941E-2</v>
      </c>
      <c r="L88" s="28"/>
    </row>
    <row r="89" spans="1:12" x14ac:dyDescent="0.2">
      <c r="A89" s="27">
        <v>13</v>
      </c>
      <c r="B89" s="27">
        <v>1</v>
      </c>
      <c r="C89" s="27"/>
      <c r="D89" s="28">
        <v>16.858974358974358</v>
      </c>
      <c r="E89" s="28">
        <f t="shared" si="2"/>
        <v>3.8589743589743577</v>
      </c>
      <c r="G89" s="28">
        <f t="shared" si="3"/>
        <v>6.2142132155231941E-2</v>
      </c>
      <c r="L89" s="28"/>
    </row>
    <row r="90" spans="1:12" x14ac:dyDescent="0.2">
      <c r="A90" s="27">
        <v>11</v>
      </c>
      <c r="B90" s="27">
        <v>1</v>
      </c>
      <c r="C90" s="27"/>
      <c r="D90" s="28">
        <v>16.858974358974358</v>
      </c>
      <c r="E90" s="28">
        <f t="shared" si="2"/>
        <v>5.8589743589743577</v>
      </c>
      <c r="G90" s="28">
        <f t="shared" si="3"/>
        <v>3.6339616015446226E-2</v>
      </c>
      <c r="L90" s="28"/>
    </row>
    <row r="91" spans="1:12" x14ac:dyDescent="0.2">
      <c r="A91" s="27">
        <v>13</v>
      </c>
      <c r="B91" s="27">
        <v>1</v>
      </c>
      <c r="C91" s="27"/>
      <c r="D91" s="28">
        <v>16.858974358974358</v>
      </c>
      <c r="E91" s="28">
        <f t="shared" si="2"/>
        <v>3.8589743589743577</v>
      </c>
      <c r="G91" s="28">
        <f t="shared" si="3"/>
        <v>6.2142132155231941E-2</v>
      </c>
      <c r="L91" s="28"/>
    </row>
    <row r="92" spans="1:12" x14ac:dyDescent="0.2">
      <c r="A92" s="27">
        <v>18</v>
      </c>
      <c r="B92" s="27">
        <v>1</v>
      </c>
      <c r="C92" s="27"/>
      <c r="D92" s="28">
        <v>16.858974358974358</v>
      </c>
      <c r="E92" s="28">
        <f t="shared" si="2"/>
        <v>-1.1410256410256423</v>
      </c>
      <c r="G92" s="28">
        <f t="shared" si="3"/>
        <v>9.0428595220514676E-2</v>
      </c>
      <c r="L92" s="28"/>
    </row>
    <row r="93" spans="1:12" x14ac:dyDescent="0.2">
      <c r="A93" s="27">
        <v>18</v>
      </c>
      <c r="B93" s="27">
        <v>1</v>
      </c>
      <c r="C93" s="27"/>
      <c r="D93" s="28">
        <v>16.858974358974358</v>
      </c>
      <c r="E93" s="28">
        <f t="shared" si="2"/>
        <v>-1.1410256410256423</v>
      </c>
      <c r="G93" s="28">
        <f t="shared" si="3"/>
        <v>9.0428595220514676E-2</v>
      </c>
      <c r="L93" s="28"/>
    </row>
    <row r="94" spans="1:12" x14ac:dyDescent="0.2">
      <c r="A94" s="27">
        <v>17</v>
      </c>
      <c r="B94" s="27">
        <v>1</v>
      </c>
      <c r="C94" s="27"/>
      <c r="D94" s="28">
        <v>16.858974358974358</v>
      </c>
      <c r="E94" s="28">
        <f t="shared" si="2"/>
        <v>-0.1410256410256423</v>
      </c>
      <c r="G94" s="28">
        <f t="shared" si="3"/>
        <v>9.3686186441259228E-2</v>
      </c>
      <c r="L94" s="28"/>
    </row>
    <row r="95" spans="1:12" x14ac:dyDescent="0.2">
      <c r="A95" s="27">
        <v>16</v>
      </c>
      <c r="B95" s="27">
        <v>1</v>
      </c>
      <c r="C95" s="27"/>
      <c r="D95" s="28">
        <v>16.858974358974358</v>
      </c>
      <c r="E95" s="28">
        <f t="shared" si="2"/>
        <v>0.8589743589743577</v>
      </c>
      <c r="G95" s="28">
        <f t="shared" si="3"/>
        <v>9.1847742433773194E-2</v>
      </c>
      <c r="L95" s="28"/>
    </row>
    <row r="96" spans="1:12" x14ac:dyDescent="0.2">
      <c r="A96" s="27">
        <v>15</v>
      </c>
      <c r="B96" s="27">
        <v>1</v>
      </c>
      <c r="C96" s="27"/>
      <c r="D96" s="28">
        <v>16.858974358974358</v>
      </c>
      <c r="E96" s="28">
        <f t="shared" si="2"/>
        <v>1.8589743589743577</v>
      </c>
      <c r="G96" s="28">
        <f t="shared" si="3"/>
        <v>8.5208821600122359E-2</v>
      </c>
      <c r="L96" s="28"/>
    </row>
    <row r="97" spans="1:12" x14ac:dyDescent="0.2">
      <c r="A97" s="27">
        <v>15</v>
      </c>
      <c r="B97" s="27">
        <v>1</v>
      </c>
      <c r="C97" s="27"/>
      <c r="D97" s="28">
        <v>16.858974358974358</v>
      </c>
      <c r="E97" s="28">
        <f t="shared" si="2"/>
        <v>1.8589743589743577</v>
      </c>
      <c r="G97" s="28">
        <f t="shared" si="3"/>
        <v>8.5208821600122359E-2</v>
      </c>
      <c r="L97" s="28"/>
    </row>
    <row r="98" spans="1:12" x14ac:dyDescent="0.2">
      <c r="A98" s="27">
        <v>15</v>
      </c>
      <c r="B98" s="27">
        <v>1</v>
      </c>
      <c r="C98" s="27"/>
      <c r="D98" s="28">
        <v>16.858974358974358</v>
      </c>
      <c r="E98" s="28">
        <f t="shared" si="2"/>
        <v>1.8589743589743577</v>
      </c>
      <c r="G98" s="28">
        <f t="shared" si="3"/>
        <v>8.5208821600122359E-2</v>
      </c>
      <c r="L98" s="28"/>
    </row>
    <row r="99" spans="1:12" x14ac:dyDescent="0.2">
      <c r="A99" s="27">
        <v>15</v>
      </c>
      <c r="B99" s="27">
        <v>1</v>
      </c>
      <c r="C99" s="27"/>
      <c r="D99" s="28">
        <v>16.858974358974358</v>
      </c>
      <c r="E99" s="28">
        <f t="shared" si="2"/>
        <v>1.8589743589743577</v>
      </c>
      <c r="G99" s="28">
        <f t="shared" si="3"/>
        <v>8.5208821600122359E-2</v>
      </c>
      <c r="L99" s="28"/>
    </row>
    <row r="100" spans="1:12" x14ac:dyDescent="0.2">
      <c r="A100" s="27">
        <v>14</v>
      </c>
      <c r="B100" s="27">
        <v>1</v>
      </c>
      <c r="C100" s="27"/>
      <c r="D100" s="28">
        <v>16.858974358974358</v>
      </c>
      <c r="E100" s="28">
        <f t="shared" si="2"/>
        <v>2.8589743589743577</v>
      </c>
      <c r="G100" s="28">
        <f t="shared" si="3"/>
        <v>7.4803820711623142E-2</v>
      </c>
      <c r="L100" s="28"/>
    </row>
    <row r="101" spans="1:12" x14ac:dyDescent="0.2">
      <c r="A101" s="27">
        <v>28</v>
      </c>
      <c r="B101" s="27">
        <v>1</v>
      </c>
      <c r="C101" s="27"/>
      <c r="D101" s="28">
        <v>16.858974358974358</v>
      </c>
      <c r="E101" s="28">
        <f t="shared" si="2"/>
        <v>-11.141025641025642</v>
      </c>
      <c r="G101" s="28">
        <f t="shared" si="3"/>
        <v>3.0470611306731058E-3</v>
      </c>
      <c r="L101" s="28"/>
    </row>
    <row r="102" spans="1:12" x14ac:dyDescent="0.2">
      <c r="A102" s="27">
        <v>24</v>
      </c>
      <c r="B102" s="27">
        <v>1</v>
      </c>
      <c r="C102" s="27"/>
      <c r="D102" s="28">
        <v>16.858974358974358</v>
      </c>
      <c r="E102" s="28">
        <f t="shared" si="2"/>
        <v>-7.1410256410256423</v>
      </c>
      <c r="G102" s="28">
        <f t="shared" si="3"/>
        <v>2.293893420103504E-2</v>
      </c>
      <c r="L102" s="28"/>
    </row>
    <row r="103" spans="1:12" x14ac:dyDescent="0.2">
      <c r="A103" s="27">
        <v>25</v>
      </c>
      <c r="B103" s="27">
        <v>1</v>
      </c>
      <c r="C103" s="27"/>
      <c r="D103" s="28">
        <v>16.858974358974358</v>
      </c>
      <c r="E103" s="28">
        <f t="shared" si="2"/>
        <v>-8.1410256410256423</v>
      </c>
      <c r="G103" s="28">
        <f t="shared" si="3"/>
        <v>1.5044075220828471E-2</v>
      </c>
      <c r="L103" s="28"/>
    </row>
    <row r="104" spans="1:12" x14ac:dyDescent="0.2">
      <c r="A104" s="27">
        <v>23</v>
      </c>
      <c r="B104" s="27">
        <v>1</v>
      </c>
      <c r="C104" s="27"/>
      <c r="D104" s="28">
        <v>16.858974358974358</v>
      </c>
      <c r="E104" s="28">
        <f t="shared" si="2"/>
        <v>-6.1410256410256423</v>
      </c>
      <c r="G104" s="28">
        <f t="shared" si="3"/>
        <v>3.3098180744967454E-2</v>
      </c>
      <c r="L104" s="28"/>
    </row>
    <row r="105" spans="1:12" x14ac:dyDescent="0.2">
      <c r="A105" s="27">
        <v>24</v>
      </c>
      <c r="B105" s="27">
        <v>1</v>
      </c>
      <c r="C105" s="27"/>
      <c r="D105" s="28">
        <v>16.858974358974358</v>
      </c>
      <c r="E105" s="28">
        <f t="shared" si="2"/>
        <v>-7.1410256410256423</v>
      </c>
      <c r="G105" s="28">
        <f t="shared" si="3"/>
        <v>2.293893420103504E-2</v>
      </c>
      <c r="L105" s="28"/>
    </row>
    <row r="106" spans="1:12" x14ac:dyDescent="0.2">
      <c r="A106" s="27">
        <v>26</v>
      </c>
      <c r="B106" s="27">
        <v>1</v>
      </c>
      <c r="C106" s="27"/>
      <c r="D106" s="28">
        <v>16.858974358974358</v>
      </c>
      <c r="E106" s="28">
        <f t="shared" si="2"/>
        <v>-9.1410256410256423</v>
      </c>
      <c r="G106" s="28">
        <f t="shared" si="3"/>
        <v>9.3364312813032559E-3</v>
      </c>
      <c r="L106" s="28"/>
    </row>
    <row r="107" spans="1:12" x14ac:dyDescent="0.2">
      <c r="A107" s="27">
        <v>25</v>
      </c>
      <c r="B107" s="27">
        <v>1</v>
      </c>
      <c r="C107" s="27"/>
      <c r="D107" s="28">
        <v>16.858974358974358</v>
      </c>
      <c r="E107" s="28">
        <f t="shared" si="2"/>
        <v>-8.1410256410256423</v>
      </c>
      <c r="G107" s="28">
        <f t="shared" si="3"/>
        <v>1.5044075220828471E-2</v>
      </c>
      <c r="L107" s="28"/>
    </row>
    <row r="108" spans="1:12" x14ac:dyDescent="0.2">
      <c r="A108" s="27">
        <v>24</v>
      </c>
      <c r="B108" s="27">
        <v>1</v>
      </c>
      <c r="C108" s="27"/>
      <c r="D108" s="28">
        <v>16.858974358974358</v>
      </c>
      <c r="E108" s="28">
        <f t="shared" si="2"/>
        <v>-7.1410256410256423</v>
      </c>
      <c r="G108" s="28">
        <f t="shared" si="3"/>
        <v>2.293893420103504E-2</v>
      </c>
      <c r="L108" s="28"/>
    </row>
    <row r="109" spans="1:12" x14ac:dyDescent="0.2">
      <c r="A109" s="27">
        <v>21</v>
      </c>
      <c r="B109" s="27">
        <v>1</v>
      </c>
      <c r="C109" s="27"/>
      <c r="D109" s="28">
        <v>16.858974358974358</v>
      </c>
      <c r="E109" s="28">
        <f t="shared" si="2"/>
        <v>-4.1410256410256423</v>
      </c>
      <c r="G109" s="28">
        <f t="shared" si="3"/>
        <v>5.8389578885814829E-2</v>
      </c>
      <c r="L109" s="28"/>
    </row>
    <row r="110" spans="1:12" x14ac:dyDescent="0.2">
      <c r="A110" s="27">
        <v>18</v>
      </c>
      <c r="B110" s="27">
        <v>1</v>
      </c>
      <c r="C110" s="27"/>
      <c r="D110" s="28">
        <v>16.858974358974358</v>
      </c>
      <c r="E110" s="28">
        <f t="shared" si="2"/>
        <v>-1.1410256410256423</v>
      </c>
      <c r="G110" s="28">
        <f t="shared" si="3"/>
        <v>9.0428595220514676E-2</v>
      </c>
      <c r="L110" s="28"/>
    </row>
    <row r="111" spans="1:12" x14ac:dyDescent="0.2">
      <c r="A111" s="27">
        <v>18</v>
      </c>
      <c r="B111" s="27">
        <v>1</v>
      </c>
      <c r="C111" s="27"/>
      <c r="D111" s="28">
        <v>16.858974358974358</v>
      </c>
      <c r="E111" s="28">
        <f t="shared" si="2"/>
        <v>-1.1410256410256423</v>
      </c>
      <c r="G111" s="28">
        <f t="shared" si="3"/>
        <v>9.0428595220514676E-2</v>
      </c>
      <c r="L111" s="28"/>
    </row>
    <row r="112" spans="1:12" x14ac:dyDescent="0.2">
      <c r="A112" s="27">
        <v>21</v>
      </c>
      <c r="B112" s="27">
        <v>1</v>
      </c>
      <c r="C112" s="27"/>
      <c r="D112" s="28">
        <v>16.858974358974358</v>
      </c>
      <c r="E112" s="28">
        <f t="shared" si="2"/>
        <v>-4.1410256410256423</v>
      </c>
      <c r="G112" s="28">
        <f t="shared" si="3"/>
        <v>5.8389578885814829E-2</v>
      </c>
      <c r="L112" s="28"/>
    </row>
    <row r="113" spans="1:12" x14ac:dyDescent="0.2">
      <c r="A113" s="27">
        <v>21</v>
      </c>
      <c r="B113" s="27">
        <v>1</v>
      </c>
      <c r="C113" s="27"/>
      <c r="D113" s="28">
        <v>16.858974358974358</v>
      </c>
      <c r="E113" s="28">
        <f t="shared" si="2"/>
        <v>-4.1410256410256423</v>
      </c>
      <c r="G113" s="28">
        <f t="shared" si="3"/>
        <v>5.8389578885814829E-2</v>
      </c>
      <c r="L113" s="28"/>
    </row>
    <row r="114" spans="1:12" x14ac:dyDescent="0.2">
      <c r="A114" s="27">
        <v>18</v>
      </c>
      <c r="B114" s="27">
        <v>1</v>
      </c>
      <c r="C114" s="27"/>
      <c r="D114" s="28">
        <v>16.858974358974358</v>
      </c>
      <c r="E114" s="28">
        <f t="shared" si="2"/>
        <v>-1.1410256410256423</v>
      </c>
      <c r="G114" s="28">
        <f t="shared" si="3"/>
        <v>9.0428595220514676E-2</v>
      </c>
      <c r="L114" s="28"/>
    </row>
    <row r="115" spans="1:12" x14ac:dyDescent="0.2">
      <c r="A115" s="27">
        <v>18</v>
      </c>
      <c r="B115" s="27">
        <v>1</v>
      </c>
      <c r="C115" s="27"/>
      <c r="D115" s="28">
        <v>16.858974358974358</v>
      </c>
      <c r="E115" s="28">
        <f t="shared" si="2"/>
        <v>-1.1410256410256423</v>
      </c>
      <c r="G115" s="28">
        <f t="shared" si="3"/>
        <v>9.0428595220514676E-2</v>
      </c>
      <c r="L115" s="28"/>
    </row>
    <row r="116" spans="1:12" x14ac:dyDescent="0.2">
      <c r="A116" s="27">
        <v>19</v>
      </c>
      <c r="B116" s="27">
        <v>1</v>
      </c>
      <c r="C116" s="27"/>
      <c r="D116" s="28">
        <v>16.858974358974358</v>
      </c>
      <c r="E116" s="28">
        <f t="shared" si="2"/>
        <v>-2.1410256410256423</v>
      </c>
      <c r="G116" s="28">
        <f t="shared" si="3"/>
        <v>8.2596026638649928E-2</v>
      </c>
      <c r="L116" s="28"/>
    </row>
    <row r="117" spans="1:12" x14ac:dyDescent="0.2">
      <c r="A117" s="27">
        <v>19</v>
      </c>
      <c r="B117" s="27">
        <v>1</v>
      </c>
      <c r="C117" s="27"/>
      <c r="D117" s="28">
        <v>16.858974358974358</v>
      </c>
      <c r="E117" s="28">
        <f t="shared" si="2"/>
        <v>-2.1410256410256423</v>
      </c>
      <c r="G117" s="28">
        <f t="shared" si="3"/>
        <v>8.2596026638649928E-2</v>
      </c>
      <c r="L117" s="28"/>
    </row>
    <row r="118" spans="1:12" x14ac:dyDescent="0.2">
      <c r="A118" s="27">
        <v>19</v>
      </c>
      <c r="B118" s="27">
        <v>1</v>
      </c>
      <c r="C118" s="27"/>
      <c r="D118" s="28">
        <v>16.858974358974358</v>
      </c>
      <c r="E118" s="28">
        <f t="shared" si="2"/>
        <v>-2.1410256410256423</v>
      </c>
      <c r="G118" s="28">
        <f t="shared" si="3"/>
        <v>8.2596026638649928E-2</v>
      </c>
      <c r="L118" s="28"/>
    </row>
    <row r="119" spans="1:12" x14ac:dyDescent="0.2">
      <c r="A119" s="27">
        <v>20</v>
      </c>
      <c r="B119" s="27">
        <v>1</v>
      </c>
      <c r="C119" s="27"/>
      <c r="D119" s="28">
        <v>16.858974358974358</v>
      </c>
      <c r="E119" s="28">
        <f t="shared" si="2"/>
        <v>-3.1410256410256423</v>
      </c>
      <c r="G119" s="28">
        <f t="shared" si="3"/>
        <v>7.138971945227178E-2</v>
      </c>
      <c r="L119" s="28"/>
    </row>
    <row r="120" spans="1:12" x14ac:dyDescent="0.2">
      <c r="A120" s="27">
        <v>20</v>
      </c>
      <c r="B120" s="27">
        <v>1</v>
      </c>
      <c r="C120" s="27"/>
      <c r="D120" s="28">
        <v>16.858974358974358</v>
      </c>
      <c r="E120" s="28">
        <f t="shared" si="2"/>
        <v>-3.1410256410256423</v>
      </c>
      <c r="G120" s="28">
        <f t="shared" si="3"/>
        <v>7.138971945227178E-2</v>
      </c>
      <c r="L120" s="28"/>
    </row>
    <row r="121" spans="1:12" x14ac:dyDescent="0.2">
      <c r="A121" s="27">
        <v>17</v>
      </c>
      <c r="B121" s="27">
        <v>1</v>
      </c>
      <c r="C121" s="27"/>
      <c r="D121" s="28">
        <v>16.858974358974358</v>
      </c>
      <c r="E121" s="28">
        <f t="shared" si="2"/>
        <v>-0.1410256410256423</v>
      </c>
      <c r="G121" s="28">
        <f t="shared" si="3"/>
        <v>9.3686186441259228E-2</v>
      </c>
      <c r="L121" s="28"/>
    </row>
    <row r="122" spans="1:12" x14ac:dyDescent="0.2">
      <c r="A122" s="27">
        <v>16</v>
      </c>
      <c r="B122" s="27">
        <v>1</v>
      </c>
      <c r="C122" s="27"/>
      <c r="D122" s="28">
        <v>16.858974358974358</v>
      </c>
      <c r="E122" s="28">
        <f t="shared" si="2"/>
        <v>0.8589743589743577</v>
      </c>
      <c r="G122" s="28">
        <f t="shared" si="3"/>
        <v>9.1847742433773194E-2</v>
      </c>
      <c r="L122" s="28"/>
    </row>
    <row r="123" spans="1:12" x14ac:dyDescent="0.2">
      <c r="A123" s="27">
        <v>17</v>
      </c>
      <c r="B123" s="27">
        <v>1</v>
      </c>
      <c r="C123" s="27"/>
      <c r="D123" s="28">
        <v>16.858974358974358</v>
      </c>
      <c r="E123" s="28">
        <f t="shared" si="2"/>
        <v>-0.1410256410256423</v>
      </c>
      <c r="G123" s="28">
        <f t="shared" si="3"/>
        <v>9.3686186441259228E-2</v>
      </c>
      <c r="L123" s="28"/>
    </row>
    <row r="124" spans="1:12" x14ac:dyDescent="0.2">
      <c r="A124" s="27">
        <v>17</v>
      </c>
      <c r="B124" s="27">
        <v>1</v>
      </c>
      <c r="C124" s="27"/>
      <c r="D124" s="28">
        <v>16.858974358974358</v>
      </c>
      <c r="E124" s="28">
        <f t="shared" si="2"/>
        <v>-0.1410256410256423</v>
      </c>
      <c r="G124" s="28">
        <f t="shared" si="3"/>
        <v>9.3686186441259228E-2</v>
      </c>
      <c r="L124" s="28"/>
    </row>
    <row r="125" spans="1:12" x14ac:dyDescent="0.2">
      <c r="A125" s="27">
        <v>15</v>
      </c>
      <c r="B125" s="27">
        <v>1</v>
      </c>
      <c r="C125" s="27"/>
      <c r="D125" s="28">
        <v>16.858974358974358</v>
      </c>
      <c r="E125" s="28">
        <f t="shared" si="2"/>
        <v>1.8589743589743577</v>
      </c>
      <c r="G125" s="28">
        <f t="shared" si="3"/>
        <v>8.5208821600122359E-2</v>
      </c>
      <c r="L125" s="28"/>
    </row>
    <row r="126" spans="1:12" x14ac:dyDescent="0.2">
      <c r="A126" s="27">
        <v>15</v>
      </c>
      <c r="B126" s="27">
        <v>1</v>
      </c>
      <c r="C126" s="27"/>
      <c r="D126" s="28">
        <v>16.858974358974358</v>
      </c>
      <c r="E126" s="28">
        <f t="shared" si="2"/>
        <v>1.8589743589743577</v>
      </c>
      <c r="G126" s="28">
        <f t="shared" si="3"/>
        <v>8.5208821600122359E-2</v>
      </c>
      <c r="L126" s="28"/>
    </row>
    <row r="127" spans="1:12" x14ac:dyDescent="0.2">
      <c r="A127" s="27">
        <v>14</v>
      </c>
      <c r="B127" s="27">
        <v>1</v>
      </c>
      <c r="C127" s="27"/>
      <c r="D127" s="28">
        <v>16.858974358974358</v>
      </c>
      <c r="E127" s="28">
        <f t="shared" si="2"/>
        <v>2.8589743589743577</v>
      </c>
      <c r="G127" s="28">
        <f t="shared" si="3"/>
        <v>7.4803820711623142E-2</v>
      </c>
      <c r="L127" s="28"/>
    </row>
    <row r="128" spans="1:12" x14ac:dyDescent="0.2">
      <c r="A128" s="27">
        <v>9</v>
      </c>
      <c r="B128" s="27">
        <v>1</v>
      </c>
      <c r="C128" s="27"/>
      <c r="D128" s="28">
        <v>16.858974358974358</v>
      </c>
      <c r="E128" s="28">
        <f t="shared" si="2"/>
        <v>7.8589743589743577</v>
      </c>
      <c r="G128" s="28">
        <f t="shared" si="3"/>
        <v>1.7039902700084295E-2</v>
      </c>
      <c r="L128" s="28"/>
    </row>
    <row r="129" spans="1:12" x14ac:dyDescent="0.2">
      <c r="A129" s="27">
        <v>14</v>
      </c>
      <c r="B129" s="27">
        <v>1</v>
      </c>
      <c r="C129" s="27"/>
      <c r="D129" s="28">
        <v>16.858974358974358</v>
      </c>
      <c r="E129" s="28">
        <f t="shared" si="2"/>
        <v>2.8589743589743577</v>
      </c>
      <c r="G129" s="28">
        <f t="shared" si="3"/>
        <v>7.4803820711623142E-2</v>
      </c>
      <c r="L129" s="28"/>
    </row>
    <row r="130" spans="1:12" x14ac:dyDescent="0.2">
      <c r="A130" s="27">
        <v>13</v>
      </c>
      <c r="B130" s="27">
        <v>1</v>
      </c>
      <c r="C130" s="27"/>
      <c r="D130" s="28">
        <v>16.858974358974358</v>
      </c>
      <c r="E130" s="28">
        <f t="shared" si="2"/>
        <v>3.8589743589743577</v>
      </c>
      <c r="G130" s="28">
        <f t="shared" si="3"/>
        <v>6.2142132155231941E-2</v>
      </c>
      <c r="L130" s="28"/>
    </row>
    <row r="131" spans="1:12" x14ac:dyDescent="0.2">
      <c r="A131" s="27">
        <v>11</v>
      </c>
      <c r="B131" s="27">
        <v>1</v>
      </c>
      <c r="C131" s="27"/>
      <c r="D131" s="28">
        <v>16.858974358974358</v>
      </c>
      <c r="E131" s="28">
        <f t="shared" ref="E131:E194" si="4">D131-A131</f>
        <v>5.8589743589743577</v>
      </c>
      <c r="G131" s="28">
        <f t="shared" ref="G131:G194" si="5">_xlfn.NORM.DIST(E131,0,$F$2,FALSE)</f>
        <v>3.6339616015446226E-2</v>
      </c>
      <c r="L131" s="28"/>
    </row>
    <row r="132" spans="1:12" x14ac:dyDescent="0.2">
      <c r="A132" s="27">
        <v>11</v>
      </c>
      <c r="B132" s="27">
        <v>1</v>
      </c>
      <c r="C132" s="27"/>
      <c r="D132" s="28">
        <v>16.858974358974358</v>
      </c>
      <c r="E132" s="28">
        <f t="shared" si="4"/>
        <v>5.8589743589743577</v>
      </c>
      <c r="G132" s="28">
        <f t="shared" si="5"/>
        <v>3.6339616015446226E-2</v>
      </c>
      <c r="L132" s="28"/>
    </row>
    <row r="133" spans="1:12" x14ac:dyDescent="0.2">
      <c r="A133" s="27">
        <v>12</v>
      </c>
      <c r="B133" s="27">
        <v>1</v>
      </c>
      <c r="C133" s="27"/>
      <c r="D133" s="28">
        <v>16.858974358974358</v>
      </c>
      <c r="E133" s="28">
        <f t="shared" si="4"/>
        <v>4.8589743589743577</v>
      </c>
      <c r="G133" s="28">
        <f t="shared" si="5"/>
        <v>4.8850798619149906E-2</v>
      </c>
      <c r="L133" s="28"/>
    </row>
    <row r="134" spans="1:12" x14ac:dyDescent="0.2">
      <c r="A134" s="27">
        <v>12</v>
      </c>
      <c r="B134" s="27">
        <v>1</v>
      </c>
      <c r="C134" s="27"/>
      <c r="D134" s="28">
        <v>16.858974358974358</v>
      </c>
      <c r="E134" s="28">
        <f t="shared" si="4"/>
        <v>4.8589743589743577</v>
      </c>
      <c r="G134" s="28">
        <f t="shared" si="5"/>
        <v>4.8850798619149906E-2</v>
      </c>
      <c r="L134" s="28"/>
    </row>
    <row r="135" spans="1:12" x14ac:dyDescent="0.2">
      <c r="A135" s="27">
        <v>11</v>
      </c>
      <c r="B135" s="27">
        <v>1</v>
      </c>
      <c r="C135" s="27"/>
      <c r="D135" s="28">
        <v>16.858974358974358</v>
      </c>
      <c r="E135" s="28">
        <f t="shared" si="4"/>
        <v>5.8589743589743577</v>
      </c>
      <c r="G135" s="28">
        <f t="shared" si="5"/>
        <v>3.6339616015446226E-2</v>
      </c>
      <c r="L135" s="28"/>
    </row>
    <row r="136" spans="1:12" x14ac:dyDescent="0.2">
      <c r="A136" s="27">
        <v>11</v>
      </c>
      <c r="B136" s="27">
        <v>1</v>
      </c>
      <c r="C136" s="27"/>
      <c r="D136" s="28">
        <v>16.858974358974358</v>
      </c>
      <c r="E136" s="28">
        <f t="shared" si="4"/>
        <v>5.8589743589743577</v>
      </c>
      <c r="G136" s="28">
        <f t="shared" si="5"/>
        <v>3.6339616015446226E-2</v>
      </c>
      <c r="L136" s="28"/>
    </row>
    <row r="137" spans="1:12" x14ac:dyDescent="0.2">
      <c r="A137" s="27">
        <v>11</v>
      </c>
      <c r="B137" s="27">
        <v>1</v>
      </c>
      <c r="C137" s="27"/>
      <c r="D137" s="28">
        <v>16.858974358974358</v>
      </c>
      <c r="E137" s="28">
        <f t="shared" si="4"/>
        <v>5.8589743589743577</v>
      </c>
      <c r="G137" s="28">
        <f t="shared" si="5"/>
        <v>3.6339616015446226E-2</v>
      </c>
      <c r="L137" s="28"/>
    </row>
    <row r="138" spans="1:12" x14ac:dyDescent="0.2">
      <c r="A138" s="27">
        <v>12</v>
      </c>
      <c r="B138" s="27">
        <v>1</v>
      </c>
      <c r="C138" s="27"/>
      <c r="D138" s="28">
        <v>16.858974358974358</v>
      </c>
      <c r="E138" s="28">
        <f t="shared" si="4"/>
        <v>4.8589743589743577</v>
      </c>
      <c r="G138" s="28">
        <f t="shared" si="5"/>
        <v>4.8850798619149906E-2</v>
      </c>
      <c r="L138" s="28"/>
    </row>
    <row r="139" spans="1:12" x14ac:dyDescent="0.2">
      <c r="A139" s="27">
        <v>14</v>
      </c>
      <c r="B139" s="27">
        <v>1</v>
      </c>
      <c r="C139" s="27"/>
      <c r="D139" s="28">
        <v>16.858974358974358</v>
      </c>
      <c r="E139" s="28">
        <f t="shared" si="4"/>
        <v>2.8589743589743577</v>
      </c>
      <c r="G139" s="28">
        <f t="shared" si="5"/>
        <v>7.4803820711623142E-2</v>
      </c>
      <c r="L139" s="28"/>
    </row>
    <row r="140" spans="1:12" x14ac:dyDescent="0.2">
      <c r="A140" s="27">
        <v>13</v>
      </c>
      <c r="B140" s="27">
        <v>1</v>
      </c>
      <c r="C140" s="27"/>
      <c r="D140" s="28">
        <v>16.858974358974358</v>
      </c>
      <c r="E140" s="28">
        <f t="shared" si="4"/>
        <v>3.8589743589743577</v>
      </c>
      <c r="G140" s="28">
        <f t="shared" si="5"/>
        <v>6.2142132155231941E-2</v>
      </c>
      <c r="L140" s="28"/>
    </row>
    <row r="141" spans="1:12" x14ac:dyDescent="0.2">
      <c r="A141" s="27">
        <v>13</v>
      </c>
      <c r="B141" s="27">
        <v>1</v>
      </c>
      <c r="C141" s="27"/>
      <c r="D141" s="28">
        <v>16.858974358974358</v>
      </c>
      <c r="E141" s="28">
        <f t="shared" si="4"/>
        <v>3.8589743589743577</v>
      </c>
      <c r="G141" s="28">
        <f t="shared" si="5"/>
        <v>6.2142132155231941E-2</v>
      </c>
      <c r="L141" s="28"/>
    </row>
    <row r="142" spans="1:12" x14ac:dyDescent="0.2">
      <c r="A142" s="27">
        <v>13</v>
      </c>
      <c r="B142" s="27">
        <v>1</v>
      </c>
      <c r="C142" s="27"/>
      <c r="D142" s="28">
        <v>16.858974358974358</v>
      </c>
      <c r="E142" s="28">
        <f t="shared" si="4"/>
        <v>3.8589743589743577</v>
      </c>
      <c r="G142" s="28">
        <f t="shared" si="5"/>
        <v>6.2142132155231941E-2</v>
      </c>
      <c r="L142" s="28"/>
    </row>
    <row r="143" spans="1:12" x14ac:dyDescent="0.2">
      <c r="A143" s="27">
        <v>21</v>
      </c>
      <c r="B143" s="27">
        <v>1</v>
      </c>
      <c r="C143" s="27"/>
      <c r="D143" s="28">
        <v>16.858974358974358</v>
      </c>
      <c r="E143" s="28">
        <f t="shared" si="4"/>
        <v>-4.1410256410256423</v>
      </c>
      <c r="G143" s="28">
        <f t="shared" si="5"/>
        <v>5.8389578885814829E-2</v>
      </c>
      <c r="L143" s="28"/>
    </row>
    <row r="144" spans="1:12" x14ac:dyDescent="0.2">
      <c r="A144" s="27">
        <v>19</v>
      </c>
      <c r="B144" s="27">
        <v>1</v>
      </c>
      <c r="C144" s="27"/>
      <c r="D144" s="28">
        <v>16.858974358974358</v>
      </c>
      <c r="E144" s="28">
        <f t="shared" si="4"/>
        <v>-2.1410256410256423</v>
      </c>
      <c r="G144" s="28">
        <f t="shared" si="5"/>
        <v>8.2596026638649928E-2</v>
      </c>
      <c r="L144" s="28"/>
    </row>
    <row r="145" spans="1:12" x14ac:dyDescent="0.2">
      <c r="A145" s="27">
        <v>23</v>
      </c>
      <c r="B145" s="27">
        <v>1</v>
      </c>
      <c r="C145" s="27"/>
      <c r="D145" s="28">
        <v>16.858974358974358</v>
      </c>
      <c r="E145" s="28">
        <f t="shared" si="4"/>
        <v>-6.1410256410256423</v>
      </c>
      <c r="G145" s="28">
        <f t="shared" si="5"/>
        <v>3.3098180744967454E-2</v>
      </c>
      <c r="L145" s="28"/>
    </row>
    <row r="146" spans="1:12" x14ac:dyDescent="0.2">
      <c r="A146" s="27">
        <v>23</v>
      </c>
      <c r="B146" s="27">
        <v>1</v>
      </c>
      <c r="C146" s="27"/>
      <c r="D146" s="28">
        <v>16.858974358974358</v>
      </c>
      <c r="E146" s="28">
        <f t="shared" si="4"/>
        <v>-6.1410256410256423</v>
      </c>
      <c r="G146" s="28">
        <f t="shared" si="5"/>
        <v>3.3098180744967454E-2</v>
      </c>
      <c r="L146" s="28"/>
    </row>
    <row r="147" spans="1:12" x14ac:dyDescent="0.2">
      <c r="A147" s="27">
        <v>19</v>
      </c>
      <c r="B147" s="27">
        <v>1</v>
      </c>
      <c r="C147" s="27"/>
      <c r="D147" s="28">
        <v>16.858974358974358</v>
      </c>
      <c r="E147" s="28">
        <f t="shared" si="4"/>
        <v>-2.1410256410256423</v>
      </c>
      <c r="G147" s="28">
        <f t="shared" si="5"/>
        <v>8.2596026638649928E-2</v>
      </c>
      <c r="L147" s="28"/>
    </row>
    <row r="148" spans="1:12" x14ac:dyDescent="0.2">
      <c r="A148" s="27">
        <v>19</v>
      </c>
      <c r="B148" s="27">
        <v>1</v>
      </c>
      <c r="C148" s="27"/>
      <c r="D148" s="28">
        <v>16.858974358974358</v>
      </c>
      <c r="E148" s="28">
        <f t="shared" si="4"/>
        <v>-2.1410256410256423</v>
      </c>
      <c r="G148" s="28">
        <f t="shared" si="5"/>
        <v>8.2596026638649928E-2</v>
      </c>
      <c r="L148" s="28"/>
    </row>
    <row r="149" spans="1:12" x14ac:dyDescent="0.2">
      <c r="A149" s="27">
        <v>18</v>
      </c>
      <c r="B149" s="27">
        <v>1</v>
      </c>
      <c r="C149" s="27"/>
      <c r="D149" s="28">
        <v>16.858974358974358</v>
      </c>
      <c r="E149" s="28">
        <f t="shared" si="4"/>
        <v>-1.1410256410256423</v>
      </c>
      <c r="G149" s="28">
        <f t="shared" si="5"/>
        <v>9.0428595220514676E-2</v>
      </c>
      <c r="L149" s="28"/>
    </row>
    <row r="150" spans="1:12" x14ac:dyDescent="0.2">
      <c r="A150" s="27">
        <v>19</v>
      </c>
      <c r="B150" s="27">
        <v>1</v>
      </c>
      <c r="C150" s="27"/>
      <c r="D150" s="28">
        <v>16.858974358974358</v>
      </c>
      <c r="E150" s="28">
        <f t="shared" si="4"/>
        <v>-2.1410256410256423</v>
      </c>
      <c r="G150" s="28">
        <f t="shared" si="5"/>
        <v>8.2596026638649928E-2</v>
      </c>
      <c r="L150" s="28"/>
    </row>
    <row r="151" spans="1:12" x14ac:dyDescent="0.2">
      <c r="A151" s="27">
        <v>19</v>
      </c>
      <c r="B151" s="27">
        <v>1</v>
      </c>
      <c r="C151" s="27"/>
      <c r="D151" s="28">
        <v>16.858974358974358</v>
      </c>
      <c r="E151" s="28">
        <f t="shared" si="4"/>
        <v>-2.1410256410256423</v>
      </c>
      <c r="G151" s="28">
        <f t="shared" si="5"/>
        <v>8.2596026638649928E-2</v>
      </c>
      <c r="L151" s="28"/>
    </row>
    <row r="152" spans="1:12" x14ac:dyDescent="0.2">
      <c r="A152" s="27">
        <v>14</v>
      </c>
      <c r="B152" s="27">
        <v>1</v>
      </c>
      <c r="C152" s="27"/>
      <c r="D152" s="28">
        <v>16.858974358974358</v>
      </c>
      <c r="E152" s="28">
        <f t="shared" si="4"/>
        <v>2.8589743589743577</v>
      </c>
      <c r="G152" s="28">
        <f t="shared" si="5"/>
        <v>7.4803820711623142E-2</v>
      </c>
      <c r="L152" s="28"/>
    </row>
    <row r="153" spans="1:12" x14ac:dyDescent="0.2">
      <c r="A153" s="27">
        <v>15</v>
      </c>
      <c r="B153" s="27">
        <v>1</v>
      </c>
      <c r="C153" s="27"/>
      <c r="D153" s="28">
        <v>16.858974358974358</v>
      </c>
      <c r="E153" s="28">
        <f t="shared" si="4"/>
        <v>1.8589743589743577</v>
      </c>
      <c r="G153" s="28">
        <f t="shared" si="5"/>
        <v>8.5208821600122359E-2</v>
      </c>
      <c r="L153" s="28"/>
    </row>
    <row r="154" spans="1:12" x14ac:dyDescent="0.2">
      <c r="A154" s="27">
        <v>14</v>
      </c>
      <c r="B154" s="27">
        <v>1</v>
      </c>
      <c r="C154" s="27"/>
      <c r="D154" s="28">
        <v>16.858974358974358</v>
      </c>
      <c r="E154" s="28">
        <f t="shared" si="4"/>
        <v>2.8589743589743577</v>
      </c>
      <c r="G154" s="28">
        <f t="shared" si="5"/>
        <v>7.4803820711623142E-2</v>
      </c>
      <c r="L154" s="28"/>
    </row>
    <row r="155" spans="1:12" x14ac:dyDescent="0.2">
      <c r="A155" s="27">
        <v>12</v>
      </c>
      <c r="B155" s="27">
        <v>1</v>
      </c>
      <c r="C155" s="27"/>
      <c r="D155" s="28">
        <v>16.858974358974358</v>
      </c>
      <c r="E155" s="28">
        <f t="shared" si="4"/>
        <v>4.8589743589743577</v>
      </c>
      <c r="G155" s="28">
        <f t="shared" si="5"/>
        <v>4.8850798619149906E-2</v>
      </c>
      <c r="L155" s="28"/>
    </row>
    <row r="156" spans="1:12" x14ac:dyDescent="0.2">
      <c r="A156" s="27">
        <v>18</v>
      </c>
      <c r="B156" s="27">
        <v>1</v>
      </c>
      <c r="C156" s="27"/>
      <c r="D156" s="28">
        <v>16.858974358974358</v>
      </c>
      <c r="E156" s="28">
        <f t="shared" si="4"/>
        <v>-1.1410256410256423</v>
      </c>
      <c r="G156" s="28">
        <f t="shared" si="5"/>
        <v>9.0428595220514676E-2</v>
      </c>
      <c r="L156" s="28"/>
    </row>
    <row r="157" spans="1:12" x14ac:dyDescent="0.2">
      <c r="A157" s="27">
        <v>16</v>
      </c>
      <c r="B157" s="27">
        <v>1</v>
      </c>
      <c r="C157" s="27"/>
      <c r="D157" s="28">
        <v>16.858974358974358</v>
      </c>
      <c r="E157" s="28">
        <f t="shared" si="4"/>
        <v>0.8589743589743577</v>
      </c>
      <c r="G157" s="28">
        <f t="shared" si="5"/>
        <v>9.1847742433773194E-2</v>
      </c>
      <c r="L157" s="28"/>
    </row>
    <row r="158" spans="1:12" x14ac:dyDescent="0.2">
      <c r="A158" s="27">
        <v>17</v>
      </c>
      <c r="B158" s="27">
        <v>1</v>
      </c>
      <c r="C158" s="27"/>
      <c r="D158" s="28">
        <v>16.858974358974358</v>
      </c>
      <c r="E158" s="28">
        <f t="shared" si="4"/>
        <v>-0.1410256410256423</v>
      </c>
      <c r="G158" s="28">
        <f t="shared" si="5"/>
        <v>9.3686186441259228E-2</v>
      </c>
      <c r="L158" s="28"/>
    </row>
    <row r="159" spans="1:12" x14ac:dyDescent="0.2">
      <c r="A159" s="27">
        <v>18</v>
      </c>
      <c r="B159" s="27">
        <v>1</v>
      </c>
      <c r="C159" s="27"/>
      <c r="D159" s="28">
        <v>16.858974358974358</v>
      </c>
      <c r="E159" s="28">
        <f t="shared" si="4"/>
        <v>-1.1410256410256423</v>
      </c>
      <c r="G159" s="28">
        <f t="shared" si="5"/>
        <v>9.0428595220514676E-2</v>
      </c>
      <c r="L159" s="28"/>
    </row>
    <row r="160" spans="1:12" x14ac:dyDescent="0.2">
      <c r="A160" s="27">
        <v>16</v>
      </c>
      <c r="B160" s="27">
        <v>1</v>
      </c>
      <c r="C160" s="27"/>
      <c r="D160" s="28">
        <v>16.858974358974358</v>
      </c>
      <c r="E160" s="28">
        <f t="shared" si="4"/>
        <v>0.8589743589743577</v>
      </c>
      <c r="G160" s="28">
        <f t="shared" si="5"/>
        <v>9.1847742433773194E-2</v>
      </c>
      <c r="L160" s="28"/>
    </row>
    <row r="161" spans="1:12" x14ac:dyDescent="0.2">
      <c r="A161" s="27">
        <v>18</v>
      </c>
      <c r="B161" s="27">
        <v>1</v>
      </c>
      <c r="C161" s="27"/>
      <c r="D161" s="28">
        <v>16.858974358974358</v>
      </c>
      <c r="E161" s="28">
        <f t="shared" si="4"/>
        <v>-1.1410256410256423</v>
      </c>
      <c r="G161" s="28">
        <f t="shared" si="5"/>
        <v>9.0428595220514676E-2</v>
      </c>
      <c r="L161" s="28"/>
    </row>
    <row r="162" spans="1:12" x14ac:dyDescent="0.2">
      <c r="A162" s="27">
        <v>18</v>
      </c>
      <c r="B162" s="27">
        <v>1</v>
      </c>
      <c r="C162" s="27"/>
      <c r="D162" s="28">
        <v>16.858974358974358</v>
      </c>
      <c r="E162" s="28">
        <f t="shared" si="4"/>
        <v>-1.1410256410256423</v>
      </c>
      <c r="G162" s="28">
        <f t="shared" si="5"/>
        <v>9.0428595220514676E-2</v>
      </c>
      <c r="L162" s="28"/>
    </row>
    <row r="163" spans="1:12" x14ac:dyDescent="0.2">
      <c r="A163" s="27">
        <v>20</v>
      </c>
      <c r="B163" s="27">
        <v>1</v>
      </c>
      <c r="C163" s="27"/>
      <c r="D163" s="28">
        <v>16.858974358974358</v>
      </c>
      <c r="E163" s="28">
        <f t="shared" si="4"/>
        <v>-3.1410256410256423</v>
      </c>
      <c r="G163" s="28">
        <f t="shared" si="5"/>
        <v>7.138971945227178E-2</v>
      </c>
      <c r="L163" s="28"/>
    </row>
    <row r="164" spans="1:12" x14ac:dyDescent="0.2">
      <c r="A164" s="27">
        <v>19</v>
      </c>
      <c r="B164" s="27">
        <v>1</v>
      </c>
      <c r="C164" s="27"/>
      <c r="D164" s="28">
        <v>16.858974358974358</v>
      </c>
      <c r="E164" s="28">
        <f t="shared" si="4"/>
        <v>-2.1410256410256423</v>
      </c>
      <c r="G164" s="28">
        <f t="shared" si="5"/>
        <v>8.2596026638649928E-2</v>
      </c>
      <c r="L164" s="28"/>
    </row>
    <row r="165" spans="1:12" x14ac:dyDescent="0.2">
      <c r="A165" s="27">
        <v>20</v>
      </c>
      <c r="B165" s="27">
        <v>1</v>
      </c>
      <c r="C165" s="27"/>
      <c r="D165" s="28">
        <v>16.858974358974358</v>
      </c>
      <c r="E165" s="28">
        <f t="shared" si="4"/>
        <v>-3.1410256410256423</v>
      </c>
      <c r="G165" s="28">
        <f t="shared" si="5"/>
        <v>7.138971945227178E-2</v>
      </c>
      <c r="L165" s="28"/>
    </row>
    <row r="166" spans="1:12" x14ac:dyDescent="0.2">
      <c r="A166" s="27">
        <v>18</v>
      </c>
      <c r="B166" s="27">
        <v>1</v>
      </c>
      <c r="C166" s="27"/>
      <c r="D166" s="28">
        <v>16.858974358974358</v>
      </c>
      <c r="E166" s="28">
        <f t="shared" si="4"/>
        <v>-1.1410256410256423</v>
      </c>
      <c r="G166" s="28">
        <f t="shared" si="5"/>
        <v>9.0428595220514676E-2</v>
      </c>
      <c r="L166" s="28"/>
    </row>
    <row r="167" spans="1:12" x14ac:dyDescent="0.2">
      <c r="A167" s="27">
        <v>21</v>
      </c>
      <c r="B167" s="27">
        <v>1</v>
      </c>
      <c r="C167" s="27"/>
      <c r="D167" s="28">
        <v>16.858974358974358</v>
      </c>
      <c r="E167" s="28">
        <f t="shared" si="4"/>
        <v>-4.1410256410256423</v>
      </c>
      <c r="G167" s="28">
        <f t="shared" si="5"/>
        <v>5.8389578885814829E-2</v>
      </c>
      <c r="L167" s="28"/>
    </row>
    <row r="168" spans="1:12" x14ac:dyDescent="0.2">
      <c r="A168" s="27">
        <v>19</v>
      </c>
      <c r="B168" s="27">
        <v>1</v>
      </c>
      <c r="C168" s="27"/>
      <c r="D168" s="28">
        <v>16.858974358974358</v>
      </c>
      <c r="E168" s="28">
        <f t="shared" si="4"/>
        <v>-2.1410256410256423</v>
      </c>
      <c r="G168" s="28">
        <f t="shared" si="5"/>
        <v>8.2596026638649928E-2</v>
      </c>
      <c r="L168" s="28"/>
    </row>
    <row r="169" spans="1:12" x14ac:dyDescent="0.2">
      <c r="A169" s="27">
        <v>19</v>
      </c>
      <c r="B169" s="27">
        <v>1</v>
      </c>
      <c r="C169" s="27"/>
      <c r="D169" s="28">
        <v>16.858974358974358</v>
      </c>
      <c r="E169" s="28">
        <f t="shared" si="4"/>
        <v>-2.1410256410256423</v>
      </c>
      <c r="G169" s="28">
        <f t="shared" si="5"/>
        <v>8.2596026638649928E-2</v>
      </c>
      <c r="L169" s="28"/>
    </row>
    <row r="170" spans="1:12" x14ac:dyDescent="0.2">
      <c r="A170" s="27">
        <v>19</v>
      </c>
      <c r="B170" s="27">
        <v>1</v>
      </c>
      <c r="C170" s="27"/>
      <c r="D170" s="28">
        <v>16.858974358974358</v>
      </c>
      <c r="E170" s="28">
        <f t="shared" si="4"/>
        <v>-2.1410256410256423</v>
      </c>
      <c r="G170" s="28">
        <f t="shared" si="5"/>
        <v>8.2596026638649928E-2</v>
      </c>
      <c r="L170" s="28"/>
    </row>
    <row r="171" spans="1:12" x14ac:dyDescent="0.2">
      <c r="A171" s="27">
        <v>20</v>
      </c>
      <c r="B171" s="27">
        <v>1</v>
      </c>
      <c r="C171" s="27"/>
      <c r="D171" s="28">
        <v>16.858974358974358</v>
      </c>
      <c r="E171" s="28">
        <f t="shared" si="4"/>
        <v>-3.1410256410256423</v>
      </c>
      <c r="G171" s="28">
        <f t="shared" si="5"/>
        <v>7.138971945227178E-2</v>
      </c>
      <c r="L171" s="28"/>
    </row>
    <row r="172" spans="1:12" x14ac:dyDescent="0.2">
      <c r="A172" s="27">
        <v>20</v>
      </c>
      <c r="B172" s="27">
        <v>1</v>
      </c>
      <c r="C172" s="27"/>
      <c r="D172" s="28">
        <v>16.858974358974358</v>
      </c>
      <c r="E172" s="28">
        <f t="shared" si="4"/>
        <v>-3.1410256410256423</v>
      </c>
      <c r="G172" s="28">
        <f t="shared" si="5"/>
        <v>7.138971945227178E-2</v>
      </c>
      <c r="L172" s="28"/>
    </row>
    <row r="173" spans="1:12" x14ac:dyDescent="0.2">
      <c r="A173" s="27">
        <v>19</v>
      </c>
      <c r="B173" s="27">
        <v>1</v>
      </c>
      <c r="C173" s="27"/>
      <c r="D173" s="28">
        <v>16.858974358974358</v>
      </c>
      <c r="E173" s="28">
        <f t="shared" si="4"/>
        <v>-2.1410256410256423</v>
      </c>
      <c r="G173" s="28">
        <f t="shared" si="5"/>
        <v>8.2596026638649928E-2</v>
      </c>
      <c r="L173" s="28"/>
    </row>
    <row r="174" spans="1:12" x14ac:dyDescent="0.2">
      <c r="A174" s="27">
        <v>20</v>
      </c>
      <c r="B174" s="27">
        <v>1</v>
      </c>
      <c r="C174" s="27"/>
      <c r="D174" s="28">
        <v>16.858974358974358</v>
      </c>
      <c r="E174" s="28">
        <f t="shared" si="4"/>
        <v>-3.1410256410256423</v>
      </c>
      <c r="G174" s="28">
        <f t="shared" si="5"/>
        <v>7.138971945227178E-2</v>
      </c>
      <c r="L174" s="28"/>
    </row>
    <row r="175" spans="1:12" x14ac:dyDescent="0.2">
      <c r="A175" s="27">
        <v>15</v>
      </c>
      <c r="B175" s="27">
        <v>1</v>
      </c>
      <c r="C175" s="27"/>
      <c r="D175" s="28">
        <v>16.858974358974358</v>
      </c>
      <c r="E175" s="28">
        <f t="shared" si="4"/>
        <v>1.8589743589743577</v>
      </c>
      <c r="G175" s="28">
        <f t="shared" si="5"/>
        <v>8.5208821600122359E-2</v>
      </c>
      <c r="L175" s="28"/>
    </row>
    <row r="176" spans="1:12" x14ac:dyDescent="0.2">
      <c r="A176" s="27">
        <v>16</v>
      </c>
      <c r="B176" s="27">
        <v>1</v>
      </c>
      <c r="C176" s="27"/>
      <c r="D176" s="28">
        <v>16.858974358974358</v>
      </c>
      <c r="E176" s="28">
        <f t="shared" si="4"/>
        <v>0.8589743589743577</v>
      </c>
      <c r="G176" s="28">
        <f t="shared" si="5"/>
        <v>9.1847742433773194E-2</v>
      </c>
      <c r="L176" s="28"/>
    </row>
    <row r="177" spans="1:12" x14ac:dyDescent="0.2">
      <c r="A177" s="27">
        <v>15</v>
      </c>
      <c r="B177" s="27">
        <v>1</v>
      </c>
      <c r="C177" s="27"/>
      <c r="D177" s="28">
        <v>16.858974358974358</v>
      </c>
      <c r="E177" s="28">
        <f t="shared" si="4"/>
        <v>1.8589743589743577</v>
      </c>
      <c r="G177" s="28">
        <f t="shared" si="5"/>
        <v>8.5208821600122359E-2</v>
      </c>
      <c r="L177" s="28"/>
    </row>
    <row r="178" spans="1:12" x14ac:dyDescent="0.2">
      <c r="A178" s="27">
        <v>15</v>
      </c>
      <c r="B178" s="27">
        <v>1</v>
      </c>
      <c r="C178" s="27"/>
      <c r="D178" s="28">
        <v>16.858974358974358</v>
      </c>
      <c r="E178" s="28">
        <f t="shared" si="4"/>
        <v>1.8589743589743577</v>
      </c>
      <c r="G178" s="28">
        <f t="shared" si="5"/>
        <v>8.5208821600122359E-2</v>
      </c>
      <c r="L178" s="28"/>
    </row>
    <row r="179" spans="1:12" x14ac:dyDescent="0.2">
      <c r="A179" s="27">
        <v>16</v>
      </c>
      <c r="B179" s="27">
        <v>1</v>
      </c>
      <c r="C179" s="27"/>
      <c r="D179" s="28">
        <v>16.858974358974358</v>
      </c>
      <c r="E179" s="28">
        <f t="shared" si="4"/>
        <v>0.8589743589743577</v>
      </c>
      <c r="G179" s="28">
        <f t="shared" si="5"/>
        <v>9.1847742433773194E-2</v>
      </c>
      <c r="L179" s="28"/>
    </row>
    <row r="180" spans="1:12" x14ac:dyDescent="0.2">
      <c r="A180" s="27">
        <v>14</v>
      </c>
      <c r="B180" s="27">
        <v>1</v>
      </c>
      <c r="C180" s="27"/>
      <c r="D180" s="28">
        <v>16.858974358974358</v>
      </c>
      <c r="E180" s="28">
        <f t="shared" si="4"/>
        <v>2.8589743589743577</v>
      </c>
      <c r="G180" s="28">
        <f t="shared" si="5"/>
        <v>7.4803820711623142E-2</v>
      </c>
      <c r="L180" s="28"/>
    </row>
    <row r="181" spans="1:12" x14ac:dyDescent="0.2">
      <c r="A181" s="27">
        <v>21</v>
      </c>
      <c r="B181" s="27">
        <v>1</v>
      </c>
      <c r="C181" s="27"/>
      <c r="D181" s="28">
        <v>16.858974358974358</v>
      </c>
      <c r="E181" s="28">
        <f t="shared" si="4"/>
        <v>-4.1410256410256423</v>
      </c>
      <c r="G181" s="28">
        <f t="shared" si="5"/>
        <v>5.8389578885814829E-2</v>
      </c>
      <c r="L181" s="28"/>
    </row>
    <row r="182" spans="1:12" x14ac:dyDescent="0.2">
      <c r="A182" s="27">
        <v>21</v>
      </c>
      <c r="B182" s="27">
        <v>1</v>
      </c>
      <c r="C182" s="27"/>
      <c r="D182" s="28">
        <v>16.858974358974358</v>
      </c>
      <c r="E182" s="28">
        <f t="shared" si="4"/>
        <v>-4.1410256410256423</v>
      </c>
      <c r="G182" s="28">
        <f t="shared" si="5"/>
        <v>5.8389578885814829E-2</v>
      </c>
      <c r="L182" s="28"/>
    </row>
    <row r="183" spans="1:12" x14ac:dyDescent="0.2">
      <c r="A183" s="27">
        <v>21</v>
      </c>
      <c r="B183" s="27">
        <v>1</v>
      </c>
      <c r="C183" s="27"/>
      <c r="D183" s="28">
        <v>16.858974358974358</v>
      </c>
      <c r="E183" s="28">
        <f t="shared" si="4"/>
        <v>-4.1410256410256423</v>
      </c>
      <c r="G183" s="28">
        <f t="shared" si="5"/>
        <v>5.8389578885814829E-2</v>
      </c>
      <c r="L183" s="28"/>
    </row>
    <row r="184" spans="1:12" x14ac:dyDescent="0.2">
      <c r="A184" s="27">
        <v>21</v>
      </c>
      <c r="B184" s="27">
        <v>1</v>
      </c>
      <c r="C184" s="27"/>
      <c r="D184" s="28">
        <v>16.858974358974358</v>
      </c>
      <c r="E184" s="28">
        <f t="shared" si="4"/>
        <v>-4.1410256410256423</v>
      </c>
      <c r="G184" s="28">
        <f t="shared" si="5"/>
        <v>5.8389578885814829E-2</v>
      </c>
      <c r="L184" s="28"/>
    </row>
    <row r="185" spans="1:12" x14ac:dyDescent="0.2">
      <c r="A185" s="27">
        <v>18</v>
      </c>
      <c r="B185" s="27">
        <v>1</v>
      </c>
      <c r="C185" s="27"/>
      <c r="D185" s="28">
        <v>16.858974358974358</v>
      </c>
      <c r="E185" s="28">
        <f t="shared" si="4"/>
        <v>-1.1410256410256423</v>
      </c>
      <c r="G185" s="28">
        <f t="shared" si="5"/>
        <v>9.0428595220514676E-2</v>
      </c>
      <c r="L185" s="28"/>
    </row>
    <row r="186" spans="1:12" x14ac:dyDescent="0.2">
      <c r="A186" s="27">
        <v>18</v>
      </c>
      <c r="B186" s="27">
        <v>1</v>
      </c>
      <c r="C186" s="27"/>
      <c r="D186" s="28">
        <v>16.858974358974358</v>
      </c>
      <c r="E186" s="28">
        <f t="shared" si="4"/>
        <v>-1.1410256410256423</v>
      </c>
      <c r="G186" s="28">
        <f t="shared" si="5"/>
        <v>9.0428595220514676E-2</v>
      </c>
      <c r="L186" s="28"/>
    </row>
    <row r="187" spans="1:12" x14ac:dyDescent="0.2">
      <c r="A187" s="27">
        <v>19</v>
      </c>
      <c r="B187" s="27">
        <v>1</v>
      </c>
      <c r="C187" s="27"/>
      <c r="D187" s="28">
        <v>16.858974358974358</v>
      </c>
      <c r="E187" s="28">
        <f t="shared" si="4"/>
        <v>-2.1410256410256423</v>
      </c>
      <c r="G187" s="28">
        <f t="shared" si="5"/>
        <v>8.2596026638649928E-2</v>
      </c>
      <c r="L187" s="28"/>
    </row>
    <row r="188" spans="1:12" x14ac:dyDescent="0.2">
      <c r="A188" s="27">
        <v>21</v>
      </c>
      <c r="B188" s="27">
        <v>1</v>
      </c>
      <c r="C188" s="27"/>
      <c r="D188" s="28">
        <v>16.858974358974358</v>
      </c>
      <c r="E188" s="28">
        <f t="shared" si="4"/>
        <v>-4.1410256410256423</v>
      </c>
      <c r="G188" s="28">
        <f t="shared" si="5"/>
        <v>5.8389578885814829E-2</v>
      </c>
      <c r="L188" s="28"/>
    </row>
    <row r="189" spans="1:12" x14ac:dyDescent="0.2">
      <c r="A189" s="27">
        <v>21</v>
      </c>
      <c r="B189" s="27">
        <v>1</v>
      </c>
      <c r="C189" s="27"/>
      <c r="D189" s="28">
        <v>16.858974358974358</v>
      </c>
      <c r="E189" s="28">
        <f t="shared" si="4"/>
        <v>-4.1410256410256423</v>
      </c>
      <c r="G189" s="28">
        <f t="shared" si="5"/>
        <v>5.8389578885814829E-2</v>
      </c>
      <c r="L189" s="28"/>
    </row>
    <row r="190" spans="1:12" x14ac:dyDescent="0.2">
      <c r="A190" s="27">
        <v>21</v>
      </c>
      <c r="B190" s="27">
        <v>1</v>
      </c>
      <c r="C190" s="27"/>
      <c r="D190" s="28">
        <v>16.858974358974358</v>
      </c>
      <c r="E190" s="28">
        <f t="shared" si="4"/>
        <v>-4.1410256410256423</v>
      </c>
      <c r="G190" s="28">
        <f t="shared" si="5"/>
        <v>5.8389578885814829E-2</v>
      </c>
      <c r="L190" s="28"/>
    </row>
    <row r="191" spans="1:12" x14ac:dyDescent="0.2">
      <c r="A191" s="27">
        <v>22</v>
      </c>
      <c r="B191" s="27">
        <v>1</v>
      </c>
      <c r="C191" s="27"/>
      <c r="D191" s="28">
        <v>16.858974358974358</v>
      </c>
      <c r="E191" s="28">
        <f t="shared" si="4"/>
        <v>-5.1410256410256423</v>
      </c>
      <c r="G191" s="28">
        <f t="shared" si="5"/>
        <v>4.5191645925457373E-2</v>
      </c>
      <c r="L191" s="28"/>
    </row>
    <row r="192" spans="1:12" x14ac:dyDescent="0.2">
      <c r="A192" s="27">
        <v>18</v>
      </c>
      <c r="B192" s="27">
        <v>1</v>
      </c>
      <c r="C192" s="27"/>
      <c r="D192" s="28">
        <v>16.858974358974358</v>
      </c>
      <c r="E192" s="28">
        <f t="shared" si="4"/>
        <v>-1.1410256410256423</v>
      </c>
      <c r="G192" s="28">
        <f t="shared" si="5"/>
        <v>9.0428595220514676E-2</v>
      </c>
      <c r="L192" s="28"/>
    </row>
    <row r="193" spans="1:12" x14ac:dyDescent="0.2">
      <c r="A193" s="27">
        <v>18</v>
      </c>
      <c r="B193" s="27">
        <v>1</v>
      </c>
      <c r="C193" s="27"/>
      <c r="D193" s="28">
        <v>16.858974358974358</v>
      </c>
      <c r="E193" s="28">
        <f t="shared" si="4"/>
        <v>-1.1410256410256423</v>
      </c>
      <c r="G193" s="28">
        <f t="shared" si="5"/>
        <v>9.0428595220514676E-2</v>
      </c>
      <c r="L193" s="28"/>
    </row>
    <row r="194" spans="1:12" x14ac:dyDescent="0.2">
      <c r="A194" s="27">
        <v>18</v>
      </c>
      <c r="B194" s="27">
        <v>1</v>
      </c>
      <c r="C194" s="27"/>
      <c r="D194" s="28">
        <v>16.858974358974358</v>
      </c>
      <c r="E194" s="28">
        <f t="shared" si="4"/>
        <v>-1.1410256410256423</v>
      </c>
      <c r="G194" s="28">
        <f t="shared" si="5"/>
        <v>9.0428595220514676E-2</v>
      </c>
      <c r="L194" s="28"/>
    </row>
    <row r="195" spans="1:12" x14ac:dyDescent="0.2">
      <c r="A195" s="27">
        <v>24</v>
      </c>
      <c r="B195" s="27">
        <v>1</v>
      </c>
      <c r="C195" s="27"/>
      <c r="D195" s="28">
        <v>16.858974358974358</v>
      </c>
      <c r="E195" s="28">
        <f t="shared" ref="E195:E235" si="6">D195-A195</f>
        <v>-7.1410256410256423</v>
      </c>
      <c r="G195" s="28">
        <f t="shared" ref="G195:G235" si="7">_xlfn.NORM.DIST(E195,0,$F$2,FALSE)</f>
        <v>2.293893420103504E-2</v>
      </c>
      <c r="L195" s="28"/>
    </row>
    <row r="196" spans="1:12" x14ac:dyDescent="0.2">
      <c r="A196" s="27">
        <v>24</v>
      </c>
      <c r="B196" s="27">
        <v>1</v>
      </c>
      <c r="C196" s="27"/>
      <c r="D196" s="28">
        <v>16.858974358974358</v>
      </c>
      <c r="E196" s="28">
        <f t="shared" si="6"/>
        <v>-7.1410256410256423</v>
      </c>
      <c r="G196" s="28">
        <f t="shared" si="7"/>
        <v>2.293893420103504E-2</v>
      </c>
      <c r="L196" s="28"/>
    </row>
    <row r="197" spans="1:12" x14ac:dyDescent="0.2">
      <c r="A197" s="27">
        <v>26</v>
      </c>
      <c r="B197" s="27">
        <v>1</v>
      </c>
      <c r="C197" s="27"/>
      <c r="D197" s="28">
        <v>16.858974358974358</v>
      </c>
      <c r="E197" s="28">
        <f t="shared" si="6"/>
        <v>-9.1410256410256423</v>
      </c>
      <c r="G197" s="28">
        <f t="shared" si="7"/>
        <v>9.3364312813032559E-3</v>
      </c>
      <c r="L197" s="28"/>
    </row>
    <row r="198" spans="1:12" x14ac:dyDescent="0.2">
      <c r="A198" s="27">
        <v>28</v>
      </c>
      <c r="B198" s="27">
        <v>1</v>
      </c>
      <c r="C198" s="27"/>
      <c r="D198" s="28">
        <v>16.858974358974358</v>
      </c>
      <c r="E198" s="28">
        <f t="shared" si="6"/>
        <v>-11.141025641025642</v>
      </c>
      <c r="G198" s="28">
        <f t="shared" si="7"/>
        <v>3.0470611306731058E-3</v>
      </c>
      <c r="L198" s="28"/>
    </row>
    <row r="199" spans="1:12" x14ac:dyDescent="0.2">
      <c r="A199" s="27">
        <v>26</v>
      </c>
      <c r="B199" s="27">
        <v>1</v>
      </c>
      <c r="C199" s="27"/>
      <c r="D199" s="28">
        <v>16.858974358974358</v>
      </c>
      <c r="E199" s="28">
        <f t="shared" si="6"/>
        <v>-9.1410256410256423</v>
      </c>
      <c r="G199" s="28">
        <f t="shared" si="7"/>
        <v>9.3364312813032559E-3</v>
      </c>
      <c r="L199" s="28"/>
    </row>
    <row r="200" spans="1:12" x14ac:dyDescent="0.2">
      <c r="A200" s="27">
        <v>11</v>
      </c>
      <c r="B200" s="27">
        <v>1</v>
      </c>
      <c r="C200" s="27"/>
      <c r="D200" s="28">
        <v>16.858974358974358</v>
      </c>
      <c r="E200" s="28">
        <f t="shared" si="6"/>
        <v>5.8589743589743577</v>
      </c>
      <c r="G200" s="28">
        <f t="shared" si="7"/>
        <v>3.6339616015446226E-2</v>
      </c>
      <c r="L200" s="28"/>
    </row>
    <row r="201" spans="1:12" x14ac:dyDescent="0.2">
      <c r="A201" s="27">
        <v>13</v>
      </c>
      <c r="B201" s="27">
        <v>1</v>
      </c>
      <c r="C201" s="27"/>
      <c r="D201" s="28">
        <v>16.858974358974358</v>
      </c>
      <c r="E201" s="28">
        <f t="shared" si="6"/>
        <v>3.8589743589743577</v>
      </c>
      <c r="G201" s="28">
        <f t="shared" si="7"/>
        <v>6.2142132155231941E-2</v>
      </c>
      <c r="L201" s="28"/>
    </row>
    <row r="202" spans="1:12" x14ac:dyDescent="0.2">
      <c r="A202" s="27">
        <v>15</v>
      </c>
      <c r="B202" s="27">
        <v>1</v>
      </c>
      <c r="C202" s="27"/>
      <c r="D202" s="28">
        <v>16.858974358974358</v>
      </c>
      <c r="E202" s="28">
        <f t="shared" si="6"/>
        <v>1.8589743589743577</v>
      </c>
      <c r="G202" s="28">
        <f t="shared" si="7"/>
        <v>8.5208821600122359E-2</v>
      </c>
      <c r="L202" s="28"/>
    </row>
    <row r="203" spans="1:12" x14ac:dyDescent="0.2">
      <c r="A203" s="27">
        <v>16</v>
      </c>
      <c r="B203" s="27">
        <v>1</v>
      </c>
      <c r="C203" s="27"/>
      <c r="D203" s="28">
        <v>16.858974358974358</v>
      </c>
      <c r="E203" s="28">
        <f t="shared" si="6"/>
        <v>0.8589743589743577</v>
      </c>
      <c r="G203" s="28">
        <f t="shared" si="7"/>
        <v>9.1847742433773194E-2</v>
      </c>
      <c r="L203" s="28"/>
    </row>
    <row r="204" spans="1:12" x14ac:dyDescent="0.2">
      <c r="A204" s="27">
        <v>17</v>
      </c>
      <c r="B204" s="27">
        <v>1</v>
      </c>
      <c r="C204" s="27"/>
      <c r="D204" s="28">
        <v>16.858974358974358</v>
      </c>
      <c r="E204" s="28">
        <f t="shared" si="6"/>
        <v>-0.1410256410256423</v>
      </c>
      <c r="G204" s="28">
        <f t="shared" si="7"/>
        <v>9.3686186441259228E-2</v>
      </c>
      <c r="L204" s="28"/>
    </row>
    <row r="205" spans="1:12" x14ac:dyDescent="0.2">
      <c r="A205" s="27">
        <v>15</v>
      </c>
      <c r="B205" s="27">
        <v>1</v>
      </c>
      <c r="C205" s="27"/>
      <c r="D205" s="28">
        <v>16.858974358974358</v>
      </c>
      <c r="E205" s="28">
        <f t="shared" si="6"/>
        <v>1.8589743589743577</v>
      </c>
      <c r="G205" s="28">
        <f t="shared" si="7"/>
        <v>8.5208821600122359E-2</v>
      </c>
      <c r="L205" s="28"/>
    </row>
    <row r="206" spans="1:12" x14ac:dyDescent="0.2">
      <c r="A206" s="27">
        <v>15</v>
      </c>
      <c r="B206" s="27">
        <v>1</v>
      </c>
      <c r="C206" s="27"/>
      <c r="D206" s="28">
        <v>16.858974358974358</v>
      </c>
      <c r="E206" s="28">
        <f t="shared" si="6"/>
        <v>1.8589743589743577</v>
      </c>
      <c r="G206" s="28">
        <f t="shared" si="7"/>
        <v>8.5208821600122359E-2</v>
      </c>
      <c r="L206" s="28"/>
    </row>
    <row r="207" spans="1:12" x14ac:dyDescent="0.2">
      <c r="A207" s="27">
        <v>15</v>
      </c>
      <c r="B207" s="27">
        <v>1</v>
      </c>
      <c r="C207" s="27"/>
      <c r="D207" s="28">
        <v>16.858974358974358</v>
      </c>
      <c r="E207" s="28">
        <f t="shared" si="6"/>
        <v>1.8589743589743577</v>
      </c>
      <c r="G207" s="28">
        <f t="shared" si="7"/>
        <v>8.5208821600122359E-2</v>
      </c>
      <c r="L207" s="28"/>
    </row>
    <row r="208" spans="1:12" x14ac:dyDescent="0.2">
      <c r="A208" s="27">
        <v>16</v>
      </c>
      <c r="B208" s="27">
        <v>1</v>
      </c>
      <c r="C208" s="27"/>
      <c r="D208" s="28">
        <v>16.858974358974358</v>
      </c>
      <c r="E208" s="28">
        <f t="shared" si="6"/>
        <v>0.8589743589743577</v>
      </c>
      <c r="G208" s="28">
        <f t="shared" si="7"/>
        <v>9.1847742433773194E-2</v>
      </c>
      <c r="L208" s="28"/>
    </row>
    <row r="209" spans="1:12" x14ac:dyDescent="0.2">
      <c r="A209" s="27">
        <v>21</v>
      </c>
      <c r="B209" s="27">
        <v>1</v>
      </c>
      <c r="C209" s="27"/>
      <c r="D209" s="28">
        <v>16.858974358974358</v>
      </c>
      <c r="E209" s="28">
        <f t="shared" si="6"/>
        <v>-4.1410256410256423</v>
      </c>
      <c r="G209" s="28">
        <f t="shared" si="7"/>
        <v>5.8389578885814829E-2</v>
      </c>
      <c r="L209" s="28"/>
    </row>
    <row r="210" spans="1:12" x14ac:dyDescent="0.2">
      <c r="A210" s="27">
        <v>19</v>
      </c>
      <c r="B210" s="27">
        <v>1</v>
      </c>
      <c r="C210" s="27"/>
      <c r="D210" s="28">
        <v>16.858974358974358</v>
      </c>
      <c r="E210" s="28">
        <f t="shared" si="6"/>
        <v>-2.1410256410256423</v>
      </c>
      <c r="G210" s="28">
        <f t="shared" si="7"/>
        <v>8.2596026638649928E-2</v>
      </c>
      <c r="L210" s="28"/>
    </row>
    <row r="211" spans="1:12" x14ac:dyDescent="0.2">
      <c r="A211" s="27">
        <v>21</v>
      </c>
      <c r="B211" s="27">
        <v>1</v>
      </c>
      <c r="C211" s="27"/>
      <c r="D211" s="28">
        <v>16.858974358974358</v>
      </c>
      <c r="E211" s="28">
        <f t="shared" si="6"/>
        <v>-4.1410256410256423</v>
      </c>
      <c r="G211" s="28">
        <f t="shared" si="7"/>
        <v>5.8389578885814829E-2</v>
      </c>
      <c r="L211" s="28"/>
    </row>
    <row r="212" spans="1:12" x14ac:dyDescent="0.2">
      <c r="A212" s="27">
        <v>22</v>
      </c>
      <c r="B212" s="27">
        <v>1</v>
      </c>
      <c r="C212" s="27"/>
      <c r="D212" s="28">
        <v>16.858974358974358</v>
      </c>
      <c r="E212" s="28">
        <f t="shared" si="6"/>
        <v>-5.1410256410256423</v>
      </c>
      <c r="G212" s="28">
        <f t="shared" si="7"/>
        <v>4.5191645925457373E-2</v>
      </c>
      <c r="L212" s="28"/>
    </row>
    <row r="213" spans="1:12" x14ac:dyDescent="0.2">
      <c r="A213" s="27">
        <v>17</v>
      </c>
      <c r="B213" s="27">
        <v>1</v>
      </c>
      <c r="C213" s="27"/>
      <c r="D213" s="28">
        <v>16.858974358974358</v>
      </c>
      <c r="E213" s="28">
        <f t="shared" si="6"/>
        <v>-0.1410256410256423</v>
      </c>
      <c r="G213" s="28">
        <f t="shared" si="7"/>
        <v>9.3686186441259228E-2</v>
      </c>
      <c r="L213" s="28"/>
    </row>
    <row r="214" spans="1:12" x14ac:dyDescent="0.2">
      <c r="A214" s="27">
        <v>33</v>
      </c>
      <c r="B214" s="27">
        <v>1</v>
      </c>
      <c r="C214" s="27"/>
      <c r="D214" s="28">
        <v>16.858974358974358</v>
      </c>
      <c r="E214" s="28">
        <f t="shared" si="6"/>
        <v>-16.141025641025642</v>
      </c>
      <c r="G214" s="28">
        <f t="shared" si="7"/>
        <v>7.0556481624534586E-5</v>
      </c>
      <c r="L214" s="28"/>
    </row>
    <row r="215" spans="1:12" x14ac:dyDescent="0.2">
      <c r="A215" s="27">
        <v>21</v>
      </c>
      <c r="B215" s="27">
        <v>1</v>
      </c>
      <c r="C215" s="27"/>
      <c r="D215" s="28">
        <v>16.858974358974358</v>
      </c>
      <c r="E215" s="28">
        <f t="shared" si="6"/>
        <v>-4.1410256410256423</v>
      </c>
      <c r="G215" s="28">
        <f t="shared" si="7"/>
        <v>5.8389578885814829E-2</v>
      </c>
      <c r="L215" s="28"/>
    </row>
    <row r="216" spans="1:12" x14ac:dyDescent="0.2">
      <c r="A216" s="27">
        <v>19</v>
      </c>
      <c r="B216" s="27">
        <v>1</v>
      </c>
      <c r="C216" s="27"/>
      <c r="D216" s="28">
        <v>16.858974358974358</v>
      </c>
      <c r="E216" s="28">
        <f t="shared" si="6"/>
        <v>-2.1410256410256423</v>
      </c>
      <c r="G216" s="28">
        <f t="shared" si="7"/>
        <v>8.2596026638649928E-2</v>
      </c>
      <c r="L216" s="28"/>
    </row>
    <row r="217" spans="1:12" x14ac:dyDescent="0.2">
      <c r="A217" s="27">
        <v>22</v>
      </c>
      <c r="B217" s="27">
        <v>1</v>
      </c>
      <c r="C217" s="27"/>
      <c r="D217" s="28">
        <v>16.858974358974358</v>
      </c>
      <c r="E217" s="28">
        <f t="shared" si="6"/>
        <v>-5.1410256410256423</v>
      </c>
      <c r="G217" s="28">
        <f t="shared" si="7"/>
        <v>4.5191645925457373E-2</v>
      </c>
      <c r="L217" s="28"/>
    </row>
    <row r="218" spans="1:12" x14ac:dyDescent="0.2">
      <c r="A218" s="27">
        <v>21</v>
      </c>
      <c r="B218" s="27">
        <v>1</v>
      </c>
      <c r="C218" s="27"/>
      <c r="D218" s="28">
        <v>16.858974358974358</v>
      </c>
      <c r="E218" s="28">
        <f t="shared" si="6"/>
        <v>-4.1410256410256423</v>
      </c>
      <c r="G218" s="28">
        <f t="shared" si="7"/>
        <v>5.8389578885814829E-2</v>
      </c>
      <c r="L218" s="28"/>
    </row>
    <row r="219" spans="1:12" x14ac:dyDescent="0.2">
      <c r="A219" s="27">
        <v>21</v>
      </c>
      <c r="B219" s="27">
        <v>1</v>
      </c>
      <c r="C219" s="27"/>
      <c r="D219" s="28">
        <v>16.858974358974358</v>
      </c>
      <c r="E219" s="28">
        <f t="shared" si="6"/>
        <v>-4.1410256410256423</v>
      </c>
      <c r="G219" s="28">
        <f t="shared" si="7"/>
        <v>5.8389578885814829E-2</v>
      </c>
      <c r="L219" s="28"/>
    </row>
    <row r="220" spans="1:12" x14ac:dyDescent="0.2">
      <c r="A220" s="27">
        <v>21</v>
      </c>
      <c r="B220" s="27">
        <v>1</v>
      </c>
      <c r="C220" s="27"/>
      <c r="D220" s="28">
        <v>16.858974358974358</v>
      </c>
      <c r="E220" s="28">
        <f t="shared" si="6"/>
        <v>-4.1410256410256423</v>
      </c>
      <c r="G220" s="28">
        <f t="shared" si="7"/>
        <v>5.8389578885814829E-2</v>
      </c>
      <c r="L220" s="28"/>
    </row>
    <row r="221" spans="1:12" x14ac:dyDescent="0.2">
      <c r="A221" s="27">
        <v>16</v>
      </c>
      <c r="B221" s="27">
        <v>1</v>
      </c>
      <c r="C221" s="27"/>
      <c r="D221" s="28">
        <v>16.858974358974358</v>
      </c>
      <c r="E221" s="28">
        <f t="shared" si="6"/>
        <v>0.8589743589743577</v>
      </c>
      <c r="G221" s="28">
        <f t="shared" si="7"/>
        <v>9.1847742433773194E-2</v>
      </c>
      <c r="L221" s="28"/>
    </row>
    <row r="222" spans="1:12" x14ac:dyDescent="0.2">
      <c r="A222" s="27">
        <v>17</v>
      </c>
      <c r="B222" s="27">
        <v>1</v>
      </c>
      <c r="C222" s="27"/>
      <c r="D222" s="28">
        <v>16.858974358974358</v>
      </c>
      <c r="E222" s="28">
        <f t="shared" si="6"/>
        <v>-0.1410256410256423</v>
      </c>
      <c r="G222" s="28">
        <f t="shared" si="7"/>
        <v>9.3686186441259228E-2</v>
      </c>
      <c r="L222" s="28"/>
    </row>
    <row r="223" spans="1:12" x14ac:dyDescent="0.2">
      <c r="A223" s="27">
        <v>35</v>
      </c>
      <c r="B223" s="27">
        <v>1</v>
      </c>
      <c r="C223" s="27"/>
      <c r="D223" s="28">
        <v>16.858974358974358</v>
      </c>
      <c r="E223" s="28">
        <f t="shared" si="6"/>
        <v>-18.141025641025642</v>
      </c>
      <c r="G223" s="28">
        <f t="shared" si="7"/>
        <v>1.0630685082524548E-5</v>
      </c>
      <c r="L223" s="28"/>
    </row>
    <row r="224" spans="1:12" x14ac:dyDescent="0.2">
      <c r="A224" s="27">
        <v>29</v>
      </c>
      <c r="B224" s="27">
        <v>1</v>
      </c>
      <c r="C224" s="27"/>
      <c r="D224" s="28">
        <v>16.858974358974358</v>
      </c>
      <c r="E224" s="28">
        <f t="shared" si="6"/>
        <v>-12.141025641025642</v>
      </c>
      <c r="G224" s="28">
        <f t="shared" si="7"/>
        <v>1.60238186282746E-3</v>
      </c>
      <c r="L224" s="28"/>
    </row>
    <row r="225" spans="1:12" x14ac:dyDescent="0.2">
      <c r="A225" s="27">
        <v>21</v>
      </c>
      <c r="B225" s="27">
        <v>1</v>
      </c>
      <c r="C225" s="27"/>
      <c r="D225" s="28">
        <v>16.858974358974358</v>
      </c>
      <c r="E225" s="28">
        <f t="shared" si="6"/>
        <v>-4.1410256410256423</v>
      </c>
      <c r="G225" s="28">
        <f t="shared" si="7"/>
        <v>5.8389578885814829E-2</v>
      </c>
      <c r="L225" s="28"/>
    </row>
    <row r="226" spans="1:12" x14ac:dyDescent="0.2">
      <c r="A226" s="27">
        <v>19</v>
      </c>
      <c r="B226" s="27">
        <v>1</v>
      </c>
      <c r="C226" s="27"/>
      <c r="D226" s="28">
        <v>16.858974358974358</v>
      </c>
      <c r="E226" s="28">
        <f t="shared" si="6"/>
        <v>-2.1410256410256423</v>
      </c>
      <c r="G226" s="28">
        <f t="shared" si="7"/>
        <v>8.2596026638649928E-2</v>
      </c>
      <c r="L226" s="28"/>
    </row>
    <row r="227" spans="1:12" x14ac:dyDescent="0.2">
      <c r="A227" s="27">
        <v>20</v>
      </c>
      <c r="B227" s="27">
        <v>1</v>
      </c>
      <c r="C227" s="27"/>
      <c r="D227" s="28">
        <v>16.858974358974358</v>
      </c>
      <c r="E227" s="28">
        <f t="shared" si="6"/>
        <v>-3.1410256410256423</v>
      </c>
      <c r="G227" s="28">
        <f t="shared" si="7"/>
        <v>7.138971945227178E-2</v>
      </c>
      <c r="L227" s="28"/>
    </row>
    <row r="228" spans="1:12" x14ac:dyDescent="0.2">
      <c r="A228" s="27">
        <v>20</v>
      </c>
      <c r="B228" s="27">
        <v>1</v>
      </c>
      <c r="C228" s="27"/>
      <c r="D228" s="28">
        <v>16.858974358974358</v>
      </c>
      <c r="E228" s="28">
        <f t="shared" si="6"/>
        <v>-3.1410256410256423</v>
      </c>
      <c r="G228" s="28">
        <f t="shared" si="7"/>
        <v>7.138971945227178E-2</v>
      </c>
      <c r="L228" s="28"/>
    </row>
    <row r="229" spans="1:12" x14ac:dyDescent="0.2">
      <c r="A229" s="27">
        <v>21</v>
      </c>
      <c r="B229" s="27">
        <v>1</v>
      </c>
      <c r="C229" s="27"/>
      <c r="D229" s="28">
        <v>16.858974358974358</v>
      </c>
      <c r="E229" s="28">
        <f t="shared" si="6"/>
        <v>-4.1410256410256423</v>
      </c>
      <c r="G229" s="28">
        <f t="shared" si="7"/>
        <v>5.8389578885814829E-2</v>
      </c>
      <c r="L229" s="28"/>
    </row>
    <row r="230" spans="1:12" x14ac:dyDescent="0.2">
      <c r="A230" s="27">
        <v>18</v>
      </c>
      <c r="B230" s="27">
        <v>1</v>
      </c>
      <c r="C230" s="27"/>
      <c r="D230" s="28">
        <v>16.858974358974358</v>
      </c>
      <c r="E230" s="28">
        <f t="shared" si="6"/>
        <v>-1.1410256410256423</v>
      </c>
      <c r="G230" s="28">
        <f t="shared" si="7"/>
        <v>9.0428595220514676E-2</v>
      </c>
      <c r="L230" s="28"/>
    </row>
    <row r="231" spans="1:12" x14ac:dyDescent="0.2">
      <c r="A231" s="27">
        <v>19</v>
      </c>
      <c r="B231" s="27">
        <v>1</v>
      </c>
      <c r="C231" s="27"/>
      <c r="D231" s="28">
        <v>16.858974358974358</v>
      </c>
      <c r="E231" s="28">
        <f t="shared" si="6"/>
        <v>-2.1410256410256423</v>
      </c>
      <c r="G231" s="28">
        <f t="shared" si="7"/>
        <v>8.2596026638649928E-2</v>
      </c>
      <c r="L231" s="28"/>
    </row>
    <row r="232" spans="1:12" x14ac:dyDescent="0.2">
      <c r="A232" s="27">
        <v>21</v>
      </c>
      <c r="B232" s="27">
        <v>1</v>
      </c>
      <c r="C232" s="27"/>
      <c r="D232" s="28">
        <v>16.858974358974358</v>
      </c>
      <c r="E232" s="28">
        <f t="shared" si="6"/>
        <v>-4.1410256410256423</v>
      </c>
      <c r="G232" s="28">
        <f t="shared" si="7"/>
        <v>5.8389578885814829E-2</v>
      </c>
      <c r="L232" s="28"/>
    </row>
    <row r="233" spans="1:12" x14ac:dyDescent="0.2">
      <c r="A233" s="27">
        <v>16</v>
      </c>
      <c r="B233" s="27">
        <v>1</v>
      </c>
      <c r="C233" s="27"/>
      <c r="D233" s="28">
        <v>16.858974358974358</v>
      </c>
      <c r="E233" s="28">
        <f t="shared" si="6"/>
        <v>0.8589743589743577</v>
      </c>
      <c r="G233" s="28">
        <f t="shared" si="7"/>
        <v>9.1847742433773194E-2</v>
      </c>
      <c r="L233" s="28"/>
    </row>
    <row r="234" spans="1:12" x14ac:dyDescent="0.2">
      <c r="A234" s="27">
        <v>18</v>
      </c>
      <c r="B234" s="27">
        <v>1</v>
      </c>
      <c r="C234" s="27"/>
      <c r="D234" s="28">
        <v>16.858974358974358</v>
      </c>
      <c r="E234" s="28">
        <f t="shared" si="6"/>
        <v>-1.1410256410256423</v>
      </c>
      <c r="G234" s="28">
        <f t="shared" si="7"/>
        <v>9.0428595220514676E-2</v>
      </c>
      <c r="L234" s="28"/>
    </row>
    <row r="235" spans="1:12" x14ac:dyDescent="0.2">
      <c r="A235" s="27">
        <v>17</v>
      </c>
      <c r="B235" s="27">
        <v>1</v>
      </c>
      <c r="C235" s="27"/>
      <c r="D235" s="28">
        <v>16.858974358974358</v>
      </c>
      <c r="E235" s="28">
        <f t="shared" si="6"/>
        <v>-0.1410256410256423</v>
      </c>
      <c r="G235" s="28">
        <f t="shared" si="7"/>
        <v>9.3686186441259228E-2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85</v>
      </c>
      <c r="B1" s="27" t="s">
        <v>164</v>
      </c>
      <c r="C1" s="27" t="s">
        <v>86</v>
      </c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  <c r="M1" s="28" t="s">
        <v>178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177</v>
      </c>
      <c r="O2" s="28" t="s">
        <v>170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172</v>
      </c>
      <c r="I4" s="28" t="s">
        <v>173</v>
      </c>
      <c r="L4" s="28"/>
      <c r="M4" s="29" t="s">
        <v>80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81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82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175</v>
      </c>
      <c r="K7" s="28" t="s">
        <v>177</v>
      </c>
      <c r="L7" s="28"/>
      <c r="M7" s="29" t="s">
        <v>86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176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174</v>
      </c>
      <c r="K13" s="28" t="s">
        <v>170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189</v>
      </c>
    </row>
    <row r="4" spans="2:4" x14ac:dyDescent="0.3">
      <c r="B4" s="1" t="s">
        <v>190</v>
      </c>
    </row>
    <row r="5" spans="2:4" x14ac:dyDescent="0.3">
      <c r="B5" s="9" t="s">
        <v>197</v>
      </c>
    </row>
    <row r="6" spans="2:4" x14ac:dyDescent="0.3">
      <c r="B6" s="9"/>
    </row>
    <row r="7" spans="2:4" x14ac:dyDescent="0.3">
      <c r="C7" s="1" t="s">
        <v>195</v>
      </c>
    </row>
    <row r="8" spans="2:4" x14ac:dyDescent="0.3">
      <c r="C8" s="1">
        <v>2.2999999999999998</v>
      </c>
      <c r="D8" s="1" t="s">
        <v>191</v>
      </c>
    </row>
    <row r="9" spans="2:4" x14ac:dyDescent="0.3">
      <c r="C9" s="1">
        <v>3.1</v>
      </c>
      <c r="D9" s="1" t="s">
        <v>192</v>
      </c>
    </row>
    <row r="10" spans="2:4" x14ac:dyDescent="0.3">
      <c r="C10" s="1">
        <v>3.2</v>
      </c>
      <c r="D10" s="1" t="s">
        <v>193</v>
      </c>
    </row>
    <row r="12" spans="2:4" x14ac:dyDescent="0.3">
      <c r="C12" s="1" t="s">
        <v>196</v>
      </c>
    </row>
    <row r="13" spans="2:4" x14ac:dyDescent="0.3">
      <c r="C13" s="1">
        <v>3.5</v>
      </c>
      <c r="D13" s="1" t="s">
        <v>13</v>
      </c>
    </row>
    <row r="14" spans="2:4" x14ac:dyDescent="0.3">
      <c r="C14" s="1">
        <v>2.2000000000000002</v>
      </c>
      <c r="D14" s="1" t="s">
        <v>194</v>
      </c>
    </row>
    <row r="16" spans="2:4" x14ac:dyDescent="0.3">
      <c r="B16" s="1" t="s">
        <v>198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4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201</v>
      </c>
      <c r="D2" s="1" t="s">
        <v>202</v>
      </c>
    </row>
    <row r="3" spans="2:4" x14ac:dyDescent="0.3">
      <c r="B3" s="1">
        <v>1</v>
      </c>
      <c r="C3" s="1" t="s">
        <v>200</v>
      </c>
      <c r="D3" s="1">
        <v>15</v>
      </c>
    </row>
    <row r="4" spans="2:4" x14ac:dyDescent="0.3">
      <c r="B4" s="1">
        <v>2</v>
      </c>
      <c r="C4" s="1" t="s">
        <v>27</v>
      </c>
      <c r="D4" s="1">
        <v>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H85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1:7" x14ac:dyDescent="0.3">
      <c r="A2" s="1">
        <v>1</v>
      </c>
      <c r="B2" s="1" t="s">
        <v>254</v>
      </c>
    </row>
    <row r="3" spans="1:7" s="33" customFormat="1" x14ac:dyDescent="0.3">
      <c r="A3" s="1"/>
    </row>
    <row r="4" spans="1:7" x14ac:dyDescent="0.3">
      <c r="A4" s="1">
        <v>2</v>
      </c>
      <c r="B4" s="1" t="s">
        <v>255</v>
      </c>
    </row>
    <row r="5" spans="1:7" s="33" customFormat="1" x14ac:dyDescent="0.3">
      <c r="A5" s="1"/>
    </row>
    <row r="6" spans="1:7" x14ac:dyDescent="0.3">
      <c r="A6" s="1">
        <v>3</v>
      </c>
      <c r="B6" s="1" t="s">
        <v>256</v>
      </c>
    </row>
    <row r="7" spans="1:7" s="33" customFormat="1" x14ac:dyDescent="0.3">
      <c r="A7" s="1"/>
    </row>
    <row r="8" spans="1:7" s="33" customFormat="1" x14ac:dyDescent="0.3">
      <c r="A8" s="1"/>
    </row>
    <row r="9" spans="1:7" s="33" customFormat="1" x14ac:dyDescent="0.3">
      <c r="A9" s="1"/>
    </row>
    <row r="10" spans="1:7" s="33" customFormat="1" x14ac:dyDescent="0.3">
      <c r="A10" s="1"/>
    </row>
    <row r="11" spans="1:7" x14ac:dyDescent="0.3">
      <c r="A11" s="1">
        <v>4</v>
      </c>
      <c r="B11" s="1" t="s">
        <v>259</v>
      </c>
    </row>
    <row r="12" spans="1:7" x14ac:dyDescent="0.3">
      <c r="B12" s="1" t="s">
        <v>261</v>
      </c>
    </row>
    <row r="13" spans="1:7" x14ac:dyDescent="0.3">
      <c r="B13" s="1" t="s">
        <v>263</v>
      </c>
    </row>
    <row r="15" spans="1:7" x14ac:dyDescent="0.3">
      <c r="F15" s="34" t="s">
        <v>258</v>
      </c>
      <c r="G15" s="35" t="s">
        <v>260</v>
      </c>
    </row>
    <row r="16" spans="1:7" x14ac:dyDescent="0.3">
      <c r="C16" s="16" t="s">
        <v>62</v>
      </c>
      <c r="D16" s="16" t="s">
        <v>257</v>
      </c>
      <c r="E16" s="16" t="s">
        <v>165</v>
      </c>
      <c r="F16" s="33"/>
      <c r="G16" s="33"/>
    </row>
    <row r="17" spans="1:7" x14ac:dyDescent="0.3">
      <c r="B17" s="1">
        <v>1</v>
      </c>
      <c r="C17" s="1">
        <v>0.89200169797861084</v>
      </c>
      <c r="D17" s="1">
        <v>1.8756032795813788</v>
      </c>
      <c r="E17" s="1">
        <f t="shared" ref="E17:E26" si="0">C17*$F$16</f>
        <v>0</v>
      </c>
    </row>
    <row r="18" spans="1:7" x14ac:dyDescent="0.3">
      <c r="B18" s="1">
        <v>2</v>
      </c>
      <c r="C18" s="1">
        <v>0.66188323179723396</v>
      </c>
      <c r="D18" s="1">
        <v>1.4293149083346399</v>
      </c>
      <c r="E18" s="1">
        <f t="shared" si="0"/>
        <v>0</v>
      </c>
    </row>
    <row r="19" spans="1:7" x14ac:dyDescent="0.3">
      <c r="B19" s="1">
        <v>3</v>
      </c>
      <c r="C19" s="1">
        <v>0.92794992533173681</v>
      </c>
      <c r="D19" s="1">
        <v>1.9149769174062616</v>
      </c>
      <c r="E19" s="1">
        <f t="shared" si="0"/>
        <v>0</v>
      </c>
    </row>
    <row r="20" spans="1:7" x14ac:dyDescent="0.3">
      <c r="B20" s="1">
        <v>4</v>
      </c>
      <c r="C20" s="1">
        <v>0.40678056346451918</v>
      </c>
      <c r="D20" s="1">
        <v>0.91196194343960724</v>
      </c>
      <c r="E20" s="1">
        <f t="shared" si="0"/>
        <v>0</v>
      </c>
    </row>
    <row r="21" spans="1:7" x14ac:dyDescent="0.3">
      <c r="B21" s="1">
        <v>5</v>
      </c>
      <c r="C21" s="1">
        <v>4.0746829849272026E-2</v>
      </c>
      <c r="D21" s="1">
        <v>0.11850656780238597</v>
      </c>
      <c r="E21" s="1">
        <f t="shared" si="0"/>
        <v>0</v>
      </c>
    </row>
    <row r="22" spans="1:7" x14ac:dyDescent="0.3">
      <c r="B22" s="1">
        <v>6</v>
      </c>
      <c r="C22" s="1">
        <v>0.94652673183458691</v>
      </c>
      <c r="D22" s="1">
        <v>1.8971366325244992</v>
      </c>
      <c r="E22" s="1">
        <f t="shared" si="0"/>
        <v>0</v>
      </c>
    </row>
    <row r="23" spans="1:7" x14ac:dyDescent="0.3">
      <c r="B23" s="1">
        <v>7</v>
      </c>
      <c r="C23" s="1">
        <v>6.8775955648514686E-2</v>
      </c>
      <c r="D23" s="1">
        <v>0.19583912723660829</v>
      </c>
      <c r="E23" s="1">
        <f t="shared" si="0"/>
        <v>0</v>
      </c>
    </row>
    <row r="24" spans="1:7" x14ac:dyDescent="0.3">
      <c r="B24" s="1">
        <v>8</v>
      </c>
      <c r="C24" s="1">
        <v>0.24587172707263827</v>
      </c>
      <c r="D24" s="1">
        <v>0.55325538652845252</v>
      </c>
      <c r="E24" s="1">
        <f t="shared" si="0"/>
        <v>0</v>
      </c>
    </row>
    <row r="25" spans="1:7" x14ac:dyDescent="0.3">
      <c r="B25" s="1">
        <v>9</v>
      </c>
      <c r="C25" s="1">
        <v>0.55088436380301831</v>
      </c>
      <c r="D25" s="1">
        <v>1.1949311046305438</v>
      </c>
      <c r="E25" s="1">
        <f t="shared" si="0"/>
        <v>0</v>
      </c>
    </row>
    <row r="26" spans="1:7" x14ac:dyDescent="0.3">
      <c r="B26" s="1">
        <v>10</v>
      </c>
      <c r="C26" s="1">
        <v>0.60632794581155802</v>
      </c>
      <c r="D26" s="1">
        <v>1.2409861517873062</v>
      </c>
      <c r="E26" s="1">
        <f t="shared" si="0"/>
        <v>0</v>
      </c>
    </row>
    <row r="28" spans="1:7" x14ac:dyDescent="0.3">
      <c r="A28" s="1">
        <v>5</v>
      </c>
      <c r="B28" s="1" t="s">
        <v>262</v>
      </c>
    </row>
    <row r="29" spans="1:7" x14ac:dyDescent="0.3">
      <c r="B29" s="1" t="s">
        <v>261</v>
      </c>
    </row>
    <row r="30" spans="1:7" x14ac:dyDescent="0.3">
      <c r="B30" s="1" t="s">
        <v>263</v>
      </c>
    </row>
    <row r="32" spans="1:7" x14ac:dyDescent="0.3">
      <c r="F32" s="34" t="s">
        <v>258</v>
      </c>
      <c r="G32" s="35" t="s">
        <v>260</v>
      </c>
    </row>
    <row r="33" spans="1:7" x14ac:dyDescent="0.3">
      <c r="C33" s="16" t="s">
        <v>62</v>
      </c>
      <c r="D33" s="16" t="s">
        <v>257</v>
      </c>
      <c r="E33" s="16" t="s">
        <v>165</v>
      </c>
      <c r="F33" s="33"/>
      <c r="G33" s="33"/>
    </row>
    <row r="34" spans="1:7" x14ac:dyDescent="0.3">
      <c r="B34" s="1">
        <v>1</v>
      </c>
      <c r="C34" s="1">
        <v>0.89200169797861084</v>
      </c>
      <c r="D34" s="1">
        <v>1.8756032795813788</v>
      </c>
      <c r="E34" s="1">
        <f>C34*$F$33</f>
        <v>0</v>
      </c>
    </row>
    <row r="35" spans="1:7" x14ac:dyDescent="0.3">
      <c r="B35" s="1">
        <v>2</v>
      </c>
      <c r="C35" s="1">
        <v>0.66188323179723396</v>
      </c>
      <c r="D35" s="1">
        <v>1.4293149083346399</v>
      </c>
      <c r="E35" s="1">
        <f t="shared" ref="E35:E43" si="1">C35*$F$33</f>
        <v>0</v>
      </c>
    </row>
    <row r="36" spans="1:7" x14ac:dyDescent="0.3">
      <c r="B36" s="1">
        <v>3</v>
      </c>
      <c r="C36" s="1">
        <v>0.92794992533173681</v>
      </c>
      <c r="D36" s="1">
        <v>1.9149769174062616</v>
      </c>
      <c r="E36" s="1">
        <f t="shared" si="1"/>
        <v>0</v>
      </c>
    </row>
    <row r="37" spans="1:7" x14ac:dyDescent="0.3">
      <c r="B37" s="1">
        <v>4</v>
      </c>
      <c r="C37" s="1">
        <v>0.40678056346451918</v>
      </c>
      <c r="D37" s="1">
        <v>0.91196194343960724</v>
      </c>
      <c r="E37" s="1">
        <f t="shared" si="1"/>
        <v>0</v>
      </c>
    </row>
    <row r="38" spans="1:7" x14ac:dyDescent="0.3">
      <c r="B38" s="1">
        <v>5</v>
      </c>
      <c r="C38" s="1">
        <v>4.0746829849272026E-2</v>
      </c>
      <c r="D38" s="1">
        <v>0.11850656780238597</v>
      </c>
      <c r="E38" s="1">
        <f t="shared" si="1"/>
        <v>0</v>
      </c>
    </row>
    <row r="39" spans="1:7" x14ac:dyDescent="0.3">
      <c r="B39" s="1">
        <v>6</v>
      </c>
      <c r="C39" s="1">
        <v>0.94652673183458691</v>
      </c>
      <c r="D39" s="1">
        <v>1.8971366325244992</v>
      </c>
      <c r="E39" s="1">
        <f t="shared" si="1"/>
        <v>0</v>
      </c>
    </row>
    <row r="40" spans="1:7" x14ac:dyDescent="0.3">
      <c r="B40" s="1">
        <v>7</v>
      </c>
      <c r="C40" s="1">
        <v>6.8775955648514686E-2</v>
      </c>
      <c r="D40" s="1">
        <v>0.19583912723660829</v>
      </c>
      <c r="E40" s="1">
        <f t="shared" si="1"/>
        <v>0</v>
      </c>
    </row>
    <row r="41" spans="1:7" x14ac:dyDescent="0.3">
      <c r="B41" s="1">
        <v>8</v>
      </c>
      <c r="C41" s="1">
        <v>0.24587172707263827</v>
      </c>
      <c r="D41" s="1">
        <v>0.55325538652845252</v>
      </c>
      <c r="E41" s="1">
        <f t="shared" si="1"/>
        <v>0</v>
      </c>
    </row>
    <row r="42" spans="1:7" x14ac:dyDescent="0.3">
      <c r="B42" s="1">
        <v>9</v>
      </c>
      <c r="C42" s="1">
        <v>0.55088436380301831</v>
      </c>
      <c r="D42" s="1">
        <v>1.1949311046305438</v>
      </c>
      <c r="E42" s="1">
        <f t="shared" si="1"/>
        <v>0</v>
      </c>
    </row>
    <row r="43" spans="1:7" x14ac:dyDescent="0.3">
      <c r="B43" s="1">
        <v>10</v>
      </c>
      <c r="C43" s="1">
        <v>0.60632794581155802</v>
      </c>
      <c r="D43" s="1">
        <v>1.2409861517873062</v>
      </c>
      <c r="E43" s="1">
        <f t="shared" si="1"/>
        <v>0</v>
      </c>
    </row>
    <row r="45" spans="1:7" x14ac:dyDescent="0.3">
      <c r="A45" s="1">
        <v>6</v>
      </c>
      <c r="B45" s="1" t="s">
        <v>264</v>
      </c>
    </row>
    <row r="48" spans="1:7" x14ac:dyDescent="0.3">
      <c r="C48" s="16" t="s">
        <v>62</v>
      </c>
      <c r="D48" s="16" t="s">
        <v>257</v>
      </c>
      <c r="E48" s="16" t="s">
        <v>165</v>
      </c>
    </row>
    <row r="49" spans="1:8" x14ac:dyDescent="0.3">
      <c r="B49" s="1">
        <v>1</v>
      </c>
      <c r="C49" s="1">
        <v>0.77966107176388966</v>
      </c>
      <c r="D49" s="1">
        <v>-2.6226882231376059</v>
      </c>
      <c r="E49" s="1">
        <v>1.5593221435277793</v>
      </c>
      <c r="G49" s="1" t="s">
        <v>267</v>
      </c>
      <c r="H49" s="33"/>
    </row>
    <row r="50" spans="1:8" x14ac:dyDescent="0.3">
      <c r="B50" s="1">
        <v>2</v>
      </c>
      <c r="C50" s="1">
        <v>0.34838911887807944</v>
      </c>
      <c r="D50" s="1">
        <v>-1.2531125867605311</v>
      </c>
      <c r="E50" s="1">
        <v>0.69677823775615888</v>
      </c>
      <c r="G50" s="1" t="s">
        <v>265</v>
      </c>
      <c r="H50" s="33"/>
    </row>
    <row r="51" spans="1:8" x14ac:dyDescent="0.3">
      <c r="B51" s="1">
        <v>3</v>
      </c>
      <c r="C51" s="1">
        <v>0.31987505272076322</v>
      </c>
      <c r="D51" s="1">
        <v>-0.84786163722545016</v>
      </c>
      <c r="E51" s="1">
        <v>0.63975010544152644</v>
      </c>
      <c r="G51" s="1" t="s">
        <v>266</v>
      </c>
      <c r="H51" s="33"/>
    </row>
    <row r="52" spans="1:8" x14ac:dyDescent="0.3">
      <c r="B52" s="1">
        <v>4</v>
      </c>
      <c r="C52" s="1">
        <v>0.24433998622625575</v>
      </c>
      <c r="D52" s="1">
        <v>-0.22571559585163514</v>
      </c>
      <c r="E52" s="1">
        <v>0.48867997245251149</v>
      </c>
      <c r="G52" s="1" t="s">
        <v>268</v>
      </c>
      <c r="H52" s="33"/>
    </row>
    <row r="53" spans="1:8" x14ac:dyDescent="0.3">
      <c r="B53" s="1">
        <v>5</v>
      </c>
      <c r="C53" s="1">
        <v>0.24299505367770724</v>
      </c>
      <c r="D53" s="1">
        <v>6.3978469965368268E-2</v>
      </c>
      <c r="E53" s="1">
        <v>0.48599010735541448</v>
      </c>
      <c r="G53" s="1" t="s">
        <v>269</v>
      </c>
      <c r="H53" s="33"/>
    </row>
    <row r="54" spans="1:8" x14ac:dyDescent="0.3">
      <c r="B54" s="1">
        <v>6</v>
      </c>
      <c r="C54" s="1">
        <v>0.20549390982641891</v>
      </c>
      <c r="D54" s="1">
        <v>0.71185210271776989</v>
      </c>
      <c r="E54" s="1">
        <v>0.41098781965283782</v>
      </c>
    </row>
    <row r="55" spans="1:8" x14ac:dyDescent="0.3">
      <c r="B55" s="1">
        <v>7</v>
      </c>
      <c r="C55" s="1">
        <v>0.43167789584054517</v>
      </c>
      <c r="D55" s="1">
        <v>2.1024845171829449</v>
      </c>
      <c r="E55" s="1">
        <v>0.86335579168109033</v>
      </c>
    </row>
    <row r="56" spans="1:8" x14ac:dyDescent="0.3">
      <c r="B56" s="1">
        <v>8</v>
      </c>
      <c r="C56" s="1">
        <v>0.50903180139926218</v>
      </c>
      <c r="D56" s="1">
        <v>2.8024186165210052</v>
      </c>
      <c r="E56" s="1">
        <v>1.0180636027985244</v>
      </c>
    </row>
    <row r="57" spans="1:8" x14ac:dyDescent="0.3">
      <c r="B57" s="1">
        <v>9</v>
      </c>
      <c r="C57" s="1">
        <v>0.58780761410512594</v>
      </c>
      <c r="D57" s="1">
        <v>3.0461885092836889</v>
      </c>
      <c r="E57" s="1">
        <v>1.1756152282102519</v>
      </c>
    </row>
    <row r="58" spans="1:8" x14ac:dyDescent="0.3">
      <c r="B58" s="1">
        <v>10</v>
      </c>
      <c r="C58" s="1">
        <v>0.33707733593005373</v>
      </c>
      <c r="D58" s="1">
        <v>3.0737988224863839</v>
      </c>
      <c r="E58" s="1">
        <v>0.67415467186010747</v>
      </c>
    </row>
    <row r="60" spans="1:8" x14ac:dyDescent="0.3">
      <c r="A60" s="1">
        <v>7</v>
      </c>
      <c r="B60" s="1" t="s">
        <v>278</v>
      </c>
    </row>
    <row r="61" spans="1:8" x14ac:dyDescent="0.3">
      <c r="B61" s="1" t="s">
        <v>271</v>
      </c>
    </row>
    <row r="62" spans="1:8" x14ac:dyDescent="0.3">
      <c r="B62" s="1" t="s">
        <v>272</v>
      </c>
    </row>
    <row r="63" spans="1:8" x14ac:dyDescent="0.3">
      <c r="B63" s="1" t="s">
        <v>273</v>
      </c>
    </row>
    <row r="64" spans="1:8" x14ac:dyDescent="0.3">
      <c r="B64" s="1" t="s">
        <v>274</v>
      </c>
    </row>
    <row r="65" spans="1:2" x14ac:dyDescent="0.3">
      <c r="B65" s="33"/>
    </row>
    <row r="67" spans="1:2" x14ac:dyDescent="0.3">
      <c r="A67" s="1">
        <v>8</v>
      </c>
      <c r="B67" s="1" t="s">
        <v>278</v>
      </c>
    </row>
    <row r="68" spans="1:2" x14ac:dyDescent="0.3">
      <c r="B68" s="1" t="s">
        <v>271</v>
      </c>
    </row>
    <row r="69" spans="1:2" x14ac:dyDescent="0.3">
      <c r="B69" s="1" t="s">
        <v>272</v>
      </c>
    </row>
    <row r="70" spans="1:2" x14ac:dyDescent="0.3">
      <c r="B70" s="1" t="s">
        <v>275</v>
      </c>
    </row>
    <row r="71" spans="1:2" x14ac:dyDescent="0.3">
      <c r="B71" s="1" t="s">
        <v>274</v>
      </c>
    </row>
    <row r="72" spans="1:2" x14ac:dyDescent="0.3">
      <c r="B72" s="33"/>
    </row>
    <row r="74" spans="1:2" x14ac:dyDescent="0.3">
      <c r="A74" s="1">
        <v>9</v>
      </c>
      <c r="B74" s="1" t="s">
        <v>278</v>
      </c>
    </row>
    <row r="75" spans="1:2" x14ac:dyDescent="0.3">
      <c r="B75" s="1" t="s">
        <v>271</v>
      </c>
    </row>
    <row r="76" spans="1:2" x14ac:dyDescent="0.3">
      <c r="B76" s="1" t="s">
        <v>272</v>
      </c>
    </row>
    <row r="77" spans="1:2" x14ac:dyDescent="0.3">
      <c r="B77" s="1" t="s">
        <v>276</v>
      </c>
    </row>
    <row r="78" spans="1:2" x14ac:dyDescent="0.3">
      <c r="B78" s="1" t="s">
        <v>274</v>
      </c>
    </row>
    <row r="79" spans="1:2" x14ac:dyDescent="0.3">
      <c r="B79" s="33"/>
    </row>
    <row r="81" spans="1:2" x14ac:dyDescent="0.3">
      <c r="A81" s="1">
        <v>10</v>
      </c>
      <c r="B81" s="1" t="s">
        <v>277</v>
      </c>
    </row>
    <row r="82" spans="1:2" s="33" customFormat="1" x14ac:dyDescent="0.3">
      <c r="A82" s="1"/>
    </row>
    <row r="83" spans="1:2" s="33" customFormat="1" x14ac:dyDescent="0.3">
      <c r="A83" s="1"/>
    </row>
    <row r="84" spans="1:2" s="33" customFormat="1" x14ac:dyDescent="0.3">
      <c r="A84" s="1"/>
    </row>
    <row r="85" spans="1:2" s="33" customFormat="1" x14ac:dyDescent="0.3">
      <c r="A85" s="1"/>
    </row>
  </sheetData>
  <scenarios current="0">
    <scenario name="scen1" count="1" user="David Romoff" comment="Created by David Romoff on 5/20/2022">
      <inputCells r="F16" val="2.08716107127897"/>
    </scenario>
  </scenarios>
  <sortState xmlns:xlrd2="http://schemas.microsoft.com/office/spreadsheetml/2017/richdata2" ref="C49:E58">
    <sortCondition ref="D49:D58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1"/>
  <sheetViews>
    <sheetView workbookViewId="0">
      <selection activeCell="B11" sqref="B11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10</v>
      </c>
    </row>
    <row r="3" spans="1:3" x14ac:dyDescent="0.3">
      <c r="C3" s="1" t="s">
        <v>240</v>
      </c>
    </row>
    <row r="4" spans="1:3" x14ac:dyDescent="0.3">
      <c r="B4" s="1" t="s">
        <v>183</v>
      </c>
    </row>
    <row r="5" spans="1:3" x14ac:dyDescent="0.3">
      <c r="B5" s="1" t="s">
        <v>7</v>
      </c>
    </row>
    <row r="6" spans="1:3" x14ac:dyDescent="0.3">
      <c r="B6" s="1" t="s">
        <v>8</v>
      </c>
    </row>
    <row r="7" spans="1:3" x14ac:dyDescent="0.3">
      <c r="B7" s="1" t="s">
        <v>9</v>
      </c>
    </row>
    <row r="8" spans="1:3" x14ac:dyDescent="0.3">
      <c r="B8" s="1" t="s">
        <v>241</v>
      </c>
    </row>
    <row r="9" spans="1:3" x14ac:dyDescent="0.3">
      <c r="A9" s="1">
        <v>1</v>
      </c>
      <c r="B9" s="1" t="s">
        <v>11</v>
      </c>
    </row>
    <row r="10" spans="1:3" x14ac:dyDescent="0.3">
      <c r="A10" s="1">
        <v>2</v>
      </c>
      <c r="B10" s="1" t="s">
        <v>270</v>
      </c>
    </row>
    <row r="11" spans="1:3" x14ac:dyDescent="0.3">
      <c r="A11" s="1">
        <v>3</v>
      </c>
      <c r="B11" s="1" t="s">
        <v>12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24</v>
      </c>
    </row>
    <row r="3" spans="2:5" x14ac:dyDescent="0.25">
      <c r="B3" s="9" t="s">
        <v>28</v>
      </c>
      <c r="C3" s="9"/>
    </row>
    <row r="4" spans="2:5" x14ac:dyDescent="0.25">
      <c r="B4" s="8" t="s">
        <v>25</v>
      </c>
    </row>
    <row r="5" spans="2:5" x14ac:dyDescent="0.25">
      <c r="B5" s="8" t="s">
        <v>29</v>
      </c>
    </row>
    <row r="7" spans="2:5" x14ac:dyDescent="0.25">
      <c r="B7" s="11" t="s">
        <v>20</v>
      </c>
      <c r="C7" s="11" t="s">
        <v>21</v>
      </c>
      <c r="E7" s="11" t="s">
        <v>24</v>
      </c>
    </row>
    <row r="8" spans="2:5" x14ac:dyDescent="0.25">
      <c r="B8" s="8" t="s">
        <v>30</v>
      </c>
      <c r="C8" s="8" t="s">
        <v>31</v>
      </c>
      <c r="E8" s="12"/>
    </row>
    <row r="9" spans="2:5" x14ac:dyDescent="0.25">
      <c r="B9" s="8" t="s">
        <v>31</v>
      </c>
      <c r="C9" s="8" t="s">
        <v>30</v>
      </c>
    </row>
    <row r="10" spans="2:5" x14ac:dyDescent="0.25">
      <c r="B10" s="8" t="s">
        <v>30</v>
      </c>
      <c r="C10" s="8" t="s">
        <v>31</v>
      </c>
    </row>
    <row r="11" spans="2:5" x14ac:dyDescent="0.25">
      <c r="B11" s="8" t="s">
        <v>30</v>
      </c>
      <c r="C11" s="8" t="s">
        <v>30</v>
      </c>
    </row>
    <row r="12" spans="2:5" x14ac:dyDescent="0.25">
      <c r="B12" s="8" t="s">
        <v>31</v>
      </c>
      <c r="C12" s="8" t="s">
        <v>31</v>
      </c>
    </row>
    <row r="13" spans="2:5" x14ac:dyDescent="0.25">
      <c r="B13" s="8" t="s">
        <v>31</v>
      </c>
      <c r="C13" s="8" t="s">
        <v>30</v>
      </c>
    </row>
    <row r="14" spans="2:5" x14ac:dyDescent="0.25">
      <c r="B14" s="8" t="s">
        <v>30</v>
      </c>
      <c r="C14" s="8" t="s">
        <v>30</v>
      </c>
    </row>
    <row r="15" spans="2:5" x14ac:dyDescent="0.25">
      <c r="B15" s="8" t="s">
        <v>31</v>
      </c>
      <c r="C15" s="8" t="s">
        <v>30</v>
      </c>
    </row>
    <row r="16" spans="2:5" x14ac:dyDescent="0.25">
      <c r="B16" s="8" t="s">
        <v>30</v>
      </c>
      <c r="C16" s="8" t="s">
        <v>31</v>
      </c>
    </row>
    <row r="17" spans="2:4" x14ac:dyDescent="0.25">
      <c r="B17" s="8" t="s">
        <v>31</v>
      </c>
      <c r="C17" s="8" t="s">
        <v>31</v>
      </c>
    </row>
    <row r="18" spans="2:4" x14ac:dyDescent="0.25">
      <c r="B18" s="8" t="s">
        <v>30</v>
      </c>
      <c r="C18" s="8" t="s">
        <v>30</v>
      </c>
      <c r="D18" s="8" t="s">
        <v>32</v>
      </c>
    </row>
    <row r="19" spans="2:4" x14ac:dyDescent="0.25">
      <c r="B19" s="8" t="s">
        <v>31</v>
      </c>
      <c r="C19" s="8" t="s">
        <v>31</v>
      </c>
    </row>
    <row r="20" spans="2:4" x14ac:dyDescent="0.25">
      <c r="B20" s="8" t="s">
        <v>30</v>
      </c>
      <c r="C20" s="8" t="s">
        <v>30</v>
      </c>
    </row>
    <row r="21" spans="2:4" x14ac:dyDescent="0.25">
      <c r="B21" s="8" t="s">
        <v>31</v>
      </c>
      <c r="C21" s="8" t="s">
        <v>31</v>
      </c>
    </row>
    <row r="22" spans="2:4" x14ac:dyDescent="0.25">
      <c r="B22" s="8" t="s">
        <v>31</v>
      </c>
      <c r="C22" s="8" t="s">
        <v>30</v>
      </c>
    </row>
    <row r="23" spans="2:4" x14ac:dyDescent="0.25">
      <c r="B23" s="8" t="s">
        <v>31</v>
      </c>
      <c r="C23" s="8" t="s">
        <v>30</v>
      </c>
    </row>
    <row r="24" spans="2:4" x14ac:dyDescent="0.25">
      <c r="B24" s="8" t="s">
        <v>30</v>
      </c>
      <c r="C24" s="8" t="s">
        <v>31</v>
      </c>
    </row>
    <row r="25" spans="2:4" x14ac:dyDescent="0.25">
      <c r="B25" s="8" t="s">
        <v>31</v>
      </c>
      <c r="C25" s="8" t="s">
        <v>31</v>
      </c>
    </row>
    <row r="26" spans="2:4" x14ac:dyDescent="0.25">
      <c r="B26" s="8" t="s">
        <v>30</v>
      </c>
      <c r="C26" s="8" t="s">
        <v>30</v>
      </c>
    </row>
    <row r="27" spans="2:4" x14ac:dyDescent="0.25">
      <c r="B27" s="8" t="s">
        <v>31</v>
      </c>
      <c r="C27" s="8" t="s">
        <v>31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10</v>
      </c>
    </row>
    <row r="3" spans="1:2" x14ac:dyDescent="0.3">
      <c r="B3" s="1" t="s">
        <v>184</v>
      </c>
    </row>
    <row r="4" spans="1:2" x14ac:dyDescent="0.3">
      <c r="B4" s="1" t="s">
        <v>185</v>
      </c>
    </row>
    <row r="5" spans="1:2" x14ac:dyDescent="0.3">
      <c r="B5" s="1" t="s">
        <v>241</v>
      </c>
    </row>
    <row r="6" spans="1:2" x14ac:dyDescent="0.3">
      <c r="A6" s="31">
        <v>1</v>
      </c>
      <c r="B6" s="31" t="s">
        <v>11</v>
      </c>
    </row>
    <row r="7" spans="1:2" x14ac:dyDescent="0.3">
      <c r="A7" s="31">
        <v>2</v>
      </c>
      <c r="B7" s="31" t="s">
        <v>186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213</v>
      </c>
      <c r="B1" t="s">
        <v>212</v>
      </c>
      <c r="C1" t="s">
        <v>211</v>
      </c>
      <c r="D1" t="s">
        <v>210</v>
      </c>
      <c r="E1" t="s">
        <v>209</v>
      </c>
      <c r="F1" t="s">
        <v>208</v>
      </c>
      <c r="G1" t="s">
        <v>207</v>
      </c>
    </row>
    <row r="2" spans="1:7" x14ac:dyDescent="0.2">
      <c r="A2">
        <v>12500</v>
      </c>
      <c r="B2">
        <v>0.17269999999999999</v>
      </c>
      <c r="C2" t="s">
        <v>203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203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205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203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203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205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205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203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203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203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203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205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203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205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203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203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203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205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203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203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203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203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205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205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204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204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203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203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203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203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203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205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203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203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203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203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203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205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203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203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204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203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203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204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203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203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205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204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203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203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204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203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205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204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203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205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205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205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205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205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203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204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205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203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203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203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205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205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203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205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205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203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203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203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203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205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203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205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204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203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204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205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203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203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203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203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203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205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205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203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203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203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203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205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203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203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204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205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203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203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203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203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204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205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203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203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203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203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203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203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203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203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203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203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203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203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203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203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205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204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203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205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203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203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203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205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204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203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203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203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205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205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203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205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203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205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205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205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205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203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203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203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205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205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205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205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205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203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203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204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205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205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205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205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203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205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205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203</v>
      </c>
      <c r="D159" s="32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205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205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205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205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204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205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205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203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203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205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205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205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205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203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205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205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205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203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203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203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205</v>
      </c>
      <c r="D180" s="32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205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203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203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205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205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203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205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205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203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203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205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204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205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204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203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204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205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205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205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203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203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204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204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203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205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205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203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203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203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203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205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205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205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204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205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203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205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205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205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203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205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203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205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205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205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205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205</v>
      </c>
      <c r="D227" s="32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205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205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204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203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205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205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204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205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204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205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203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205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203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205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203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205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205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203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205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203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203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203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205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205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203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205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205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205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205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205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205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205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205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203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203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203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205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205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203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205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203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205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203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205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204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203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205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205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205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205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205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205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204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203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205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205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203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203</v>
      </c>
      <c r="D285" s="32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203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204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203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205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205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203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203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205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205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203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205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205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203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203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204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203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203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205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205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203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205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205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203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205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203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203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205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205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203</v>
      </c>
      <c r="D314" s="32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204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205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203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205</v>
      </c>
      <c r="D318" s="32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203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205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203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205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205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205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203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203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205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205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205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205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203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203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203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203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205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205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205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205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203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205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205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205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205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205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203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205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203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205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203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205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205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203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205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205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205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205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203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205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205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203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203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205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205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205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205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203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203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205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205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205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203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205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205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203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203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205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205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205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205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203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203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205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205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205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203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204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203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205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205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203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205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205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205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203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205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203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204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203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205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205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204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205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203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205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205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204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205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203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203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203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205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204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203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205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203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205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203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205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205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205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205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205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203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205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205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205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203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203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205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203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205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203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205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205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203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203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203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203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205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203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205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205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205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203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203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205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203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203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203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203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205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203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203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205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205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203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205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205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205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203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205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203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205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203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205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203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205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205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203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205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203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205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205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205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205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205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204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205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204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205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203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205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205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203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204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205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205</v>
      </c>
      <c r="D487" s="32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203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204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203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205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203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203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205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205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205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205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205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205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203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205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205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205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203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203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205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205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205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205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203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203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205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203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203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203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205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203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203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205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205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203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205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204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205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205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203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203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205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203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203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205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203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203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203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205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205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205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205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205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203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205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205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205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203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204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205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205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203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203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205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203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205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205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203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203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205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205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205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204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203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205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203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203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205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203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203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203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203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205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205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203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203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203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204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203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205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203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205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205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205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203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203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204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205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203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204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203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203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203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205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203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205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205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204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203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205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203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203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205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205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203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205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203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203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203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203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205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203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203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205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203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205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203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203</v>
      </c>
      <c r="D614" s="32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205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205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203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203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205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203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203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203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204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205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203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203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205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205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203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203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205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205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203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205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203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204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204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203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204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203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205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203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203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205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203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203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203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203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204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205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205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203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203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205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203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205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205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205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203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205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205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205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203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205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205</v>
      </c>
      <c r="D665" s="32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205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204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205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205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203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203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205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205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205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205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203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203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205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205</v>
      </c>
      <c r="D679" s="32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204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203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205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205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203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204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204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203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203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205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205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204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203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204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205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203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205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204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203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204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204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205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205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203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205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205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203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205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205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203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205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205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203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204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203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203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203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205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203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205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205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204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205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203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205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203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205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205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205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205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203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203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203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205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203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203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204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203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205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205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205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204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203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205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205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203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203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203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203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203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205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205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203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203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203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204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204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205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205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203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203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204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203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204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203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204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205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203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203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203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203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203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203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205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205</v>
      </c>
      <c r="D774" s="32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205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203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203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205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205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203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203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203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203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203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205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203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205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203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203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205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204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203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203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203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205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203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205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205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203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205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205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203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203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205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203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203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203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205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203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205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203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205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204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203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205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203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204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205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203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205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204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204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205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205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203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203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205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203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203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203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203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203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203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205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205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205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203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204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205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203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205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203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203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204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205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205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205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203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205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203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203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205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205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203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205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203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205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205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203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203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203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203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205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203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205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205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205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205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203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204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203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205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203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203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203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205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203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203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203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203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205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205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205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205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203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203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205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205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205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203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205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205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203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203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203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203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205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205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203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205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205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205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204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205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203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205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204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205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203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203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205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205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205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205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205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204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203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205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203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203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204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203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203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204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203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205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203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203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205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203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204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203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204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203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203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205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205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203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203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205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205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203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205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205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205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205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205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203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203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203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205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203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203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203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203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203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204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205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205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205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205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205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203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203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203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205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205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203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203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203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205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205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203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203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205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203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205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204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205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203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205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205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203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205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203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203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203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205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205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204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203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203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203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203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205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203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205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203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205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205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203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205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205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205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203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205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203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203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203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205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204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205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205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203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203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205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203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203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205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205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203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205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203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205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205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205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203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203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205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205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203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205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203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205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205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205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203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203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205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205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205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204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205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203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203</v>
      </c>
      <c r="D1045" s="32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203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205</v>
      </c>
      <c r="D1047" s="32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205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204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203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203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203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203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205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205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205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203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205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204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203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203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203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205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203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204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205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203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205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203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205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203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205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203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205</v>
      </c>
      <c r="D1074" s="32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203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205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205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205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205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205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205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203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203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204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205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203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205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205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203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205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203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205</v>
      </c>
      <c r="D1092" s="3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203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203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203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205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205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204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205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203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203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203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205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205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205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203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203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205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205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203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205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205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205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203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203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205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204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205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205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203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205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205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205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203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204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203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203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203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205</v>
      </c>
      <c r="D1129" s="32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203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205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204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203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205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203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205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205</v>
      </c>
      <c r="D1137" s="32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203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203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204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204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205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203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203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205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205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205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205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205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203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205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205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205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203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203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203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205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203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203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205</v>
      </c>
      <c r="D1160" s="32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205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205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205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205</v>
      </c>
      <c r="D1164" s="32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203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203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205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203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205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203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205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203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203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203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203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203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205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205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203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205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205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205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205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205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205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205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203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203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203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205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203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205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203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203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205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205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205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205</v>
      </c>
      <c r="D1198" s="32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203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205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203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203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203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203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205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203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203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205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205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204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205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205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205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204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205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205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203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203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205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203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205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205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205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203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205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205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203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204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205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203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205</v>
      </c>
      <c r="D1231" s="32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205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203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205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203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205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203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205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205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203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205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205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205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203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205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205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205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203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203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203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205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203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203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203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203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205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205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203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203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203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203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203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203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203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205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205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204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205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203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203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203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203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205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203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203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205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203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204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203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203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203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205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205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205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205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203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203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204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205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203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205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205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205</v>
      </c>
      <c r="D1293" s="32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203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203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205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205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205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203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204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203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203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205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203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203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203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203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205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203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205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205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203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205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205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203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205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203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203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205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203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203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205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205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205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205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203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205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205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203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203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205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205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205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203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205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203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203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205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203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204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205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205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205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205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203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203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203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205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205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203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204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205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205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203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205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205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205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204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203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205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205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205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204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203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205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203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203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203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205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203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204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205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203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205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205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203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203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203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205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203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203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205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205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205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205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203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203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203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203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205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203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203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203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203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203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205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203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205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203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203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203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205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205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205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205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205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205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203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203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204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203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203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203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205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203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205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203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205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203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205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203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205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205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203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205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203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203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205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205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203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205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205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205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203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203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203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203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205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205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203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205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203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205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205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203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205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203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205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203</v>
      </c>
      <c r="D1449" s="32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203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204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203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203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205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203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204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205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203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205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205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205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205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203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205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203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205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203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203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203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205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205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204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205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203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203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205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203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203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205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203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205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205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204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203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205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203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203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205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205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204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205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203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203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203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205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205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203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203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203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205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203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203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205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203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203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203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203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204</v>
      </c>
      <c r="D1508" s="32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203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203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203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204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203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203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203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203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205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204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205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203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205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205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203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203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203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205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205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203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203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204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205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205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205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203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203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205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205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203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205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204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205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205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203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203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203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205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204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205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205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205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204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205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205</v>
      </c>
      <c r="D1553" s="32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203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203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203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203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205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203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203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205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203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204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203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203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203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203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203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203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205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205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205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205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203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203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203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203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204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204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203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204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203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203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203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203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203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204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205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203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203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205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203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204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203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203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205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203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205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205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203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203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203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203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205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203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203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203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205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205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203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203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205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203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205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203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203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204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205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203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205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205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204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205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205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203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203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203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205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203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205</v>
      </c>
      <c r="D1630" s="32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205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203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203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205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203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203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205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206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203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203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203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203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203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203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205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205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203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205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203</v>
      </c>
      <c r="D1649" s="32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203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203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203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205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203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205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203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205</v>
      </c>
      <c r="D1657" s="32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203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203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205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203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203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203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203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203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203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205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204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203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205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203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205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205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203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203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203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205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205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205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205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203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203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203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203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203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204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203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203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203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205</v>
      </c>
      <c r="D1690" s="32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203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205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205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203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203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203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203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203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203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205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205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203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203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205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203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203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205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203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205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203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205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203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203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205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203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205</v>
      </c>
      <c r="D1716" s="32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205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205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203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205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205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203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205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203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205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205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204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205</v>
      </c>
      <c r="D1728" s="32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203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206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203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203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203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205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204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203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205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205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205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205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204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203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205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205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205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203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203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205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203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203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205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205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203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204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203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205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203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205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203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203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205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203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205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205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203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203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205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203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203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203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203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205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203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203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203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205</v>
      </c>
      <c r="D1776" s="32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205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203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203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203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203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204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205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203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205</v>
      </c>
      <c r="D1785" s="32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203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205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206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203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205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206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204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203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205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203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203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203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205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203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203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203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203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203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205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203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204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203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203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205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205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205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203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203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203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205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203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205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204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204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205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205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203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203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203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205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203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203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203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203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205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203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203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205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203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203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203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203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203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205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205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205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203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203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205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204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203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203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203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203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203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203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204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203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203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203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203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203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203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205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203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205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203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203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205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203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203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205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206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205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203</v>
      </c>
      <c r="D1870" s="32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205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205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204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203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204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203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203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203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203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203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203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205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205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203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204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204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203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203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203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203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203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203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203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203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203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205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205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203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203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205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205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204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203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205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204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205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205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203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203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205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203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205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205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205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204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205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204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204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205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205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205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205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203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203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205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203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205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205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205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205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205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203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203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203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203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205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203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205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203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203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205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203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203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205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205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203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203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203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205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203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203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203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205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203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203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205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205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205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205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205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205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203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203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204</v>
      </c>
      <c r="D1964" s="32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203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205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205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205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205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205</v>
      </c>
      <c r="D1970" s="32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205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205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203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205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203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205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205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203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204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203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205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203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203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205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205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203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203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203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203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204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205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205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203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205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205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203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205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205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205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203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203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205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204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205</v>
      </c>
      <c r="D2004" s="32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203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204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205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205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204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203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205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205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204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204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203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205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205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205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205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205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205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205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203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205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203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203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205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203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205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203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204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204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204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203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205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203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203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204</v>
      </c>
      <c r="D2038" s="32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203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205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203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203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205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205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205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203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205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205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203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205</v>
      </c>
      <c r="D2050" s="32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205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205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203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205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205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203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205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205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203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205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203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205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203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203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205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203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203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203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203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205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205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203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203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205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205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205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203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205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203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205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203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203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203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203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203</v>
      </c>
      <c r="D2085" s="32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203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203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205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205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205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203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205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205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203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205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203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205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205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205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203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203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205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203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205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205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205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204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203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205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205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203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205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205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205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205</v>
      </c>
      <c r="D2115" s="32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203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205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203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205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205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203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203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205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205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203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205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205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204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205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205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203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205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205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203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205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203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203</v>
      </c>
      <c r="D2137" s="32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205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205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205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205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204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203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205</v>
      </c>
      <c r="D2144" s="32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203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203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205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205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205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203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203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204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203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205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205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205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203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203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203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203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205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203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203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205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204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205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205</v>
      </c>
      <c r="D2167" s="32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203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205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205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204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205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203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203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203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205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203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205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205</v>
      </c>
      <c r="D2179" s="32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203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203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203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203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203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203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203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204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205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204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205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205</v>
      </c>
      <c r="D2191" s="32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205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203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205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205</v>
      </c>
      <c r="D2195" s="32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205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203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203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205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204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203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203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205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205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204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205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204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203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203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205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205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205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205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205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204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204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205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205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205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205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203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205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203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205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205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205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205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203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204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205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205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205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203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204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205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205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205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205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205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203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205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203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205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203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205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205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205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203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205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205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205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205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203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203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203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205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203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204</v>
      </c>
      <c r="D2258" s="32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205</v>
      </c>
      <c r="D2259" s="32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205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205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203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203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204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203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205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205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205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205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203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204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203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203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203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205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205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203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205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204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205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203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203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204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204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205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204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203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205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205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205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205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205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205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205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205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203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204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203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205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203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204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205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205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205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203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205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203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205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205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205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205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203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205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204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205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205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204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205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204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203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203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203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205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205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205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203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203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205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205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203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203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205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203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204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204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203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205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203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203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204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204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203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205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204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203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203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203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203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204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205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205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203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205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203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205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205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205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203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205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203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203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204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205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205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205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205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205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203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204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203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203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205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203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203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205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203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203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205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205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205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203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205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203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203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203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205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205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205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203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205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205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205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205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205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205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205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205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205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203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205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203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205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204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203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205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205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205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205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203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205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204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203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205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203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203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205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205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205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203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205</v>
      </c>
      <c r="D2420" s="32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203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203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205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205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203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205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203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205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205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205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203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203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205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203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205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203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205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203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205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203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203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203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205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203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205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203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205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203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203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205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205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203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205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205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205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205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203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205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205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203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203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203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203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204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203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203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205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203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205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205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205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205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205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205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203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205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205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203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205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205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205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203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205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205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203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205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205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205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205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203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204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203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203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203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205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203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205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203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205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205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205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205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203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205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204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205</v>
      </c>
      <c r="D2506" s="32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205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205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205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205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203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203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205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203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205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204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205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203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204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203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205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203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203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205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205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203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205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205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203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204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205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203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203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205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205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203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205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205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205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205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205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205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203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205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203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205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205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204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205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205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205</v>
      </c>
      <c r="D2551" s="32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205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203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205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205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203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203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205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204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203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203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204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205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205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205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203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205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203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205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203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205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203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203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203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205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205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205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205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203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204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203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203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204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204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203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205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203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203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205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205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205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204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203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203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205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205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203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203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203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205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205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205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205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203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205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205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205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205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205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205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203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203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205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203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205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205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205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203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203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205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203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205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205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205</v>
      </c>
      <c r="D2624" s="32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205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203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203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203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203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203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205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203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203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203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205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203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204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203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204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203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203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205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205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203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204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203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203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203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205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205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205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203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205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205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204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204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205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205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203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203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205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205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205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205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205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205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204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205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205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205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203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205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205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203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204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203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203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204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204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204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203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205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205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205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205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205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205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204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205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205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205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205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203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203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205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203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203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203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203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204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203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203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203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204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205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205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203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203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203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204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203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203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205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203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203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203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205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203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205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205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203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205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203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205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205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205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205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205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205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203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203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203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203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203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203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203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205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205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205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203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204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203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205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203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205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203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205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205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204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203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205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204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203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203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205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204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205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203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203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205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205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204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203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203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205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203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205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205</v>
      </c>
      <c r="D2768" s="32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203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205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205</v>
      </c>
      <c r="D2771" s="32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203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205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205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203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205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203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203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205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203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203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205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204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203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203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205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205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203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205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205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205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203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203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205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205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205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205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205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204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205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205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205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205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203</v>
      </c>
      <c r="D2804" s="32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203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205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204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203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205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205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205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205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203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205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205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205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205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205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205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203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205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205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203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205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205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205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205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205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205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205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203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205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205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203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203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203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205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205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203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205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203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205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204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204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205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203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205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205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203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205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203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203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205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205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203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203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203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203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203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205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205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205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205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203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205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203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203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205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204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205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203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203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205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205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205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205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203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203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203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204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205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205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205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205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203</v>
      </c>
      <c r="D2885" s="32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205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205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205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205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204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205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205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205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203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205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203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203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205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203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203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205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203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203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205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205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203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205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205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203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205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205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205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204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205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205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205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205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203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205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205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205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203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203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205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205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205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205</v>
      </c>
      <c r="D2927" s="32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203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205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205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203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205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204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204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203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205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205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205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205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203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205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203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203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205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205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203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205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205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205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204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203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205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203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203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204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205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203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205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203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203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203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203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205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203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205</v>
      </c>
      <c r="D2965" s="32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203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205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204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204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205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203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205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203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203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205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204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203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205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203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205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205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203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203</v>
      </c>
      <c r="D2983" s="32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205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205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203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203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205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205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203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205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205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203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203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205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203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204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203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205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204</v>
      </c>
      <c r="D3000" s="32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205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205</v>
      </c>
      <c r="D3002" s="3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203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205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205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205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205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203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203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205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204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203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203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203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205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203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203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203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203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205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205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205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205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205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205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203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204</v>
      </c>
      <c r="D3027" s="32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203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203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203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203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203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203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205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205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205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205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203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205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205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203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205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205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203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205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205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205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204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205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205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204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203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205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203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205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203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203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204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203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205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203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204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205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205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203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205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205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203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203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205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204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203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203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205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205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204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205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204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205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205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205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203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205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204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205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205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203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205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205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205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205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203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205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203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203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203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205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203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204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203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205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205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205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203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204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205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205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205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205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203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205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205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203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205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205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203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203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205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205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205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205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205</v>
      </c>
      <c r="D3122" s="3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203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205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205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205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205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205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205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203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205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205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203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205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203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205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205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205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203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205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205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204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205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205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205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203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205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203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205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205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203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205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203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205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205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205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205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205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205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203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205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204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203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203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203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205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205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205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203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203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205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205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205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205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203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203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205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205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204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203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203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205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203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205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204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203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205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203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205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203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203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203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205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205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203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203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203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205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203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203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203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204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205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205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205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205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203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203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205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203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204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205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203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204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203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203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205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205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203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205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205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203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203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203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205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203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205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204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205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204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205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205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205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205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203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205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203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203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205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205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205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205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205</v>
      </c>
      <c r="D3243" s="32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203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205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203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205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203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203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205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205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205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203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205</v>
      </c>
      <c r="D3254" s="32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205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205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203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203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205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203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205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205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205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205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203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203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205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203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204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205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205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205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203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205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203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203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203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205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203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205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203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203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205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203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205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205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205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205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205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205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205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205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205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203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203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203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203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203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203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205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205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203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205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203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203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205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203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205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205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205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205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205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205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205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203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205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205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205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203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205</v>
      </c>
      <c r="D3320" s="32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205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205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203</v>
      </c>
      <c r="D3323" s="32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203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205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203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203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204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203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203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205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205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203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205</v>
      </c>
      <c r="D3334" s="32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203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205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205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203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203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205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205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203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203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204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205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205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205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205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205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205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205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205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205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203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203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203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203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203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203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205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203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203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204</v>
      </c>
      <c r="D3363" s="32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204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205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205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203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203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203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204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205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205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203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203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205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203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205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203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205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203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205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203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203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205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205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203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205</v>
      </c>
      <c r="D3387" s="32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203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205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205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203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205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205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205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205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205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205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205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203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203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205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205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205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205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205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205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203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205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205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203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205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203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205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205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205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205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205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203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204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203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205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204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205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205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205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203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203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205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203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203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205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203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204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203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204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205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205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205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203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205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203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205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205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203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205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203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205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205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205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203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203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203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203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205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203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205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205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205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203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203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205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203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205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203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203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205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205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203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203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205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203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204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203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205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203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205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203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205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205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205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205</v>
      </c>
      <c r="D3481" s="32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205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205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205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203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203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205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203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203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204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203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205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205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203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205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205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205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205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203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205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203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203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204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205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205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205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203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205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203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205</v>
      </c>
      <c r="D3510" s="32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205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205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203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205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203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203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205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205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205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205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205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205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204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205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203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204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205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205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205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205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203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203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203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203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205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203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205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204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205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205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203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203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205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203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203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203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205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205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203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203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203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205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203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203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205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205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203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203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205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205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205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205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205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205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205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205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203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203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203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203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205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203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205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205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205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205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205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203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203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205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203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203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203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205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203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205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205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205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205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203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203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203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203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205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205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205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203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203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205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205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205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205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205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205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205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204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204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205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204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205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203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205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205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204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204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203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205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203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205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205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205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203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203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205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203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205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203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204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203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203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205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205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203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205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203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205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203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203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205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205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203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203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204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205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203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204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205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203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205</v>
      </c>
      <c r="D3649" s="32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203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203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204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205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205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205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203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203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205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203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205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204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205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205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203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205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205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203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203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203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203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205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205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203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205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205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203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205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205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203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205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203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203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203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203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203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205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205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205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203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203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204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205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205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204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203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203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204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203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203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203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205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203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205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203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205</v>
      </c>
      <c r="D3705" s="32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204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205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205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204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204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205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203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203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205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203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205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204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204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203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205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205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203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203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203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205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205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205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205</v>
      </c>
      <c r="D3728" s="32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203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203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205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203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203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205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205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203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203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205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203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205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205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204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205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205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205</v>
      </c>
      <c r="D3745" s="32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205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205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205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203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203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205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205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203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203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205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204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203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205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205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205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203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205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203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203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203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205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205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205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205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205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205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205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205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203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205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204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205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203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205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203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203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205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205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205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203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203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205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205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205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205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205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203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205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203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203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205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203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205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203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205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205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203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205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205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203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205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205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203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203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205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203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205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205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203</v>
      </c>
      <c r="D3814" s="32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204</v>
      </c>
      <c r="D3815" s="32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203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203</v>
      </c>
      <c r="D3817" s="32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203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204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205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203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203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205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203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205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203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203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205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204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203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203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205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203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205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203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205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205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203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205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203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204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203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205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203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205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203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205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205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203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203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204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205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205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205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205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205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205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205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205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203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205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205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203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205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203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203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205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205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203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205</v>
      </c>
      <c r="D3870" s="32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203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205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205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205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204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205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205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205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203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203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203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205</v>
      </c>
      <c r="D3882" s="3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205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205</v>
      </c>
      <c r="D3884" s="32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205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205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203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204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205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205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205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203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203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203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203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203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203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203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205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203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203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204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203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205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203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203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203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205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205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203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203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204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205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203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203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205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203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205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203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204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203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205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205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203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203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203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205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205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205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204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204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205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203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203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203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203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205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205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205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205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203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203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205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205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205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203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205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205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203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205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205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205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205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205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203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203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205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203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204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203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205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205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203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203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203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203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205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205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203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204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203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203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203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205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205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205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203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205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203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205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203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203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203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205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203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205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205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203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203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205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203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204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205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203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205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203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205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203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205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203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205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205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203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204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203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205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203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204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205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203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205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203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205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203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205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203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203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205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203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205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203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203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204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205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205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205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204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205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204</v>
      </c>
      <c r="D4029" s="32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203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203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205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203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205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205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205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203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205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203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205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203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203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205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205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205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203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205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205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205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205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203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205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205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203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205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203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205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205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203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203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205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203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203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205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203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204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205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205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205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205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203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205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203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203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205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203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205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205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203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205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203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203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205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203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205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203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203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205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205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203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205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203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205</v>
      </c>
      <c r="D4093" s="32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203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205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203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203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203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203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203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203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203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205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205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205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203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205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203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205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203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204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203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205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203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205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205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204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203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205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205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205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205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203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204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205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203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204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203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205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205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205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205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204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203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203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203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203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205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203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205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203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205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203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203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203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203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205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205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205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203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205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205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205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205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205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203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205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205</v>
      </c>
      <c r="D4158" s="32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203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205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203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203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203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203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205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204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205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205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205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203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203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203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205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203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203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205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203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204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205</v>
      </c>
      <c r="D4179" s="32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205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205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205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203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205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203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203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203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203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203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203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203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204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203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205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203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203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203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203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205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203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203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205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203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205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205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203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203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203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205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203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203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203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205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205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205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205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203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205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203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203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205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205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205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203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203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205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205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203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204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203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205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204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205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203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205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203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203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205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203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205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205</v>
      </c>
      <c r="D4241" s="32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205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203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205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203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203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203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205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204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205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203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203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203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203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205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203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205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203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203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203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205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205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205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203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203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203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205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205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204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205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205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205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203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205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205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205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203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205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203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203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203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205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203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203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203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203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205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203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205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205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203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203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205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205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203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205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203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205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203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205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203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205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203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205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205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205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203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203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205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205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203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205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205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205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204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205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205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205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205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205</v>
      </c>
      <c r="D4320" s="32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205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203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205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203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205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203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205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205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205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204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205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205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205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205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205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203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203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205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203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204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205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203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205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205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203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204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203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203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205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205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205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205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203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204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205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203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203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205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203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205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205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203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204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203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205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203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203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205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205</v>
      </c>
      <c r="D4369" s="32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205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203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203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203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205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204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204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205</v>
      </c>
      <c r="D4377" s="32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205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203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205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203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203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203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205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205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205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203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205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205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203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204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205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205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203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203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203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205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203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205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203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205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203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205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204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205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203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204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205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205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205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205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205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203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203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205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203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203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203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203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205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205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205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203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205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203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204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203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203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204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203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205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203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203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203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203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205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205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203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205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205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205</v>
      </c>
      <c r="D4441" s="32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205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204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203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205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205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205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203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205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203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205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203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205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205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203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205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203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205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205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205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205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203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203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204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205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205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205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205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203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203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203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203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205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205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204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203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205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205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203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203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205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205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203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205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203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203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203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204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205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203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203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204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203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205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205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205</v>
      </c>
      <c r="D4496" s="32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205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203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203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204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203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203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205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205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205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205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205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203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203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203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203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203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203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205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203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203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205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203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205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203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203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203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203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205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205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204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205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205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205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205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205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203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205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205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203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203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203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205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204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203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204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205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204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205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205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205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205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205</v>
      </c>
      <c r="D4548" s="32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203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205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204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205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203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203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203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205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203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203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205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204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205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205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204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205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205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203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203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205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205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205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203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203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203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204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205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205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204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203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205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205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203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205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203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203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205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204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204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204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205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203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205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205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205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203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203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205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205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203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205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205</v>
      </c>
      <c r="D4600" s="32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204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205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205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203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205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204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203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205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205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205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203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203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205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203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205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203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204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203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205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205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203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203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205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203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205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205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205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205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204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203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205</v>
      </c>
      <c r="D4631" s="32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205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203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205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204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203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204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205</v>
      </c>
      <c r="D4638" s="32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205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203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203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203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205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204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205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204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205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203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203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203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203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204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205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205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203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203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205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203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203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205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203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205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205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203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203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203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203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203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203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204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203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203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205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205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205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203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205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205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205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203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203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205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205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203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205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203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205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205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203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203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205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203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203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204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203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205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205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205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203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203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203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205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205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205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205</v>
      </c>
      <c r="D4705" s="32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203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203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203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205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205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205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203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203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205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205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205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205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205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205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205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205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205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205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203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205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205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205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204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205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203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205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205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203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203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205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205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203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203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205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203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205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203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205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205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203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205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205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205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205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205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204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203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205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203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205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205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204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203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205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203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205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203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203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205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205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203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203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203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205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205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205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203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205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205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205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204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203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205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203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205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203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205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205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205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204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205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205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205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205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203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205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203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205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205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203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203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205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203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203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205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205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205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205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203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203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203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205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205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203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203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205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205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203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203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203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203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205</v>
      </c>
      <c r="D4817" s="32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203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203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205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204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205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203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205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203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205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203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205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205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203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205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205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205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205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205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205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205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205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205</v>
      </c>
      <c r="D4839" s="32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203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203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205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203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205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204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203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205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205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203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205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205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203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203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204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203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205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203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203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205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205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203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203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205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203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205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203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203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205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203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205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205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205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203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205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205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203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203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203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203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203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203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205</v>
      </c>
      <c r="D4882" s="3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203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205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205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205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205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205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205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204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203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205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205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203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203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203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203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205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203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205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205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203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203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203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205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203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205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203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205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203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205</v>
      </c>
      <c r="D4911" s="32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203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205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205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203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205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205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203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205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205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205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205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203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203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205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203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205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205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203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203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205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203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205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203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204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205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205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203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203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203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205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205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205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205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204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205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205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203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204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205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203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203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203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205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205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203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205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205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205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203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205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205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205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205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205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205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205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203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205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203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203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205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203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205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205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205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205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205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204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205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205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203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205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203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203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205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205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203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203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203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205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203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204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205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205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205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205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205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205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205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205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203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205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203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205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203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203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204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205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205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205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203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203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203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205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205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205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205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203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203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203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205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205</v>
      </c>
      <c r="D5023" s="32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205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205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203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205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203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205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205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205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203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205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205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203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205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203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204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205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204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205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203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203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203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205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205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205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203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205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205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203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205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203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205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203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205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205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203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203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203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205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205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204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205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203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205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205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205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204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203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205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205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205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203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203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205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203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205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205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203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205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203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205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205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205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203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205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205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205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205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205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205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203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203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205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205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205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205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203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203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203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203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203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203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204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203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205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205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203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203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205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203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205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204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205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203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204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204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204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205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203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205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205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205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203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205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203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205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205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203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205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205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203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205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205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205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205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205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205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205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204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205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204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205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204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203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203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203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203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205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205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205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205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205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203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203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203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203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205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203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205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205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205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205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205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203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203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203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203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205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203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205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203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205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204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203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203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205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203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203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203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203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205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205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205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203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203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205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203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205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205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205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203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203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203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205</v>
      </c>
      <c r="D5196" s="32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205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205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205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205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205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203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204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205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203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205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205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203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205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203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205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205</v>
      </c>
      <c r="D5212" s="3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205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203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205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203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205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205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205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203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203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205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203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204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203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203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203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203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205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205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203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203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205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203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205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205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205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203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203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205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205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205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205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203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205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205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203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205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203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203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203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205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203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203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205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205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205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205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203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203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203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203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205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203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205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205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205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205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203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205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203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205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205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203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205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203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205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205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205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205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203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205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205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205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204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204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205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205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205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203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205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204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203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205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205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205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203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205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205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203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203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203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203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203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205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205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203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205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203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203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205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203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205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203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203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203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205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203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205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205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203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203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203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203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205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205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205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205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205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203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203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205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204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203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205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205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205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203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205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205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205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203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205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203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205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205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205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205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205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205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203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205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203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205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205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205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203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205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203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205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205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205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203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203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205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203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205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203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205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205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205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205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203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205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205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205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203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205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205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205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203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205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205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205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203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203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203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205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203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205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203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205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204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203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203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203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205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203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205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205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205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205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203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203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205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203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205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205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203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205</v>
      </c>
      <c r="D5410" s="32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205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205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203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205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204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205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203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203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203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203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205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205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205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205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205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205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205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203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205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205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205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205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203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205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205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205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203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203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205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205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205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204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203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205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203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203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205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203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203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203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203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205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205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205</v>
      </c>
      <c r="D5454" s="32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203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205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203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205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205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203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204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205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205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205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205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203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203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203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205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203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205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203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204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205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204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203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204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203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205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203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203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203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203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205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205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203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203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203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203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205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205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205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205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205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205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205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203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205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203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205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205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204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203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205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203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203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205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203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205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205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205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205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205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203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203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203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205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205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203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205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205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205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205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205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205</v>
      </c>
      <c r="D5525" s="32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205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205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205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205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203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205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203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203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205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205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204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205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203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205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205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205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204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205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205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205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203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205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203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205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204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203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205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203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203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203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205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205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205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205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203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205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203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205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203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205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205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205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204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205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203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203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205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205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203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205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203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203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203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205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203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203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205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205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203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205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205</v>
      </c>
      <c r="D5586" s="32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204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203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205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203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203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203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203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203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204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204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203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203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205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205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203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205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205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205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203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205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205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203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205</v>
      </c>
      <c r="D5609" s="32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205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203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203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205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203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203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205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205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203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205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205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203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205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203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205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205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203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205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203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205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203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205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205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203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203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203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203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205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205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203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203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203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205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203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203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205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205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205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205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204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205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203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205</v>
      </c>
      <c r="D5652" s="3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203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205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205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203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205</v>
      </c>
      <c r="D5657" s="32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205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203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203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203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204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205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203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205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205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203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205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203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205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205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205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205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205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205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203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203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205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203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205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205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205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203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203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205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203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203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203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205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203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203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205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205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203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205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203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205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206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203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205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205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203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203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203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205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205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205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203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205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203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203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205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203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203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206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205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205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204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203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205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205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203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203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203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203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205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204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205</v>
      </c>
      <c r="D5728" s="32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203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205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203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205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203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205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205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205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205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203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205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205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205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203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203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203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204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203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203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203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205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203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205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205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204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205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205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203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205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203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205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203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203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205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205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205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205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203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203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203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206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206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203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203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203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205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203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203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205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205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203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205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205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205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205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203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203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203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205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205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203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205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205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203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205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203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203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205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205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203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204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203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203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203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205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205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205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203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203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205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203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204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205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205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204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205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205</v>
      </c>
      <c r="D5815" s="32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203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205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203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205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203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203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203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203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205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205</v>
      </c>
      <c r="D5825" s="32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203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205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204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203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203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205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205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204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203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205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205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204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203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205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205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204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205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204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203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203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205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205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205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203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205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203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205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205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203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203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204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203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204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203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203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203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203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203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203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203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205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205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204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205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203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205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205</v>
      </c>
      <c r="D5872" s="3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203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205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205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205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203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203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205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205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205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203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205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204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205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203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205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203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205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205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203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205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203</v>
      </c>
      <c r="D5893" s="32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203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203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205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205</v>
      </c>
      <c r="D5897" s="32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203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203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204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203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205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205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203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203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204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205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203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203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203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203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205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205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203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203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205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205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205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204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203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205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203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205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203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203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205</v>
      </c>
      <c r="D5926" s="32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203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205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203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205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203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204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205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203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203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203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203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203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205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203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205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205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203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203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203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205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205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205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205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204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205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205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205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205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205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205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205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203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205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204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205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205</v>
      </c>
      <c r="D5962" s="3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205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203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205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203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205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203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205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204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204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205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203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203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203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203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205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204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205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205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205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203</v>
      </c>
      <c r="D5982" s="3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205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205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205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203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205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203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203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203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205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203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205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203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204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203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205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203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203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205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205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203</v>
      </c>
      <c r="D6002" s="3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203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205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205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204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205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205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203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203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203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205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205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205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204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203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205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203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203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203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205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203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203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203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203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203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203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203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203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205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205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205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203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205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203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203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205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203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205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203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203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205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205</v>
      </c>
      <c r="D6043" s="32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205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203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203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203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203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204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204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203</v>
      </c>
      <c r="D6051" s="32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205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205</v>
      </c>
      <c r="D6053" s="32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205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205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205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205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203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203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203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203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203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203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203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205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203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205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205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203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203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205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205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205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204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205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205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203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203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205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203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204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205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203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205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203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205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205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203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204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205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203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205</v>
      </c>
      <c r="D6092" s="3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203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205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203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203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205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205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205</v>
      </c>
      <c r="D6099" s="32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203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205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203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205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203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203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203</v>
      </c>
      <c r="D6106" s="32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203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205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203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203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205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203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203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205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203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203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205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205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205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203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205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205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203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203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205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205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205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203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203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205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203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204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203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204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203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203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205</v>
      </c>
      <c r="D6137" s="32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205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205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203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203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203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205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205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203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203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203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203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205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203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204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203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205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203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203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205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205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205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203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205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205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203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204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203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203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205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203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203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205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205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203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205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203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205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203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205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205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205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204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203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205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205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204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203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204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205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203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205</v>
      </c>
      <c r="D6188" s="32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203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205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203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205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205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205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205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203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204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205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205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205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203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205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205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203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205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203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205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204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203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203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203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205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205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205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205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203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203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205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203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203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205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203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205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203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205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203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203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205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205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203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203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203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205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205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205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203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205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203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203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203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205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205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204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205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205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205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204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205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204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205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203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203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203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203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205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203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204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205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204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205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203</v>
      </c>
      <c r="D6261" s="32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203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203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205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205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203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205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205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203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205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203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203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203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203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205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205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205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205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203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203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205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203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205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203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203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205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205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205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203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203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205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205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203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205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203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205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205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205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203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203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203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203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204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204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203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203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203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203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205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205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205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204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203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203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203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205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203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203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204</v>
      </c>
      <c r="D6319" s="32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203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205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205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203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205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205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205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203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203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203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205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203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205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205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203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203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205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204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203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205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205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205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205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203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203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205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205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203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203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205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205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205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205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205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205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204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205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205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203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203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205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203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205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205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205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205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203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205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203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203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203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203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203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203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204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203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205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203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203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203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205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205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204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203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203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203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204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205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203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205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203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203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203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204</v>
      </c>
      <c r="D6393" s="32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203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203</v>
      </c>
      <c r="D6395" s="32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203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203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205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204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205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205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205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203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205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203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205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203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205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203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203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205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203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205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205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205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203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205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203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205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204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203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203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203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205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205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204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203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205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205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203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205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203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205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205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205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205</v>
      </c>
      <c r="D6436" s="32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203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205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203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203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205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203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205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203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205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204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205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203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204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205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205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205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203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205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205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205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203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205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204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203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205</v>
      </c>
      <c r="D6461" s="32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203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203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203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203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205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205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203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205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203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205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203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205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203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205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205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205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203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205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205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203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205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204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205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203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203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205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203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205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203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203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205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205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203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205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204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203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205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205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203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205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205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203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203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204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203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203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203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203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204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204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205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203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204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203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205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205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203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203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205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203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205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203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204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203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204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205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205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205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205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204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203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205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203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203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203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205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203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203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205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205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203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205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204</v>
      </c>
      <c r="D6544" s="32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204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203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203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204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203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205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203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205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203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203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203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203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205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205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204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203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205</v>
      </c>
      <c r="D6561" s="32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203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205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205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205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205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205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203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205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205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203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203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205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205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203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203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205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204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205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203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205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203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203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203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203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205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205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205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203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205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204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203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203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205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205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203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203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205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203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205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205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205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205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203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203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205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205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205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203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205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205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204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203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203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203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205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203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203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203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205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203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204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203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205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205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205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205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204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205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203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203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203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203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205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205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205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205</v>
      </c>
      <c r="D6637" s="32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203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203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203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204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205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205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203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205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203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205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203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205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203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205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205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205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203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203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203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203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205</v>
      </c>
      <c r="D6658" s="32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204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205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205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205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203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204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203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203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205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203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203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205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203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205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205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203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205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204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205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203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205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205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203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203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203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203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203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205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205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205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203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203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204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203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203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203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204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203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203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203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204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204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203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203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205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205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205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204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205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205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205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205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203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203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205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203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205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205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205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205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204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205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203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203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203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205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203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205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204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203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203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203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203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203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203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205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203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205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205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203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204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205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205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205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203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205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203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203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205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203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203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204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203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203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203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203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203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204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205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203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203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203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203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205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203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205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203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203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203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205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203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203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205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205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203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205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205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205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203</v>
      </c>
      <c r="D6777" s="32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205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205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205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203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203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205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203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203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205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205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205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203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205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203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205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203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205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203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205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205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205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205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203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205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203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204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203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203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203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203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205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205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205</v>
      </c>
      <c r="D6810" s="32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205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205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203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203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205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203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203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203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203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205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205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205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203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203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205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204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203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203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205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204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205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203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205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203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204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203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205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204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205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203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203</v>
      </c>
      <c r="D6841" s="32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205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205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205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205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203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203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203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205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203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203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205</v>
      </c>
      <c r="D6852" s="3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203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203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205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205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205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205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203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203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205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203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205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205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203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203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204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205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203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203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203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205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205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203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203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203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203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203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203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204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205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203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203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203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205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205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203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203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204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204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205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203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205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205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203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203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203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205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205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203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203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203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203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203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203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203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205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205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203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204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203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205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204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203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203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203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204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205</v>
      </c>
      <c r="D6918" s="32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203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205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205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205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203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205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205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203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205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203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203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203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205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205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203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203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205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203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205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204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203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205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203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205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205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205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205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203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205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205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204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203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205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205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203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203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205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205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203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203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205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205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203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205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205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205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205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205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203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203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203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203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204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205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205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203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204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205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204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203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205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203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205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204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204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203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203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205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205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204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203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205</v>
      </c>
      <c r="D6990" s="32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203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205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205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203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204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205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205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205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203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205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205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205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205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204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205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205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205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203</v>
      </c>
      <c r="D7008" s="32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205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205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203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203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203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205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205</v>
      </c>
      <c r="D7015" s="32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203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205</v>
      </c>
      <c r="D7017" s="32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205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205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204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205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203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205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204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205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205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203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205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203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205</v>
      </c>
      <c r="D7030" s="32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203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205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205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203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205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203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203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205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203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205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203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205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203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203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203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205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205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205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205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205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205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203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205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205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203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205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203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205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204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203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205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205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205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203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205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205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205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203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203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205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205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203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203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203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205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204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203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203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203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203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203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205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205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205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203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203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203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205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203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203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205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205</v>
      </c>
      <c r="D7092" s="3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203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205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205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205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205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203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205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203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203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203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205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203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205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203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205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205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203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205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205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205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203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205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203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203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204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205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205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203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205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205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205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203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205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203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205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205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205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203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205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203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203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203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205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205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203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204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205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205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203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205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203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205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204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204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203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205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205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205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203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205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203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203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203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205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205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203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203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205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203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205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205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205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205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203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204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203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204</v>
      </c>
      <c r="D7169" s="32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203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205</v>
      </c>
      <c r="D7171" s="32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203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203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205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203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205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203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203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205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203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203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203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203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204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203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205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205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204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203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203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205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205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205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205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203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203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205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205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205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203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203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203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204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205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205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203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203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205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203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203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203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205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204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205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203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204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203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203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205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205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203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205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203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203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205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203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203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205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203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205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203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203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203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205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205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204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205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203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205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203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203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203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203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203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203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203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203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203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205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203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205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205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203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205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205</v>
      </c>
      <c r="D7255" s="32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203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203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203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203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205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203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205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205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203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203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203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205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205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203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203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205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203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205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205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203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203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203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203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203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205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205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203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203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205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205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203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203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205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205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205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205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205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205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205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203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203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205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205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203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205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205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205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203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205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205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205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205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203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203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205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203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205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205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205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205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205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203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205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205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203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205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205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205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203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205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205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204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203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205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205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203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205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204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203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203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204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205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203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205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204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204</v>
      </c>
      <c r="D7341" s="32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205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203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203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205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203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205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203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203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205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203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203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203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205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203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205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205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203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203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203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205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205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205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203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205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203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205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203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205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204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203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205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203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203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205</v>
      </c>
      <c r="D7375" s="32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204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203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203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203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205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205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204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205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205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203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203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203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203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205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203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205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205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203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203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205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203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203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203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203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203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204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203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205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205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203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203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203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205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203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203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203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205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203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205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205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203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203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204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203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203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203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205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203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203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203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205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203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205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205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203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205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204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203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203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204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205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205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203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203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203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205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205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205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203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203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203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205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205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203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205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205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203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205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203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203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203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203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203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204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204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205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203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205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203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205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203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203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205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203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205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204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203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204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203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203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203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205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203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205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203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205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203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203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203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205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203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205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203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205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205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205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203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205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205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203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205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205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203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205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203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203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203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203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203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203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203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203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205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203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205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203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203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203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204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205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203</v>
      </c>
      <c r="D7516" s="32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205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205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205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203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203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203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203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203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203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205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203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203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205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205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205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203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205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203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205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203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205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204</v>
      </c>
      <c r="D7538" s="32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204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205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205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203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205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203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203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205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203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203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203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205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205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205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205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205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203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203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203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205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203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205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205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203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203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203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204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203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205</v>
      </c>
      <c r="D7567" s="32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203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203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205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205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204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204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205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203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203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203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203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204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205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205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203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205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203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205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203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205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203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205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203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203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203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203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203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203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205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204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205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203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203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203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205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203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203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203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205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203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204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203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204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203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205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205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203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203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203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205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205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203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205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205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203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205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203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203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205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204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203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203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203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203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205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203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203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203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205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204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203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203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203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203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203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203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203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205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205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203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203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203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203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205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203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203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203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204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203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203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203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203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203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205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203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205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205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203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203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205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205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205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203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205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203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205</v>
      </c>
      <c r="D7673" s="32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205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205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203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205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203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203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205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204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205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203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203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203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205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203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205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205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203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205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205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204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205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203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205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205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203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203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203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203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203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203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203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205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205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205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204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204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205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204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205</v>
      </c>
      <c r="D7712" s="3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203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205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205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203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203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203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205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205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203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203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205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205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203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203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205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205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205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203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205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205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203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203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203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203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205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203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205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205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204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203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203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205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205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203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205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204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205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205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205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205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205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204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204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205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203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205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204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203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205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204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203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205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203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204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203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205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205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204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204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204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203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205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203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205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205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205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203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203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203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203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203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205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205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203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205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205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205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205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203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205</v>
      </c>
      <c r="D7792" s="3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203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203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205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205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203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203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205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203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203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203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205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203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203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205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205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203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205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205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203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203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205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205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205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205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203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205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204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205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205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205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205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203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205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205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203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205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205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204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203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204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205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204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203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205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204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203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203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205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203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205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205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205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205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205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205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203</v>
      </c>
      <c r="D7848" s="32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203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205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205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204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204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203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205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203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203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203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205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203</v>
      </c>
      <c r="D7860" s="32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203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205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205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205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205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203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205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205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205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205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205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205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203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203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204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205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203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203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205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204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205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203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203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205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204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205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205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204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203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205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203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203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205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205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205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203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205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205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205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203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205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203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203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205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203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205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205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205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203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203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205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205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205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205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203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205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204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205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203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203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205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205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205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205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203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203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205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203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205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203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203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205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205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205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205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203</v>
      </c>
      <c r="D7936" s="32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203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205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203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203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205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205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205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203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204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203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205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204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205</v>
      </c>
      <c r="D7949" s="32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203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205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203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205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205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203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205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205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203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205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204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205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203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205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205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203</v>
      </c>
      <c r="D7965" s="32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205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205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203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204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205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205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205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205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205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205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205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203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203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205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205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203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205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203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205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203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205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203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203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205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204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205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205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205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205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205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205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205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205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204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205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204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205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204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205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203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203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203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203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205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205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205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203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205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205</v>
      </c>
      <c r="D8014" s="32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203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203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205</v>
      </c>
      <c r="D8017" s="32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204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205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205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205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203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203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205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205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203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204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204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205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205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205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203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204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205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203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205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203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205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205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204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205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203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205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205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203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205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205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205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203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205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203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205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205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205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205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203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203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205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203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205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205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205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205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205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204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205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203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205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205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205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204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205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203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204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205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205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203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203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205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203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205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204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203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205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203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205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203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205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205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205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205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205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205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205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203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203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205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203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203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205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203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205</v>
      </c>
      <c r="D8102" s="32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203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203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205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205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204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205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203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205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205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203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204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203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203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203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205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203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205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204</v>
      </c>
      <c r="D8120" s="32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203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205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203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205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205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205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205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205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203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203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205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205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203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203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205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205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205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205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205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203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205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205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203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205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203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204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204</v>
      </c>
      <c r="D8147" s="32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203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204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203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205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205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205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205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205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205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205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205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203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205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205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205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205</v>
      </c>
      <c r="D8163" s="32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205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205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203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205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205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205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205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205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203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204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205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204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205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203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204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203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205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205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205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205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203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205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203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205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205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204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205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203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205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203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205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205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205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204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203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203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203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203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203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205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204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203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203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203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205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205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203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205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205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205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205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205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203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203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203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205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205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203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203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203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203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205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203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205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205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203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203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203</v>
      </c>
      <c r="D8231" s="32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203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203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204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203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205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203</v>
      </c>
      <c r="D8237" s="32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205</v>
      </c>
      <c r="D8238" s="32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205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205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203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205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205</v>
      </c>
      <c r="D8243" s="32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205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203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205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204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204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205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205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203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203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205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205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205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203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203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205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205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203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203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204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203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203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205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204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204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203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205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204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205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204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204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203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205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203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205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203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204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205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203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203</v>
      </c>
      <c r="D8282" s="3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203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205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203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204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203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203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204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205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203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203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205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205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205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203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205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203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203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203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205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203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203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204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205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205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205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205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204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205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204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205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205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204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205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205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204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205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205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205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205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204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203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205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205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205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205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205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205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205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203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205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205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203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203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205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205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203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205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203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203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203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204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205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205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205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204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204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205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203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203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203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205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203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205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205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205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203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203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205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205</v>
      </c>
      <c r="D8361" s="32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205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203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204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205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205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205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205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203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205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203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205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203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205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203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204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205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205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205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205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203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204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203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205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205</v>
      </c>
      <c r="D8385" s="32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205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204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203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203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205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203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203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203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205</v>
      </c>
      <c r="D8394" s="32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205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205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203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205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203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203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204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203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203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205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205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203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205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203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205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205</v>
      </c>
      <c r="D8410" s="32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205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203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205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205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203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205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205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205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205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203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203</v>
      </c>
      <c r="D8421" s="32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205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203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203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203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205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203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205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205</v>
      </c>
      <c r="D8429" s="32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205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205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203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205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205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204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205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203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203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203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203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203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205</v>
      </c>
      <c r="D8442" s="3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203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203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205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205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205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204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204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205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205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203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203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203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205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203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203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203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205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205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203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203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205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203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203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204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203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203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205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205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204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205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203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203</v>
      </c>
      <c r="D8474" s="32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205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205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203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205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203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205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205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203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205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203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205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205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203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205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205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203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205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204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205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204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204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204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205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204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203</v>
      </c>
      <c r="D8499" s="32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203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205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203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205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205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205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203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203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203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203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205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203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205</v>
      </c>
      <c r="D8512" s="3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203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204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205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203</v>
      </c>
      <c r="D8516" s="32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205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204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205</v>
      </c>
      <c r="D8519" s="32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203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205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205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205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205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203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203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205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203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203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205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204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205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203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203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203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205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205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203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203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205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205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205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203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203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204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205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205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203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203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205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203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203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205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203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203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203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205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204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205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205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205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205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205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205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203</v>
      </c>
      <c r="D8565" s="32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205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203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205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203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203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203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205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205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203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205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203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205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205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203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205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203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203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205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203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203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203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205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204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205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203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203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204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205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205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203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205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205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205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203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204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205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203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205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203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205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205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205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203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205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203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205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205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203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205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203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203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203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205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205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205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205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203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203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205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205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205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203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203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203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204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203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203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203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203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203</v>
      </c>
      <c r="D8635" s="32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203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205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205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205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205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204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204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205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205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205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203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205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205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205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203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203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204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205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205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203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203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205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203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205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203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205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203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204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203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205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205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203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203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205</v>
      </c>
      <c r="D8669" s="32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205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203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204</v>
      </c>
      <c r="D8672" s="3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205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203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205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205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203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205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203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203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205</v>
      </c>
      <c r="D8681" s="32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203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205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203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203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203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204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205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203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203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205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203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205</v>
      </c>
      <c r="D8693" s="32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203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203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203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204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205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205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205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205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203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205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203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203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204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204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205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203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204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205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203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205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205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205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204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203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205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205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203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203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203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204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205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205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205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205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205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203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204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204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203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203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204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203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203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205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203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205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203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203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203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203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203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205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205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203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203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205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203</v>
      </c>
      <c r="D8750" s="32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203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203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205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204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205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205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205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203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205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205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203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205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205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205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203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203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205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205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203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203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205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205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203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205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203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203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203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204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205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205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203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203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205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203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205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205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203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203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205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205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203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205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205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205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203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203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203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203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205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203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205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204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205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205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205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205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203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205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203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205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205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205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205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203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205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203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205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204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203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203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203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203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205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203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205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205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205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205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203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203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203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205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205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205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205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203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203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205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205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203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205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205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203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205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205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205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205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205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205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203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205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205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203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203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205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204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205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203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204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203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203</v>
      </c>
      <c r="D8861" s="32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205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205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203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205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203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203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204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205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205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205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204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205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205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203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205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205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203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203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203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203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203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205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205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203</v>
      </c>
      <c r="D8885" s="32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203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203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203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203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205</v>
      </c>
      <c r="D8890" s="32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203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205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203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203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203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205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203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203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205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205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205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205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203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205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205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205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203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204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203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205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204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203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203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205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205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205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204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205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205</v>
      </c>
      <c r="D8919" s="32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203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205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203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205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205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205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205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205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205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203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205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203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203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203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203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205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205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203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203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203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203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203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205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203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203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205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205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205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203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205</v>
      </c>
      <c r="D8949" s="32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203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205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203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205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203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205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205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205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205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203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205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205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203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205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203</v>
      </c>
      <c r="D8964" s="32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205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205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205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205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205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205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205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205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203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205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203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205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205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205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204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203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203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203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204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203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203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203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205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204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205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203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205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205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203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203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205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205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205</v>
      </c>
      <c r="D8997" s="32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203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205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203</v>
      </c>
      <c r="D9000" s="32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203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203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204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203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203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204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204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205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203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205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205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205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203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205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205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203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205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205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203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204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205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203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205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203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203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203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205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203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205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203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203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205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205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205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204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203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205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205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205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205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203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203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205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205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203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204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204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203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205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203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203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203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203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203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203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205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205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205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203</v>
      </c>
      <c r="D9059" s="32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204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205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203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205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204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203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203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205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205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205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203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203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203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203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203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205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203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205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205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203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205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205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205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203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203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205</v>
      </c>
      <c r="D9085" s="32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205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203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205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205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204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205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205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203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205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205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205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205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205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203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204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205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205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205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205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205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203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203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203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203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203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203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203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203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204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203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203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203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205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203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205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205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203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203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203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204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205</v>
      </c>
      <c r="D9126" s="32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203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205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203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205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203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203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205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205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205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205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203</v>
      </c>
      <c r="D9137" s="32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205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205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205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203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205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205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205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204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203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205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205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204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205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205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205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205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203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203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205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203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205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205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203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205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204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205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205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205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205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205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203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203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203</v>
      </c>
      <c r="D9170" s="32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203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203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205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203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205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205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203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205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205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203</v>
      </c>
      <c r="D9180" s="32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203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203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205</v>
      </c>
      <c r="D9183" s="32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205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205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203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205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205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203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203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203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203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205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203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205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203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205</v>
      </c>
      <c r="D9197" s="32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203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203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205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205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205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205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203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205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205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205</v>
      </c>
      <c r="D9207" s="32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205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205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205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203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205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205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203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205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203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205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205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203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205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204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203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205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203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203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205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204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205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203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205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203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204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205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205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205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203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205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205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204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205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205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205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204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205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205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203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205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203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203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203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203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203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205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205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203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203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205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203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205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203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204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205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205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205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204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203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205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203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204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203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203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203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204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205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203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203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203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205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203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205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203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203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203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205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205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203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205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205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203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205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203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205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205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205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205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205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204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205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205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203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203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203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205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203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203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203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203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203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203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205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205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203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205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205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203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205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203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205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203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204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203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205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203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203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204</v>
      </c>
      <c r="D9325" s="32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203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205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204</v>
      </c>
      <c r="D9328" s="32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203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205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203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203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205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205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205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205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205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204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203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205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203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203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203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203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205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203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203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203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203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203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205</v>
      </c>
      <c r="D9351" s="32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205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205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203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203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203</v>
      </c>
      <c r="D9356" s="32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204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205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205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205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205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205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204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203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205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203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203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205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204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205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203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205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203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205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203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205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203</v>
      </c>
      <c r="D9377" s="32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205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205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203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205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203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205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205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205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203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203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203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205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205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205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203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205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203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205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205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205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205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205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203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203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204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205</v>
      </c>
      <c r="D9403" s="32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203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204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205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205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203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203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204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203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205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203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205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203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205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203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203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203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203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203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203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203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203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205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205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203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205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205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203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203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205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203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203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205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205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205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203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203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205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203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203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204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203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205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204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203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204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204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205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203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203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205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203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203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203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203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205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205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205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203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204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205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205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203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205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203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203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205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203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205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205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203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203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205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203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205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205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203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205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205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205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204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205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205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203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203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203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205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205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205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205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205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205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205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203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205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203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205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203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204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205</v>
      </c>
      <c r="D9502" s="3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205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203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205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205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203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203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205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205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205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205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204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203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205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205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203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205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203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203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205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205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203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205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204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205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203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205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205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205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205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204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203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205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205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203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203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205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205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203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203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204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203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205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205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203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203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205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205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205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203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205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205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205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203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203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203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203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204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203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205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205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203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203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205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203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205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205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205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203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205</v>
      </c>
      <c r="D9571" s="32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203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203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205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204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205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205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205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205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205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205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203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203</v>
      </c>
      <c r="D9583" s="32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204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203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205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203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205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205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205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203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204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203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203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203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205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203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205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205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205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205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205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203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203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203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205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203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203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205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205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205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203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205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205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205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203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204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205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203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205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205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203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203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203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205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205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203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203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205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205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205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203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205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205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205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205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205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203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204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205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203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205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203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203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205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203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205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205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205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203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203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203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203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203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205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205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203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203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205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203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204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204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203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205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203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205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203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205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205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203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205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204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203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205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203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204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205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205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205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203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203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205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205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203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205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203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203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205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205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205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205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203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205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204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203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205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205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204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205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204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204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205</v>
      </c>
      <c r="D9702" s="3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204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203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204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205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205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204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203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205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203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203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205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205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203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203</v>
      </c>
      <c r="D9716" s="32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205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205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205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205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203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205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205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203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205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203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205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205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205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205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203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205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205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203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203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205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205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205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205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205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203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203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203</v>
      </c>
      <c r="D9743" s="32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205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205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203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205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205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203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205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203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205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205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205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205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205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205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203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203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205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204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205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203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203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205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205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203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203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203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205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205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205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203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203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205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203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203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203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203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203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203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203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205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205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203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203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205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203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205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205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205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203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204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203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205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205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203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205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205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203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205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205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205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203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205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203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205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203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205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205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205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203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205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205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203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205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205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203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205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203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204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205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204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204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205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205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203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203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203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205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203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205</v>
      </c>
      <c r="D9832" s="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203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205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205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203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204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205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203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203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205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203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205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205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203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205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205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203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203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205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205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204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205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203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204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203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203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205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205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203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203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205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203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205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205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205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203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205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205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205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204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205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203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205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203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203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205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205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203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205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203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205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205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205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205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205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203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205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204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205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205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205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203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205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205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205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205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205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203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203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204</v>
      </c>
      <c r="D9901" s="32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203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205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205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203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204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203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203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205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205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205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203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203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205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205</v>
      </c>
      <c r="D9915" s="32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204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203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203</v>
      </c>
      <c r="D9918" s="32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205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204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205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205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204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204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205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204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205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205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205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203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203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205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203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204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204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205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205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205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203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204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205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203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205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205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205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203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203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205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205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203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203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205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203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205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205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205</v>
      </c>
      <c r="D9956" s="32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205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203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205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205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203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203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205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205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205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205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203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205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203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203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205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205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203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203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205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205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205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205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204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205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203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205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205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203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203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205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205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204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203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203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205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205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205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205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205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203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205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203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205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204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203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205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203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203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205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203</v>
      </c>
      <c r="D10006" s="32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205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203</v>
      </c>
      <c r="D10008" s="32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204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205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205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205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203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205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203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204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205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205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203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205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205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205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203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203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205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203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205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205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203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205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205</v>
      </c>
      <c r="D10031" s="32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203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203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205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203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205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205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204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205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203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203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204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205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203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205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205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203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203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203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205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204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203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205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203</v>
      </c>
      <c r="D10054" s="32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204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204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203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205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205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205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205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203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205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203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204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205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205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205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205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203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205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203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203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204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203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203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205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203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205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205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205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205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203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205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203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203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203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205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205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205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203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204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205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205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205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203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205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205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205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205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205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204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203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203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203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203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203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203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205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205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203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205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205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203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205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203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205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203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203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205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205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203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205</v>
      </c>
      <c r="D10123" s="32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203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205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203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205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205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205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203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204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203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204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203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205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203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205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203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205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204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205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205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203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204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204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205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203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205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204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205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205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205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205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205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203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205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203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205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203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205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205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205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205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205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205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205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205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205</v>
      </c>
      <c r="D10168" s="32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203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205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203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205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203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203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205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204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205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205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204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205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205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203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203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205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203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205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203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203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203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204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205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205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205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203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204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205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205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205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205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203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205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203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205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203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203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205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205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203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205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205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203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205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205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203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203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203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205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205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204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205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204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205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203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203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204</v>
      </c>
      <c r="D10225" s="32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205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203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205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205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205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205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203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205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203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205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203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203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205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205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203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203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204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203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205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204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203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205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205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205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205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205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204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204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205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205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203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203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203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205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205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203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205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203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203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205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205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203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203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203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204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205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203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205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203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204</v>
      </c>
      <c r="D10275" s="32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203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204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204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203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205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205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205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205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205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203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205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205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205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203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205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205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203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203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205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203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205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205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205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203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205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205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203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205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203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204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205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205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203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203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203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203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203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205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205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203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203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205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205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203</v>
      </c>
      <c r="D10319" s="32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204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203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205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205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203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203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205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203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205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205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203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205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203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205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203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203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203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205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203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203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203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203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205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203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205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205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205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205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203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204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205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203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204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205</v>
      </c>
      <c r="D10353" s="32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205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203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203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205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205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203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205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203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205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205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203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205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203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205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205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205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205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203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203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205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203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203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205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203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203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205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203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205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203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205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203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203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203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203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203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203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205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205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205</v>
      </c>
      <c r="D10392" s="3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203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205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205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205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203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204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203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203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205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203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203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203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203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205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205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205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205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204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205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203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205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203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205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203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203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205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205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205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205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204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203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205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203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203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203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203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203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203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203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203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205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205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205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204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203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203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205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203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203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203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203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203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205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204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205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203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203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205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203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205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205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203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203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205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205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205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203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205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204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205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203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204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205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203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205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203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203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203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204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205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205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205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205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205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203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203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203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205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204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203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205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203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205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205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205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203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205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203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205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205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203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205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205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205</v>
      </c>
      <c r="D10496" s="32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204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205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204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203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205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203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205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205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205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203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205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205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205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203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205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205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204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203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205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205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203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203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204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205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203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203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205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204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203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203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205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205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205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205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205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203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203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205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203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204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203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205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205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205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205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203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203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203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203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205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205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205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203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203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205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204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205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205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205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205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203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205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205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205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205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203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205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205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205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205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204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203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205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205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205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205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205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205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205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204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205</v>
      </c>
      <c r="D10577" s="32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205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205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204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203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205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205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203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205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203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205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203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203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205</v>
      </c>
      <c r="D10590" s="32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205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205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205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205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205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205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205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205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205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205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205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203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204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205</v>
      </c>
      <c r="D10604" s="32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203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205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203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205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203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205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204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203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204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203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205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205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205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204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203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203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205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205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205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205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205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203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203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203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205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205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205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205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203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205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203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203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205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205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203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203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203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203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203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205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205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205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205</v>
      </c>
      <c r="D10647" s="32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203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203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205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203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203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203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205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203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205</v>
      </c>
      <c r="D10656" s="32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203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203</v>
      </c>
      <c r="D10658" s="32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205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205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203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203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205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205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203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205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205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205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204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205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205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205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203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205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205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205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205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205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203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205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205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205</v>
      </c>
      <c r="D10682" s="3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203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203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204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205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203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205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203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203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205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205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203</v>
      </c>
      <c r="D10693" s="32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205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205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205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205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205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205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203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205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205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203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203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203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205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205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205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205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204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205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203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205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205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204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205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203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203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205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205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203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205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205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205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203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203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205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205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204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205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203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203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203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205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205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205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203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205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205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205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203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205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203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205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204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203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203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205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205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205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205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205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205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204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205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203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204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203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205</v>
      </c>
      <c r="D10759" s="32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205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203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205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203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205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203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205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205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203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205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203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205</v>
      </c>
      <c r="D10771" s="32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204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203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203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203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205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205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205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205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205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203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205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205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205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203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204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205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203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203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203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203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203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203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203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205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205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205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205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205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203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204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205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205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205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203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203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203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203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203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205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205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203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205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205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205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203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205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205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205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205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205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205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205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203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205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203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203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203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205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205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204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203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203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205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205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205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205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205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203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203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205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205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205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205</v>
      </c>
      <c r="D10844" s="32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205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204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203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203</v>
      </c>
      <c r="D10848" s="32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203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205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205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205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203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203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205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205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203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203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203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205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203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204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203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205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203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204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203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205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205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205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204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204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204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203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203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203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205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203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203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205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203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205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205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205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205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205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203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203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205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203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203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203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205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205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205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203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205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205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203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203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205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205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205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205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205</v>
      </c>
      <c r="D10905" s="32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203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203</v>
      </c>
      <c r="D10907" s="32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205</v>
      </c>
      <c r="D10908" s="32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205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205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205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203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205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205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205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205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205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205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205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205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203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205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203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203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205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205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203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204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203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205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205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203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203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203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205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205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205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205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205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205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204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203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205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205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203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205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203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203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205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204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205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203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203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205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205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205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203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203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203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205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203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205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203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203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204</v>
      </c>
      <c r="D10965" s="32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204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203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204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205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205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205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203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205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204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205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203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203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203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205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203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205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205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204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203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205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205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204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205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205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205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203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203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205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205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204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205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203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203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203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205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203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205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205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205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205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205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205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205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203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205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203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203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205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204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205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204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203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205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203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204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204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203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205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204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203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205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204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203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204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203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205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205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203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203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205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203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203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205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205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205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203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205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204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203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205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205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205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203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205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205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205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203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205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203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203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205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205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205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205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205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205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205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205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205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203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204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205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204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204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203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203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205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205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205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205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205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203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203</v>
      </c>
      <c r="D11078" s="32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203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205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205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205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205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203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203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205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203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205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205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203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205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205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205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205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205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203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205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203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203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203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205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203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203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205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205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203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203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203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203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205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203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203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204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203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203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205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205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205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203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203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205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203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205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205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205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203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203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204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203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204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203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203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205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203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204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203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205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205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205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205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204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205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203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204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203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203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203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205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205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205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205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205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203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203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205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205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205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203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203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205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205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205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205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203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205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205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205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203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203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203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205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205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205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205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205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203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205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204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204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205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205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205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203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203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204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203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203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205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205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205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205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204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205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205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203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205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205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203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205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205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203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203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205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205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205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205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203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205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203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204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203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203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203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203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203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203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203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203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203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203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203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205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205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205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205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203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203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203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204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205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203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205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205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203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204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203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203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203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203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205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205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205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205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203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203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205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203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205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203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203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203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205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203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203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205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204</v>
      </c>
      <c r="D11256" s="32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204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203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205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205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204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205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203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205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205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205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203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203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205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205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203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205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204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203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205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204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205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203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203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203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203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205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205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205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203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203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204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205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204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203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203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203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205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204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203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203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205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205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205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203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204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205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203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205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205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205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205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205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205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205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203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205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205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203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203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205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204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205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205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203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203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204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203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203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203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203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205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205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205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203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203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205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204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205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203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203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205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205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205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205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205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205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204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203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205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205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205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204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203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203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203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203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205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203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205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203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203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203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204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205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205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205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203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203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203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205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205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205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205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203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203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205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203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203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203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203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203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203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205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205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203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203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205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203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205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205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204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205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205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205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205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205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205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205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205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205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205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205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205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203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205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203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205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203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205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203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203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205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205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205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203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204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203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204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203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203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203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203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203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203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205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203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205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205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205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205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203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205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203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205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205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203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205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205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205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203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203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205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203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205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203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205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205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205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205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203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205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205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203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205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203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205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203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204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205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203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203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203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205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203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205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205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205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205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203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203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205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205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205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205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204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203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203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203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203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205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203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205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203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205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205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205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203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203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203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203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203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205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205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205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204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205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203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205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203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205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203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203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204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205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205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205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205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205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203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205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205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203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203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205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204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203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205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203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205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205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205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203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205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203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205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204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203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205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205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205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203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203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204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203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204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205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205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203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205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203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205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205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205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203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203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205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203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203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203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203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205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205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203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203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204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203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205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203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204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204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205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203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205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203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205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203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205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205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205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205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205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205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205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205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204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205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205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205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205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205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203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205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205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203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203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203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203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205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203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205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205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203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203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203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205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204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203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203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205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205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203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205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203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205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205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203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203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205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205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205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204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203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205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205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203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205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203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205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205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203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203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205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203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205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203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205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204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203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205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204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205</v>
      </c>
      <c r="D11627" s="32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205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204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203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205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203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203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205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203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205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204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205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205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203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205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203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203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203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205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203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203</v>
      </c>
      <c r="D11647" s="32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204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203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203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205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203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205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203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205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203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203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203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205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205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205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203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205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205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205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205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204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205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205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205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205</v>
      </c>
      <c r="D11671" s="32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203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203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205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204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204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203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203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205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205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205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203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205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204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205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205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205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203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203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205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203</v>
      </c>
      <c r="D11691" s="32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203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203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205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205</v>
      </c>
      <c r="D11695" s="32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204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204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205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205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205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203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204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204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205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203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205</v>
      </c>
      <c r="D11706" s="32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203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204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203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203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205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205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203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203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205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205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205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205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205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205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205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203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203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205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205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203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205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205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205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203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205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203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203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203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204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203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203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205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205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203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205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205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203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205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205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205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205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203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204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203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204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205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205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203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205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205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203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203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203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205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205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205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205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204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203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203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205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203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203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205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203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205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203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203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205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205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203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203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203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203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203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205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203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205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203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205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203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205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203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205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205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205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205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205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204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203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205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204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205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205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205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205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203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204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203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205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204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205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203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203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203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203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205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203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203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205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203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203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203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203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205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203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205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203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203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205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205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205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203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204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205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203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203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205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205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205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205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205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203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205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204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205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205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205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203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205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205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205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203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203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205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205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205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205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204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205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204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203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205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203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203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205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204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204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203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203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203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205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205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203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205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203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204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205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205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203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203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204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205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203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205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205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205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205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203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203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205</v>
      </c>
      <c r="D11887" s="32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205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203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205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203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203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204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203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205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203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205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205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203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205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204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203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205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204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203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203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205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203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203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205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205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205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203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203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203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204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205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205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205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203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203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205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204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205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205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203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205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203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205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205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205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203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205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203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203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203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203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205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204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205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203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204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205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203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205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203</v>
      </c>
      <c r="D11946" s="32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205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205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203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205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205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205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203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204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205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205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203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203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205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203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205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203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203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203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205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203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205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203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203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205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205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203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205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205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205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205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205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204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203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205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203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203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203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205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205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203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205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203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205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205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203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203</v>
      </c>
      <c r="D11992" s="3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205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203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203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205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203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203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205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205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203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203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203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205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205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205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203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205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204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203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203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203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205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205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205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203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203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205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203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203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203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203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205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205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205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203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205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203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203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203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203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205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205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203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205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205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205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203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203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205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203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203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205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205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203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205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205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205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203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203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205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205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203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205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205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203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203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203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205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203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205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205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204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203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205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203</v>
      </c>
      <c r="D12066" s="32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205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203</v>
      </c>
      <c r="D12068" s="32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203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203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205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205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205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204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203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205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205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203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205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204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203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205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205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203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203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203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203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205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205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205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205</v>
      </c>
      <c r="D12091" s="32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203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205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205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205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203</v>
      </c>
      <c r="D12096" s="32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204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205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203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205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205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204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203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203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204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205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205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205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204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205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205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204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205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205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205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203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203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205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205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203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203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203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205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204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203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205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204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205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204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205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205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204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203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203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205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205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203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205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203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203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203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205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203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205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205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203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203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203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205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205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205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205</v>
      </c>
      <c r="D12152" s="3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205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205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205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205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203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205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205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205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203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203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203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203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204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205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205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204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203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203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205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205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203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203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205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204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203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205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203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203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204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203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205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203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203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205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205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203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205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205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205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203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203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205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205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203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203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205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205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205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203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205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204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205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203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205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205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204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205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205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203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203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205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205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203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203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205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205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205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203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203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205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203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203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203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203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204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203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205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205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203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203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205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203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205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203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203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205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204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205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203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203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205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205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205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205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203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205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203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203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203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204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205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205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204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203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203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205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205</v>
      </c>
      <c r="D12259" s="32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204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204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203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239</v>
      </c>
      <c r="B1" t="s">
        <v>238</v>
      </c>
      <c r="C1" t="s">
        <v>237</v>
      </c>
      <c r="D1" t="s">
        <v>236</v>
      </c>
      <c r="E1" t="s">
        <v>235</v>
      </c>
      <c r="F1" t="s">
        <v>234</v>
      </c>
      <c r="G1" t="s">
        <v>233</v>
      </c>
      <c r="H1" t="s">
        <v>232</v>
      </c>
      <c r="I1" t="s">
        <v>231</v>
      </c>
      <c r="J1" t="s">
        <v>230</v>
      </c>
      <c r="K1" t="s">
        <v>229</v>
      </c>
      <c r="L1" t="s">
        <v>228</v>
      </c>
      <c r="M1" t="s">
        <v>227</v>
      </c>
      <c r="N1" t="s">
        <v>226</v>
      </c>
      <c r="O1" t="s">
        <v>225</v>
      </c>
      <c r="P1" t="s">
        <v>224</v>
      </c>
      <c r="Q1" t="s">
        <v>223</v>
      </c>
      <c r="R1" t="s">
        <v>222</v>
      </c>
      <c r="S1" t="s">
        <v>221</v>
      </c>
      <c r="T1" t="s">
        <v>220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215</v>
      </c>
      <c r="O2" t="s">
        <v>217</v>
      </c>
      <c r="P2">
        <v>446</v>
      </c>
      <c r="Q2">
        <v>33</v>
      </c>
      <c r="R2">
        <v>20</v>
      </c>
      <c r="S2" t="s">
        <v>219</v>
      </c>
      <c r="T2" t="s">
        <v>215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218</v>
      </c>
      <c r="O3" t="s">
        <v>216</v>
      </c>
      <c r="P3">
        <v>632</v>
      </c>
      <c r="Q3">
        <v>43</v>
      </c>
      <c r="R3">
        <v>10</v>
      </c>
      <c r="S3">
        <v>475</v>
      </c>
      <c r="T3" t="s">
        <v>218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215</v>
      </c>
      <c r="O4" t="s">
        <v>216</v>
      </c>
      <c r="P4">
        <v>880</v>
      </c>
      <c r="Q4">
        <v>82</v>
      </c>
      <c r="R4">
        <v>14</v>
      </c>
      <c r="S4">
        <v>480</v>
      </c>
      <c r="T4" t="s">
        <v>215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218</v>
      </c>
      <c r="O5" t="s">
        <v>217</v>
      </c>
      <c r="P5">
        <v>200</v>
      </c>
      <c r="Q5">
        <v>11</v>
      </c>
      <c r="R5">
        <v>3</v>
      </c>
      <c r="S5">
        <v>500</v>
      </c>
      <c r="T5" t="s">
        <v>218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218</v>
      </c>
      <c r="O6" t="s">
        <v>217</v>
      </c>
      <c r="P6">
        <v>805</v>
      </c>
      <c r="Q6">
        <v>40</v>
      </c>
      <c r="R6">
        <v>4</v>
      </c>
      <c r="S6">
        <v>91.5</v>
      </c>
      <c r="T6" t="s">
        <v>218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215</v>
      </c>
      <c r="O7" t="s">
        <v>216</v>
      </c>
      <c r="P7">
        <v>282</v>
      </c>
      <c r="Q7">
        <v>421</v>
      </c>
      <c r="R7">
        <v>25</v>
      </c>
      <c r="S7">
        <v>750</v>
      </c>
      <c r="T7" t="s">
        <v>215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218</v>
      </c>
      <c r="O8" t="s">
        <v>217</v>
      </c>
      <c r="P8">
        <v>76</v>
      </c>
      <c r="Q8">
        <v>127</v>
      </c>
      <c r="R8">
        <v>7</v>
      </c>
      <c r="S8">
        <v>70</v>
      </c>
      <c r="T8" t="s">
        <v>215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215</v>
      </c>
      <c r="O9" t="s">
        <v>216</v>
      </c>
      <c r="P9">
        <v>121</v>
      </c>
      <c r="Q9">
        <v>283</v>
      </c>
      <c r="R9">
        <v>9</v>
      </c>
      <c r="S9">
        <v>100</v>
      </c>
      <c r="T9" t="s">
        <v>215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218</v>
      </c>
      <c r="O10" t="s">
        <v>216</v>
      </c>
      <c r="P10">
        <v>143</v>
      </c>
      <c r="Q10">
        <v>290</v>
      </c>
      <c r="R10">
        <v>19</v>
      </c>
      <c r="S10">
        <v>75</v>
      </c>
      <c r="T10" t="s">
        <v>218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215</v>
      </c>
      <c r="O11" t="s">
        <v>217</v>
      </c>
      <c r="P11">
        <v>0</v>
      </c>
      <c r="Q11">
        <v>0</v>
      </c>
      <c r="R11">
        <v>0</v>
      </c>
      <c r="S11">
        <v>1100</v>
      </c>
      <c r="T11" t="s">
        <v>215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215</v>
      </c>
      <c r="O12" t="s">
        <v>217</v>
      </c>
      <c r="P12">
        <v>238</v>
      </c>
      <c r="Q12">
        <v>445</v>
      </c>
      <c r="R12">
        <v>22</v>
      </c>
      <c r="S12">
        <v>517.14300000000003</v>
      </c>
      <c r="T12" t="s">
        <v>215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218</v>
      </c>
      <c r="O13" t="s">
        <v>216</v>
      </c>
      <c r="P13">
        <v>304</v>
      </c>
      <c r="Q13">
        <v>45</v>
      </c>
      <c r="R13">
        <v>11</v>
      </c>
      <c r="S13">
        <v>512.5</v>
      </c>
      <c r="T13" t="s">
        <v>218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218</v>
      </c>
      <c r="O14" t="s">
        <v>217</v>
      </c>
      <c r="P14">
        <v>211</v>
      </c>
      <c r="Q14">
        <v>11</v>
      </c>
      <c r="R14">
        <v>7</v>
      </c>
      <c r="S14">
        <v>550</v>
      </c>
      <c r="T14" t="s">
        <v>218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215</v>
      </c>
      <c r="O15" t="s">
        <v>217</v>
      </c>
      <c r="P15">
        <v>121</v>
      </c>
      <c r="Q15">
        <v>151</v>
      </c>
      <c r="R15">
        <v>6</v>
      </c>
      <c r="S15">
        <v>700</v>
      </c>
      <c r="T15" t="s">
        <v>215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218</v>
      </c>
      <c r="O16" t="s">
        <v>217</v>
      </c>
      <c r="P16">
        <v>80</v>
      </c>
      <c r="Q16">
        <v>45</v>
      </c>
      <c r="R16">
        <v>8</v>
      </c>
      <c r="S16">
        <v>240</v>
      </c>
      <c r="T16" t="s">
        <v>218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215</v>
      </c>
      <c r="O17" t="s">
        <v>216</v>
      </c>
      <c r="P17">
        <v>118</v>
      </c>
      <c r="Q17">
        <v>0</v>
      </c>
      <c r="R17">
        <v>0</v>
      </c>
      <c r="S17" t="s">
        <v>219</v>
      </c>
      <c r="T17" t="s">
        <v>215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218</v>
      </c>
      <c r="O18" t="s">
        <v>216</v>
      </c>
      <c r="P18">
        <v>105</v>
      </c>
      <c r="Q18">
        <v>290</v>
      </c>
      <c r="R18">
        <v>10</v>
      </c>
      <c r="S18">
        <v>775</v>
      </c>
      <c r="T18" t="s">
        <v>218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215</v>
      </c>
      <c r="O19" t="s">
        <v>216</v>
      </c>
      <c r="P19">
        <v>102</v>
      </c>
      <c r="Q19">
        <v>177</v>
      </c>
      <c r="R19">
        <v>16</v>
      </c>
      <c r="S19">
        <v>175</v>
      </c>
      <c r="T19" t="s">
        <v>215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215</v>
      </c>
      <c r="O20" t="s">
        <v>216</v>
      </c>
      <c r="P20">
        <v>912</v>
      </c>
      <c r="Q20">
        <v>88</v>
      </c>
      <c r="R20">
        <v>9</v>
      </c>
      <c r="S20" t="s">
        <v>219</v>
      </c>
      <c r="T20" t="s">
        <v>215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218</v>
      </c>
      <c r="O21" t="s">
        <v>216</v>
      </c>
      <c r="P21">
        <v>202</v>
      </c>
      <c r="Q21">
        <v>22</v>
      </c>
      <c r="R21">
        <v>2</v>
      </c>
      <c r="S21">
        <v>135</v>
      </c>
      <c r="T21" t="s">
        <v>218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218</v>
      </c>
      <c r="O22" t="s">
        <v>217</v>
      </c>
      <c r="P22">
        <v>280</v>
      </c>
      <c r="Q22">
        <v>9</v>
      </c>
      <c r="R22">
        <v>5</v>
      </c>
      <c r="S22">
        <v>100</v>
      </c>
      <c r="T22" t="s">
        <v>218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215</v>
      </c>
      <c r="O23" t="s">
        <v>216</v>
      </c>
      <c r="P23">
        <v>361</v>
      </c>
      <c r="Q23">
        <v>22</v>
      </c>
      <c r="R23">
        <v>2</v>
      </c>
      <c r="S23">
        <v>115</v>
      </c>
      <c r="T23" t="s">
        <v>218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215</v>
      </c>
      <c r="O24" t="s">
        <v>216</v>
      </c>
      <c r="P24">
        <v>812</v>
      </c>
      <c r="Q24">
        <v>84</v>
      </c>
      <c r="R24">
        <v>11</v>
      </c>
      <c r="S24" t="s">
        <v>219</v>
      </c>
      <c r="T24" t="s">
        <v>215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218</v>
      </c>
      <c r="O25" t="s">
        <v>216</v>
      </c>
      <c r="P25">
        <v>518</v>
      </c>
      <c r="Q25">
        <v>55</v>
      </c>
      <c r="R25">
        <v>3</v>
      </c>
      <c r="S25">
        <v>600</v>
      </c>
      <c r="T25" t="s">
        <v>218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215</v>
      </c>
      <c r="O26" t="s">
        <v>217</v>
      </c>
      <c r="P26">
        <v>1067</v>
      </c>
      <c r="Q26">
        <v>157</v>
      </c>
      <c r="R26">
        <v>14</v>
      </c>
      <c r="S26">
        <v>776.66700000000003</v>
      </c>
      <c r="T26" t="s">
        <v>215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215</v>
      </c>
      <c r="O27" t="s">
        <v>217</v>
      </c>
      <c r="P27">
        <v>434</v>
      </c>
      <c r="Q27">
        <v>9</v>
      </c>
      <c r="R27">
        <v>3</v>
      </c>
      <c r="S27">
        <v>765</v>
      </c>
      <c r="T27" t="s">
        <v>215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218</v>
      </c>
      <c r="O28" t="s">
        <v>217</v>
      </c>
      <c r="P28">
        <v>222</v>
      </c>
      <c r="Q28">
        <v>3</v>
      </c>
      <c r="R28">
        <v>3</v>
      </c>
      <c r="S28">
        <v>708.33299999999997</v>
      </c>
      <c r="T28" t="s">
        <v>218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218</v>
      </c>
      <c r="O29" t="s">
        <v>216</v>
      </c>
      <c r="P29">
        <v>732</v>
      </c>
      <c r="Q29">
        <v>83</v>
      </c>
      <c r="R29">
        <v>13</v>
      </c>
      <c r="S29">
        <v>750</v>
      </c>
      <c r="T29" t="s">
        <v>218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218</v>
      </c>
      <c r="O30" t="s">
        <v>216</v>
      </c>
      <c r="P30">
        <v>262</v>
      </c>
      <c r="Q30">
        <v>329</v>
      </c>
      <c r="R30">
        <v>16</v>
      </c>
      <c r="S30">
        <v>625</v>
      </c>
      <c r="T30" t="s">
        <v>218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215</v>
      </c>
      <c r="O31" t="s">
        <v>216</v>
      </c>
      <c r="P31">
        <v>267</v>
      </c>
      <c r="Q31">
        <v>5</v>
      </c>
      <c r="R31">
        <v>3</v>
      </c>
      <c r="S31">
        <v>900</v>
      </c>
      <c r="T31" t="s">
        <v>215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215</v>
      </c>
      <c r="O32" t="s">
        <v>216</v>
      </c>
      <c r="P32">
        <v>127</v>
      </c>
      <c r="Q32">
        <v>221</v>
      </c>
      <c r="R32">
        <v>7</v>
      </c>
      <c r="S32" t="s">
        <v>219</v>
      </c>
      <c r="T32" t="s">
        <v>215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218</v>
      </c>
      <c r="O33" t="s">
        <v>216</v>
      </c>
      <c r="P33">
        <v>226</v>
      </c>
      <c r="Q33">
        <v>7</v>
      </c>
      <c r="R33">
        <v>4</v>
      </c>
      <c r="S33">
        <v>110</v>
      </c>
      <c r="T33" t="s">
        <v>218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218</v>
      </c>
      <c r="O34" t="s">
        <v>216</v>
      </c>
      <c r="P34">
        <v>1378</v>
      </c>
      <c r="Q34">
        <v>102</v>
      </c>
      <c r="R34">
        <v>8</v>
      </c>
      <c r="S34" t="s">
        <v>219</v>
      </c>
      <c r="T34" t="s">
        <v>218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215</v>
      </c>
      <c r="O35" t="s">
        <v>217</v>
      </c>
      <c r="P35">
        <v>109</v>
      </c>
      <c r="Q35">
        <v>292</v>
      </c>
      <c r="R35">
        <v>25</v>
      </c>
      <c r="S35">
        <v>612.5</v>
      </c>
      <c r="T35" t="s">
        <v>215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215</v>
      </c>
      <c r="O36" t="s">
        <v>216</v>
      </c>
      <c r="P36">
        <v>419</v>
      </c>
      <c r="Q36">
        <v>46</v>
      </c>
      <c r="R36">
        <v>5</v>
      </c>
      <c r="S36">
        <v>300</v>
      </c>
      <c r="T36" t="s">
        <v>215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218</v>
      </c>
      <c r="O37" t="s">
        <v>216</v>
      </c>
      <c r="P37">
        <v>72</v>
      </c>
      <c r="Q37">
        <v>170</v>
      </c>
      <c r="R37">
        <v>24</v>
      </c>
      <c r="S37">
        <v>850</v>
      </c>
      <c r="T37" t="s">
        <v>218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215</v>
      </c>
      <c r="O38" t="s">
        <v>217</v>
      </c>
      <c r="P38">
        <v>70</v>
      </c>
      <c r="Q38">
        <v>149</v>
      </c>
      <c r="R38">
        <v>12</v>
      </c>
      <c r="S38" t="s">
        <v>219</v>
      </c>
      <c r="T38" t="s">
        <v>215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218</v>
      </c>
      <c r="O39" t="s">
        <v>216</v>
      </c>
      <c r="P39">
        <v>442</v>
      </c>
      <c r="Q39">
        <v>59</v>
      </c>
      <c r="R39">
        <v>6</v>
      </c>
      <c r="S39">
        <v>90</v>
      </c>
      <c r="T39" t="s">
        <v>218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215</v>
      </c>
      <c r="O40" t="s">
        <v>217</v>
      </c>
      <c r="P40">
        <v>0</v>
      </c>
      <c r="Q40">
        <v>0</v>
      </c>
      <c r="R40">
        <v>0</v>
      </c>
      <c r="S40" t="s">
        <v>219</v>
      </c>
      <c r="T40" t="s">
        <v>215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218</v>
      </c>
      <c r="O41" t="s">
        <v>216</v>
      </c>
      <c r="P41">
        <v>166</v>
      </c>
      <c r="Q41">
        <v>172</v>
      </c>
      <c r="R41">
        <v>10</v>
      </c>
      <c r="S41" t="s">
        <v>219</v>
      </c>
      <c r="T41" t="s">
        <v>218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215</v>
      </c>
      <c r="O42" t="s">
        <v>217</v>
      </c>
      <c r="P42">
        <v>326</v>
      </c>
      <c r="Q42">
        <v>29</v>
      </c>
      <c r="R42">
        <v>5</v>
      </c>
      <c r="S42">
        <v>67.5</v>
      </c>
      <c r="T42" t="s">
        <v>215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218</v>
      </c>
      <c r="O43" t="s">
        <v>216</v>
      </c>
      <c r="P43">
        <v>103</v>
      </c>
      <c r="Q43">
        <v>84</v>
      </c>
      <c r="R43">
        <v>5</v>
      </c>
      <c r="S43" t="s">
        <v>219</v>
      </c>
      <c r="T43" t="s">
        <v>218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218</v>
      </c>
      <c r="O44" t="s">
        <v>216</v>
      </c>
      <c r="P44">
        <v>69</v>
      </c>
      <c r="Q44">
        <v>1</v>
      </c>
      <c r="R44">
        <v>1</v>
      </c>
      <c r="S44" t="s">
        <v>219</v>
      </c>
      <c r="T44" t="s">
        <v>218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215</v>
      </c>
      <c r="O45" t="s">
        <v>217</v>
      </c>
      <c r="P45">
        <v>307</v>
      </c>
      <c r="Q45">
        <v>25</v>
      </c>
      <c r="R45">
        <v>1</v>
      </c>
      <c r="S45">
        <v>180</v>
      </c>
      <c r="T45" t="s">
        <v>215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215</v>
      </c>
      <c r="O46" t="s">
        <v>217</v>
      </c>
      <c r="P46">
        <v>325</v>
      </c>
      <c r="Q46">
        <v>22</v>
      </c>
      <c r="R46">
        <v>2</v>
      </c>
      <c r="S46" t="s">
        <v>219</v>
      </c>
      <c r="T46" t="s">
        <v>215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215</v>
      </c>
      <c r="O47" t="s">
        <v>217</v>
      </c>
      <c r="P47">
        <v>359</v>
      </c>
      <c r="Q47">
        <v>30</v>
      </c>
      <c r="R47">
        <v>4</v>
      </c>
      <c r="S47">
        <v>305</v>
      </c>
      <c r="T47" t="s">
        <v>215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218</v>
      </c>
      <c r="O48" t="s">
        <v>216</v>
      </c>
      <c r="P48">
        <v>73</v>
      </c>
      <c r="Q48">
        <v>177</v>
      </c>
      <c r="R48">
        <v>18</v>
      </c>
      <c r="S48">
        <v>215</v>
      </c>
      <c r="T48" t="s">
        <v>218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215</v>
      </c>
      <c r="O49" t="s">
        <v>217</v>
      </c>
      <c r="P49">
        <v>58</v>
      </c>
      <c r="Q49">
        <v>4</v>
      </c>
      <c r="R49">
        <v>4</v>
      </c>
      <c r="S49">
        <v>247.5</v>
      </c>
      <c r="T49" t="s">
        <v>215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215</v>
      </c>
      <c r="O50" t="s">
        <v>217</v>
      </c>
      <c r="P50">
        <v>697</v>
      </c>
      <c r="Q50">
        <v>61</v>
      </c>
      <c r="R50">
        <v>9</v>
      </c>
      <c r="S50" t="s">
        <v>219</v>
      </c>
      <c r="T50" t="s">
        <v>215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218</v>
      </c>
      <c r="O51" t="s">
        <v>216</v>
      </c>
      <c r="P51">
        <v>303</v>
      </c>
      <c r="Q51">
        <v>9</v>
      </c>
      <c r="R51">
        <v>9</v>
      </c>
      <c r="S51">
        <v>815</v>
      </c>
      <c r="T51" t="s">
        <v>218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215</v>
      </c>
      <c r="O52" t="s">
        <v>216</v>
      </c>
      <c r="P52">
        <v>389</v>
      </c>
      <c r="Q52">
        <v>39</v>
      </c>
      <c r="R52">
        <v>4</v>
      </c>
      <c r="S52">
        <v>875</v>
      </c>
      <c r="T52" t="s">
        <v>215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218</v>
      </c>
      <c r="O53" t="s">
        <v>217</v>
      </c>
      <c r="P53">
        <v>109</v>
      </c>
      <c r="Q53">
        <v>7</v>
      </c>
      <c r="R53">
        <v>3</v>
      </c>
      <c r="S53">
        <v>70</v>
      </c>
      <c r="T53" t="s">
        <v>218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215</v>
      </c>
      <c r="O54" t="s">
        <v>217</v>
      </c>
      <c r="P54">
        <v>0</v>
      </c>
      <c r="Q54">
        <v>0</v>
      </c>
      <c r="R54">
        <v>0</v>
      </c>
      <c r="S54" t="s">
        <v>219</v>
      </c>
      <c r="T54" t="s">
        <v>215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215</v>
      </c>
      <c r="O55" t="s">
        <v>216</v>
      </c>
      <c r="P55">
        <v>67</v>
      </c>
      <c r="Q55">
        <v>147</v>
      </c>
      <c r="R55">
        <v>4</v>
      </c>
      <c r="S55">
        <v>1200</v>
      </c>
      <c r="T55" t="s">
        <v>215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215</v>
      </c>
      <c r="O56" t="s">
        <v>217</v>
      </c>
      <c r="P56">
        <v>316</v>
      </c>
      <c r="Q56">
        <v>6</v>
      </c>
      <c r="R56">
        <v>5</v>
      </c>
      <c r="S56">
        <v>675</v>
      </c>
      <c r="T56" t="s">
        <v>215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218</v>
      </c>
      <c r="O57" t="s">
        <v>216</v>
      </c>
      <c r="P57">
        <v>161</v>
      </c>
      <c r="Q57">
        <v>10</v>
      </c>
      <c r="R57">
        <v>3</v>
      </c>
      <c r="S57">
        <v>415</v>
      </c>
      <c r="T57" t="s">
        <v>218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218</v>
      </c>
      <c r="O58" t="s">
        <v>216</v>
      </c>
      <c r="P58">
        <v>142</v>
      </c>
      <c r="Q58">
        <v>14</v>
      </c>
      <c r="R58">
        <v>2</v>
      </c>
      <c r="S58">
        <v>340</v>
      </c>
      <c r="T58" t="s">
        <v>218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215</v>
      </c>
      <c r="O59" t="s">
        <v>217</v>
      </c>
      <c r="P59">
        <v>425</v>
      </c>
      <c r="Q59">
        <v>43</v>
      </c>
      <c r="R59">
        <v>4</v>
      </c>
      <c r="S59" t="s">
        <v>219</v>
      </c>
      <c r="T59" t="s">
        <v>215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218</v>
      </c>
      <c r="O60" t="s">
        <v>216</v>
      </c>
      <c r="P60">
        <v>106</v>
      </c>
      <c r="Q60">
        <v>206</v>
      </c>
      <c r="R60">
        <v>7</v>
      </c>
      <c r="S60">
        <v>416.66699999999997</v>
      </c>
      <c r="T60" t="s">
        <v>218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215</v>
      </c>
      <c r="O61" t="s">
        <v>217</v>
      </c>
      <c r="P61">
        <v>240</v>
      </c>
      <c r="Q61">
        <v>482</v>
      </c>
      <c r="R61">
        <v>13</v>
      </c>
      <c r="S61">
        <v>1350</v>
      </c>
      <c r="T61" t="s">
        <v>215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215</v>
      </c>
      <c r="O62" t="s">
        <v>217</v>
      </c>
      <c r="P62">
        <v>203</v>
      </c>
      <c r="Q62">
        <v>70</v>
      </c>
      <c r="R62">
        <v>10</v>
      </c>
      <c r="S62">
        <v>90</v>
      </c>
      <c r="T62" t="s">
        <v>215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218</v>
      </c>
      <c r="O63" t="s">
        <v>217</v>
      </c>
      <c r="P63">
        <v>53</v>
      </c>
      <c r="Q63">
        <v>88</v>
      </c>
      <c r="R63">
        <v>3</v>
      </c>
      <c r="S63">
        <v>275</v>
      </c>
      <c r="T63" t="s">
        <v>218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215</v>
      </c>
      <c r="O64" t="s">
        <v>216</v>
      </c>
      <c r="P64">
        <v>125</v>
      </c>
      <c r="Q64">
        <v>199</v>
      </c>
      <c r="R64">
        <v>13</v>
      </c>
      <c r="S64">
        <v>230</v>
      </c>
      <c r="T64" t="s">
        <v>215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218</v>
      </c>
      <c r="O65" t="s">
        <v>216</v>
      </c>
      <c r="P65">
        <v>73</v>
      </c>
      <c r="Q65">
        <v>152</v>
      </c>
      <c r="R65">
        <v>11</v>
      </c>
      <c r="S65">
        <v>225</v>
      </c>
      <c r="T65" t="s">
        <v>218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215</v>
      </c>
      <c r="O66" t="s">
        <v>216</v>
      </c>
      <c r="P66">
        <v>80</v>
      </c>
      <c r="Q66">
        <v>4</v>
      </c>
      <c r="R66">
        <v>0</v>
      </c>
      <c r="S66" t="s">
        <v>219</v>
      </c>
      <c r="T66" t="s">
        <v>215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215</v>
      </c>
      <c r="O67" t="s">
        <v>217</v>
      </c>
      <c r="P67">
        <v>0</v>
      </c>
      <c r="Q67">
        <v>0</v>
      </c>
      <c r="R67">
        <v>0</v>
      </c>
      <c r="S67">
        <v>950</v>
      </c>
      <c r="T67" t="s">
        <v>215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218</v>
      </c>
      <c r="O68" t="s">
        <v>217</v>
      </c>
      <c r="P68">
        <v>391</v>
      </c>
      <c r="Q68">
        <v>38</v>
      </c>
      <c r="R68">
        <v>8</v>
      </c>
      <c r="S68" t="s">
        <v>219</v>
      </c>
      <c r="T68" t="s">
        <v>218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215</v>
      </c>
      <c r="O69" t="s">
        <v>216</v>
      </c>
      <c r="P69">
        <v>152</v>
      </c>
      <c r="Q69">
        <v>3</v>
      </c>
      <c r="R69">
        <v>5</v>
      </c>
      <c r="S69">
        <v>75</v>
      </c>
      <c r="T69" t="s">
        <v>215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215</v>
      </c>
      <c r="O70" t="s">
        <v>217</v>
      </c>
      <c r="P70">
        <v>107</v>
      </c>
      <c r="Q70">
        <v>242</v>
      </c>
      <c r="R70">
        <v>23</v>
      </c>
      <c r="S70">
        <v>105</v>
      </c>
      <c r="T70" t="s">
        <v>215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215</v>
      </c>
      <c r="O71" t="s">
        <v>217</v>
      </c>
      <c r="P71">
        <v>211</v>
      </c>
      <c r="Q71">
        <v>2</v>
      </c>
      <c r="R71">
        <v>1</v>
      </c>
      <c r="S71" t="s">
        <v>219</v>
      </c>
      <c r="T71" t="s">
        <v>215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218</v>
      </c>
      <c r="O72" t="s">
        <v>216</v>
      </c>
      <c r="P72">
        <v>153</v>
      </c>
      <c r="Q72">
        <v>223</v>
      </c>
      <c r="R72">
        <v>10</v>
      </c>
      <c r="S72">
        <v>320</v>
      </c>
      <c r="T72" t="s">
        <v>218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218</v>
      </c>
      <c r="O73" t="s">
        <v>217</v>
      </c>
      <c r="P73">
        <v>244</v>
      </c>
      <c r="Q73">
        <v>21</v>
      </c>
      <c r="R73">
        <v>4</v>
      </c>
      <c r="S73" t="s">
        <v>219</v>
      </c>
      <c r="T73" t="s">
        <v>218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215</v>
      </c>
      <c r="O74" t="s">
        <v>216</v>
      </c>
      <c r="P74">
        <v>119</v>
      </c>
      <c r="Q74">
        <v>216</v>
      </c>
      <c r="R74">
        <v>12</v>
      </c>
      <c r="S74">
        <v>850</v>
      </c>
      <c r="T74" t="s">
        <v>215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215</v>
      </c>
      <c r="O75" t="s">
        <v>217</v>
      </c>
      <c r="P75">
        <v>808</v>
      </c>
      <c r="Q75">
        <v>108</v>
      </c>
      <c r="R75">
        <v>2</v>
      </c>
      <c r="S75">
        <v>535</v>
      </c>
      <c r="T75" t="s">
        <v>215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215</v>
      </c>
      <c r="O76" t="s">
        <v>217</v>
      </c>
      <c r="P76">
        <v>280</v>
      </c>
      <c r="Q76">
        <v>10</v>
      </c>
      <c r="R76">
        <v>5</v>
      </c>
      <c r="S76">
        <v>933.33299999999997</v>
      </c>
      <c r="T76" t="s">
        <v>215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215</v>
      </c>
      <c r="O77" t="s">
        <v>217</v>
      </c>
      <c r="P77">
        <v>224</v>
      </c>
      <c r="Q77">
        <v>286</v>
      </c>
      <c r="R77">
        <v>8</v>
      </c>
      <c r="S77">
        <v>850</v>
      </c>
      <c r="T77" t="s">
        <v>218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218</v>
      </c>
      <c r="O78" t="s">
        <v>216</v>
      </c>
      <c r="P78">
        <v>226</v>
      </c>
      <c r="Q78">
        <v>7</v>
      </c>
      <c r="R78">
        <v>3</v>
      </c>
      <c r="S78">
        <v>210</v>
      </c>
      <c r="T78" t="s">
        <v>215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218</v>
      </c>
      <c r="O79" t="s">
        <v>217</v>
      </c>
      <c r="P79">
        <v>83</v>
      </c>
      <c r="Q79">
        <v>2</v>
      </c>
      <c r="R79">
        <v>1</v>
      </c>
      <c r="S79" t="s">
        <v>219</v>
      </c>
      <c r="T79" t="s">
        <v>218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215</v>
      </c>
      <c r="O80" t="s">
        <v>216</v>
      </c>
      <c r="P80">
        <v>182</v>
      </c>
      <c r="Q80">
        <v>9</v>
      </c>
      <c r="R80">
        <v>4</v>
      </c>
      <c r="S80">
        <v>325</v>
      </c>
      <c r="T80" t="s">
        <v>215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215</v>
      </c>
      <c r="O81" t="s">
        <v>216</v>
      </c>
      <c r="P81">
        <v>104</v>
      </c>
      <c r="Q81">
        <v>213</v>
      </c>
      <c r="R81">
        <v>9</v>
      </c>
      <c r="S81">
        <v>275</v>
      </c>
      <c r="T81" t="s">
        <v>215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215</v>
      </c>
      <c r="O82" t="s">
        <v>216</v>
      </c>
      <c r="P82">
        <v>463</v>
      </c>
      <c r="Q82">
        <v>32</v>
      </c>
      <c r="R82">
        <v>8</v>
      </c>
      <c r="S82" t="s">
        <v>219</v>
      </c>
      <c r="T82" t="s">
        <v>215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218</v>
      </c>
      <c r="O83" t="s">
        <v>217</v>
      </c>
      <c r="P83">
        <v>51</v>
      </c>
      <c r="Q83">
        <v>54</v>
      </c>
      <c r="R83">
        <v>8</v>
      </c>
      <c r="S83">
        <v>450</v>
      </c>
      <c r="T83" t="s">
        <v>218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215</v>
      </c>
      <c r="O84" t="s">
        <v>217</v>
      </c>
      <c r="P84">
        <v>1377</v>
      </c>
      <c r="Q84">
        <v>100</v>
      </c>
      <c r="R84">
        <v>6</v>
      </c>
      <c r="S84">
        <v>1975</v>
      </c>
      <c r="T84" t="s">
        <v>215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215</v>
      </c>
      <c r="O85" t="s">
        <v>216</v>
      </c>
      <c r="P85">
        <v>92</v>
      </c>
      <c r="Q85">
        <v>2</v>
      </c>
      <c r="R85">
        <v>2</v>
      </c>
      <c r="S85" t="s">
        <v>219</v>
      </c>
      <c r="T85" t="s">
        <v>215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218</v>
      </c>
      <c r="O86" t="s">
        <v>216</v>
      </c>
      <c r="P86">
        <v>303</v>
      </c>
      <c r="Q86">
        <v>6</v>
      </c>
      <c r="R86">
        <v>6</v>
      </c>
      <c r="S86">
        <v>1900</v>
      </c>
      <c r="T86" t="s">
        <v>218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215</v>
      </c>
      <c r="O87" t="s">
        <v>216</v>
      </c>
      <c r="P87">
        <v>276</v>
      </c>
      <c r="Q87">
        <v>6</v>
      </c>
      <c r="R87">
        <v>2</v>
      </c>
      <c r="S87">
        <v>600</v>
      </c>
      <c r="T87" t="s">
        <v>215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218</v>
      </c>
      <c r="O88" t="s">
        <v>216</v>
      </c>
      <c r="P88">
        <v>278</v>
      </c>
      <c r="Q88">
        <v>9</v>
      </c>
      <c r="R88">
        <v>9</v>
      </c>
      <c r="S88">
        <v>1041.6669999999999</v>
      </c>
      <c r="T88" t="s">
        <v>218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215</v>
      </c>
      <c r="O89" t="s">
        <v>217</v>
      </c>
      <c r="P89">
        <v>148</v>
      </c>
      <c r="Q89">
        <v>4</v>
      </c>
      <c r="R89">
        <v>2</v>
      </c>
      <c r="S89">
        <v>110</v>
      </c>
      <c r="T89" t="s">
        <v>215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215</v>
      </c>
      <c r="O90" t="s">
        <v>216</v>
      </c>
      <c r="P90">
        <v>165</v>
      </c>
      <c r="Q90">
        <v>9</v>
      </c>
      <c r="R90">
        <v>1</v>
      </c>
      <c r="S90">
        <v>260</v>
      </c>
      <c r="T90" t="s">
        <v>215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215</v>
      </c>
      <c r="O91" t="s">
        <v>216</v>
      </c>
      <c r="P91">
        <v>246</v>
      </c>
      <c r="Q91">
        <v>389</v>
      </c>
      <c r="R91">
        <v>18</v>
      </c>
      <c r="S91">
        <v>475</v>
      </c>
      <c r="T91" t="s">
        <v>215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215</v>
      </c>
      <c r="O92" t="s">
        <v>216</v>
      </c>
      <c r="P92">
        <v>533</v>
      </c>
      <c r="Q92">
        <v>40</v>
      </c>
      <c r="R92">
        <v>4</v>
      </c>
      <c r="S92">
        <v>431.5</v>
      </c>
      <c r="T92" t="s">
        <v>215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218</v>
      </c>
      <c r="O93" t="s">
        <v>217</v>
      </c>
      <c r="P93">
        <v>226</v>
      </c>
      <c r="Q93">
        <v>10</v>
      </c>
      <c r="R93">
        <v>6</v>
      </c>
      <c r="S93">
        <v>1220</v>
      </c>
      <c r="T93" t="s">
        <v>218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215</v>
      </c>
      <c r="O94" t="s">
        <v>217</v>
      </c>
      <c r="P94">
        <v>45</v>
      </c>
      <c r="Q94">
        <v>122</v>
      </c>
      <c r="R94">
        <v>26</v>
      </c>
      <c r="S94">
        <v>70</v>
      </c>
      <c r="T94" t="s">
        <v>215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215</v>
      </c>
      <c r="O95" t="s">
        <v>216</v>
      </c>
      <c r="P95">
        <v>157</v>
      </c>
      <c r="Q95">
        <v>7</v>
      </c>
      <c r="R95">
        <v>8</v>
      </c>
      <c r="S95">
        <v>145</v>
      </c>
      <c r="T95" t="s">
        <v>215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218</v>
      </c>
      <c r="O96" t="s">
        <v>216</v>
      </c>
      <c r="P96">
        <v>142</v>
      </c>
      <c r="Q96">
        <v>210</v>
      </c>
      <c r="R96">
        <v>10</v>
      </c>
      <c r="S96" t="s">
        <v>219</v>
      </c>
      <c r="T96" t="s">
        <v>218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218</v>
      </c>
      <c r="O97" t="s">
        <v>216</v>
      </c>
      <c r="P97">
        <v>59</v>
      </c>
      <c r="Q97">
        <v>156</v>
      </c>
      <c r="R97">
        <v>9</v>
      </c>
      <c r="S97">
        <v>595</v>
      </c>
      <c r="T97" t="s">
        <v>218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215</v>
      </c>
      <c r="O98" t="s">
        <v>217</v>
      </c>
      <c r="P98">
        <v>292</v>
      </c>
      <c r="Q98">
        <v>9</v>
      </c>
      <c r="R98">
        <v>5</v>
      </c>
      <c r="S98">
        <v>1861.46</v>
      </c>
      <c r="T98" t="s">
        <v>215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218</v>
      </c>
      <c r="O99" t="s">
        <v>216</v>
      </c>
      <c r="P99">
        <v>360</v>
      </c>
      <c r="Q99">
        <v>32</v>
      </c>
      <c r="R99">
        <v>5</v>
      </c>
      <c r="S99" t="s">
        <v>219</v>
      </c>
      <c r="T99" t="s">
        <v>218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218</v>
      </c>
      <c r="O100" t="s">
        <v>216</v>
      </c>
      <c r="P100">
        <v>274</v>
      </c>
      <c r="Q100">
        <v>2</v>
      </c>
      <c r="R100">
        <v>7</v>
      </c>
      <c r="S100">
        <v>300</v>
      </c>
      <c r="T100" t="s">
        <v>218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218</v>
      </c>
      <c r="O101" t="s">
        <v>216</v>
      </c>
      <c r="P101">
        <v>292</v>
      </c>
      <c r="Q101">
        <v>6</v>
      </c>
      <c r="R101">
        <v>3</v>
      </c>
      <c r="S101">
        <v>490</v>
      </c>
      <c r="T101" t="s">
        <v>218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215</v>
      </c>
      <c r="O102" t="s">
        <v>217</v>
      </c>
      <c r="P102">
        <v>1045</v>
      </c>
      <c r="Q102">
        <v>88</v>
      </c>
      <c r="R102">
        <v>13</v>
      </c>
      <c r="S102">
        <v>2460</v>
      </c>
      <c r="T102" t="s">
        <v>215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215</v>
      </c>
      <c r="O103" t="s">
        <v>217</v>
      </c>
      <c r="P103">
        <v>212</v>
      </c>
      <c r="Q103">
        <v>327</v>
      </c>
      <c r="R103">
        <v>20</v>
      </c>
      <c r="S103" t="s">
        <v>219</v>
      </c>
      <c r="T103" t="s">
        <v>215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215</v>
      </c>
      <c r="O104" t="s">
        <v>217</v>
      </c>
      <c r="P104">
        <v>102</v>
      </c>
      <c r="Q104">
        <v>132</v>
      </c>
      <c r="R104">
        <v>10</v>
      </c>
      <c r="S104">
        <v>375</v>
      </c>
      <c r="T104" t="s">
        <v>215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215</v>
      </c>
      <c r="O105" t="s">
        <v>217</v>
      </c>
      <c r="P105">
        <v>709</v>
      </c>
      <c r="Q105">
        <v>41</v>
      </c>
      <c r="R105">
        <v>7</v>
      </c>
      <c r="S105" t="s">
        <v>219</v>
      </c>
      <c r="T105" t="s">
        <v>215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215</v>
      </c>
      <c r="O106" t="s">
        <v>217</v>
      </c>
      <c r="P106">
        <v>244</v>
      </c>
      <c r="Q106">
        <v>2</v>
      </c>
      <c r="R106">
        <v>4</v>
      </c>
      <c r="S106" t="s">
        <v>219</v>
      </c>
      <c r="T106" t="s">
        <v>215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215</v>
      </c>
      <c r="O107" t="s">
        <v>217</v>
      </c>
      <c r="P107">
        <v>40</v>
      </c>
      <c r="Q107">
        <v>115</v>
      </c>
      <c r="R107">
        <v>15</v>
      </c>
      <c r="S107" t="s">
        <v>219</v>
      </c>
      <c r="T107" t="s">
        <v>215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218</v>
      </c>
      <c r="O108" t="s">
        <v>216</v>
      </c>
      <c r="P108">
        <v>206</v>
      </c>
      <c r="Q108">
        <v>10</v>
      </c>
      <c r="R108">
        <v>7</v>
      </c>
      <c r="S108" t="s">
        <v>219</v>
      </c>
      <c r="T108" t="s">
        <v>218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215</v>
      </c>
      <c r="O109" t="s">
        <v>216</v>
      </c>
      <c r="P109">
        <v>316</v>
      </c>
      <c r="Q109">
        <v>439</v>
      </c>
      <c r="R109">
        <v>10</v>
      </c>
      <c r="S109">
        <v>750</v>
      </c>
      <c r="T109" t="s">
        <v>215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215</v>
      </c>
      <c r="O110" t="s">
        <v>217</v>
      </c>
      <c r="P110">
        <v>269</v>
      </c>
      <c r="Q110">
        <v>17</v>
      </c>
      <c r="R110">
        <v>10</v>
      </c>
      <c r="S110">
        <v>1175</v>
      </c>
      <c r="T110" t="s">
        <v>215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215</v>
      </c>
      <c r="O111" t="s">
        <v>217</v>
      </c>
      <c r="P111">
        <v>116</v>
      </c>
      <c r="Q111">
        <v>5</v>
      </c>
      <c r="R111">
        <v>12</v>
      </c>
      <c r="S111">
        <v>70</v>
      </c>
      <c r="T111" t="s">
        <v>215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215</v>
      </c>
      <c r="O112" t="s">
        <v>216</v>
      </c>
      <c r="P112">
        <v>97</v>
      </c>
      <c r="Q112">
        <v>218</v>
      </c>
      <c r="R112">
        <v>16</v>
      </c>
      <c r="S112">
        <v>1500</v>
      </c>
      <c r="T112" t="s">
        <v>215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218</v>
      </c>
      <c r="O113" t="s">
        <v>216</v>
      </c>
      <c r="P113">
        <v>726</v>
      </c>
      <c r="Q113">
        <v>87</v>
      </c>
      <c r="R113">
        <v>3</v>
      </c>
      <c r="S113">
        <v>385</v>
      </c>
      <c r="T113" t="s">
        <v>215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218</v>
      </c>
      <c r="O114" t="s">
        <v>217</v>
      </c>
      <c r="P114">
        <v>869</v>
      </c>
      <c r="Q114">
        <v>62</v>
      </c>
      <c r="R114">
        <v>8</v>
      </c>
      <c r="S114">
        <v>1925.5709999999999</v>
      </c>
      <c r="T114" t="s">
        <v>218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218</v>
      </c>
      <c r="O115" t="s">
        <v>216</v>
      </c>
      <c r="P115">
        <v>1253</v>
      </c>
      <c r="Q115">
        <v>111</v>
      </c>
      <c r="R115">
        <v>11</v>
      </c>
      <c r="S115">
        <v>215</v>
      </c>
      <c r="T115" t="s">
        <v>218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218</v>
      </c>
      <c r="O116" t="s">
        <v>217</v>
      </c>
      <c r="P116">
        <v>96</v>
      </c>
      <c r="Q116">
        <v>4</v>
      </c>
      <c r="R116">
        <v>4</v>
      </c>
      <c r="S116" t="s">
        <v>219</v>
      </c>
      <c r="T116" t="s">
        <v>218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215</v>
      </c>
      <c r="O117" t="s">
        <v>216</v>
      </c>
      <c r="P117">
        <v>118</v>
      </c>
      <c r="Q117">
        <v>334</v>
      </c>
      <c r="R117">
        <v>21</v>
      </c>
      <c r="S117">
        <v>900</v>
      </c>
      <c r="T117" t="s">
        <v>215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215</v>
      </c>
      <c r="O118" t="s">
        <v>216</v>
      </c>
      <c r="P118">
        <v>228</v>
      </c>
      <c r="Q118">
        <v>377</v>
      </c>
      <c r="R118">
        <v>26</v>
      </c>
      <c r="S118">
        <v>155</v>
      </c>
      <c r="T118" t="s">
        <v>215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215</v>
      </c>
      <c r="O119" t="s">
        <v>216</v>
      </c>
      <c r="P119">
        <v>144</v>
      </c>
      <c r="Q119">
        <v>6</v>
      </c>
      <c r="R119">
        <v>5</v>
      </c>
      <c r="S119">
        <v>700</v>
      </c>
      <c r="T119" t="s">
        <v>215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218</v>
      </c>
      <c r="O120" t="s">
        <v>216</v>
      </c>
      <c r="P120">
        <v>282</v>
      </c>
      <c r="Q120">
        <v>487</v>
      </c>
      <c r="R120">
        <v>19</v>
      </c>
      <c r="S120">
        <v>535</v>
      </c>
      <c r="T120" t="s">
        <v>218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215</v>
      </c>
      <c r="O121" t="s">
        <v>217</v>
      </c>
      <c r="P121">
        <v>91</v>
      </c>
      <c r="Q121">
        <v>185</v>
      </c>
      <c r="R121">
        <v>12</v>
      </c>
      <c r="S121">
        <v>362.5</v>
      </c>
      <c r="T121" t="s">
        <v>215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218</v>
      </c>
      <c r="O122" t="s">
        <v>217</v>
      </c>
      <c r="P122">
        <v>137</v>
      </c>
      <c r="Q122">
        <v>5</v>
      </c>
      <c r="R122">
        <v>9</v>
      </c>
      <c r="S122">
        <v>733.33299999999997</v>
      </c>
      <c r="T122" t="s">
        <v>218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218</v>
      </c>
      <c r="O123" t="s">
        <v>216</v>
      </c>
      <c r="P123">
        <v>83</v>
      </c>
      <c r="Q123">
        <v>174</v>
      </c>
      <c r="R123">
        <v>16</v>
      </c>
      <c r="S123">
        <v>200</v>
      </c>
      <c r="T123" t="s">
        <v>218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215</v>
      </c>
      <c r="O124" t="s">
        <v>216</v>
      </c>
      <c r="P124">
        <v>462</v>
      </c>
      <c r="Q124">
        <v>9</v>
      </c>
      <c r="R124">
        <v>7</v>
      </c>
      <c r="S124">
        <v>400</v>
      </c>
      <c r="T124" t="s">
        <v>215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218</v>
      </c>
      <c r="O125" t="s">
        <v>217</v>
      </c>
      <c r="P125">
        <v>185</v>
      </c>
      <c r="Q125">
        <v>8</v>
      </c>
      <c r="R125">
        <v>4</v>
      </c>
      <c r="S125">
        <v>400</v>
      </c>
      <c r="T125" t="s">
        <v>215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218</v>
      </c>
      <c r="O126" t="s">
        <v>216</v>
      </c>
      <c r="P126">
        <v>207</v>
      </c>
      <c r="Q126">
        <v>358</v>
      </c>
      <c r="R126">
        <v>20</v>
      </c>
      <c r="S126">
        <v>737.5</v>
      </c>
      <c r="T126" t="s">
        <v>218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215</v>
      </c>
      <c r="O127" t="s">
        <v>216</v>
      </c>
      <c r="P127">
        <v>0</v>
      </c>
      <c r="Q127">
        <v>0</v>
      </c>
      <c r="R127">
        <v>0</v>
      </c>
      <c r="S127" t="s">
        <v>219</v>
      </c>
      <c r="T127" t="s">
        <v>215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215</v>
      </c>
      <c r="O128" t="s">
        <v>216</v>
      </c>
      <c r="P128">
        <v>670</v>
      </c>
      <c r="Q128">
        <v>57</v>
      </c>
      <c r="R128">
        <v>5</v>
      </c>
      <c r="S128">
        <v>500</v>
      </c>
      <c r="T128" t="s">
        <v>215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215</v>
      </c>
      <c r="O129" t="s">
        <v>216</v>
      </c>
      <c r="P129">
        <v>237</v>
      </c>
      <c r="Q129">
        <v>8</v>
      </c>
      <c r="R129">
        <v>1</v>
      </c>
      <c r="S129">
        <v>600</v>
      </c>
      <c r="T129" t="s">
        <v>215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218</v>
      </c>
      <c r="O130" t="s">
        <v>217</v>
      </c>
      <c r="P130">
        <v>331</v>
      </c>
      <c r="Q130">
        <v>20</v>
      </c>
      <c r="R130">
        <v>4</v>
      </c>
      <c r="S130">
        <v>662.5</v>
      </c>
      <c r="T130" t="s">
        <v>218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215</v>
      </c>
      <c r="O131" t="s">
        <v>216</v>
      </c>
      <c r="P131">
        <v>295</v>
      </c>
      <c r="Q131">
        <v>15</v>
      </c>
      <c r="R131">
        <v>5</v>
      </c>
      <c r="S131">
        <v>950</v>
      </c>
      <c r="T131" t="s">
        <v>215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218</v>
      </c>
      <c r="O132" t="s">
        <v>217</v>
      </c>
      <c r="P132">
        <v>116</v>
      </c>
      <c r="Q132">
        <v>222</v>
      </c>
      <c r="R132">
        <v>15</v>
      </c>
      <c r="S132">
        <v>750</v>
      </c>
      <c r="T132" t="s">
        <v>218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218</v>
      </c>
      <c r="O133" t="s">
        <v>217</v>
      </c>
      <c r="P133">
        <v>50</v>
      </c>
      <c r="Q133">
        <v>136</v>
      </c>
      <c r="R133">
        <v>20</v>
      </c>
      <c r="S133">
        <v>297.5</v>
      </c>
      <c r="T133" t="s">
        <v>218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215</v>
      </c>
      <c r="O134" t="s">
        <v>216</v>
      </c>
      <c r="P134">
        <v>0</v>
      </c>
      <c r="Q134">
        <v>0</v>
      </c>
      <c r="R134">
        <v>0</v>
      </c>
      <c r="S134">
        <v>325</v>
      </c>
      <c r="T134" t="s">
        <v>215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215</v>
      </c>
      <c r="O135" t="s">
        <v>216</v>
      </c>
      <c r="P135">
        <v>278</v>
      </c>
      <c r="Q135">
        <v>415</v>
      </c>
      <c r="R135">
        <v>16</v>
      </c>
      <c r="S135">
        <v>87.5</v>
      </c>
      <c r="T135" t="s">
        <v>215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218</v>
      </c>
      <c r="O136" t="s">
        <v>216</v>
      </c>
      <c r="P136">
        <v>138</v>
      </c>
      <c r="Q136">
        <v>15</v>
      </c>
      <c r="R136">
        <v>1</v>
      </c>
      <c r="S136">
        <v>175</v>
      </c>
      <c r="T136" t="s">
        <v>218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218</v>
      </c>
      <c r="O137" t="s">
        <v>217</v>
      </c>
      <c r="P137">
        <v>97</v>
      </c>
      <c r="Q137">
        <v>2</v>
      </c>
      <c r="R137">
        <v>2</v>
      </c>
      <c r="S137">
        <v>90</v>
      </c>
      <c r="T137" t="s">
        <v>218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215</v>
      </c>
      <c r="O138" t="s">
        <v>217</v>
      </c>
      <c r="P138">
        <v>368</v>
      </c>
      <c r="Q138">
        <v>20</v>
      </c>
      <c r="R138">
        <v>3</v>
      </c>
      <c r="S138">
        <v>1237.5</v>
      </c>
      <c r="T138" t="s">
        <v>215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215</v>
      </c>
      <c r="O139" t="s">
        <v>217</v>
      </c>
      <c r="P139">
        <v>211</v>
      </c>
      <c r="Q139">
        <v>56</v>
      </c>
      <c r="R139">
        <v>13</v>
      </c>
      <c r="S139">
        <v>430</v>
      </c>
      <c r="T139" t="s">
        <v>215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215</v>
      </c>
      <c r="O140" t="s">
        <v>217</v>
      </c>
      <c r="P140">
        <v>122</v>
      </c>
      <c r="Q140">
        <v>140</v>
      </c>
      <c r="R140">
        <v>5</v>
      </c>
      <c r="S140" t="s">
        <v>219</v>
      </c>
      <c r="T140" t="s">
        <v>218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215</v>
      </c>
      <c r="O141" t="s">
        <v>216</v>
      </c>
      <c r="P141">
        <v>276</v>
      </c>
      <c r="Q141">
        <v>7</v>
      </c>
      <c r="R141">
        <v>9</v>
      </c>
      <c r="S141">
        <v>100</v>
      </c>
      <c r="T141" t="s">
        <v>218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215</v>
      </c>
      <c r="O142" t="s">
        <v>216</v>
      </c>
      <c r="P142">
        <v>319</v>
      </c>
      <c r="Q142">
        <v>4</v>
      </c>
      <c r="R142">
        <v>14</v>
      </c>
      <c r="S142">
        <v>165</v>
      </c>
      <c r="T142" t="s">
        <v>215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215</v>
      </c>
      <c r="O143" t="s">
        <v>217</v>
      </c>
      <c r="P143">
        <v>241</v>
      </c>
      <c r="Q143">
        <v>8</v>
      </c>
      <c r="R143">
        <v>6</v>
      </c>
      <c r="S143">
        <v>250</v>
      </c>
      <c r="T143" t="s">
        <v>215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218</v>
      </c>
      <c r="O144" t="s">
        <v>217</v>
      </c>
      <c r="P144">
        <v>623</v>
      </c>
      <c r="Q144">
        <v>35</v>
      </c>
      <c r="R144">
        <v>3</v>
      </c>
      <c r="S144">
        <v>1300</v>
      </c>
      <c r="T144" t="s">
        <v>218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218</v>
      </c>
      <c r="O145" t="s">
        <v>216</v>
      </c>
      <c r="P145">
        <v>237</v>
      </c>
      <c r="Q145">
        <v>5</v>
      </c>
      <c r="R145">
        <v>4</v>
      </c>
      <c r="S145">
        <v>773.33299999999997</v>
      </c>
      <c r="T145" t="s">
        <v>218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215</v>
      </c>
      <c r="O146" t="s">
        <v>216</v>
      </c>
      <c r="P146">
        <v>132</v>
      </c>
      <c r="Q146">
        <v>205</v>
      </c>
      <c r="R146">
        <v>5</v>
      </c>
      <c r="S146" t="s">
        <v>219</v>
      </c>
      <c r="T146" t="s">
        <v>215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218</v>
      </c>
      <c r="O147" t="s">
        <v>217</v>
      </c>
      <c r="P147">
        <v>885</v>
      </c>
      <c r="Q147">
        <v>105</v>
      </c>
      <c r="R147">
        <v>8</v>
      </c>
      <c r="S147">
        <v>1008.333</v>
      </c>
      <c r="T147" t="s">
        <v>218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215</v>
      </c>
      <c r="O148" t="s">
        <v>217</v>
      </c>
      <c r="P148">
        <v>33</v>
      </c>
      <c r="Q148">
        <v>3</v>
      </c>
      <c r="R148">
        <v>0</v>
      </c>
      <c r="S148">
        <v>275</v>
      </c>
      <c r="T148" t="s">
        <v>215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215</v>
      </c>
      <c r="O149" t="s">
        <v>217</v>
      </c>
      <c r="P149">
        <v>231</v>
      </c>
      <c r="Q149">
        <v>374</v>
      </c>
      <c r="R149">
        <v>18</v>
      </c>
      <c r="S149">
        <v>775</v>
      </c>
      <c r="T149" t="s">
        <v>215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215</v>
      </c>
      <c r="O150" t="s">
        <v>217</v>
      </c>
      <c r="P150">
        <v>304</v>
      </c>
      <c r="Q150">
        <v>347</v>
      </c>
      <c r="R150">
        <v>10</v>
      </c>
      <c r="S150">
        <v>850</v>
      </c>
      <c r="T150" t="s">
        <v>215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215</v>
      </c>
      <c r="O151" t="s">
        <v>217</v>
      </c>
      <c r="P151">
        <v>0</v>
      </c>
      <c r="Q151">
        <v>0</v>
      </c>
      <c r="R151">
        <v>0</v>
      </c>
      <c r="S151">
        <v>365</v>
      </c>
      <c r="T151" t="s">
        <v>215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215</v>
      </c>
      <c r="O152" t="s">
        <v>216</v>
      </c>
      <c r="P152">
        <v>132</v>
      </c>
      <c r="Q152">
        <v>9</v>
      </c>
      <c r="R152">
        <v>0</v>
      </c>
      <c r="S152" t="s">
        <v>219</v>
      </c>
      <c r="T152" t="s">
        <v>215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215</v>
      </c>
      <c r="O153" t="s">
        <v>216</v>
      </c>
      <c r="P153">
        <v>28</v>
      </c>
      <c r="Q153">
        <v>56</v>
      </c>
      <c r="R153">
        <v>2</v>
      </c>
      <c r="S153">
        <v>95</v>
      </c>
      <c r="T153" t="s">
        <v>215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218</v>
      </c>
      <c r="O154" t="s">
        <v>216</v>
      </c>
      <c r="P154">
        <v>102</v>
      </c>
      <c r="Q154">
        <v>4</v>
      </c>
      <c r="R154">
        <v>2</v>
      </c>
      <c r="S154">
        <v>110</v>
      </c>
      <c r="T154" t="s">
        <v>218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218</v>
      </c>
      <c r="O155" t="s">
        <v>216</v>
      </c>
      <c r="P155">
        <v>158</v>
      </c>
      <c r="Q155">
        <v>4</v>
      </c>
      <c r="R155">
        <v>5</v>
      </c>
      <c r="S155">
        <v>100</v>
      </c>
      <c r="T155" t="s">
        <v>218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218</v>
      </c>
      <c r="O156" t="s">
        <v>217</v>
      </c>
      <c r="P156">
        <v>92</v>
      </c>
      <c r="Q156">
        <v>257</v>
      </c>
      <c r="R156">
        <v>20</v>
      </c>
      <c r="S156">
        <v>277.5</v>
      </c>
      <c r="T156" t="s">
        <v>218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215</v>
      </c>
      <c r="O157" t="s">
        <v>216</v>
      </c>
      <c r="P157">
        <v>211</v>
      </c>
      <c r="Q157">
        <v>9</v>
      </c>
      <c r="R157">
        <v>3</v>
      </c>
      <c r="S157">
        <v>80</v>
      </c>
      <c r="T157" t="s">
        <v>215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218</v>
      </c>
      <c r="O158" t="s">
        <v>217</v>
      </c>
      <c r="P158">
        <v>161</v>
      </c>
      <c r="Q158">
        <v>3</v>
      </c>
      <c r="R158">
        <v>3</v>
      </c>
      <c r="S158">
        <v>600</v>
      </c>
      <c r="T158" t="s">
        <v>218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218</v>
      </c>
      <c r="O159" t="s">
        <v>217</v>
      </c>
      <c r="P159">
        <v>193</v>
      </c>
      <c r="Q159">
        <v>11</v>
      </c>
      <c r="R159">
        <v>4</v>
      </c>
      <c r="S159" t="s">
        <v>219</v>
      </c>
      <c r="T159" t="s">
        <v>218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215</v>
      </c>
      <c r="O160" t="s">
        <v>216</v>
      </c>
      <c r="P160">
        <v>0</v>
      </c>
      <c r="Q160">
        <v>0</v>
      </c>
      <c r="R160">
        <v>0</v>
      </c>
      <c r="S160" t="s">
        <v>219</v>
      </c>
      <c r="T160" t="s">
        <v>215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215</v>
      </c>
      <c r="O161" t="s">
        <v>216</v>
      </c>
      <c r="P161">
        <v>110</v>
      </c>
      <c r="Q161">
        <v>308</v>
      </c>
      <c r="R161">
        <v>15</v>
      </c>
      <c r="S161">
        <v>200</v>
      </c>
      <c r="T161" t="s">
        <v>215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215</v>
      </c>
      <c r="O162" t="s">
        <v>216</v>
      </c>
      <c r="P162">
        <v>260</v>
      </c>
      <c r="Q162">
        <v>58</v>
      </c>
      <c r="R162">
        <v>4</v>
      </c>
      <c r="S162" t="s">
        <v>219</v>
      </c>
      <c r="T162" t="s">
        <v>215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218</v>
      </c>
      <c r="O163" t="s">
        <v>217</v>
      </c>
      <c r="P163">
        <v>280</v>
      </c>
      <c r="Q163">
        <v>479</v>
      </c>
      <c r="R163">
        <v>5</v>
      </c>
      <c r="S163">
        <v>657</v>
      </c>
      <c r="T163" t="s">
        <v>218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215</v>
      </c>
      <c r="O164" t="s">
        <v>216</v>
      </c>
      <c r="P164">
        <v>332</v>
      </c>
      <c r="Q164">
        <v>19</v>
      </c>
      <c r="R164">
        <v>2</v>
      </c>
      <c r="S164">
        <v>75</v>
      </c>
      <c r="T164" t="s">
        <v>218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215</v>
      </c>
      <c r="O165" t="s">
        <v>217</v>
      </c>
      <c r="P165">
        <v>330</v>
      </c>
      <c r="Q165">
        <v>16</v>
      </c>
      <c r="R165">
        <v>8</v>
      </c>
      <c r="S165">
        <v>2412.5</v>
      </c>
      <c r="T165" t="s">
        <v>215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218</v>
      </c>
      <c r="O166" t="s">
        <v>216</v>
      </c>
      <c r="P166">
        <v>87</v>
      </c>
      <c r="Q166">
        <v>166</v>
      </c>
      <c r="R166">
        <v>14</v>
      </c>
      <c r="S166">
        <v>250</v>
      </c>
      <c r="T166" t="s">
        <v>215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218</v>
      </c>
      <c r="O167" t="s">
        <v>217</v>
      </c>
      <c r="P167">
        <v>498</v>
      </c>
      <c r="Q167">
        <v>39</v>
      </c>
      <c r="R167">
        <v>13</v>
      </c>
      <c r="S167">
        <v>155</v>
      </c>
      <c r="T167" t="s">
        <v>218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218</v>
      </c>
      <c r="O168" t="s">
        <v>217</v>
      </c>
      <c r="P168">
        <v>290</v>
      </c>
      <c r="Q168">
        <v>440</v>
      </c>
      <c r="R168">
        <v>25</v>
      </c>
      <c r="S168">
        <v>640</v>
      </c>
      <c r="T168" t="s">
        <v>218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215</v>
      </c>
      <c r="O169" t="s">
        <v>217</v>
      </c>
      <c r="P169">
        <v>222</v>
      </c>
      <c r="Q169">
        <v>5</v>
      </c>
      <c r="R169">
        <v>5</v>
      </c>
      <c r="S169">
        <v>300</v>
      </c>
      <c r="T169" t="s">
        <v>215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215</v>
      </c>
      <c r="O170" t="s">
        <v>216</v>
      </c>
      <c r="P170">
        <v>227</v>
      </c>
      <c r="Q170">
        <v>15</v>
      </c>
      <c r="R170">
        <v>3</v>
      </c>
      <c r="S170">
        <v>110</v>
      </c>
      <c r="T170" t="s">
        <v>215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218</v>
      </c>
      <c r="O171" t="s">
        <v>217</v>
      </c>
      <c r="P171">
        <v>103</v>
      </c>
      <c r="Q171">
        <v>8</v>
      </c>
      <c r="R171">
        <v>2</v>
      </c>
      <c r="S171" t="s">
        <v>219</v>
      </c>
      <c r="T171" t="s">
        <v>218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215</v>
      </c>
      <c r="O172" t="s">
        <v>216</v>
      </c>
      <c r="P172">
        <v>686</v>
      </c>
      <c r="Q172">
        <v>46</v>
      </c>
      <c r="R172">
        <v>4</v>
      </c>
      <c r="S172">
        <v>825</v>
      </c>
      <c r="T172" t="s">
        <v>218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215</v>
      </c>
      <c r="O173" t="s">
        <v>217</v>
      </c>
      <c r="P173">
        <v>243</v>
      </c>
      <c r="Q173">
        <v>23</v>
      </c>
      <c r="R173">
        <v>5</v>
      </c>
      <c r="S173" t="s">
        <v>219</v>
      </c>
      <c r="T173" t="s">
        <v>215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218</v>
      </c>
      <c r="O174" t="s">
        <v>216</v>
      </c>
      <c r="P174">
        <v>249</v>
      </c>
      <c r="Q174">
        <v>444</v>
      </c>
      <c r="R174">
        <v>16</v>
      </c>
      <c r="S174">
        <v>195</v>
      </c>
      <c r="T174" t="s">
        <v>218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215</v>
      </c>
      <c r="O175" t="s">
        <v>216</v>
      </c>
      <c r="P175">
        <v>300</v>
      </c>
      <c r="Q175">
        <v>12</v>
      </c>
      <c r="R175">
        <v>2</v>
      </c>
      <c r="S175" t="s">
        <v>219</v>
      </c>
      <c r="T175" t="s">
        <v>215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218</v>
      </c>
      <c r="O176" t="s">
        <v>216</v>
      </c>
      <c r="P176">
        <v>49</v>
      </c>
      <c r="Q176">
        <v>2</v>
      </c>
      <c r="R176">
        <v>0</v>
      </c>
      <c r="S176">
        <v>450</v>
      </c>
      <c r="T176" t="s">
        <v>218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218</v>
      </c>
      <c r="O177" t="s">
        <v>216</v>
      </c>
      <c r="P177">
        <v>303</v>
      </c>
      <c r="Q177">
        <v>12</v>
      </c>
      <c r="R177">
        <v>5</v>
      </c>
      <c r="S177">
        <v>630</v>
      </c>
      <c r="T177" t="s">
        <v>218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218</v>
      </c>
      <c r="O178" t="s">
        <v>216</v>
      </c>
      <c r="P178">
        <v>88</v>
      </c>
      <c r="Q178">
        <v>0</v>
      </c>
      <c r="R178">
        <v>3</v>
      </c>
      <c r="S178">
        <v>86.5</v>
      </c>
      <c r="T178" t="s">
        <v>218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215</v>
      </c>
      <c r="O179" t="s">
        <v>217</v>
      </c>
      <c r="P179">
        <v>190</v>
      </c>
      <c r="Q179">
        <v>2</v>
      </c>
      <c r="R179">
        <v>2</v>
      </c>
      <c r="S179">
        <v>1300</v>
      </c>
      <c r="T179" t="s">
        <v>215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215</v>
      </c>
      <c r="O180" t="s">
        <v>217</v>
      </c>
      <c r="P180">
        <v>96</v>
      </c>
      <c r="Q180">
        <v>5</v>
      </c>
      <c r="R180">
        <v>3</v>
      </c>
      <c r="S180">
        <v>1000</v>
      </c>
      <c r="T180" t="s">
        <v>218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218</v>
      </c>
      <c r="O181" t="s">
        <v>217</v>
      </c>
      <c r="P181">
        <v>1199</v>
      </c>
      <c r="Q181">
        <v>149</v>
      </c>
      <c r="R181">
        <v>5</v>
      </c>
      <c r="S181">
        <v>1800</v>
      </c>
      <c r="T181" t="s">
        <v>218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215</v>
      </c>
      <c r="O182" t="s">
        <v>216</v>
      </c>
      <c r="P182">
        <v>1218</v>
      </c>
      <c r="Q182">
        <v>104</v>
      </c>
      <c r="R182">
        <v>10</v>
      </c>
      <c r="S182">
        <v>1310</v>
      </c>
      <c r="T182" t="s">
        <v>215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218</v>
      </c>
      <c r="O183" t="s">
        <v>216</v>
      </c>
      <c r="P183">
        <v>145</v>
      </c>
      <c r="Q183">
        <v>5</v>
      </c>
      <c r="R183">
        <v>7</v>
      </c>
      <c r="S183">
        <v>737.5</v>
      </c>
      <c r="T183" t="s">
        <v>218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218</v>
      </c>
      <c r="O184" t="s">
        <v>216</v>
      </c>
      <c r="P184">
        <v>332</v>
      </c>
      <c r="Q184">
        <v>9</v>
      </c>
      <c r="R184">
        <v>8</v>
      </c>
      <c r="S184">
        <v>625</v>
      </c>
      <c r="T184" t="s">
        <v>218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218</v>
      </c>
      <c r="O185" t="s">
        <v>217</v>
      </c>
      <c r="P185">
        <v>145</v>
      </c>
      <c r="Q185">
        <v>59</v>
      </c>
      <c r="R185">
        <v>8</v>
      </c>
      <c r="S185">
        <v>125</v>
      </c>
      <c r="T185" t="s">
        <v>218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218</v>
      </c>
      <c r="O186" t="s">
        <v>217</v>
      </c>
      <c r="P186">
        <v>181</v>
      </c>
      <c r="Q186">
        <v>13</v>
      </c>
      <c r="R186">
        <v>4</v>
      </c>
      <c r="S186">
        <v>1043.3330000000001</v>
      </c>
      <c r="T186" t="s">
        <v>218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218</v>
      </c>
      <c r="O187" t="s">
        <v>216</v>
      </c>
      <c r="P187">
        <v>65</v>
      </c>
      <c r="Q187">
        <v>258</v>
      </c>
      <c r="R187">
        <v>8</v>
      </c>
      <c r="S187">
        <v>725</v>
      </c>
      <c r="T187" t="s">
        <v>218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215</v>
      </c>
      <c r="O188" t="s">
        <v>216</v>
      </c>
      <c r="P188">
        <v>0</v>
      </c>
      <c r="Q188">
        <v>0</v>
      </c>
      <c r="R188">
        <v>0</v>
      </c>
      <c r="S188">
        <v>300</v>
      </c>
      <c r="T188" t="s">
        <v>215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215</v>
      </c>
      <c r="O189" t="s">
        <v>216</v>
      </c>
      <c r="P189">
        <v>429</v>
      </c>
      <c r="Q189">
        <v>8</v>
      </c>
      <c r="R189">
        <v>6</v>
      </c>
      <c r="S189">
        <v>365</v>
      </c>
      <c r="T189" t="s">
        <v>215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218</v>
      </c>
      <c r="O190" t="s">
        <v>216</v>
      </c>
      <c r="P190">
        <v>107</v>
      </c>
      <c r="Q190">
        <v>205</v>
      </c>
      <c r="R190">
        <v>16</v>
      </c>
      <c r="S190">
        <v>75</v>
      </c>
      <c r="T190" t="s">
        <v>218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218</v>
      </c>
      <c r="O191" t="s">
        <v>217</v>
      </c>
      <c r="P191">
        <v>1231</v>
      </c>
      <c r="Q191">
        <v>80</v>
      </c>
      <c r="R191">
        <v>7</v>
      </c>
      <c r="S191">
        <v>1183.3330000000001</v>
      </c>
      <c r="T191" t="s">
        <v>218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218</v>
      </c>
      <c r="O192" t="s">
        <v>217</v>
      </c>
      <c r="P192">
        <v>283</v>
      </c>
      <c r="Q192">
        <v>8</v>
      </c>
      <c r="R192">
        <v>3</v>
      </c>
      <c r="S192">
        <v>202.5</v>
      </c>
      <c r="T192" t="s">
        <v>218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215</v>
      </c>
      <c r="O193" t="s">
        <v>217</v>
      </c>
      <c r="P193">
        <v>156</v>
      </c>
      <c r="Q193">
        <v>2</v>
      </c>
      <c r="R193">
        <v>2</v>
      </c>
      <c r="S193">
        <v>225</v>
      </c>
      <c r="T193" t="s">
        <v>215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215</v>
      </c>
      <c r="O194" t="s">
        <v>217</v>
      </c>
      <c r="P194">
        <v>239</v>
      </c>
      <c r="Q194">
        <v>8</v>
      </c>
      <c r="R194">
        <v>2</v>
      </c>
      <c r="S194">
        <v>525</v>
      </c>
      <c r="T194" t="s">
        <v>215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218</v>
      </c>
      <c r="O195" t="s">
        <v>216</v>
      </c>
      <c r="P195">
        <v>235</v>
      </c>
      <c r="Q195">
        <v>22</v>
      </c>
      <c r="R195">
        <v>5</v>
      </c>
      <c r="S195">
        <v>265</v>
      </c>
      <c r="T195" t="s">
        <v>218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215</v>
      </c>
      <c r="O196" t="s">
        <v>217</v>
      </c>
      <c r="P196">
        <v>371</v>
      </c>
      <c r="Q196">
        <v>6</v>
      </c>
      <c r="R196">
        <v>6</v>
      </c>
      <c r="S196">
        <v>787.5</v>
      </c>
      <c r="T196" t="s">
        <v>215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215</v>
      </c>
      <c r="O197" t="s">
        <v>217</v>
      </c>
      <c r="P197">
        <v>483</v>
      </c>
      <c r="Q197">
        <v>48</v>
      </c>
      <c r="R197">
        <v>6</v>
      </c>
      <c r="S197">
        <v>800</v>
      </c>
      <c r="T197" t="s">
        <v>218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215</v>
      </c>
      <c r="O198" t="s">
        <v>216</v>
      </c>
      <c r="P198">
        <v>0</v>
      </c>
      <c r="Q198">
        <v>0</v>
      </c>
      <c r="R198">
        <v>0</v>
      </c>
      <c r="S198">
        <v>587.5</v>
      </c>
      <c r="T198" t="s">
        <v>215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218</v>
      </c>
      <c r="O199" t="s">
        <v>217</v>
      </c>
      <c r="P199">
        <v>64</v>
      </c>
      <c r="Q199">
        <v>119</v>
      </c>
      <c r="R199">
        <v>9</v>
      </c>
      <c r="S199" t="s">
        <v>219</v>
      </c>
      <c r="T199" t="s">
        <v>218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215</v>
      </c>
      <c r="O200" t="s">
        <v>217</v>
      </c>
      <c r="P200">
        <v>0</v>
      </c>
      <c r="Q200">
        <v>0</v>
      </c>
      <c r="R200">
        <v>0</v>
      </c>
      <c r="S200">
        <v>145</v>
      </c>
      <c r="T200" t="s">
        <v>215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215</v>
      </c>
      <c r="O201" t="s">
        <v>216</v>
      </c>
      <c r="P201">
        <v>245</v>
      </c>
      <c r="Q201">
        <v>5</v>
      </c>
      <c r="R201">
        <v>9</v>
      </c>
      <c r="S201" t="s">
        <v>219</v>
      </c>
      <c r="T201" t="s">
        <v>215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215</v>
      </c>
      <c r="O202" t="s">
        <v>217</v>
      </c>
      <c r="P202">
        <v>276</v>
      </c>
      <c r="Q202">
        <v>421</v>
      </c>
      <c r="R202">
        <v>11</v>
      </c>
      <c r="S202">
        <v>420</v>
      </c>
      <c r="T202" t="s">
        <v>215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218</v>
      </c>
      <c r="O203" t="s">
        <v>216</v>
      </c>
      <c r="P203">
        <v>317</v>
      </c>
      <c r="Q203">
        <v>36</v>
      </c>
      <c r="R203">
        <v>1</v>
      </c>
      <c r="S203">
        <v>75</v>
      </c>
      <c r="T203" t="s">
        <v>218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215</v>
      </c>
      <c r="O204" t="s">
        <v>217</v>
      </c>
      <c r="P204">
        <v>303</v>
      </c>
      <c r="Q204">
        <v>450</v>
      </c>
      <c r="R204">
        <v>14</v>
      </c>
      <c r="S204">
        <v>575</v>
      </c>
      <c r="T204" t="s">
        <v>215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218</v>
      </c>
      <c r="O205" t="s">
        <v>217</v>
      </c>
      <c r="P205">
        <v>107</v>
      </c>
      <c r="Q205">
        <v>3</v>
      </c>
      <c r="R205">
        <v>3</v>
      </c>
      <c r="S205" t="s">
        <v>219</v>
      </c>
      <c r="T205" t="s">
        <v>218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215</v>
      </c>
      <c r="O206" t="s">
        <v>216</v>
      </c>
      <c r="P206">
        <v>310</v>
      </c>
      <c r="Q206">
        <v>9</v>
      </c>
      <c r="R206">
        <v>9</v>
      </c>
      <c r="S206">
        <v>780</v>
      </c>
      <c r="T206" t="s">
        <v>215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218</v>
      </c>
      <c r="O207" t="s">
        <v>217</v>
      </c>
      <c r="P207">
        <v>201</v>
      </c>
      <c r="Q207">
        <v>6</v>
      </c>
      <c r="R207">
        <v>3</v>
      </c>
      <c r="S207">
        <v>90</v>
      </c>
      <c r="T207" t="s">
        <v>218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218</v>
      </c>
      <c r="O208" t="s">
        <v>216</v>
      </c>
      <c r="P208">
        <v>172</v>
      </c>
      <c r="Q208">
        <v>317</v>
      </c>
      <c r="R208">
        <v>25</v>
      </c>
      <c r="S208">
        <v>150</v>
      </c>
      <c r="T208" t="s">
        <v>218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215</v>
      </c>
      <c r="O209" t="s">
        <v>217</v>
      </c>
      <c r="P209">
        <v>0</v>
      </c>
      <c r="Q209">
        <v>0</v>
      </c>
      <c r="R209">
        <v>0</v>
      </c>
      <c r="S209">
        <v>700</v>
      </c>
      <c r="T209" t="s">
        <v>218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218</v>
      </c>
      <c r="O210" t="s">
        <v>217</v>
      </c>
      <c r="P210">
        <v>415</v>
      </c>
      <c r="Q210">
        <v>35</v>
      </c>
      <c r="R210">
        <v>3</v>
      </c>
      <c r="S210" t="s">
        <v>219</v>
      </c>
      <c r="T210" t="s">
        <v>218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215</v>
      </c>
      <c r="O211" t="s">
        <v>217</v>
      </c>
      <c r="P211">
        <v>233</v>
      </c>
      <c r="Q211">
        <v>7</v>
      </c>
      <c r="R211">
        <v>7</v>
      </c>
      <c r="S211">
        <v>550</v>
      </c>
      <c r="T211" t="s">
        <v>215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215</v>
      </c>
      <c r="O212" t="s">
        <v>216</v>
      </c>
      <c r="P212">
        <v>220</v>
      </c>
      <c r="Q212">
        <v>16</v>
      </c>
      <c r="R212">
        <v>4</v>
      </c>
      <c r="S212" t="s">
        <v>219</v>
      </c>
      <c r="T212" t="s">
        <v>215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218</v>
      </c>
      <c r="O213" t="s">
        <v>217</v>
      </c>
      <c r="P213">
        <v>259</v>
      </c>
      <c r="Q213">
        <v>30</v>
      </c>
      <c r="R213">
        <v>10</v>
      </c>
      <c r="S213">
        <v>650</v>
      </c>
      <c r="T213" t="s">
        <v>215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215</v>
      </c>
      <c r="O214" t="s">
        <v>216</v>
      </c>
      <c r="P214">
        <v>102</v>
      </c>
      <c r="Q214">
        <v>6</v>
      </c>
      <c r="R214">
        <v>3</v>
      </c>
      <c r="S214">
        <v>68</v>
      </c>
      <c r="T214" t="s">
        <v>215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218</v>
      </c>
      <c r="O215" t="s">
        <v>217</v>
      </c>
      <c r="P215">
        <v>468</v>
      </c>
      <c r="Q215">
        <v>47</v>
      </c>
      <c r="R215">
        <v>6</v>
      </c>
      <c r="S215">
        <v>100</v>
      </c>
      <c r="T215" t="s">
        <v>218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218</v>
      </c>
      <c r="O216" t="s">
        <v>216</v>
      </c>
      <c r="P216">
        <v>149</v>
      </c>
      <c r="Q216">
        <v>8</v>
      </c>
      <c r="R216">
        <v>6</v>
      </c>
      <c r="S216">
        <v>670</v>
      </c>
      <c r="T216" t="s">
        <v>218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215</v>
      </c>
      <c r="O217" t="s">
        <v>217</v>
      </c>
      <c r="P217">
        <v>103</v>
      </c>
      <c r="Q217">
        <v>283</v>
      </c>
      <c r="R217">
        <v>19</v>
      </c>
      <c r="S217">
        <v>175</v>
      </c>
      <c r="T217" t="s">
        <v>215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215</v>
      </c>
      <c r="O218" t="s">
        <v>216</v>
      </c>
      <c r="P218">
        <v>358</v>
      </c>
      <c r="Q218">
        <v>32</v>
      </c>
      <c r="R218">
        <v>8</v>
      </c>
      <c r="S218">
        <v>137</v>
      </c>
      <c r="T218" t="s">
        <v>215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218</v>
      </c>
      <c r="O219" t="s">
        <v>217</v>
      </c>
      <c r="P219">
        <v>78</v>
      </c>
      <c r="Q219">
        <v>220</v>
      </c>
      <c r="R219">
        <v>6</v>
      </c>
      <c r="S219">
        <v>2127.3330000000001</v>
      </c>
      <c r="T219" t="s">
        <v>218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218</v>
      </c>
      <c r="O220" t="s">
        <v>216</v>
      </c>
      <c r="P220">
        <v>756</v>
      </c>
      <c r="Q220">
        <v>64</v>
      </c>
      <c r="R220">
        <v>15</v>
      </c>
      <c r="S220">
        <v>875</v>
      </c>
      <c r="T220" t="s">
        <v>218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215</v>
      </c>
      <c r="O221" t="s">
        <v>216</v>
      </c>
      <c r="P221">
        <v>463</v>
      </c>
      <c r="Q221">
        <v>32</v>
      </c>
      <c r="R221">
        <v>8</v>
      </c>
      <c r="S221">
        <v>120</v>
      </c>
      <c r="T221" t="s">
        <v>215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218</v>
      </c>
      <c r="O222" t="s">
        <v>217</v>
      </c>
      <c r="P222">
        <v>212</v>
      </c>
      <c r="Q222">
        <v>1</v>
      </c>
      <c r="R222">
        <v>2</v>
      </c>
      <c r="S222">
        <v>140</v>
      </c>
      <c r="T222" t="s">
        <v>218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218</v>
      </c>
      <c r="O223" t="s">
        <v>217</v>
      </c>
      <c r="P223">
        <v>325</v>
      </c>
      <c r="Q223">
        <v>12</v>
      </c>
      <c r="R223">
        <v>8</v>
      </c>
      <c r="S223">
        <v>210</v>
      </c>
      <c r="T223" t="s">
        <v>218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218</v>
      </c>
      <c r="O224" t="s">
        <v>217</v>
      </c>
      <c r="P224">
        <v>228</v>
      </c>
      <c r="Q224">
        <v>7</v>
      </c>
      <c r="R224">
        <v>5</v>
      </c>
      <c r="S224">
        <v>800</v>
      </c>
      <c r="T224" t="s">
        <v>218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218</v>
      </c>
      <c r="O225" t="s">
        <v>216</v>
      </c>
      <c r="P225">
        <v>203</v>
      </c>
      <c r="Q225">
        <v>3</v>
      </c>
      <c r="R225">
        <v>3</v>
      </c>
      <c r="S225">
        <v>240</v>
      </c>
      <c r="T225" t="s">
        <v>218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215</v>
      </c>
      <c r="O226" t="s">
        <v>217</v>
      </c>
      <c r="P226">
        <v>149</v>
      </c>
      <c r="Q226">
        <v>1</v>
      </c>
      <c r="R226">
        <v>6</v>
      </c>
      <c r="S226">
        <v>350</v>
      </c>
      <c r="T226" t="s">
        <v>215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218</v>
      </c>
      <c r="O227" t="s">
        <v>216</v>
      </c>
      <c r="P227">
        <v>512</v>
      </c>
      <c r="Q227">
        <v>30</v>
      </c>
      <c r="R227">
        <v>5</v>
      </c>
      <c r="S227" t="s">
        <v>219</v>
      </c>
      <c r="T227" t="s">
        <v>218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215</v>
      </c>
      <c r="O228" t="s">
        <v>216</v>
      </c>
      <c r="P228">
        <v>261</v>
      </c>
      <c r="Q228">
        <v>459</v>
      </c>
      <c r="R228">
        <v>22</v>
      </c>
      <c r="S228">
        <v>175</v>
      </c>
      <c r="T228" t="s">
        <v>215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215</v>
      </c>
      <c r="O229" t="s">
        <v>216</v>
      </c>
      <c r="P229">
        <v>325</v>
      </c>
      <c r="Q229">
        <v>13</v>
      </c>
      <c r="R229">
        <v>3</v>
      </c>
      <c r="S229">
        <v>200</v>
      </c>
      <c r="T229" t="s">
        <v>215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218</v>
      </c>
      <c r="O230" t="s">
        <v>216</v>
      </c>
      <c r="P230">
        <v>151</v>
      </c>
      <c r="Q230">
        <v>8</v>
      </c>
      <c r="R230">
        <v>5</v>
      </c>
      <c r="S230" t="s">
        <v>219</v>
      </c>
      <c r="T230" t="s">
        <v>218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218</v>
      </c>
      <c r="O231" t="s">
        <v>217</v>
      </c>
      <c r="P231">
        <v>229</v>
      </c>
      <c r="Q231">
        <v>453</v>
      </c>
      <c r="R231">
        <v>15</v>
      </c>
      <c r="S231">
        <v>1940</v>
      </c>
      <c r="T231" t="s">
        <v>218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218</v>
      </c>
      <c r="O232" t="s">
        <v>216</v>
      </c>
      <c r="P232">
        <v>682</v>
      </c>
      <c r="Q232">
        <v>93</v>
      </c>
      <c r="R232">
        <v>13</v>
      </c>
      <c r="S232">
        <v>700</v>
      </c>
      <c r="T232" t="s">
        <v>218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215</v>
      </c>
      <c r="O233" t="s">
        <v>216</v>
      </c>
      <c r="P233">
        <v>250</v>
      </c>
      <c r="Q233">
        <v>11</v>
      </c>
      <c r="R233">
        <v>1</v>
      </c>
      <c r="S233">
        <v>750</v>
      </c>
      <c r="T233" t="s">
        <v>215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218</v>
      </c>
      <c r="O234" t="s">
        <v>216</v>
      </c>
      <c r="P234">
        <v>58</v>
      </c>
      <c r="Q234">
        <v>141</v>
      </c>
      <c r="R234">
        <v>23</v>
      </c>
      <c r="S234">
        <v>450</v>
      </c>
      <c r="T234" t="s">
        <v>218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215</v>
      </c>
      <c r="O235" t="s">
        <v>216</v>
      </c>
      <c r="P235">
        <v>157</v>
      </c>
      <c r="Q235">
        <v>6</v>
      </c>
      <c r="R235">
        <v>14</v>
      </c>
      <c r="S235">
        <v>172</v>
      </c>
      <c r="T235" t="s">
        <v>215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215</v>
      </c>
      <c r="O236" t="s">
        <v>217</v>
      </c>
      <c r="P236">
        <v>82</v>
      </c>
      <c r="Q236">
        <v>170</v>
      </c>
      <c r="R236">
        <v>15</v>
      </c>
      <c r="S236">
        <v>1260</v>
      </c>
      <c r="T236" t="s">
        <v>215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215</v>
      </c>
      <c r="O237" t="s">
        <v>216</v>
      </c>
      <c r="P237">
        <v>1224</v>
      </c>
      <c r="Q237">
        <v>115</v>
      </c>
      <c r="R237">
        <v>11</v>
      </c>
      <c r="S237" t="s">
        <v>219</v>
      </c>
      <c r="T237" t="s">
        <v>215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218</v>
      </c>
      <c r="O238" t="s">
        <v>216</v>
      </c>
      <c r="P238">
        <v>523</v>
      </c>
      <c r="Q238">
        <v>43</v>
      </c>
      <c r="R238">
        <v>6</v>
      </c>
      <c r="S238">
        <v>750</v>
      </c>
      <c r="T238" t="s">
        <v>218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215</v>
      </c>
      <c r="O239" t="s">
        <v>217</v>
      </c>
      <c r="P239">
        <v>172</v>
      </c>
      <c r="Q239">
        <v>1</v>
      </c>
      <c r="R239">
        <v>4</v>
      </c>
      <c r="S239">
        <v>190</v>
      </c>
      <c r="T239" t="s">
        <v>215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215</v>
      </c>
      <c r="O240" t="s">
        <v>217</v>
      </c>
      <c r="P240">
        <v>846</v>
      </c>
      <c r="Q240">
        <v>84</v>
      </c>
      <c r="R240">
        <v>9</v>
      </c>
      <c r="S240">
        <v>580</v>
      </c>
      <c r="T240" t="s">
        <v>215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218</v>
      </c>
      <c r="O241" t="s">
        <v>217</v>
      </c>
      <c r="P241">
        <v>117</v>
      </c>
      <c r="Q241">
        <v>269</v>
      </c>
      <c r="R241">
        <v>12</v>
      </c>
      <c r="S241">
        <v>130</v>
      </c>
      <c r="T241" t="s">
        <v>218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215</v>
      </c>
      <c r="O242" t="s">
        <v>216</v>
      </c>
      <c r="P242">
        <v>62</v>
      </c>
      <c r="Q242">
        <v>90</v>
      </c>
      <c r="R242">
        <v>3</v>
      </c>
      <c r="S242">
        <v>450</v>
      </c>
      <c r="T242" t="s">
        <v>215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215</v>
      </c>
      <c r="O243" t="s">
        <v>216</v>
      </c>
      <c r="P243">
        <v>167</v>
      </c>
      <c r="Q243">
        <v>2</v>
      </c>
      <c r="R243">
        <v>4</v>
      </c>
      <c r="S243">
        <v>300</v>
      </c>
      <c r="T243" t="s">
        <v>215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215</v>
      </c>
      <c r="O244" t="s">
        <v>217</v>
      </c>
      <c r="P244">
        <v>391</v>
      </c>
      <c r="Q244">
        <v>44</v>
      </c>
      <c r="R244">
        <v>4</v>
      </c>
      <c r="S244">
        <v>250</v>
      </c>
      <c r="T244" t="s">
        <v>215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218</v>
      </c>
      <c r="O245" t="s">
        <v>217</v>
      </c>
      <c r="P245">
        <v>41</v>
      </c>
      <c r="Q245">
        <v>118</v>
      </c>
      <c r="R245">
        <v>8</v>
      </c>
      <c r="S245">
        <v>1050</v>
      </c>
      <c r="T245" t="s">
        <v>215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215</v>
      </c>
      <c r="O246" t="s">
        <v>217</v>
      </c>
      <c r="P246">
        <v>286</v>
      </c>
      <c r="Q246">
        <v>8</v>
      </c>
      <c r="R246">
        <v>8</v>
      </c>
      <c r="S246">
        <v>215</v>
      </c>
      <c r="T246" t="s">
        <v>215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215</v>
      </c>
      <c r="O247" t="s">
        <v>217</v>
      </c>
      <c r="P247">
        <v>659</v>
      </c>
      <c r="Q247">
        <v>53</v>
      </c>
      <c r="R247">
        <v>7</v>
      </c>
      <c r="S247">
        <v>400</v>
      </c>
      <c r="T247" t="s">
        <v>215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215</v>
      </c>
      <c r="O248" t="s">
        <v>217</v>
      </c>
      <c r="P248">
        <v>866</v>
      </c>
      <c r="Q248">
        <v>65</v>
      </c>
      <c r="R248">
        <v>6</v>
      </c>
      <c r="S248" t="s">
        <v>219</v>
      </c>
      <c r="T248" t="s">
        <v>215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215</v>
      </c>
      <c r="O249" t="s">
        <v>217</v>
      </c>
      <c r="P249">
        <v>251</v>
      </c>
      <c r="Q249">
        <v>9</v>
      </c>
      <c r="R249">
        <v>4</v>
      </c>
      <c r="S249">
        <v>560</v>
      </c>
      <c r="T249" t="s">
        <v>215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215</v>
      </c>
      <c r="O250" t="s">
        <v>217</v>
      </c>
      <c r="P250">
        <v>426</v>
      </c>
      <c r="Q250">
        <v>4</v>
      </c>
      <c r="R250">
        <v>6</v>
      </c>
      <c r="S250">
        <v>1670</v>
      </c>
      <c r="T250" t="s">
        <v>215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215</v>
      </c>
      <c r="O251" t="s">
        <v>216</v>
      </c>
      <c r="P251">
        <v>0</v>
      </c>
      <c r="Q251">
        <v>0</v>
      </c>
      <c r="R251">
        <v>0</v>
      </c>
      <c r="S251">
        <v>487.5</v>
      </c>
      <c r="T251" t="s">
        <v>215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215</v>
      </c>
      <c r="O252" t="s">
        <v>216</v>
      </c>
      <c r="P252">
        <v>205</v>
      </c>
      <c r="Q252">
        <v>5</v>
      </c>
      <c r="R252">
        <v>4</v>
      </c>
      <c r="S252" t="s">
        <v>219</v>
      </c>
      <c r="T252" t="s">
        <v>215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215</v>
      </c>
      <c r="O253" t="s">
        <v>216</v>
      </c>
      <c r="P253">
        <v>0</v>
      </c>
      <c r="Q253">
        <v>0</v>
      </c>
      <c r="R253">
        <v>0</v>
      </c>
      <c r="S253">
        <v>425</v>
      </c>
      <c r="T253" t="s">
        <v>215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218</v>
      </c>
      <c r="O254" t="s">
        <v>217</v>
      </c>
      <c r="P254">
        <v>88</v>
      </c>
      <c r="Q254">
        <v>204</v>
      </c>
      <c r="R254">
        <v>16</v>
      </c>
      <c r="S254">
        <v>500</v>
      </c>
      <c r="T254" t="s">
        <v>215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218</v>
      </c>
      <c r="O255" t="s">
        <v>216</v>
      </c>
      <c r="P255">
        <v>99</v>
      </c>
      <c r="Q255">
        <v>3</v>
      </c>
      <c r="R255">
        <v>1</v>
      </c>
      <c r="S255" t="s">
        <v>219</v>
      </c>
      <c r="T255" t="s">
        <v>218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215</v>
      </c>
      <c r="O256" t="s">
        <v>216</v>
      </c>
      <c r="P256">
        <v>145</v>
      </c>
      <c r="Q256">
        <v>2</v>
      </c>
      <c r="R256">
        <v>2</v>
      </c>
      <c r="S256" t="s">
        <v>219</v>
      </c>
      <c r="T256" t="s">
        <v>215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215</v>
      </c>
      <c r="O257" t="s">
        <v>217</v>
      </c>
      <c r="P257">
        <v>44</v>
      </c>
      <c r="Q257">
        <v>0</v>
      </c>
      <c r="R257">
        <v>1</v>
      </c>
      <c r="S257">
        <v>250</v>
      </c>
      <c r="T257" t="s">
        <v>215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215</v>
      </c>
      <c r="O258" t="s">
        <v>217</v>
      </c>
      <c r="P258">
        <v>155</v>
      </c>
      <c r="Q258">
        <v>3</v>
      </c>
      <c r="R258">
        <v>2</v>
      </c>
      <c r="S258">
        <v>400</v>
      </c>
      <c r="T258" t="s">
        <v>215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215</v>
      </c>
      <c r="O259" t="s">
        <v>217</v>
      </c>
      <c r="P259">
        <v>60</v>
      </c>
      <c r="Q259">
        <v>176</v>
      </c>
      <c r="R259">
        <v>6</v>
      </c>
      <c r="S259">
        <v>450</v>
      </c>
      <c r="T259" t="s">
        <v>215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218</v>
      </c>
      <c r="O260" t="s">
        <v>216</v>
      </c>
      <c r="P260">
        <v>367</v>
      </c>
      <c r="Q260">
        <v>475</v>
      </c>
      <c r="R260">
        <v>19</v>
      </c>
      <c r="S260">
        <v>750</v>
      </c>
      <c r="T260" t="s">
        <v>218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215</v>
      </c>
      <c r="O261" t="s">
        <v>217</v>
      </c>
      <c r="P261">
        <v>86</v>
      </c>
      <c r="Q261">
        <v>150</v>
      </c>
      <c r="R261">
        <v>15</v>
      </c>
      <c r="S261">
        <v>70</v>
      </c>
      <c r="T261" t="s">
        <v>215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218</v>
      </c>
      <c r="O262" t="s">
        <v>216</v>
      </c>
      <c r="P262">
        <v>155</v>
      </c>
      <c r="Q262">
        <v>371</v>
      </c>
      <c r="R262">
        <v>29</v>
      </c>
      <c r="S262">
        <v>875</v>
      </c>
      <c r="T262" t="s">
        <v>218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218</v>
      </c>
      <c r="O263" t="s">
        <v>217</v>
      </c>
      <c r="P263">
        <v>190</v>
      </c>
      <c r="Q263">
        <v>2</v>
      </c>
      <c r="R263">
        <v>9</v>
      </c>
      <c r="S263">
        <v>190</v>
      </c>
      <c r="T263" t="s">
        <v>218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218</v>
      </c>
      <c r="O264" t="s">
        <v>217</v>
      </c>
      <c r="P264">
        <v>181</v>
      </c>
      <c r="Q264">
        <v>3</v>
      </c>
      <c r="R264">
        <v>2</v>
      </c>
      <c r="S264">
        <v>191</v>
      </c>
      <c r="T264" t="s">
        <v>218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218</v>
      </c>
      <c r="O265" t="s">
        <v>217</v>
      </c>
      <c r="P265">
        <v>309</v>
      </c>
      <c r="Q265">
        <v>492</v>
      </c>
      <c r="R265">
        <v>5</v>
      </c>
      <c r="S265">
        <v>740</v>
      </c>
      <c r="T265" t="s">
        <v>218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218</v>
      </c>
      <c r="O266" t="s">
        <v>217</v>
      </c>
      <c r="P266">
        <v>203</v>
      </c>
      <c r="Q266">
        <v>369</v>
      </c>
      <c r="R266">
        <v>16</v>
      </c>
      <c r="S266">
        <v>250</v>
      </c>
      <c r="T266" t="s">
        <v>218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218</v>
      </c>
      <c r="O267" t="s">
        <v>217</v>
      </c>
      <c r="P267">
        <v>42</v>
      </c>
      <c r="Q267">
        <v>94</v>
      </c>
      <c r="R267">
        <v>13</v>
      </c>
      <c r="S267">
        <v>140</v>
      </c>
      <c r="T267" t="s">
        <v>218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215</v>
      </c>
      <c r="O268" t="s">
        <v>216</v>
      </c>
      <c r="P268">
        <v>200</v>
      </c>
      <c r="Q268">
        <v>7</v>
      </c>
      <c r="R268">
        <v>6</v>
      </c>
      <c r="S268">
        <v>97.5</v>
      </c>
      <c r="T268" t="s">
        <v>215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215</v>
      </c>
      <c r="O269" t="s">
        <v>216</v>
      </c>
      <c r="P269">
        <v>0</v>
      </c>
      <c r="Q269">
        <v>0</v>
      </c>
      <c r="R269">
        <v>0</v>
      </c>
      <c r="S269">
        <v>740</v>
      </c>
      <c r="T269" t="s">
        <v>215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218</v>
      </c>
      <c r="O270" t="s">
        <v>216</v>
      </c>
      <c r="P270">
        <v>255</v>
      </c>
      <c r="Q270">
        <v>450</v>
      </c>
      <c r="R270">
        <v>17</v>
      </c>
      <c r="S270">
        <v>140</v>
      </c>
      <c r="T270" t="s">
        <v>218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215</v>
      </c>
      <c r="O271" t="s">
        <v>216</v>
      </c>
      <c r="P271">
        <v>135</v>
      </c>
      <c r="Q271">
        <v>257</v>
      </c>
      <c r="R271">
        <v>7</v>
      </c>
      <c r="S271">
        <v>341.66699999999997</v>
      </c>
      <c r="T271" t="s">
        <v>215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218</v>
      </c>
      <c r="O272" t="s">
        <v>216</v>
      </c>
      <c r="P272">
        <v>179</v>
      </c>
      <c r="Q272">
        <v>5</v>
      </c>
      <c r="R272">
        <v>3</v>
      </c>
      <c r="S272" t="s">
        <v>219</v>
      </c>
      <c r="T272" t="s">
        <v>218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215</v>
      </c>
      <c r="O273" t="s">
        <v>217</v>
      </c>
      <c r="P273">
        <v>352</v>
      </c>
      <c r="Q273">
        <v>9</v>
      </c>
      <c r="R273">
        <v>1</v>
      </c>
      <c r="S273">
        <v>1000</v>
      </c>
      <c r="T273" t="s">
        <v>215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215</v>
      </c>
      <c r="O274" t="s">
        <v>216</v>
      </c>
      <c r="P274">
        <v>1236</v>
      </c>
      <c r="Q274">
        <v>98</v>
      </c>
      <c r="R274">
        <v>18</v>
      </c>
      <c r="S274">
        <v>100</v>
      </c>
      <c r="T274" t="s">
        <v>215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215</v>
      </c>
      <c r="O275" t="s">
        <v>216</v>
      </c>
      <c r="P275">
        <v>281</v>
      </c>
      <c r="Q275">
        <v>21</v>
      </c>
      <c r="R275">
        <v>3</v>
      </c>
      <c r="S275">
        <v>90</v>
      </c>
      <c r="T275" t="s">
        <v>215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218</v>
      </c>
      <c r="O276" t="s">
        <v>217</v>
      </c>
      <c r="P276">
        <v>1320</v>
      </c>
      <c r="Q276">
        <v>166</v>
      </c>
      <c r="R276">
        <v>17</v>
      </c>
      <c r="S276">
        <v>200</v>
      </c>
      <c r="T276" t="s">
        <v>218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215</v>
      </c>
      <c r="O277" t="s">
        <v>216</v>
      </c>
      <c r="P277">
        <v>111</v>
      </c>
      <c r="Q277">
        <v>226</v>
      </c>
      <c r="R277">
        <v>11</v>
      </c>
      <c r="S277">
        <v>135</v>
      </c>
      <c r="T277" t="s">
        <v>215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218</v>
      </c>
      <c r="O278" t="s">
        <v>217</v>
      </c>
      <c r="P278">
        <v>320</v>
      </c>
      <c r="Q278">
        <v>465</v>
      </c>
      <c r="R278">
        <v>32</v>
      </c>
      <c r="S278">
        <v>155</v>
      </c>
      <c r="T278" t="s">
        <v>218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215</v>
      </c>
      <c r="O279" t="s">
        <v>216</v>
      </c>
      <c r="P279">
        <v>196</v>
      </c>
      <c r="Q279">
        <v>354</v>
      </c>
      <c r="R279">
        <v>15</v>
      </c>
      <c r="S279">
        <v>475</v>
      </c>
      <c r="T279" t="s">
        <v>215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218</v>
      </c>
      <c r="O280" t="s">
        <v>216</v>
      </c>
      <c r="P280">
        <v>1160</v>
      </c>
      <c r="Q280">
        <v>53</v>
      </c>
      <c r="R280">
        <v>7</v>
      </c>
      <c r="S280">
        <v>1450</v>
      </c>
      <c r="T280" t="s">
        <v>218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218</v>
      </c>
      <c r="O281" t="s">
        <v>217</v>
      </c>
      <c r="P281">
        <v>229</v>
      </c>
      <c r="Q281">
        <v>406</v>
      </c>
      <c r="R281">
        <v>22</v>
      </c>
      <c r="S281">
        <v>150</v>
      </c>
      <c r="T281" t="s">
        <v>218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215</v>
      </c>
      <c r="O282" t="s">
        <v>216</v>
      </c>
      <c r="P282">
        <v>289</v>
      </c>
      <c r="Q282">
        <v>407</v>
      </c>
      <c r="R282">
        <v>6</v>
      </c>
      <c r="S282">
        <v>105</v>
      </c>
      <c r="T282" t="s">
        <v>215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215</v>
      </c>
      <c r="O283" t="s">
        <v>216</v>
      </c>
      <c r="P283">
        <v>209</v>
      </c>
      <c r="Q283">
        <v>372</v>
      </c>
      <c r="R283">
        <v>17</v>
      </c>
      <c r="S283">
        <v>350</v>
      </c>
      <c r="T283" t="s">
        <v>215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218</v>
      </c>
      <c r="O284" t="s">
        <v>216</v>
      </c>
      <c r="P284">
        <v>367</v>
      </c>
      <c r="Q284">
        <v>432</v>
      </c>
      <c r="R284">
        <v>16</v>
      </c>
      <c r="S284">
        <v>90</v>
      </c>
      <c r="T284" t="s">
        <v>218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215</v>
      </c>
      <c r="O285" t="s">
        <v>217</v>
      </c>
      <c r="P285">
        <v>247</v>
      </c>
      <c r="Q285">
        <v>4</v>
      </c>
      <c r="R285">
        <v>8</v>
      </c>
      <c r="S285" t="s">
        <v>219</v>
      </c>
      <c r="T285" t="s">
        <v>215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215</v>
      </c>
      <c r="O286" t="s">
        <v>217</v>
      </c>
      <c r="P286">
        <v>351</v>
      </c>
      <c r="Q286">
        <v>442</v>
      </c>
      <c r="R286">
        <v>17</v>
      </c>
      <c r="S286">
        <v>530</v>
      </c>
      <c r="T286" t="s">
        <v>215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215</v>
      </c>
      <c r="O287" t="s">
        <v>217</v>
      </c>
      <c r="P287">
        <v>106</v>
      </c>
      <c r="Q287">
        <v>144</v>
      </c>
      <c r="R287">
        <v>7</v>
      </c>
      <c r="S287">
        <v>341.66699999999997</v>
      </c>
      <c r="T287" t="s">
        <v>215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215</v>
      </c>
      <c r="O288" t="s">
        <v>216</v>
      </c>
      <c r="P288">
        <v>315</v>
      </c>
      <c r="Q288">
        <v>10</v>
      </c>
      <c r="R288">
        <v>6</v>
      </c>
      <c r="S288">
        <v>940</v>
      </c>
      <c r="T288" t="s">
        <v>215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215</v>
      </c>
      <c r="O289" t="s">
        <v>217</v>
      </c>
      <c r="P289">
        <v>294</v>
      </c>
      <c r="Q289">
        <v>445</v>
      </c>
      <c r="R289">
        <v>13</v>
      </c>
      <c r="S289">
        <v>350</v>
      </c>
      <c r="T289" t="s">
        <v>215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218</v>
      </c>
      <c r="O290" t="s">
        <v>216</v>
      </c>
      <c r="P290">
        <v>209</v>
      </c>
      <c r="Q290">
        <v>246</v>
      </c>
      <c r="R290">
        <v>3</v>
      </c>
      <c r="S290">
        <v>326.66699999999997</v>
      </c>
      <c r="T290" t="s">
        <v>218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218</v>
      </c>
      <c r="O291" t="s">
        <v>217</v>
      </c>
      <c r="P291">
        <v>81</v>
      </c>
      <c r="Q291">
        <v>147</v>
      </c>
      <c r="R291">
        <v>4</v>
      </c>
      <c r="S291">
        <v>250</v>
      </c>
      <c r="T291" t="s">
        <v>218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218</v>
      </c>
      <c r="O292" t="s">
        <v>216</v>
      </c>
      <c r="P292">
        <v>337</v>
      </c>
      <c r="Q292">
        <v>19</v>
      </c>
      <c r="R292">
        <v>4</v>
      </c>
      <c r="S292">
        <v>740</v>
      </c>
      <c r="T292" t="s">
        <v>218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218</v>
      </c>
      <c r="O293" t="s">
        <v>216</v>
      </c>
      <c r="P293">
        <v>92</v>
      </c>
      <c r="Q293">
        <v>5</v>
      </c>
      <c r="R293">
        <v>3</v>
      </c>
      <c r="S293">
        <v>425</v>
      </c>
      <c r="T293" t="s">
        <v>215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215</v>
      </c>
      <c r="O294" t="s">
        <v>216</v>
      </c>
      <c r="P294">
        <v>166</v>
      </c>
      <c r="Q294">
        <v>211</v>
      </c>
      <c r="R294">
        <v>7</v>
      </c>
      <c r="S294" t="s">
        <v>219</v>
      </c>
      <c r="T294" t="s">
        <v>215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218</v>
      </c>
      <c r="O295" t="s">
        <v>217</v>
      </c>
      <c r="P295">
        <v>352</v>
      </c>
      <c r="Q295">
        <v>414</v>
      </c>
      <c r="R295">
        <v>9</v>
      </c>
      <c r="S295">
        <v>925</v>
      </c>
      <c r="T295" t="s">
        <v>218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215</v>
      </c>
      <c r="O296" t="s">
        <v>216</v>
      </c>
      <c r="P296">
        <v>70</v>
      </c>
      <c r="Q296">
        <v>144</v>
      </c>
      <c r="R296">
        <v>11</v>
      </c>
      <c r="S296">
        <v>185</v>
      </c>
      <c r="T296" t="s">
        <v>215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218</v>
      </c>
      <c r="O297" t="s">
        <v>216</v>
      </c>
      <c r="P297">
        <v>692</v>
      </c>
      <c r="Q297">
        <v>70</v>
      </c>
      <c r="R297">
        <v>8</v>
      </c>
      <c r="S297">
        <v>920</v>
      </c>
      <c r="T297" t="s">
        <v>215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218</v>
      </c>
      <c r="O298" t="s">
        <v>217</v>
      </c>
      <c r="P298">
        <v>131</v>
      </c>
      <c r="Q298">
        <v>6</v>
      </c>
      <c r="R298">
        <v>1</v>
      </c>
      <c r="S298">
        <v>286.66699999999997</v>
      </c>
      <c r="T298" t="s">
        <v>218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215</v>
      </c>
      <c r="O299" t="s">
        <v>216</v>
      </c>
      <c r="P299">
        <v>299</v>
      </c>
      <c r="Q299">
        <v>13</v>
      </c>
      <c r="R299">
        <v>5</v>
      </c>
      <c r="S299">
        <v>245</v>
      </c>
      <c r="T299" t="s">
        <v>215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215</v>
      </c>
      <c r="O300" t="s">
        <v>217</v>
      </c>
      <c r="P300">
        <v>37</v>
      </c>
      <c r="Q300">
        <v>98</v>
      </c>
      <c r="R300">
        <v>9</v>
      </c>
      <c r="S300" t="s">
        <v>219</v>
      </c>
      <c r="T300" t="s">
        <v>215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215</v>
      </c>
      <c r="O301" t="s">
        <v>216</v>
      </c>
      <c r="P301">
        <v>178</v>
      </c>
      <c r="Q301">
        <v>45</v>
      </c>
      <c r="R301">
        <v>4</v>
      </c>
      <c r="S301">
        <v>235</v>
      </c>
      <c r="T301" t="s">
        <v>215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218</v>
      </c>
      <c r="O302" t="s">
        <v>217</v>
      </c>
      <c r="P302">
        <v>810</v>
      </c>
      <c r="Q302">
        <v>99</v>
      </c>
      <c r="R302">
        <v>18</v>
      </c>
      <c r="S302">
        <v>1150</v>
      </c>
      <c r="T302" t="s">
        <v>218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218</v>
      </c>
      <c r="O303" t="s">
        <v>217</v>
      </c>
      <c r="P303">
        <v>133</v>
      </c>
      <c r="Q303">
        <v>371</v>
      </c>
      <c r="R303">
        <v>20</v>
      </c>
      <c r="S303">
        <v>160</v>
      </c>
      <c r="T303" t="s">
        <v>218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218</v>
      </c>
      <c r="O304" t="s">
        <v>216</v>
      </c>
      <c r="P304">
        <v>398</v>
      </c>
      <c r="Q304">
        <v>29</v>
      </c>
      <c r="R304">
        <v>7</v>
      </c>
      <c r="S304" t="s">
        <v>219</v>
      </c>
      <c r="T304" t="s">
        <v>218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215</v>
      </c>
      <c r="O305" t="s">
        <v>216</v>
      </c>
      <c r="P305">
        <v>160</v>
      </c>
      <c r="Q305">
        <v>290</v>
      </c>
      <c r="R305">
        <v>11</v>
      </c>
      <c r="S305">
        <v>425</v>
      </c>
      <c r="T305" t="s">
        <v>215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218</v>
      </c>
      <c r="O306" t="s">
        <v>216</v>
      </c>
      <c r="P306">
        <v>65</v>
      </c>
      <c r="Q306">
        <v>0</v>
      </c>
      <c r="R306">
        <v>0</v>
      </c>
      <c r="S306">
        <v>900</v>
      </c>
      <c r="T306" t="s">
        <v>218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218</v>
      </c>
      <c r="O307" t="s">
        <v>217</v>
      </c>
      <c r="P307">
        <v>270</v>
      </c>
      <c r="Q307">
        <v>13</v>
      </c>
      <c r="R307">
        <v>6</v>
      </c>
      <c r="S307" t="s">
        <v>219</v>
      </c>
      <c r="T307" t="s">
        <v>218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218</v>
      </c>
      <c r="O308" t="s">
        <v>216</v>
      </c>
      <c r="P308">
        <v>167</v>
      </c>
      <c r="Q308">
        <v>18</v>
      </c>
      <c r="R308">
        <v>6</v>
      </c>
      <c r="S308">
        <v>500</v>
      </c>
      <c r="T308" t="s">
        <v>218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218</v>
      </c>
      <c r="O309" t="s">
        <v>217</v>
      </c>
      <c r="P309">
        <v>133</v>
      </c>
      <c r="Q309">
        <v>173</v>
      </c>
      <c r="R309">
        <v>9</v>
      </c>
      <c r="S309">
        <v>277.5</v>
      </c>
      <c r="T309" t="s">
        <v>218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218</v>
      </c>
      <c r="O310" t="s">
        <v>217</v>
      </c>
      <c r="P310">
        <v>94</v>
      </c>
      <c r="Q310">
        <v>270</v>
      </c>
      <c r="R310">
        <v>16</v>
      </c>
      <c r="S310">
        <v>750</v>
      </c>
      <c r="T310" t="s">
        <v>218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218</v>
      </c>
      <c r="O311" t="s">
        <v>217</v>
      </c>
      <c r="P311">
        <v>300</v>
      </c>
      <c r="Q311">
        <v>12</v>
      </c>
      <c r="R311">
        <v>9</v>
      </c>
      <c r="S311">
        <v>160</v>
      </c>
      <c r="T311" t="s">
        <v>218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218</v>
      </c>
      <c r="O312" t="s">
        <v>217</v>
      </c>
      <c r="P312">
        <v>1182</v>
      </c>
      <c r="Q312">
        <v>96</v>
      </c>
      <c r="R312">
        <v>13</v>
      </c>
      <c r="S312">
        <v>1300</v>
      </c>
      <c r="T312" t="s">
        <v>218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218</v>
      </c>
      <c r="O313" t="s">
        <v>217</v>
      </c>
      <c r="P313">
        <v>170</v>
      </c>
      <c r="Q313">
        <v>284</v>
      </c>
      <c r="R313">
        <v>3</v>
      </c>
      <c r="S313">
        <v>525</v>
      </c>
      <c r="T313" t="s">
        <v>218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218</v>
      </c>
      <c r="O314" t="s">
        <v>217</v>
      </c>
      <c r="P314">
        <v>186</v>
      </c>
      <c r="Q314">
        <v>290</v>
      </c>
      <c r="R314">
        <v>17</v>
      </c>
      <c r="S314">
        <v>550</v>
      </c>
      <c r="T314" t="s">
        <v>218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215</v>
      </c>
      <c r="O315" t="s">
        <v>217</v>
      </c>
      <c r="P315">
        <v>121</v>
      </c>
      <c r="Q315">
        <v>267</v>
      </c>
      <c r="R315">
        <v>19</v>
      </c>
      <c r="S315">
        <v>1600</v>
      </c>
      <c r="T315" t="s">
        <v>215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218</v>
      </c>
      <c r="O316" t="s">
        <v>216</v>
      </c>
      <c r="P316">
        <v>942</v>
      </c>
      <c r="Q316">
        <v>72</v>
      </c>
      <c r="R316">
        <v>11</v>
      </c>
      <c r="S316">
        <v>120</v>
      </c>
      <c r="T316" t="s">
        <v>218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215</v>
      </c>
      <c r="O317" t="s">
        <v>216</v>
      </c>
      <c r="P317">
        <v>1222</v>
      </c>
      <c r="Q317">
        <v>139</v>
      </c>
      <c r="R317">
        <v>15</v>
      </c>
      <c r="S317">
        <v>165</v>
      </c>
      <c r="T317" t="s">
        <v>215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218</v>
      </c>
      <c r="O318" t="s">
        <v>217</v>
      </c>
      <c r="P318">
        <v>325</v>
      </c>
      <c r="Q318">
        <v>58</v>
      </c>
      <c r="R318">
        <v>6</v>
      </c>
      <c r="S318" t="s">
        <v>219</v>
      </c>
      <c r="T318" t="s">
        <v>218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218</v>
      </c>
      <c r="O319" t="s">
        <v>217</v>
      </c>
      <c r="P319">
        <v>325</v>
      </c>
      <c r="Q319">
        <v>9</v>
      </c>
      <c r="R319">
        <v>3</v>
      </c>
      <c r="S319">
        <v>700</v>
      </c>
      <c r="T319" t="s">
        <v>218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215</v>
      </c>
      <c r="O320" t="s">
        <v>217</v>
      </c>
      <c r="P320">
        <v>313</v>
      </c>
      <c r="Q320">
        <v>381</v>
      </c>
      <c r="R320">
        <v>20</v>
      </c>
      <c r="S320">
        <v>875</v>
      </c>
      <c r="T320" t="s">
        <v>215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215</v>
      </c>
      <c r="O321" t="s">
        <v>216</v>
      </c>
      <c r="P321">
        <v>37</v>
      </c>
      <c r="Q321">
        <v>113</v>
      </c>
      <c r="R321">
        <v>7</v>
      </c>
      <c r="S321">
        <v>385</v>
      </c>
      <c r="T321" t="s">
        <v>215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215</v>
      </c>
      <c r="O322" t="s">
        <v>217</v>
      </c>
      <c r="P322">
        <v>1314</v>
      </c>
      <c r="Q322">
        <v>131</v>
      </c>
      <c r="R322">
        <v>12</v>
      </c>
      <c r="S322">
        <v>960</v>
      </c>
      <c r="T322" t="s">
        <v>215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215</v>
      </c>
      <c r="O323" t="s">
        <v>216</v>
      </c>
      <c r="P323">
        <v>408</v>
      </c>
      <c r="Q323">
        <v>4</v>
      </c>
      <c r="R323">
        <v>3</v>
      </c>
      <c r="S323">
        <v>1000</v>
      </c>
      <c r="T323" t="s">
        <v>215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Today</vt:lpstr>
      <vt:lpstr>Themes</vt:lpstr>
      <vt:lpstr>Regression</vt:lpstr>
      <vt:lpstr>Assumptions</vt:lpstr>
      <vt:lpstr>Diagnostics</vt:lpstr>
      <vt:lpstr>KNN</vt:lpstr>
      <vt:lpstr>OutOfSampleTesting</vt:lpstr>
      <vt:lpstr>AIC</vt:lpstr>
      <vt:lpstr>PreWork4NextClass</vt:lpstr>
      <vt:lpstr>InClassProjects</vt:lpstr>
      <vt:lpstr>Q_Regression</vt:lpstr>
      <vt:lpstr>Q_KNN</vt:lpstr>
      <vt:lpstr>Q_Diagnostics</vt:lpstr>
      <vt:lpstr>Q_AIC</vt:lpstr>
      <vt:lpstr>LendingClubData</vt:lpstr>
      <vt:lpstr>Hitters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2022-05-30T11:16:08Z</dcterms:modified>
</cp:coreProperties>
</file>