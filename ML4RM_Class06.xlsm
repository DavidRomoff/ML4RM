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9BC30045-24DC-A542-B60F-F4CFE4273769}" xr6:coauthVersionLast="47" xr6:coauthVersionMax="47" xr10:uidLastSave="{00000000-0000-0000-0000-000000000000}"/>
  <bookViews>
    <workbookView xWindow="0" yWindow="0" windowWidth="28800" windowHeight="16380" activeTab="54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ClusterAnalysis" sheetId="119" r:id="rId14"/>
    <sheet name="Cluster" sheetId="122" state="veryHidden" r:id="rId15"/>
    <sheet name="Excel_Demo" sheetId="123" state="veryHidden" r:id="rId16"/>
    <sheet name="R_Demo" sheetId="124" state="veryHidden" r:id="rId17"/>
    <sheet name="PAM" sheetId="179" state="veryHidden" r:id="rId18"/>
    <sheet name="Silhouette" sheetId="160" state="veryHidden" r:id="rId19"/>
    <sheet name="PieceWiseModels" sheetId="157" r:id="rId20"/>
    <sheet name="Data" sheetId="140" state="veryHidden" r:id="rId21"/>
    <sheet name="Fit_O3" sheetId="141" state="veryHidden" r:id="rId22"/>
    <sheet name="Fit_3Piece_O0" sheetId="142" state="veryHidden" r:id="rId23"/>
    <sheet name="Fit_3Piece_O1" sheetId="143" state="veryHidden" r:id="rId24"/>
    <sheet name="Fit_3Piece_O1_v2" sheetId="144" state="veryHidden" r:id="rId25"/>
    <sheet name="Fit_6Piece_O1" sheetId="145" state="veryHidden" r:id="rId26"/>
    <sheet name="Fit_2Piece_O2" sheetId="146" state="veryHidden" r:id="rId27"/>
    <sheet name="Splines" sheetId="156" r:id="rId28"/>
    <sheet name="NoSpline1" sheetId="147" state="veryHidden" r:id="rId29"/>
    <sheet name="NoSpline2" sheetId="148" state="veryHidden" r:id="rId30"/>
    <sheet name="NoSpline3" sheetId="149" state="veryHidden" r:id="rId31"/>
    <sheet name="CubicSpline1" sheetId="150" state="veryHidden" r:id="rId32"/>
    <sheet name="CubicSpline2" sheetId="151" state="veryHidden" r:id="rId33"/>
    <sheet name="CubicSpline3" sheetId="152" state="veryHidden" r:id="rId34"/>
    <sheet name="CubicSpline_YC" sheetId="153" state="veryHidden" r:id="rId35"/>
    <sheet name="CubicSpline_YC_Optim" sheetId="154" state="veryHidden" r:id="rId36"/>
    <sheet name="CubicSpline_YC_Optim_Penalized" sheetId="155" state="veryHidden" r:id="rId37"/>
    <sheet name="Shapley" sheetId="161" r:id="rId38"/>
    <sheet name="Additive_2Player" sheetId="162" state="veryHidden" r:id="rId39"/>
    <sheet name="Additive_2P_Cases" sheetId="163" state="veryHidden" r:id="rId40"/>
    <sheet name="Additive_2P_Expectation" sheetId="164" state="veryHidden" r:id="rId41"/>
    <sheet name="Website" sheetId="165" state="veryHidden" r:id="rId42"/>
    <sheet name="Additive_3Player" sheetId="166" state="veryHidden" r:id="rId43"/>
    <sheet name="Marginals" sheetId="167" state="veryHidden" r:id="rId44"/>
    <sheet name="Modeling" sheetId="168" state="veryHidden" r:id="rId45"/>
    <sheet name="NaiveBayes" sheetId="178" r:id="rId46"/>
    <sheet name="train" sheetId="173" state="veryHidden" r:id="rId47"/>
    <sheet name="test" sheetId="174" state="veryHidden" r:id="rId48"/>
    <sheet name="fit_forecast" sheetId="175" state="veryHidden" r:id="rId49"/>
    <sheet name="RCode" sheetId="177" state="veryHidden" r:id="rId50"/>
    <sheet name="Optimization" sheetId="181" r:id="rId51"/>
    <sheet name="NewtonsMethod" sheetId="182" state="veryHidden" r:id="rId52"/>
    <sheet name="NewtonsMethod4Optimization" sheetId="183" state="veryHidden" r:id="rId53"/>
    <sheet name="PreWork4NextClass" sheetId="27" r:id="rId54"/>
    <sheet name="InClassProjects" sheetId="26" r:id="rId55"/>
    <sheet name="Q_Diagnostics" sheetId="31" r:id="rId56"/>
    <sheet name="Q_LogisticRegression" sheetId="137" r:id="rId57"/>
    <sheet name="Q_ClusterAnalysis" sheetId="169" r:id="rId58"/>
    <sheet name="Q_Splines" sheetId="136" r:id="rId59"/>
    <sheet name="Q_Shapley" sheetId="171" r:id="rId60"/>
    <sheet name="Q_NaiveBayes" sheetId="172" r:id="rId61"/>
  </sheets>
  <externalReferences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</externalReferences>
  <definedNames>
    <definedName name="_c1" localSheetId="34">CubicSpline_YC!$T$30</definedName>
    <definedName name="_c1" localSheetId="35">CubicSpline_YC_Optim!$T$30</definedName>
    <definedName name="_c1" localSheetId="36">CubicSpline_YC_Optim_Penalized!$T$30</definedName>
    <definedName name="_c1">CubicSpline3!$T$27</definedName>
    <definedName name="_c2" localSheetId="34">CubicSpline_YC!$T$34</definedName>
    <definedName name="_c2" localSheetId="35">CubicSpline_YC_Optim!$T$34</definedName>
    <definedName name="_c2" localSheetId="36">CubicSpline_YC_Optim_Penalized!$T$34</definedName>
    <definedName name="_c2">CubicSpline3!$T$31</definedName>
    <definedName name="_c3" localSheetId="34">CubicSpline_YC!$T$38</definedName>
    <definedName name="_c3" localSheetId="35">CubicSpline_YC_Optim!$T$38</definedName>
    <definedName name="_c3" localSheetId="36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4">CubicSpline_YC!#REF!</definedName>
    <definedName name="a_0" localSheetId="35">CubicSpline_YC_Optim!#REF!</definedName>
    <definedName name="a_0" localSheetId="36">CubicSpline_YC_Optim_Penalized!#REF!</definedName>
    <definedName name="a_0">#REF!</definedName>
    <definedName name="a_1" localSheetId="34">CubicSpline_YC!$AN$28</definedName>
    <definedName name="a_1" localSheetId="35">CubicSpline_YC_Optim!$AN$28</definedName>
    <definedName name="a_1" localSheetId="36">CubicSpline_YC_Optim_Penalized!$AN$28</definedName>
    <definedName name="a_1">#REF!</definedName>
    <definedName name="a_10" localSheetId="34">CubicSpline_YC!$AN$52</definedName>
    <definedName name="a_10" localSheetId="35">CubicSpline_YC_Optim!$AN$52</definedName>
    <definedName name="a_10" localSheetId="36">CubicSpline_YC_Optim_Penalized!$AN$52</definedName>
    <definedName name="a_10">#REF!</definedName>
    <definedName name="a_2" localSheetId="34">CubicSpline_YC!$AN$32</definedName>
    <definedName name="a_2" localSheetId="35">CubicSpline_YC_Optim!$AN$32</definedName>
    <definedName name="a_2" localSheetId="36">CubicSpline_YC_Optim_Penalized!$AN$32</definedName>
    <definedName name="a_2">#REF!</definedName>
    <definedName name="a_3" localSheetId="34">CubicSpline_YC!$AN$36</definedName>
    <definedName name="a_3" localSheetId="35">CubicSpline_YC_Optim!$AN$36</definedName>
    <definedName name="a_3" localSheetId="36">CubicSpline_YC_Optim_Penalized!$AN$36</definedName>
    <definedName name="a_3">#REF!</definedName>
    <definedName name="a_30" localSheetId="34">CubicSpline_YC!$AN$56</definedName>
    <definedName name="a_30" localSheetId="35">CubicSpline_YC_Optim!$AN$56</definedName>
    <definedName name="a_30" localSheetId="36">CubicSpline_YC_Optim_Penalized!$AN$56</definedName>
    <definedName name="a_30">#REF!</definedName>
    <definedName name="a_4" localSheetId="34">CubicSpline_YC!$AN$40</definedName>
    <definedName name="a_4" localSheetId="35">CubicSpline_YC_Optim!$AN$40</definedName>
    <definedName name="a_4" localSheetId="36">CubicSpline_YC_Optim_Penalized!$AN$40</definedName>
    <definedName name="a_4">#REF!</definedName>
    <definedName name="a_5" localSheetId="34">CubicSpline_YC!$AN$44</definedName>
    <definedName name="a_5" localSheetId="35">CubicSpline_YC_Optim!$AN$44</definedName>
    <definedName name="a_5" localSheetId="36">CubicSpline_YC_Optim_Penalized!$AN$44</definedName>
    <definedName name="a_5">#REF!</definedName>
    <definedName name="a_7" localSheetId="34">CubicSpline_YC!$AN$48</definedName>
    <definedName name="a_7" localSheetId="35">CubicSpline_YC_Optim!$AN$48</definedName>
    <definedName name="a_7" localSheetId="36">CubicSpline_YC_Optim_Penalized!$AN$48</definedName>
    <definedName name="a_7">#REF!</definedName>
    <definedName name="A_x">[3]ProductRule!$C$14</definedName>
    <definedName name="A_x_h">[3]ProductRule!$C$16</definedName>
    <definedName name="a1_" localSheetId="34">CubicSpline_YC!$T$28</definedName>
    <definedName name="a1_" localSheetId="35">CubicSpline_YC_Optim!$T$28</definedName>
    <definedName name="a1_" localSheetId="36">CubicSpline_YC_Optim_Penalized!$T$28</definedName>
    <definedName name="a1_">CubicSpline3!$T$25</definedName>
    <definedName name="a2_" localSheetId="34">CubicSpline_YC!$T$32</definedName>
    <definedName name="a2_" localSheetId="35">CubicSpline_YC_Optim!$T$32</definedName>
    <definedName name="a2_" localSheetId="36">CubicSpline_YC_Optim_Penalized!$T$32</definedName>
    <definedName name="a2_">CubicSpline3!$T$29</definedName>
    <definedName name="a3_" localSheetId="34">CubicSpline_YC!$T$36</definedName>
    <definedName name="a3_" localSheetId="35">CubicSpline_YC_Optim!$T$36</definedName>
    <definedName name="a3_" localSheetId="36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4">CubicSpline_YC!#REF!</definedName>
    <definedName name="b_0" localSheetId="35">CubicSpline_YC_Optim!#REF!</definedName>
    <definedName name="b_0" localSheetId="36">CubicSpline_YC_Optim_Penalized!#REF!</definedName>
    <definedName name="b_0">#REF!</definedName>
    <definedName name="b_1" localSheetId="34">CubicSpline_YC!$AN$29</definedName>
    <definedName name="b_1" localSheetId="35">CubicSpline_YC_Optim!$AN$29</definedName>
    <definedName name="b_1" localSheetId="36">CubicSpline_YC_Optim_Penalized!$AN$29</definedName>
    <definedName name="b_1">#REF!</definedName>
    <definedName name="b_10" localSheetId="34">CubicSpline_YC!$AN$53</definedName>
    <definedName name="b_10" localSheetId="35">CubicSpline_YC_Optim!$AN$53</definedName>
    <definedName name="b_10" localSheetId="36">CubicSpline_YC_Optim_Penalized!$AN$53</definedName>
    <definedName name="b_10">#REF!</definedName>
    <definedName name="b_2" localSheetId="34">CubicSpline_YC!$AN$33</definedName>
    <definedName name="b_2" localSheetId="35">CubicSpline_YC_Optim!$AN$33</definedName>
    <definedName name="b_2" localSheetId="36">CubicSpline_YC_Optim_Penalized!$AN$33</definedName>
    <definedName name="b_2">#REF!</definedName>
    <definedName name="b_3" localSheetId="34">CubicSpline_YC!$AN$37</definedName>
    <definedName name="b_3" localSheetId="35">CubicSpline_YC_Optim!$AN$37</definedName>
    <definedName name="b_3" localSheetId="36">CubicSpline_YC_Optim_Penalized!$AN$37</definedName>
    <definedName name="b_3">#REF!</definedName>
    <definedName name="b_30" localSheetId="34">CubicSpline_YC!$AN$57</definedName>
    <definedName name="b_30" localSheetId="35">CubicSpline_YC_Optim!$AN$57</definedName>
    <definedName name="b_30" localSheetId="36">CubicSpline_YC_Optim_Penalized!$AN$57</definedName>
    <definedName name="b_30">#REF!</definedName>
    <definedName name="b_4" localSheetId="34">CubicSpline_YC!$AN$41</definedName>
    <definedName name="b_4" localSheetId="35">CubicSpline_YC_Optim!$AN$41</definedName>
    <definedName name="b_4" localSheetId="36">CubicSpline_YC_Optim_Penalized!$AN$41</definedName>
    <definedName name="b_4">#REF!</definedName>
    <definedName name="b_5" localSheetId="34">CubicSpline_YC!$AN$45</definedName>
    <definedName name="b_5" localSheetId="35">CubicSpline_YC_Optim!$AN$45</definedName>
    <definedName name="b_5" localSheetId="36">CubicSpline_YC_Optim_Penalized!$AN$45</definedName>
    <definedName name="b_5">#REF!</definedName>
    <definedName name="b_7" localSheetId="34">CubicSpline_YC!$AN$49</definedName>
    <definedName name="b_7" localSheetId="35">CubicSpline_YC_Optim!$AN$49</definedName>
    <definedName name="b_7" localSheetId="36">CubicSpline_YC_Optim_Penalized!$AN$49</definedName>
    <definedName name="b_7">#REF!</definedName>
    <definedName name="b0">#REF!</definedName>
    <definedName name="b1_" localSheetId="34">CubicSpline_YC!$T$29</definedName>
    <definedName name="b1_" localSheetId="35">CubicSpline_YC_Optim!$T$29</definedName>
    <definedName name="b1_" localSheetId="36">CubicSpline_YC_Optim_Penalized!$T$29</definedName>
    <definedName name="b1_">CubicSpline3!$T$26</definedName>
    <definedName name="b2_" localSheetId="34">CubicSpline_YC!$T$33</definedName>
    <definedName name="b2_" localSheetId="35">CubicSpline_YC_Optim!$T$33</definedName>
    <definedName name="b2_" localSheetId="36">CubicSpline_YC_Optim_Penalized!$T$33</definedName>
    <definedName name="b2_">CubicSpline3!$T$30</definedName>
    <definedName name="b3_" localSheetId="34">CubicSpline_YC!$T$37</definedName>
    <definedName name="b3_" localSheetId="35">CubicSpline_YC_Optim!$T$37</definedName>
    <definedName name="b3_" localSheetId="36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4">CubicSpline_YC!$AN$60</definedName>
    <definedName name="c_0" localSheetId="35">CubicSpline_YC_Optim!$AN$60</definedName>
    <definedName name="c_0" localSheetId="36">CubicSpline_YC_Optim_Penalized!$AN$60</definedName>
    <definedName name="c_0">#REF!</definedName>
    <definedName name="c_1" localSheetId="34">CubicSpline_YC!$AN$30</definedName>
    <definedName name="c_1" localSheetId="35">CubicSpline_YC_Optim!$AN$30</definedName>
    <definedName name="c_1" localSheetId="36">CubicSpline_YC_Optim_Penalized!$AN$30</definedName>
    <definedName name="c_1">#REF!</definedName>
    <definedName name="c_10" localSheetId="34">CubicSpline_YC!$AN$54</definedName>
    <definedName name="c_10" localSheetId="35">CubicSpline_YC_Optim!$AN$54</definedName>
    <definedName name="c_10" localSheetId="36">CubicSpline_YC_Optim_Penalized!$AN$54</definedName>
    <definedName name="c_10">#REF!</definedName>
    <definedName name="c_2" localSheetId="34">CubicSpline_YC!$AN$34</definedName>
    <definedName name="c_2" localSheetId="35">CubicSpline_YC_Optim!$AN$34</definedName>
    <definedName name="c_2" localSheetId="36">CubicSpline_YC_Optim_Penalized!$AN$34</definedName>
    <definedName name="c_2">#REF!</definedName>
    <definedName name="c_3" localSheetId="34">CubicSpline_YC!$AN$38</definedName>
    <definedName name="c_3" localSheetId="35">CubicSpline_YC_Optim!$AN$38</definedName>
    <definedName name="c_3" localSheetId="36">CubicSpline_YC_Optim_Penalized!$AN$38</definedName>
    <definedName name="c_3">#REF!</definedName>
    <definedName name="c_30" localSheetId="34">CubicSpline_YC!$AN$58</definedName>
    <definedName name="c_30" localSheetId="35">CubicSpline_YC_Optim!$AN$58</definedName>
    <definedName name="c_30" localSheetId="36">CubicSpline_YC_Optim_Penalized!$AN$58</definedName>
    <definedName name="c_30">#REF!</definedName>
    <definedName name="c_4" localSheetId="34">CubicSpline_YC!$AN$42</definedName>
    <definedName name="c_4" localSheetId="35">CubicSpline_YC_Optim!$AN$42</definedName>
    <definedName name="c_4" localSheetId="36">CubicSpline_YC_Optim_Penalized!$AN$42</definedName>
    <definedName name="c_4">#REF!</definedName>
    <definedName name="c_5" localSheetId="34">CubicSpline_YC!$AN$46</definedName>
    <definedName name="c_5" localSheetId="35">CubicSpline_YC_Optim!$AN$46</definedName>
    <definedName name="c_5" localSheetId="36">CubicSpline_YC_Optim_Penalized!$AN$46</definedName>
    <definedName name="c_5">#REF!</definedName>
    <definedName name="c_7" localSheetId="34">CubicSpline_YC!$AN$50</definedName>
    <definedName name="c_7" localSheetId="35">CubicSpline_YC_Optim!$AN$50</definedName>
    <definedName name="c_7" localSheetId="36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4">CubicSpline_YC!$AN$61</definedName>
    <definedName name="d_0" localSheetId="35">CubicSpline_YC_Optim!$AN$61</definedName>
    <definedName name="d_0" localSheetId="36">CubicSpline_YC_Optim_Penalized!$AN$61</definedName>
    <definedName name="d_0">#REF!</definedName>
    <definedName name="d_1" localSheetId="34">CubicSpline_YC!$AN$31</definedName>
    <definedName name="d_1" localSheetId="35">CubicSpline_YC_Optim!$AN$31</definedName>
    <definedName name="d_1" localSheetId="36">CubicSpline_YC_Optim_Penalized!$AN$31</definedName>
    <definedName name="d_1">#REF!</definedName>
    <definedName name="d_10" localSheetId="34">CubicSpline_YC!$AN$55</definedName>
    <definedName name="d_10" localSheetId="35">CubicSpline_YC_Optim!$AN$55</definedName>
    <definedName name="d_10" localSheetId="36">CubicSpline_YC_Optim_Penalized!$AN$55</definedName>
    <definedName name="d_10">#REF!</definedName>
    <definedName name="d_2" localSheetId="34">CubicSpline_YC!$AN$35</definedName>
    <definedName name="d_2" localSheetId="35">CubicSpline_YC_Optim!$AN$35</definedName>
    <definedName name="d_2" localSheetId="36">CubicSpline_YC_Optim_Penalized!$AN$35</definedName>
    <definedName name="d_2">#REF!</definedName>
    <definedName name="d_3" localSheetId="34">CubicSpline_YC!$AN$39</definedName>
    <definedName name="d_3" localSheetId="35">CubicSpline_YC_Optim!$AN$39</definedName>
    <definedName name="d_3" localSheetId="36">CubicSpline_YC_Optim_Penalized!$AN$39</definedName>
    <definedName name="d_3">#REF!</definedName>
    <definedName name="d_30" localSheetId="34">CubicSpline_YC!$AN$59</definedName>
    <definedName name="d_30" localSheetId="35">CubicSpline_YC_Optim!$AN$59</definedName>
    <definedName name="d_30" localSheetId="36">CubicSpline_YC_Optim_Penalized!$AN$59</definedName>
    <definedName name="d_30">#REF!</definedName>
    <definedName name="d_4" localSheetId="34">CubicSpline_YC!$AN$43</definedName>
    <definedName name="d_4" localSheetId="35">CubicSpline_YC_Optim!$AN$43</definedName>
    <definedName name="d_4" localSheetId="36">CubicSpline_YC_Optim_Penalized!$AN$43</definedName>
    <definedName name="d_4">#REF!</definedName>
    <definedName name="d_5" localSheetId="34">CubicSpline_YC!$AN$47</definedName>
    <definedName name="d_5" localSheetId="35">CubicSpline_YC_Optim!$AN$47</definedName>
    <definedName name="d_5" localSheetId="36">CubicSpline_YC_Optim_Penalized!$AN$47</definedName>
    <definedName name="d_5">#REF!</definedName>
    <definedName name="d_7" localSheetId="34">CubicSpline_YC!$AN$51</definedName>
    <definedName name="d_7" localSheetId="35">CubicSpline_YC_Optim!$AN$51</definedName>
    <definedName name="d_7" localSheetId="36">CubicSpline_YC_Optim_Penalized!$AN$51</definedName>
    <definedName name="d_7">#REF!</definedName>
    <definedName name="d1_" localSheetId="34">CubicSpline_YC!$T$31</definedName>
    <definedName name="d1_" localSheetId="35">CubicSpline_YC_Optim!$T$31</definedName>
    <definedName name="d1_" localSheetId="36">CubicSpline_YC_Optim_Penalized!$T$31</definedName>
    <definedName name="d1_">CubicSpline3!$T$28</definedName>
    <definedName name="d2_" localSheetId="34">CubicSpline_YC!$T$35</definedName>
    <definedName name="d2_" localSheetId="35">CubicSpline_YC_Optim!$T$35</definedName>
    <definedName name="d2_" localSheetId="36">CubicSpline_YC_Optim_Penalized!$T$35</definedName>
    <definedName name="d2_">CubicSpline3!$T$32</definedName>
    <definedName name="d3_" localSheetId="34">CubicSpline_YC!$T$39</definedName>
    <definedName name="d3_" localSheetId="35">CubicSpline_YC_Optim!$T$39</definedName>
    <definedName name="d3_" localSheetId="36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4">CubicSpline_YC!$F$65:$AK$96</definedName>
    <definedName name="dmat" localSheetId="35">CubicSpline_YC_Optim!$F$65:$AK$96</definedName>
    <definedName name="dmat" localSheetId="36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4">CubicSpline_YC!$C$100:$C$400</definedName>
    <definedName name="i" localSheetId="35">CubicSpline_YC_Optim!$C$100:$C$400</definedName>
    <definedName name="i" localSheetId="36">CubicSpline_YC_Optim_Penalized!$C$100:$C$400</definedName>
    <definedName name="i">CubicSpline3!$AA$8:$AA$38</definedName>
    <definedName name="i_1" localSheetId="36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4">CubicSpline_YC!$B$28:$B$59</definedName>
    <definedName name="label" localSheetId="35">CubicSpline_YC_Optim!$B$28:$B$59</definedName>
    <definedName name="label" localSheetId="36">CubicSpline_YC_Optim_Penalized!$B$28:$B$59</definedName>
    <definedName name="label" localSheetId="33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5" hidden="1">CubicSpline_YC_Optim!$AN$28:$AN$59</definedName>
    <definedName name="solver_adj" localSheetId="36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5" hidden="1">0.0001</definedName>
    <definedName name="solver_cvg" localSheetId="36" hidden="1">0.0001</definedName>
    <definedName name="solver_cvg" localSheetId="8" hidden="1">0.0001</definedName>
    <definedName name="solver_cvg" localSheetId="9" hidden="1">0.0001</definedName>
    <definedName name="solver_drv" localSheetId="35" hidden="1">1</definedName>
    <definedName name="solver_drv" localSheetId="36" hidden="1">1</definedName>
    <definedName name="solver_drv" localSheetId="8" hidden="1">1</definedName>
    <definedName name="solver_drv" localSheetId="9" hidden="1">1</definedName>
    <definedName name="solver_eng" localSheetId="35" hidden="1">1</definedName>
    <definedName name="solver_eng" localSheetId="36" hidden="1">1</definedName>
    <definedName name="solver_eng" localSheetId="8" hidden="1">1</definedName>
    <definedName name="solver_eng" localSheetId="9" hidden="1">1</definedName>
    <definedName name="solver_itr" localSheetId="35" hidden="1">2147483647</definedName>
    <definedName name="solver_itr" localSheetId="36" hidden="1">2147483647</definedName>
    <definedName name="solver_itr" localSheetId="8" hidden="1">2147483647</definedName>
    <definedName name="solver_itr" localSheetId="9" hidden="1">2147483647</definedName>
    <definedName name="solver_lin" localSheetId="35" hidden="1">2</definedName>
    <definedName name="solver_lin" localSheetId="36" hidden="1">2</definedName>
    <definedName name="solver_lin" localSheetId="8" hidden="1">2</definedName>
    <definedName name="solver_lin" localSheetId="9" hidden="1">2</definedName>
    <definedName name="solver_mip" localSheetId="35" hidden="1">2147483647</definedName>
    <definedName name="solver_mip" localSheetId="36" hidden="1">2147483647</definedName>
    <definedName name="solver_mip" localSheetId="8" hidden="1">2147483647</definedName>
    <definedName name="solver_mip" localSheetId="9" hidden="1">2147483647</definedName>
    <definedName name="solver_mni" localSheetId="35" hidden="1">30</definedName>
    <definedName name="solver_mni" localSheetId="36" hidden="1">30</definedName>
    <definedName name="solver_mni" localSheetId="8" hidden="1">30</definedName>
    <definedName name="solver_mni" localSheetId="9" hidden="1">30</definedName>
    <definedName name="solver_mrt" localSheetId="35" hidden="1">0.075</definedName>
    <definedName name="solver_mrt" localSheetId="36" hidden="1">0.075</definedName>
    <definedName name="solver_mrt" localSheetId="8" hidden="1">0.075</definedName>
    <definedName name="solver_mrt" localSheetId="9" hidden="1">0.075</definedName>
    <definedName name="solver_msl" localSheetId="35" hidden="1">2</definedName>
    <definedName name="solver_msl" localSheetId="36" hidden="1">2</definedName>
    <definedName name="solver_msl" localSheetId="8" hidden="1">2</definedName>
    <definedName name="solver_msl" localSheetId="9" hidden="1">2</definedName>
    <definedName name="solver_neg" localSheetId="35" hidden="1">2</definedName>
    <definedName name="solver_neg" localSheetId="36" hidden="1">2</definedName>
    <definedName name="solver_neg" localSheetId="8" hidden="1">1</definedName>
    <definedName name="solver_neg" localSheetId="9" hidden="1">1</definedName>
    <definedName name="solver_nod" localSheetId="35" hidden="1">2147483647</definedName>
    <definedName name="solver_nod" localSheetId="36" hidden="1">2147483647</definedName>
    <definedName name="solver_nod" localSheetId="8" hidden="1">2147483647</definedName>
    <definedName name="solver_nod" localSheetId="9" hidden="1">2147483647</definedName>
    <definedName name="solver_num" localSheetId="35" hidden="1">0</definedName>
    <definedName name="solver_num" localSheetId="36" hidden="1">0</definedName>
    <definedName name="solver_num" localSheetId="8" hidden="1">0</definedName>
    <definedName name="solver_num" localSheetId="9" hidden="1">0</definedName>
    <definedName name="solver_opt" localSheetId="35" hidden="1">CubicSpline_YC_Optim!$O$101</definedName>
    <definedName name="solver_opt" localSheetId="36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5" hidden="1">0.000001</definedName>
    <definedName name="solver_pre" localSheetId="36" hidden="1">0.000001</definedName>
    <definedName name="solver_pre" localSheetId="8" hidden="1">0.000001</definedName>
    <definedName name="solver_pre" localSheetId="9" hidden="1">0.000001</definedName>
    <definedName name="solver_rbv" localSheetId="35" hidden="1">1</definedName>
    <definedName name="solver_rbv" localSheetId="36" hidden="1">1</definedName>
    <definedName name="solver_rbv" localSheetId="8" hidden="1">1</definedName>
    <definedName name="solver_rbv" localSheetId="9" hidden="1">1</definedName>
    <definedName name="solver_rlx" localSheetId="35" hidden="1">1</definedName>
    <definedName name="solver_rlx" localSheetId="36" hidden="1">1</definedName>
    <definedName name="solver_rlx" localSheetId="8" hidden="1">2</definedName>
    <definedName name="solver_rlx" localSheetId="9" hidden="1">2</definedName>
    <definedName name="solver_rsd" localSheetId="35" hidden="1">0</definedName>
    <definedName name="solver_rsd" localSheetId="36" hidden="1">0</definedName>
    <definedName name="solver_rsd" localSheetId="8" hidden="1">0</definedName>
    <definedName name="solver_rsd" localSheetId="9" hidden="1">0</definedName>
    <definedName name="solver_scl" localSheetId="35" hidden="1">2</definedName>
    <definedName name="solver_scl" localSheetId="36" hidden="1">2</definedName>
    <definedName name="solver_scl" localSheetId="8" hidden="1">1</definedName>
    <definedName name="solver_scl" localSheetId="9" hidden="1">1</definedName>
    <definedName name="solver_sho" localSheetId="35" hidden="1">2</definedName>
    <definedName name="solver_sho" localSheetId="36" hidden="1">2</definedName>
    <definedName name="solver_sho" localSheetId="8" hidden="1">2</definedName>
    <definedName name="solver_sho" localSheetId="9" hidden="1">2</definedName>
    <definedName name="solver_ssz" localSheetId="35" hidden="1">100</definedName>
    <definedName name="solver_ssz" localSheetId="36" hidden="1">100</definedName>
    <definedName name="solver_ssz" localSheetId="8" hidden="1">100</definedName>
    <definedName name="solver_ssz" localSheetId="9" hidden="1">100</definedName>
    <definedName name="solver_tim" localSheetId="35" hidden="1">2147483647</definedName>
    <definedName name="solver_tim" localSheetId="36" hidden="1">2147483647</definedName>
    <definedName name="solver_tim" localSheetId="8" hidden="1">2147483647</definedName>
    <definedName name="solver_tim" localSheetId="9" hidden="1">2147483647</definedName>
    <definedName name="solver_tol" localSheetId="35" hidden="1">0.01</definedName>
    <definedName name="solver_tol" localSheetId="36" hidden="1">0.01</definedName>
    <definedName name="solver_tol" localSheetId="8" hidden="1">0.01</definedName>
    <definedName name="solver_tol" localSheetId="9" hidden="1">0.01</definedName>
    <definedName name="solver_typ" localSheetId="35" hidden="1">2</definedName>
    <definedName name="solver_typ" localSheetId="36" hidden="1">2</definedName>
    <definedName name="solver_typ" localSheetId="8" hidden="1">1</definedName>
    <definedName name="solver_typ" localSheetId="9" hidden="1">1</definedName>
    <definedName name="solver_val" localSheetId="35" hidden="1">0</definedName>
    <definedName name="solver_val" localSheetId="36" hidden="1">0</definedName>
    <definedName name="solver_val" localSheetId="8" hidden="1">0</definedName>
    <definedName name="solver_val" localSheetId="9" hidden="1">0</definedName>
    <definedName name="solver_ver" localSheetId="35" hidden="1">2</definedName>
    <definedName name="solver_ver" localSheetId="36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4">CubicSpline_YC!$D$100:$D$400</definedName>
    <definedName name="t" localSheetId="35">CubicSpline_YC_Optim!$D$100:$D$400</definedName>
    <definedName name="t" localSheetId="36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4">CubicSpline_YC!$D$28:$D$59</definedName>
    <definedName name="time" localSheetId="35">CubicSpline_YC_Optim!$D$28:$D$59</definedName>
    <definedName name="time" localSheetId="36">CubicSpline_YC_Optim_Penalized!$D$28:$D$59</definedName>
    <definedName name="time" localSheetId="32">CubicSpline2!$D$25:$D$36</definedName>
    <definedName name="time" localSheetId="33">CubicSpline3!$D$25:$D$36</definedName>
    <definedName name="Time" localSheetId="2">#REF!</definedName>
    <definedName name="time">CubicSpline1!$D$24:$D$27</definedName>
    <definedName name="Time_" localSheetId="34">CubicSpline_YC!$F$37:$F$66</definedName>
    <definedName name="Time_" localSheetId="35">CubicSpline_YC_Optim!$F$37:$F$66</definedName>
    <definedName name="Time_" localSheetId="36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4">CubicSpline_YC!$C$28:$C$59</definedName>
    <definedName name="value" localSheetId="35">CubicSpline_YC_Optim!$C$28:$C$59</definedName>
    <definedName name="value" localSheetId="36">CubicSpline_YC_Optim_Penalized!$C$28:$C$59</definedName>
    <definedName name="value" localSheetId="33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H130" i="154"/>
  <c r="E128" i="153"/>
  <c r="E286" i="153"/>
  <c r="E208" i="154"/>
  <c r="E181" i="155"/>
  <c r="E226" i="154"/>
  <c r="E306" i="154"/>
  <c r="E220" i="155"/>
  <c r="E192" i="153"/>
  <c r="E157" i="153"/>
  <c r="E177" i="155"/>
  <c r="E382" i="154"/>
  <c r="E221" i="153"/>
  <c r="E163" i="155"/>
  <c r="E203" i="153"/>
  <c r="E314" i="154"/>
  <c r="E290" i="154"/>
  <c r="E201" i="154"/>
  <c r="E380" i="154"/>
  <c r="E121" i="153"/>
  <c r="E397" i="155"/>
  <c r="E361" i="153"/>
  <c r="E251" i="155"/>
  <c r="E289" i="153"/>
  <c r="E282" i="154"/>
  <c r="E252" i="155"/>
  <c r="E254" i="153"/>
  <c r="E358" i="154"/>
  <c r="E235" i="153"/>
  <c r="E299" i="154"/>
  <c r="E385" i="155"/>
  <c r="E293" i="153"/>
  <c r="E284" i="154"/>
  <c r="E170" i="153"/>
  <c r="E234" i="155"/>
  <c r="E167" i="153"/>
  <c r="E345" i="155"/>
  <c r="E107" i="155"/>
  <c r="E333" i="155"/>
  <c r="AC20" i="152"/>
  <c r="E368" i="153"/>
  <c r="E165" i="153"/>
  <c r="E358" i="153"/>
  <c r="E233" i="155"/>
  <c r="E147" i="154"/>
  <c r="E394" i="153"/>
  <c r="E335" i="153"/>
  <c r="E278" i="153"/>
  <c r="E288" i="155"/>
  <c r="E239" i="155"/>
  <c r="E399" i="155"/>
  <c r="E365" i="154"/>
  <c r="E326" i="155"/>
  <c r="E112" i="154"/>
  <c r="E131" i="153"/>
  <c r="E134" i="155"/>
  <c r="E288" i="153"/>
  <c r="E109" i="154"/>
  <c r="E169" i="155"/>
  <c r="E237" i="155"/>
  <c r="E120" i="154"/>
  <c r="E101" i="155"/>
  <c r="E189" i="154"/>
  <c r="E285" i="155"/>
  <c r="E273" i="153"/>
  <c r="E138" i="153"/>
  <c r="E213" i="154"/>
  <c r="E354" i="154"/>
  <c r="E287" i="153"/>
  <c r="E230" i="154"/>
  <c r="E393" i="153"/>
  <c r="E394" i="154"/>
  <c r="E389" i="154"/>
  <c r="E289" i="155"/>
  <c r="E179" i="153"/>
  <c r="E284" i="155"/>
  <c r="E169" i="154"/>
  <c r="E279" i="154"/>
  <c r="E249" i="154"/>
  <c r="E339" i="153"/>
  <c r="E144" i="154"/>
  <c r="E397" i="153"/>
  <c r="E261" i="154"/>
  <c r="E236" i="154"/>
  <c r="E153" i="155"/>
  <c r="AC18" i="152"/>
  <c r="E350" i="155"/>
  <c r="E173" i="153"/>
  <c r="E302" i="155"/>
  <c r="E212" i="153"/>
  <c r="AC29" i="152"/>
  <c r="E332" i="154"/>
  <c r="E344" i="154"/>
  <c r="E336" i="153"/>
  <c r="E190" i="155"/>
  <c r="AC24" i="152"/>
  <c r="E158" i="154"/>
  <c r="E326" i="153"/>
  <c r="E188" i="153"/>
  <c r="E265" i="154"/>
  <c r="E205" i="155"/>
  <c r="E380" i="155"/>
  <c r="E213" i="155"/>
  <c r="E338" i="154"/>
  <c r="E232" i="154"/>
  <c r="E399" i="154"/>
  <c r="E168" i="154"/>
  <c r="E277" i="153"/>
  <c r="E151" i="153"/>
  <c r="E272" i="155"/>
  <c r="E294" i="153"/>
  <c r="AC17" i="152"/>
  <c r="E374" i="154"/>
  <c r="E330" i="154"/>
  <c r="E369" i="155"/>
  <c r="E206" i="153"/>
  <c r="E235" i="155"/>
  <c r="E201" i="153"/>
  <c r="E147" i="155"/>
  <c r="E176" i="154"/>
  <c r="E324" i="154"/>
  <c r="E130" i="153"/>
  <c r="E246" i="155"/>
  <c r="E300" i="153"/>
  <c r="E380" i="153"/>
  <c r="AC9" i="152"/>
  <c r="E393" i="154"/>
  <c r="E286" i="155"/>
  <c r="E302" i="153"/>
  <c r="E388" i="155"/>
  <c r="E263" i="153"/>
  <c r="E389" i="155"/>
  <c r="E371" i="155"/>
  <c r="E115" i="155"/>
  <c r="E133" i="153"/>
  <c r="E228" i="154"/>
  <c r="E268" i="154"/>
  <c r="E384" i="154"/>
  <c r="E337" i="153"/>
  <c r="E204" i="155"/>
  <c r="E359" i="153"/>
  <c r="E291" i="153"/>
  <c r="E241" i="155"/>
  <c r="E287" i="155"/>
  <c r="AC15" i="152"/>
  <c r="E376" i="153"/>
  <c r="E134" i="154"/>
  <c r="E258" i="155"/>
  <c r="E248" i="155"/>
  <c r="E268" i="153"/>
  <c r="E354" i="155"/>
  <c r="E233" i="153"/>
  <c r="E211" i="153"/>
  <c r="E377" i="154"/>
  <c r="E101" i="153"/>
  <c r="E132" i="155"/>
  <c r="E161" i="153"/>
  <c r="E333" i="153"/>
  <c r="E104" i="154"/>
  <c r="E210" i="153"/>
  <c r="E205" i="154"/>
  <c r="E269" i="155"/>
  <c r="E296" i="153"/>
  <c r="E143" i="155"/>
  <c r="E131" i="155"/>
  <c r="E252" i="153"/>
  <c r="E194" i="153"/>
  <c r="E184" i="155"/>
  <c r="E263" i="154"/>
  <c r="E141" i="153"/>
  <c r="E247" i="155"/>
  <c r="E343" i="153"/>
  <c r="E263" i="155"/>
  <c r="E269" i="153"/>
  <c r="E198" i="155"/>
  <c r="AC11" i="152"/>
  <c r="E232" i="153"/>
  <c r="E398" i="153"/>
  <c r="E209" i="154"/>
  <c r="E399" i="153"/>
  <c r="E372" i="154"/>
  <c r="E362" i="155"/>
  <c r="E377" i="153"/>
  <c r="E149" i="153"/>
  <c r="E245" i="153"/>
  <c r="E196" i="153"/>
  <c r="E266" i="154"/>
  <c r="E234" i="154"/>
  <c r="E212" i="155"/>
  <c r="E364" i="154"/>
  <c r="E371" i="154"/>
  <c r="E248" i="154"/>
  <c r="E329" i="154"/>
  <c r="E192" i="154"/>
  <c r="E292" i="153"/>
  <c r="E201" i="155"/>
  <c r="E310" i="154"/>
  <c r="E340" i="154"/>
  <c r="E256" i="153"/>
  <c r="E385" i="153"/>
  <c r="E166" i="155"/>
  <c r="E213" i="153"/>
  <c r="E102" i="153"/>
  <c r="E294" i="155"/>
  <c r="E333" i="154"/>
  <c r="E280" i="154"/>
  <c r="E299" i="153"/>
  <c r="E120" i="155"/>
  <c r="E351" i="154"/>
  <c r="E206" i="155"/>
  <c r="E105" i="153"/>
  <c r="E400" i="154"/>
  <c r="E364" i="155"/>
  <c r="E249" i="155"/>
  <c r="AC36" i="152"/>
  <c r="E190" i="154"/>
  <c r="E321" i="155"/>
  <c r="E336" i="155"/>
  <c r="E281" i="153"/>
  <c r="E255" i="155"/>
  <c r="E231" i="155"/>
  <c r="E253" i="153"/>
  <c r="E348" i="154"/>
  <c r="E126" i="155"/>
  <c r="E152" i="154"/>
  <c r="E118" i="153"/>
  <c r="E287" i="154"/>
  <c r="E135" i="153"/>
  <c r="E125" i="154"/>
  <c r="E305" i="154"/>
  <c r="E178" i="155"/>
  <c r="E146" i="154"/>
  <c r="E177" i="153"/>
  <c r="E130" i="155"/>
  <c r="E166" i="154"/>
  <c r="E214" i="154"/>
  <c r="E373" i="154"/>
  <c r="E158" i="153"/>
  <c r="E156" i="154"/>
  <c r="E119" i="153"/>
  <c r="E135" i="155"/>
  <c r="E276" i="154"/>
  <c r="E165" i="155"/>
  <c r="E257" i="154"/>
  <c r="E306" i="153"/>
  <c r="E189" i="153"/>
  <c r="E224" i="154"/>
  <c r="E200" i="155"/>
  <c r="E185" i="153"/>
  <c r="E282" i="153"/>
  <c r="E227" i="154"/>
  <c r="AC16" i="152"/>
  <c r="H130" i="155"/>
  <c r="E156" i="155"/>
  <c r="E357" i="155"/>
  <c r="E220" i="154"/>
  <c r="E379" i="153"/>
  <c r="E325" i="155"/>
  <c r="E112" i="153"/>
  <c r="E388" i="153"/>
  <c r="E243" i="153"/>
  <c r="E329" i="153"/>
  <c r="E183" i="155"/>
  <c r="E347" i="154"/>
  <c r="E200" i="154"/>
  <c r="E360" i="154"/>
  <c r="E179" i="154"/>
  <c r="E295" i="154"/>
  <c r="E272" i="154"/>
  <c r="E136" i="154"/>
  <c r="E116" i="155"/>
  <c r="E373" i="153"/>
  <c r="H120" i="154"/>
  <c r="E372" i="153"/>
  <c r="E142" i="155"/>
  <c r="E363" i="153"/>
  <c r="E243" i="155"/>
  <c r="E299" i="155"/>
  <c r="E174" i="153"/>
  <c r="E129" i="154"/>
  <c r="E106" i="154"/>
  <c r="E358" i="155"/>
  <c r="E355" i="155"/>
  <c r="E314" i="153"/>
  <c r="E224" i="153"/>
  <c r="E177" i="154"/>
  <c r="E204" i="154"/>
  <c r="E319" i="155"/>
  <c r="E245" i="154"/>
  <c r="E194" i="154"/>
  <c r="E154" i="155"/>
  <c r="E222" i="155"/>
  <c r="E152" i="153"/>
  <c r="E325" i="154"/>
  <c r="E117" i="154"/>
  <c r="E239" i="153"/>
  <c r="AC38" i="152"/>
  <c r="E295" i="153"/>
  <c r="E296" i="155"/>
  <c r="E199" i="154"/>
  <c r="E267" i="155"/>
  <c r="AC35" i="152"/>
  <c r="E259" i="154"/>
  <c r="E229" i="155"/>
  <c r="E324" i="153"/>
  <c r="E370" i="155"/>
  <c r="E231" i="154"/>
  <c r="E291" i="155"/>
  <c r="E352" i="154"/>
  <c r="E331" i="153"/>
  <c r="E179" i="155"/>
  <c r="E174" i="154"/>
  <c r="E293" i="154"/>
  <c r="E113" i="155"/>
  <c r="E313" i="155"/>
  <c r="E163" i="153"/>
  <c r="E261" i="155"/>
  <c r="E103" i="155"/>
  <c r="E150" i="153"/>
  <c r="E185" i="154"/>
  <c r="E198" i="153"/>
  <c r="E366" i="153"/>
  <c r="E199" i="155"/>
  <c r="E170" i="155"/>
  <c r="E115" i="154"/>
  <c r="H150" i="155"/>
  <c r="E240" i="153"/>
  <c r="E221" i="155"/>
  <c r="E279" i="155"/>
  <c r="E183" i="154"/>
  <c r="E171" i="153"/>
  <c r="E334" i="154"/>
  <c r="E275" i="154"/>
  <c r="E283" i="155"/>
  <c r="E210" i="155"/>
  <c r="E154" i="153"/>
  <c r="E104" i="155"/>
  <c r="E362" i="154"/>
  <c r="E290" i="155"/>
  <c r="E104" i="153"/>
  <c r="E196" i="154"/>
  <c r="E105" i="154"/>
  <c r="E362" i="153"/>
  <c r="E323" i="154"/>
  <c r="E197" i="155"/>
  <c r="E334" i="155"/>
  <c r="E182" i="154"/>
  <c r="E285" i="153"/>
  <c r="E386" i="155"/>
  <c r="E109" i="153"/>
  <c r="E131" i="154"/>
  <c r="E219" i="155"/>
  <c r="E355" i="153"/>
  <c r="E376" i="154"/>
  <c r="E110" i="154"/>
  <c r="E309" i="153"/>
  <c r="E217" i="155"/>
  <c r="E251" i="153"/>
  <c r="E247" i="154"/>
  <c r="E207" i="155"/>
  <c r="E309" i="154"/>
  <c r="E316" i="155"/>
  <c r="E253" i="155"/>
  <c r="E145" i="154"/>
  <c r="E344" i="153"/>
  <c r="E127" i="154"/>
  <c r="H120" i="155"/>
  <c r="E281" i="154"/>
  <c r="E332" i="155"/>
  <c r="E387" i="153"/>
  <c r="E132" i="154"/>
  <c r="H200" i="154"/>
  <c r="E280" i="155"/>
  <c r="E361" i="154"/>
  <c r="E139" i="154"/>
  <c r="E277" i="154"/>
  <c r="E149" i="154"/>
  <c r="E384" i="153"/>
  <c r="E110" i="155"/>
  <c r="E371" i="153"/>
  <c r="E124" i="154"/>
  <c r="E214" i="153"/>
  <c r="E159" i="155"/>
  <c r="E139" i="155"/>
  <c r="E392" i="154"/>
  <c r="E356" i="155"/>
  <c r="E222" i="153"/>
  <c r="E172" i="155"/>
  <c r="E271" i="154"/>
  <c r="E172" i="154"/>
  <c r="E208" i="155"/>
  <c r="E182" i="155"/>
  <c r="E111" i="154"/>
  <c r="E174" i="155"/>
  <c r="E308" i="155"/>
  <c r="E151" i="155"/>
  <c r="E308" i="153"/>
  <c r="E316" i="153"/>
  <c r="E100" i="153"/>
  <c r="E152" i="155"/>
  <c r="E125" i="155"/>
  <c r="E143" i="154"/>
  <c r="E164" i="153"/>
  <c r="E304" i="154"/>
  <c r="E392" i="153"/>
  <c r="E167" i="155"/>
  <c r="E301" i="154"/>
  <c r="E215" i="155"/>
  <c r="AC34" i="152"/>
  <c r="H140" i="154"/>
  <c r="E124" i="153"/>
  <c r="E245" i="155"/>
  <c r="E317" i="153"/>
  <c r="AC10" i="152"/>
  <c r="E275" i="155"/>
  <c r="AC26" i="152"/>
  <c r="E383" i="153"/>
  <c r="E118" i="155"/>
  <c r="E206" i="154"/>
  <c r="E171" i="155"/>
  <c r="E195" i="154"/>
  <c r="E114" i="153"/>
  <c r="E284" i="153"/>
  <c r="E173" i="155"/>
  <c r="E178" i="153"/>
  <c r="E215" i="153"/>
  <c r="E273" i="154"/>
  <c r="E228" i="153"/>
  <c r="E238" i="155"/>
  <c r="E352" i="153"/>
  <c r="AC33" i="152"/>
  <c r="E374" i="153"/>
  <c r="E278" i="154"/>
  <c r="E300" i="154"/>
  <c r="E211" i="154"/>
  <c r="E289" i="154"/>
  <c r="E303" i="153"/>
  <c r="E241" i="154"/>
  <c r="E312" i="153"/>
  <c r="E183" i="153"/>
  <c r="E361" i="155"/>
  <c r="E243" i="154"/>
  <c r="E307" i="155"/>
  <c r="E202" i="153"/>
  <c r="E312" i="154"/>
  <c r="E233" i="154"/>
  <c r="E302" i="154"/>
  <c r="E305" i="155"/>
  <c r="E271" i="153"/>
  <c r="E315" i="155"/>
  <c r="E137" i="154"/>
  <c r="E395" i="154"/>
  <c r="E246" i="153"/>
  <c r="E372" i="155"/>
  <c r="E130" i="154"/>
  <c r="E237" i="153"/>
  <c r="E260" i="154"/>
  <c r="E132" i="153"/>
  <c r="E155" i="155"/>
  <c r="E256" i="154"/>
  <c r="AC13" i="152"/>
  <c r="E175" i="155"/>
  <c r="E355" i="154"/>
  <c r="AC30" i="152"/>
  <c r="E175" i="153"/>
  <c r="E176" i="153"/>
  <c r="E301" i="153"/>
  <c r="E376" i="155"/>
  <c r="E390" i="155"/>
  <c r="E379" i="154"/>
  <c r="E140" i="154"/>
  <c r="E262" i="155"/>
  <c r="E324" i="155"/>
  <c r="E109" i="155"/>
  <c r="E242" i="155"/>
  <c r="E325" i="153"/>
  <c r="E359" i="154"/>
  <c r="E370" i="153"/>
  <c r="E210" i="154"/>
  <c r="E205" i="153"/>
  <c r="E342" i="155"/>
  <c r="E360" i="155"/>
  <c r="E254" i="154"/>
  <c r="E277" i="155"/>
  <c r="E225" i="153"/>
  <c r="E368" i="155"/>
  <c r="E193" i="155"/>
  <c r="E217" i="154"/>
  <c r="E209" i="153"/>
  <c r="E203" i="155"/>
  <c r="E363" i="154"/>
  <c r="E396" i="153"/>
  <c r="E339" i="155"/>
  <c r="E193" i="153"/>
  <c r="E150" i="154"/>
  <c r="E160" i="154"/>
  <c r="E320" i="154"/>
  <c r="E258" i="154"/>
  <c r="E160" i="155"/>
  <c r="E181" i="153"/>
  <c r="E202" i="154"/>
  <c r="E238" i="153"/>
  <c r="E207" i="154"/>
  <c r="E349" i="154"/>
  <c r="E269" i="154"/>
  <c r="E166" i="153"/>
  <c r="E227" i="153"/>
  <c r="E218" i="153"/>
  <c r="E215" i="154"/>
  <c r="E186" i="155"/>
  <c r="E383" i="154"/>
  <c r="E330" i="153"/>
  <c r="E116" i="154"/>
  <c r="E335" i="154"/>
  <c r="E292" i="154"/>
  <c r="H170" i="154"/>
  <c r="E368" i="154"/>
  <c r="E203" i="154"/>
  <c r="E173" i="154"/>
  <c r="E262" i="154"/>
  <c r="AC32" i="152"/>
  <c r="E199" i="153"/>
  <c r="E366" i="154"/>
  <c r="E100" i="154"/>
  <c r="E353" i="154"/>
  <c r="E331" i="155"/>
  <c r="E327" i="153"/>
  <c r="E381" i="155"/>
  <c r="E184" i="154"/>
  <c r="E111" i="155"/>
  <c r="E126" i="153"/>
  <c r="E101" i="154"/>
  <c r="E141" i="154"/>
  <c r="E197" i="154"/>
  <c r="E367" i="154"/>
  <c r="E187" i="153"/>
  <c r="E153" i="154"/>
  <c r="H150" i="154"/>
  <c r="E345" i="153"/>
  <c r="E259" i="153"/>
  <c r="E159" i="153"/>
  <c r="E105" i="155"/>
  <c r="E254" i="155"/>
  <c r="E250" i="155"/>
  <c r="E188" i="155"/>
  <c r="E283" i="154"/>
  <c r="E249" i="153"/>
  <c r="E390" i="153"/>
  <c r="E370" i="154"/>
  <c r="E145" i="155"/>
  <c r="E298" i="154"/>
  <c r="E346" i="154"/>
  <c r="E144" i="153"/>
  <c r="E138" i="154"/>
  <c r="E387" i="155"/>
  <c r="E282" i="155"/>
  <c r="E167" i="154"/>
  <c r="E279" i="153"/>
  <c r="E240" i="155"/>
  <c r="E378" i="153"/>
  <c r="E185" i="155"/>
  <c r="E276" i="155"/>
  <c r="E318" i="154"/>
  <c r="E149" i="155"/>
  <c r="E113" i="154"/>
  <c r="E304" i="155"/>
  <c r="E373" i="155"/>
  <c r="AC31" i="152"/>
  <c r="E267" i="153"/>
  <c r="E153" i="153"/>
  <c r="E386" i="154"/>
  <c r="E218" i="154"/>
  <c r="E161" i="155"/>
  <c r="E122" i="153"/>
  <c r="AC12" i="152"/>
  <c r="E219" i="153"/>
  <c r="E381" i="153"/>
  <c r="E374" i="155"/>
  <c r="E379" i="155"/>
  <c r="E211" i="155"/>
  <c r="E200" i="153"/>
  <c r="E365" i="153"/>
  <c r="E235" i="154"/>
  <c r="E191" i="154"/>
  <c r="E236" i="153"/>
  <c r="E140" i="155"/>
  <c r="H110" i="154"/>
  <c r="E156" i="153"/>
  <c r="E313" i="153"/>
  <c r="E194" i="155"/>
  <c r="E218" i="155"/>
  <c r="E359" i="155"/>
  <c r="E301" i="155"/>
  <c r="E222" i="154"/>
  <c r="E391" i="153"/>
  <c r="E157" i="154"/>
  <c r="E261" i="153"/>
  <c r="E322" i="155"/>
  <c r="E186" i="154"/>
  <c r="E391" i="155"/>
  <c r="E180" i="155"/>
  <c r="E329" i="155"/>
  <c r="E307" i="153"/>
  <c r="E137" i="153"/>
  <c r="E165" i="154"/>
  <c r="E144" i="155"/>
  <c r="E338" i="153"/>
  <c r="E160" i="153"/>
  <c r="AC37" i="152"/>
  <c r="AC27" i="152"/>
  <c r="E351" i="155"/>
  <c r="E255" i="153"/>
  <c r="E369" i="153"/>
  <c r="E112" i="155"/>
  <c r="E191" i="153"/>
  <c r="E328" i="154"/>
  <c r="E321" i="153"/>
  <c r="E352" i="155"/>
  <c r="E342" i="154"/>
  <c r="E197" i="153"/>
  <c r="E266" i="153"/>
  <c r="E236" i="155"/>
  <c r="E242" i="153"/>
  <c r="E170" i="154"/>
  <c r="E273" i="155"/>
  <c r="E253" i="154"/>
  <c r="E347" i="155"/>
  <c r="E151" i="154"/>
  <c r="E270" i="154"/>
  <c r="E103" i="154"/>
  <c r="E336" i="154"/>
  <c r="AC28" i="152"/>
  <c r="E270" i="155"/>
  <c r="E187" i="154"/>
  <c r="E168" i="155"/>
  <c r="E148" i="154"/>
  <c r="E295" i="155"/>
  <c r="E107" i="154"/>
  <c r="E274" i="154"/>
  <c r="E288" i="154"/>
  <c r="E247" i="153"/>
  <c r="E216" i="154"/>
  <c r="E196" i="155"/>
  <c r="E292" i="155"/>
  <c r="E115" i="153"/>
  <c r="E349" i="153"/>
  <c r="E147" i="153"/>
  <c r="E128" i="155"/>
  <c r="E212" i="154"/>
  <c r="E265" i="153"/>
  <c r="E291" i="154"/>
  <c r="E226" i="153"/>
  <c r="E136" i="153"/>
  <c r="E150" i="155"/>
  <c r="E382" i="153"/>
  <c r="E128" i="154"/>
  <c r="E102" i="155"/>
  <c r="E340" i="155"/>
  <c r="E281" i="155"/>
  <c r="E232" i="155"/>
  <c r="E154" i="154"/>
  <c r="E192" i="155"/>
  <c r="E141" i="155"/>
  <c r="E342" i="153"/>
  <c r="E310" i="153"/>
  <c r="E191" i="155"/>
  <c r="E338" i="155"/>
  <c r="E237" i="154"/>
  <c r="E158" i="155"/>
  <c r="E198" i="154"/>
  <c r="E335" i="155"/>
  <c r="E216" i="155"/>
  <c r="E162" i="153"/>
  <c r="E398" i="154"/>
  <c r="E246" i="154"/>
  <c r="E204" i="153"/>
  <c r="E226" i="155"/>
  <c r="E231" i="153"/>
  <c r="E216" i="153"/>
  <c r="E176" i="155"/>
  <c r="E230" i="153"/>
  <c r="E313" i="154"/>
  <c r="E220" i="153"/>
  <c r="E103" i="153"/>
  <c r="E250" i="153"/>
  <c r="E244" i="154"/>
  <c r="E381" i="154"/>
  <c r="E343" i="154"/>
  <c r="E304" i="153"/>
  <c r="E225" i="154"/>
  <c r="E340" i="153"/>
  <c r="E353" i="153"/>
  <c r="E241" i="153"/>
  <c r="E314" i="155"/>
  <c r="E395" i="153"/>
  <c r="E396" i="154"/>
  <c r="E127" i="153"/>
  <c r="E124" i="155"/>
  <c r="E163" i="154"/>
  <c r="E118" i="154"/>
  <c r="E228" i="155"/>
  <c r="E328" i="155"/>
  <c r="E134" i="153"/>
  <c r="E318" i="155"/>
  <c r="E360" i="153"/>
  <c r="E251" i="154"/>
  <c r="E356" i="153"/>
  <c r="E345" i="154"/>
  <c r="E377" i="155"/>
  <c r="E348" i="153"/>
  <c r="E265" i="155"/>
  <c r="E202" i="155"/>
  <c r="E390" i="154"/>
  <c r="E219" i="154"/>
  <c r="E123" i="155"/>
  <c r="E319" i="153"/>
  <c r="E195" i="155"/>
  <c r="E367" i="153"/>
  <c r="E320" i="155"/>
  <c r="E244" i="153"/>
  <c r="E303" i="154"/>
  <c r="E257" i="153"/>
  <c r="E209" i="155"/>
  <c r="E260" i="155"/>
  <c r="E388" i="154"/>
  <c r="E297" i="153"/>
  <c r="E159" i="154"/>
  <c r="E229" i="153"/>
  <c r="E389" i="153"/>
  <c r="E347" i="153"/>
  <c r="E283" i="153"/>
  <c r="E168" i="153"/>
  <c r="E341" i="154"/>
  <c r="E162" i="154"/>
  <c r="E164" i="155"/>
  <c r="E123" i="153"/>
  <c r="E320" i="153"/>
  <c r="E162" i="155"/>
  <c r="E394" i="155"/>
  <c r="E293" i="155"/>
  <c r="E252" i="154"/>
  <c r="E296" i="154"/>
  <c r="E143" i="153"/>
  <c r="E321" i="154"/>
  <c r="E326" i="154"/>
  <c r="E110" i="153"/>
  <c r="E327" i="154"/>
  <c r="E129" i="153"/>
  <c r="E271" i="155"/>
  <c r="E328" i="153"/>
  <c r="AC8" i="152"/>
  <c r="E188" i="154"/>
  <c r="E311" i="153"/>
  <c r="E223" i="153"/>
  <c r="E353" i="155"/>
  <c r="E120" i="153"/>
  <c r="E125" i="153"/>
  <c r="E323" i="155"/>
  <c r="E364" i="153"/>
  <c r="E272" i="153"/>
  <c r="E250" i="154"/>
  <c r="E290" i="153"/>
  <c r="E121" i="154"/>
  <c r="E133" i="154"/>
  <c r="E356" i="154"/>
  <c r="E297" i="154"/>
  <c r="E391" i="154"/>
  <c r="H170" i="155"/>
  <c r="E274" i="155"/>
  <c r="E117" i="153"/>
  <c r="E264" i="153"/>
  <c r="E337" i="155"/>
  <c r="E375" i="154"/>
  <c r="E385" i="154"/>
  <c r="E392" i="155"/>
  <c r="E365" i="155"/>
  <c r="E244" i="155"/>
  <c r="E122" i="155"/>
  <c r="E274" i="153"/>
  <c r="E315" i="154"/>
  <c r="E129" i="155"/>
  <c r="E214" i="155"/>
  <c r="E264" i="154"/>
  <c r="E400" i="153"/>
  <c r="E255" i="154"/>
  <c r="E286" i="154"/>
  <c r="AC25" i="152"/>
  <c r="E123" i="154"/>
  <c r="H110" i="155"/>
  <c r="E225" i="155"/>
  <c r="E239" i="154"/>
  <c r="E117" i="155"/>
  <c r="E238" i="154"/>
  <c r="E133" i="155"/>
  <c r="H140" i="155"/>
  <c r="E195" i="153"/>
  <c r="E297" i="155"/>
  <c r="E224" i="155"/>
  <c r="E135" i="154"/>
  <c r="E217" i="153"/>
  <c r="E270" i="153"/>
  <c r="E349" i="155"/>
  <c r="E193" i="154"/>
  <c r="E397" i="154"/>
  <c r="E140" i="153"/>
  <c r="E240" i="154"/>
  <c r="E108" i="155"/>
  <c r="E386" i="153"/>
  <c r="E248" i="153"/>
  <c r="E332" i="153"/>
  <c r="E229" i="154"/>
  <c r="E311" i="154"/>
  <c r="E107" i="153"/>
  <c r="E223" i="154"/>
  <c r="E398" i="155"/>
  <c r="E276" i="153"/>
  <c r="E396" i="155"/>
  <c r="E309" i="155"/>
  <c r="E114" i="155"/>
  <c r="E393" i="155"/>
  <c r="E106" i="155"/>
  <c r="E182" i="153"/>
  <c r="E278" i="155"/>
  <c r="E157" i="155"/>
  <c r="E184" i="153"/>
  <c r="E346" i="155"/>
  <c r="AC21" i="152"/>
  <c r="E136" i="155"/>
  <c r="E366" i="155"/>
  <c r="E268" i="155"/>
  <c r="E242" i="154"/>
  <c r="H200" i="155"/>
  <c r="E357" i="154"/>
  <c r="E294" i="154"/>
  <c r="E344" i="155"/>
  <c r="E207" i="153"/>
  <c r="E180" i="153"/>
  <c r="E319" i="154"/>
  <c r="E145" i="153"/>
  <c r="E148" i="153"/>
  <c r="E317" i="154"/>
  <c r="E257" i="155"/>
  <c r="E161" i="154"/>
  <c r="E387" i="154"/>
  <c r="E146" i="153"/>
  <c r="E230" i="155"/>
  <c r="E266" i="155"/>
  <c r="E113" i="153"/>
  <c r="E234" i="153"/>
  <c r="E148" i="155"/>
  <c r="E172" i="153"/>
  <c r="E357" i="153"/>
  <c r="E139" i="153"/>
  <c r="E169" i="153"/>
  <c r="E181" i="154"/>
  <c r="E264" i="155"/>
  <c r="E343" i="155"/>
  <c r="E378" i="155"/>
  <c r="AC19" i="152"/>
  <c r="E318" i="153"/>
  <c r="E369" i="154"/>
  <c r="E367" i="155"/>
  <c r="E384" i="155"/>
  <c r="E395" i="155"/>
  <c r="E307" i="154"/>
  <c r="E260" i="153"/>
  <c r="E350" i="154"/>
  <c r="E285" i="154"/>
  <c r="E350" i="153"/>
  <c r="E375" i="155"/>
  <c r="E315" i="153"/>
  <c r="E339" i="154"/>
  <c r="E341" i="153"/>
  <c r="E108" i="153"/>
  <c r="E119" i="154"/>
  <c r="E280" i="153"/>
  <c r="E354" i="153"/>
  <c r="E180" i="154"/>
  <c r="E300" i="155"/>
  <c r="E111" i="153"/>
  <c r="E108" i="154"/>
  <c r="E142" i="154"/>
  <c r="E382" i="155"/>
  <c r="E106" i="153"/>
  <c r="E312" i="155"/>
  <c r="E400" i="155"/>
  <c r="E262" i="153"/>
  <c r="E327" i="155"/>
  <c r="E155" i="154"/>
  <c r="E305" i="153"/>
  <c r="E121" i="155"/>
  <c r="E175" i="154"/>
  <c r="E316" i="154"/>
  <c r="E178" i="154"/>
  <c r="E334" i="153"/>
  <c r="E122" i="154"/>
  <c r="E331" i="154"/>
  <c r="E127" i="155"/>
  <c r="E164" i="154"/>
  <c r="E189" i="155"/>
  <c r="E138" i="155"/>
  <c r="E155" i="153"/>
  <c r="E126" i="154"/>
  <c r="E298" i="153"/>
  <c r="E351" i="153"/>
  <c r="E341" i="155"/>
  <c r="E322" i="153"/>
  <c r="E308" i="154"/>
  <c r="E116" i="153"/>
  <c r="E258" i="153"/>
  <c r="E186" i="153"/>
  <c r="E190" i="153"/>
  <c r="E337" i="154"/>
  <c r="E317" i="155"/>
  <c r="E363" i="155"/>
  <c r="E208" i="153"/>
  <c r="E311" i="155"/>
  <c r="E256" i="155"/>
  <c r="E171" i="154"/>
  <c r="E375" i="153"/>
  <c r="E383" i="155"/>
  <c r="AC23" i="152"/>
  <c r="E102" i="154"/>
  <c r="E223" i="155"/>
  <c r="E267" i="154"/>
  <c r="E259" i="155"/>
  <c r="E323" i="153"/>
  <c r="E187" i="155"/>
  <c r="E100" i="155"/>
  <c r="AC22" i="152"/>
  <c r="E348" i="155"/>
  <c r="E330" i="155"/>
  <c r="E378" i="154"/>
  <c r="E227" i="155"/>
  <c r="E306" i="155"/>
  <c r="E137" i="155"/>
  <c r="E114" i="154"/>
  <c r="E303" i="155"/>
  <c r="E146" i="155"/>
  <c r="E142" i="153"/>
  <c r="E275" i="153"/>
  <c r="AC14" i="152"/>
  <c r="E346" i="153"/>
  <c r="E221" i="154"/>
  <c r="E298" i="155"/>
  <c r="E322" i="154"/>
  <c r="E119" i="155"/>
  <c r="E310" i="155"/>
  <c r="R310" i="155" l="1" a="1"/>
  <c r="R310" i="155" s="1"/>
  <c r="R119" i="155" a="1"/>
  <c r="R119" i="155" s="1"/>
  <c r="R298" i="155" a="1"/>
  <c r="R298" i="155" s="1"/>
  <c r="R146" i="155" a="1"/>
  <c r="R146" i="155" s="1"/>
  <c r="S146" i="155" s="1"/>
  <c r="R303" i="155" a="1"/>
  <c r="R303" i="155" s="1"/>
  <c r="S303" i="155" s="1"/>
  <c r="R137" i="155" a="1"/>
  <c r="R137" i="155" s="1"/>
  <c r="R306" i="155" a="1"/>
  <c r="R306" i="155" s="1"/>
  <c r="R227" i="155" a="1"/>
  <c r="R227" i="155" s="1"/>
  <c r="R330" i="155" a="1"/>
  <c r="R330" i="155" s="1"/>
  <c r="R348" i="155" a="1"/>
  <c r="R348" i="155" s="1"/>
  <c r="G100" i="155"/>
  <c r="R100" i="155" a="1"/>
  <c r="R100" i="155" s="1"/>
  <c r="R187" i="155" a="1"/>
  <c r="R187" i="155" s="1"/>
  <c r="R259" i="155" a="1"/>
  <c r="R259" i="155" s="1"/>
  <c r="R223" i="155" a="1"/>
  <c r="R223" i="155" s="1"/>
  <c r="S224" i="155" s="1"/>
  <c r="R383" i="155" a="1"/>
  <c r="R383" i="155" s="1"/>
  <c r="R256" i="155" a="1"/>
  <c r="R256" i="155" s="1"/>
  <c r="R311" i="155" a="1"/>
  <c r="R311" i="155" s="1"/>
  <c r="S311" i="155" s="1"/>
  <c r="R363" i="155" a="1"/>
  <c r="R363" i="155" s="1"/>
  <c r="R317" i="155" a="1"/>
  <c r="R317" i="155" s="1"/>
  <c r="S317" i="155" s="1"/>
  <c r="R341" i="155" a="1"/>
  <c r="R341" i="155" s="1"/>
  <c r="S341" i="155" s="1"/>
  <c r="R138" i="155" a="1"/>
  <c r="R138" i="155" s="1"/>
  <c r="R189" i="155" a="1"/>
  <c r="R189" i="155" s="1"/>
  <c r="R127" i="155" a="1"/>
  <c r="R127" i="155" s="1"/>
  <c r="R121" i="155" a="1"/>
  <c r="R121" i="155" s="1"/>
  <c r="R327" i="155" a="1"/>
  <c r="R327" i="155" s="1"/>
  <c r="G400" i="155"/>
  <c r="R400" i="155" a="1"/>
  <c r="R400" i="155" s="1"/>
  <c r="R312" i="155" a="1"/>
  <c r="R312" i="155" s="1"/>
  <c r="S312" i="155" s="1"/>
  <c r="R382" i="155" a="1"/>
  <c r="R382" i="155" s="1"/>
  <c r="S382" i="155" s="1"/>
  <c r="R300" i="155" a="1"/>
  <c r="R300" i="155" s="1"/>
  <c r="R375" i="155" a="1"/>
  <c r="R375" i="155" s="1"/>
  <c r="R395" i="155" a="1"/>
  <c r="R395" i="155" s="1"/>
  <c r="R384" i="155" a="1"/>
  <c r="R384" i="155" s="1"/>
  <c r="R367" i="155" a="1"/>
  <c r="R367" i="155" s="1"/>
  <c r="R378" i="155" a="1"/>
  <c r="R378" i="155" s="1"/>
  <c r="S378" i="155" s="1"/>
  <c r="R343" i="155" a="1"/>
  <c r="R343" i="155" s="1"/>
  <c r="S344" i="155" s="1"/>
  <c r="T345" i="155" s="1"/>
  <c r="R264" i="155" a="1"/>
  <c r="R264" i="155" s="1"/>
  <c r="R148" i="155" a="1"/>
  <c r="R148" i="155" s="1"/>
  <c r="S148" i="155" s="1"/>
  <c r="R266" i="155" a="1"/>
  <c r="R266" i="155" s="1"/>
  <c r="R230" i="155" a="1"/>
  <c r="R230" i="155" s="1"/>
  <c r="R257" i="155" a="1"/>
  <c r="R257" i="155" s="1"/>
  <c r="R344" i="155" a="1"/>
  <c r="R344" i="155" s="1"/>
  <c r="I200" i="155"/>
  <c r="R268" i="155" a="1"/>
  <c r="R268" i="155" s="1"/>
  <c r="S268" i="155" s="1"/>
  <c r="R366" i="155" a="1"/>
  <c r="R366" i="155" s="1"/>
  <c r="R136" i="155" a="1"/>
  <c r="R136" i="155" s="1"/>
  <c r="S136" i="155" s="1"/>
  <c r="R346" i="155" a="1"/>
  <c r="R346" i="155" s="1"/>
  <c r="R157" i="155" a="1"/>
  <c r="R157" i="155" s="1"/>
  <c r="R278" i="155" a="1"/>
  <c r="R278" i="155" s="1"/>
  <c r="R106" i="155" a="1"/>
  <c r="R106" i="155" s="1"/>
  <c r="R393" i="155" a="1"/>
  <c r="R393" i="155" s="1"/>
  <c r="R114" i="155" a="1"/>
  <c r="R114" i="155" s="1"/>
  <c r="S115" i="155" s="1"/>
  <c r="R309" i="155" a="1"/>
  <c r="R309" i="155" s="1"/>
  <c r="S309" i="155" s="1"/>
  <c r="R396" i="155" a="1"/>
  <c r="R396" i="155" s="1"/>
  <c r="S396" i="155" s="1"/>
  <c r="R398" i="155" a="1"/>
  <c r="R398" i="155" s="1"/>
  <c r="R108" i="155" a="1"/>
  <c r="R108" i="155" s="1"/>
  <c r="R349" i="155" a="1"/>
  <c r="R349" i="155" s="1"/>
  <c r="R224" i="155" a="1"/>
  <c r="R224" i="155" s="1"/>
  <c r="R297" i="155" a="1"/>
  <c r="R297" i="155" s="1"/>
  <c r="S298" i="155" s="1"/>
  <c r="I140" i="155"/>
  <c r="R133" i="155" a="1"/>
  <c r="R133" i="155" s="1"/>
  <c r="R117" i="155" a="1"/>
  <c r="R117" i="155" s="1"/>
  <c r="R225" i="155" a="1"/>
  <c r="R225" i="155" s="1"/>
  <c r="S225" i="155" s="1"/>
  <c r="I110" i="155"/>
  <c r="R214" i="155" a="1"/>
  <c r="R214" i="155" s="1"/>
  <c r="R129" i="155" a="1"/>
  <c r="R129" i="155" s="1"/>
  <c r="R122" i="155" a="1"/>
  <c r="R122" i="155" s="1"/>
  <c r="S122" i="155" s="1"/>
  <c r="R244" i="155" a="1"/>
  <c r="R244" i="155" s="1"/>
  <c r="S244" i="155" s="1"/>
  <c r="R365" i="155" a="1"/>
  <c r="R365" i="155" s="1"/>
  <c r="S366" i="155" s="1"/>
  <c r="R392" i="155" a="1"/>
  <c r="R392" i="155" s="1"/>
  <c r="R337" i="155" a="1"/>
  <c r="R337" i="155" s="1"/>
  <c r="R274" i="155" a="1"/>
  <c r="R274" i="155" s="1"/>
  <c r="I170" i="155"/>
  <c r="R323" i="155" a="1"/>
  <c r="R323" i="155" s="1"/>
  <c r="R353" i="155" a="1"/>
  <c r="R353" i="155" s="1"/>
  <c r="R271" i="155" a="1"/>
  <c r="R271" i="155" s="1"/>
  <c r="R293" i="155" a="1"/>
  <c r="R293" i="155" s="1"/>
  <c r="R394" i="155" a="1"/>
  <c r="R394" i="155" s="1"/>
  <c r="S394" i="155" s="1"/>
  <c r="R162" i="155" a="1"/>
  <c r="R162" i="155" s="1"/>
  <c r="R164" i="155" a="1"/>
  <c r="R164" i="155" s="1"/>
  <c r="R260" i="155" a="1"/>
  <c r="R260" i="155" s="1"/>
  <c r="R209" i="155" a="1"/>
  <c r="R209" i="155" s="1"/>
  <c r="R320" i="155" a="1"/>
  <c r="R320" i="155" s="1"/>
  <c r="S321" i="155" s="1"/>
  <c r="R195" i="155" a="1"/>
  <c r="R195" i="155" s="1"/>
  <c r="S195" i="155" s="1"/>
  <c r="R123" i="155" a="1"/>
  <c r="R123" i="155" s="1"/>
  <c r="R202" i="155" a="1"/>
  <c r="R202" i="155" s="1"/>
  <c r="R265" i="155" a="1"/>
  <c r="R265" i="155" s="1"/>
  <c r="R377" i="155" a="1"/>
  <c r="R377" i="155" s="1"/>
  <c r="R318" i="155" a="1"/>
  <c r="R318" i="155" s="1"/>
  <c r="R328" i="155" a="1"/>
  <c r="R328" i="155" s="1"/>
  <c r="S328" i="155" s="1"/>
  <c r="R228" i="155" a="1"/>
  <c r="R228" i="155" s="1"/>
  <c r="S229" i="155" s="1"/>
  <c r="R124" i="155" a="1"/>
  <c r="R124" i="155" s="1"/>
  <c r="R314" i="155" a="1"/>
  <c r="R314" i="155" s="1"/>
  <c r="R176" i="155" a="1"/>
  <c r="R176" i="155" s="1"/>
  <c r="R226" i="155" a="1"/>
  <c r="R226" i="155" s="1"/>
  <c r="S226" i="155" s="1"/>
  <c r="R216" i="155" a="1"/>
  <c r="R216" i="155" s="1"/>
  <c r="R335" i="155" a="1"/>
  <c r="R335" i="155" s="1"/>
  <c r="R158" i="155" a="1"/>
  <c r="R158" i="155" s="1"/>
  <c r="S158" i="155" s="1"/>
  <c r="R338" i="155" a="1"/>
  <c r="R338" i="155" s="1"/>
  <c r="R191" i="155" a="1"/>
  <c r="R191" i="155" s="1"/>
  <c r="R141" i="155" a="1"/>
  <c r="R141" i="155" s="1"/>
  <c r="R192" i="155" a="1"/>
  <c r="R192" i="155" s="1"/>
  <c r="S192" i="155" s="1"/>
  <c r="R232" i="155" a="1"/>
  <c r="R232" i="155" s="1"/>
  <c r="R281" i="155" a="1"/>
  <c r="R281" i="155" s="1"/>
  <c r="R340" i="155" a="1"/>
  <c r="R340" i="155" s="1"/>
  <c r="R102" i="155" a="1"/>
  <c r="R102" i="155" s="1"/>
  <c r="G150" i="155"/>
  <c r="R150" i="155" a="1"/>
  <c r="R150" i="155" s="1"/>
  <c r="S151" i="155" s="1"/>
  <c r="R128" i="155" a="1"/>
  <c r="R128" i="155" s="1"/>
  <c r="R292" i="155" a="1"/>
  <c r="R292" i="155" s="1"/>
  <c r="S292" i="155" s="1"/>
  <c r="R196" i="155" a="1"/>
  <c r="R196" i="155" s="1"/>
  <c r="R295" i="155" a="1"/>
  <c r="R295" i="155" s="1"/>
  <c r="R168" i="155" a="1"/>
  <c r="R168" i="155" s="1"/>
  <c r="R270" i="155" a="1"/>
  <c r="R270" i="155" s="1"/>
  <c r="R347" i="155" a="1"/>
  <c r="R347" i="155" s="1"/>
  <c r="R273" i="155" a="1"/>
  <c r="R273" i="155" s="1"/>
  <c r="G170" i="154"/>
  <c r="R236" i="155" a="1"/>
  <c r="R236" i="155" s="1"/>
  <c r="S236" i="155" s="1"/>
  <c r="R352" i="155" a="1"/>
  <c r="R352" i="155" s="1"/>
  <c r="R112" i="155" a="1"/>
  <c r="R112" i="155" s="1"/>
  <c r="R351" i="155" a="1"/>
  <c r="R351" i="155" s="1"/>
  <c r="R144" i="155" a="1"/>
  <c r="R144" i="155" s="1"/>
  <c r="R329" i="155" a="1"/>
  <c r="R329" i="155" s="1"/>
  <c r="S329" i="155" s="1"/>
  <c r="R180" i="155" a="1"/>
  <c r="R180" i="155" s="1"/>
  <c r="R391" i="155" a="1"/>
  <c r="R391" i="155" s="1"/>
  <c r="R322" i="155" a="1"/>
  <c r="R322" i="155" s="1"/>
  <c r="S322" i="155" s="1"/>
  <c r="R301" i="155" a="1"/>
  <c r="R301" i="155" s="1"/>
  <c r="R359" i="155" a="1"/>
  <c r="R359" i="155" s="1"/>
  <c r="R218" i="155" a="1"/>
  <c r="R218" i="155" s="1"/>
  <c r="R194" i="155" a="1"/>
  <c r="R194" i="155" s="1"/>
  <c r="I110" i="154"/>
  <c r="R140" i="155" a="1"/>
  <c r="R140" i="155" s="1"/>
  <c r="S140" i="155" s="1"/>
  <c r="G140" i="155"/>
  <c r="R211" i="155" a="1"/>
  <c r="R211" i="155" s="1"/>
  <c r="S211" i="155" s="1"/>
  <c r="R379" i="155" a="1"/>
  <c r="R379" i="155" s="1"/>
  <c r="R374" i="155" a="1"/>
  <c r="R374" i="155" s="1"/>
  <c r="R161" i="155" a="1"/>
  <c r="R161" i="155" s="1"/>
  <c r="R373" i="155" a="1"/>
  <c r="R373" i="155" s="1"/>
  <c r="R304" i="155" a="1"/>
  <c r="R304" i="155" s="1"/>
  <c r="R149" i="155" a="1"/>
  <c r="R149" i="155" s="1"/>
  <c r="R276" i="155" a="1"/>
  <c r="R276" i="155" s="1"/>
  <c r="S276" i="155" s="1"/>
  <c r="R185" i="155" a="1"/>
  <c r="R185" i="155" s="1"/>
  <c r="R240" i="155" a="1"/>
  <c r="R240" i="155" s="1"/>
  <c r="R282" i="155" a="1"/>
  <c r="R282" i="155" s="1"/>
  <c r="S282" i="155" s="1"/>
  <c r="R387" i="155" a="1"/>
  <c r="R387" i="155" s="1"/>
  <c r="R145" i="155" a="1"/>
  <c r="R145" i="155" s="1"/>
  <c r="R188" i="155" a="1"/>
  <c r="R188" i="155" s="1"/>
  <c r="R250" i="155" a="1"/>
  <c r="R250" i="155" s="1"/>
  <c r="S250" i="155" s="1"/>
  <c r="R254" i="155" a="1"/>
  <c r="R254" i="155" s="1"/>
  <c r="R105" i="155" a="1"/>
  <c r="R105" i="155" s="1"/>
  <c r="S105" i="155" s="1"/>
  <c r="T105" i="155" s="1"/>
  <c r="I150" i="154"/>
  <c r="R111" i="155" a="1"/>
  <c r="R111" i="155" s="1"/>
  <c r="R381" i="155" a="1"/>
  <c r="R381" i="155" s="1"/>
  <c r="R331" i="155" a="1"/>
  <c r="R331" i="155" s="1"/>
  <c r="S331" i="155" s="1"/>
  <c r="G100" i="154"/>
  <c r="I170" i="154"/>
  <c r="R186" i="155" a="1"/>
  <c r="R186" i="155" s="1"/>
  <c r="R160" i="155" a="1"/>
  <c r="R160" i="155" s="1"/>
  <c r="S160" i="155" s="1"/>
  <c r="G150" i="154"/>
  <c r="R339" i="155" a="1"/>
  <c r="R339" i="155" s="1"/>
  <c r="R203" i="155" a="1"/>
  <c r="R203" i="155" s="1"/>
  <c r="R193" i="155" a="1"/>
  <c r="R193" i="155" s="1"/>
  <c r="R368" i="155" a="1"/>
  <c r="R368" i="155" s="1"/>
  <c r="S368" i="155" s="1"/>
  <c r="R277" i="155" a="1"/>
  <c r="R277" i="155" s="1"/>
  <c r="S278" i="155" s="1"/>
  <c r="R360" i="155" a="1"/>
  <c r="R360" i="155" s="1"/>
  <c r="S360" i="155" s="1"/>
  <c r="R342" i="155" a="1"/>
  <c r="R342" i="155" s="1"/>
  <c r="S343" i="155" s="1"/>
  <c r="R242" i="155" a="1"/>
  <c r="R242" i="155" s="1"/>
  <c r="R109" i="155" a="1"/>
  <c r="R109" i="155" s="1"/>
  <c r="S109" i="155" s="1"/>
  <c r="R324" i="155" a="1"/>
  <c r="R324" i="155" s="1"/>
  <c r="R262" i="155" a="1"/>
  <c r="R262" i="155" s="1"/>
  <c r="G140" i="154"/>
  <c r="R390" i="155" a="1"/>
  <c r="R390" i="155" s="1"/>
  <c r="R376" i="155" a="1"/>
  <c r="R376" i="155" s="1"/>
  <c r="R175" i="155" a="1"/>
  <c r="R175" i="155" s="1"/>
  <c r="R155" i="155" a="1"/>
  <c r="R155" i="155" s="1"/>
  <c r="G130" i="154"/>
  <c r="R372" i="155" a="1"/>
  <c r="R372" i="155" s="1"/>
  <c r="R315" i="155" a="1"/>
  <c r="R315" i="155" s="1"/>
  <c r="R305" i="155" a="1"/>
  <c r="R305" i="155" s="1"/>
  <c r="R307" i="155" a="1"/>
  <c r="R307" i="155" s="1"/>
  <c r="S308" i="155" s="1"/>
  <c r="R361" i="155" a="1"/>
  <c r="R361" i="155" s="1"/>
  <c r="R238" i="155" a="1"/>
  <c r="R238" i="155" s="1"/>
  <c r="S238" i="155" s="1"/>
  <c r="R173" i="155" a="1"/>
  <c r="R173" i="155" s="1"/>
  <c r="R171" i="155" a="1"/>
  <c r="R171" i="155" s="1"/>
  <c r="R118" i="155" a="1"/>
  <c r="R118" i="155" s="1"/>
  <c r="R275" i="155" a="1"/>
  <c r="R275" i="155" s="1"/>
  <c r="R245" i="155" a="1"/>
  <c r="R245" i="155" s="1"/>
  <c r="I140" i="154"/>
  <c r="R215" i="155" a="1"/>
  <c r="R215" i="155" s="1"/>
  <c r="S215" i="155" s="1"/>
  <c r="R167" i="155" a="1"/>
  <c r="R167" i="155" s="1"/>
  <c r="S168" i="155" s="1"/>
  <c r="T169" i="155" s="1"/>
  <c r="R125" i="155" a="1"/>
  <c r="R125" i="155" s="1"/>
  <c r="R152" i="155" a="1"/>
  <c r="R152" i="155" s="1"/>
  <c r="R151" i="155" a="1"/>
  <c r="R151" i="155" s="1"/>
  <c r="R308" i="155" a="1"/>
  <c r="R308" i="155" s="1"/>
  <c r="R174" i="155" a="1"/>
  <c r="R174" i="155" s="1"/>
  <c r="R182" i="155" a="1"/>
  <c r="R182" i="155" s="1"/>
  <c r="S183" i="155" s="1"/>
  <c r="R208" i="155" a="1"/>
  <c r="R208" i="155" s="1"/>
  <c r="S208" i="155" s="1"/>
  <c r="R172" i="155" a="1"/>
  <c r="R172" i="155" s="1"/>
  <c r="S172" i="155" s="1"/>
  <c r="R356" i="155" a="1"/>
  <c r="R356" i="155" s="1"/>
  <c r="S356" i="155" s="1"/>
  <c r="R139" i="155" a="1"/>
  <c r="R139" i="155" s="1"/>
  <c r="R159" i="155" a="1"/>
  <c r="R159" i="155" s="1"/>
  <c r="G110" i="155"/>
  <c r="R110" i="155" a="1"/>
  <c r="R110" i="155" s="1"/>
  <c r="S110" i="155" s="1"/>
  <c r="R280" i="155" a="1"/>
  <c r="R280" i="155" s="1"/>
  <c r="S281" i="155" s="1"/>
  <c r="T282" i="155" s="1"/>
  <c r="I200" i="154"/>
  <c r="R332" i="155" a="1"/>
  <c r="R332" i="155" s="1"/>
  <c r="S332" i="155" s="1"/>
  <c r="T332" i="155" s="1"/>
  <c r="I120" i="155"/>
  <c r="R253" i="155" a="1"/>
  <c r="R253" i="155" s="1"/>
  <c r="R316" i="155" a="1"/>
  <c r="R316" i="155" s="1"/>
  <c r="R207" i="155" a="1"/>
  <c r="R207" i="155" s="1"/>
  <c r="R217" i="155" a="1"/>
  <c r="R217" i="155" s="1"/>
  <c r="S217" i="155" s="1"/>
  <c r="G110" i="154"/>
  <c r="R219" i="155" a="1"/>
  <c r="R219" i="155" s="1"/>
  <c r="S220" i="155" s="1"/>
  <c r="R386" i="155" a="1"/>
  <c r="R386" i="155" s="1"/>
  <c r="S387" i="155" s="1"/>
  <c r="R334" i="155" a="1"/>
  <c r="R334" i="155" s="1"/>
  <c r="R197" i="155" a="1"/>
  <c r="R197" i="155" s="1"/>
  <c r="R290" i="155" a="1"/>
  <c r="R290" i="155" s="1"/>
  <c r="R104" i="155" a="1"/>
  <c r="R104" i="155" s="1"/>
  <c r="R210" i="155" a="1"/>
  <c r="R210" i="155" s="1"/>
  <c r="S210" i="155" s="1"/>
  <c r="R283" i="155" a="1"/>
  <c r="R283" i="155" s="1"/>
  <c r="S283" i="155" s="1"/>
  <c r="T283" i="155" s="1"/>
  <c r="R279" i="155" a="1"/>
  <c r="R279" i="155" s="1"/>
  <c r="S279" i="155" s="1"/>
  <c r="R221" i="155" a="1"/>
  <c r="R221" i="155" s="1"/>
  <c r="S221" i="155" s="1"/>
  <c r="T221" i="155" s="1"/>
  <c r="I150" i="155"/>
  <c r="R170" i="155" a="1"/>
  <c r="R170" i="155" s="1"/>
  <c r="G170" i="155"/>
  <c r="R199" i="155" a="1"/>
  <c r="R199" i="155" s="1"/>
  <c r="R103" i="155" a="1"/>
  <c r="R103" i="155" s="1"/>
  <c r="S104" i="155" s="1"/>
  <c r="R261" i="155" a="1"/>
  <c r="R261" i="155" s="1"/>
  <c r="R313" i="155" a="1"/>
  <c r="R313" i="155" s="1"/>
  <c r="R113" i="155" a="1"/>
  <c r="R113" i="155" s="1"/>
  <c r="S113" i="155" s="1"/>
  <c r="R179" i="155" a="1"/>
  <c r="R179" i="155" s="1"/>
  <c r="R291" i="155" a="1"/>
  <c r="R291" i="155" s="1"/>
  <c r="R370" i="155" a="1"/>
  <c r="R370" i="155" s="1"/>
  <c r="R229" i="155" a="1"/>
  <c r="R229" i="155" s="1"/>
  <c r="R267" i="155" a="1"/>
  <c r="R267" i="155" s="1"/>
  <c r="R296" i="155" a="1"/>
  <c r="R296" i="155" s="1"/>
  <c r="S297" i="155" s="1"/>
  <c r="R222" i="155" a="1"/>
  <c r="R222" i="155" s="1"/>
  <c r="R154" i="155" a="1"/>
  <c r="R154" i="155" s="1"/>
  <c r="S154" i="155" s="1"/>
  <c r="R319" i="155" a="1"/>
  <c r="R319" i="155" s="1"/>
  <c r="R355" i="155" a="1"/>
  <c r="R355" i="155" s="1"/>
  <c r="R358" i="155" a="1"/>
  <c r="R358" i="155" s="1"/>
  <c r="R299" i="155" a="1"/>
  <c r="R299" i="155" s="1"/>
  <c r="S299" i="155" s="1"/>
  <c r="R243" i="155" a="1"/>
  <c r="R243" i="155" s="1"/>
  <c r="R142" i="155" a="1"/>
  <c r="R142" i="155" s="1"/>
  <c r="S143" i="155" s="1"/>
  <c r="I120" i="154"/>
  <c r="R116" i="155" a="1"/>
  <c r="R116" i="155" s="1"/>
  <c r="S117" i="155" s="1"/>
  <c r="G200" i="154"/>
  <c r="R183" i="155" a="1"/>
  <c r="R183" i="155" s="1"/>
  <c r="R325" i="155" a="1"/>
  <c r="R325" i="155" s="1"/>
  <c r="S325" i="155" s="1"/>
  <c r="R357" i="155" a="1"/>
  <c r="R357" i="155" s="1"/>
  <c r="R156" i="155" a="1"/>
  <c r="R156" i="155" s="1"/>
  <c r="S157" i="155" s="1"/>
  <c r="I130" i="155"/>
  <c r="G200" i="155"/>
  <c r="R200" i="155" a="1"/>
  <c r="R200" i="155" s="1"/>
  <c r="S200" i="155" s="1"/>
  <c r="R165" i="155" a="1"/>
  <c r="R165" i="155" s="1"/>
  <c r="S165" i="155" s="1"/>
  <c r="R135" i="155" a="1"/>
  <c r="R135" i="155" s="1"/>
  <c r="R130" i="155" a="1"/>
  <c r="R130" i="155" s="1"/>
  <c r="G130" i="155"/>
  <c r="R178" i="155" a="1"/>
  <c r="R178" i="155" s="1"/>
  <c r="S178" i="155" s="1"/>
  <c r="R126" i="155" a="1"/>
  <c r="R126" i="155" s="1"/>
  <c r="R231" i="155" a="1"/>
  <c r="R231" i="155" s="1"/>
  <c r="S231" i="155" s="1"/>
  <c r="R255" i="155" a="1"/>
  <c r="R255" i="155" s="1"/>
  <c r="R336" i="155" a="1"/>
  <c r="R336" i="155" s="1"/>
  <c r="S336" i="155" s="1"/>
  <c r="R321" i="155" a="1"/>
  <c r="R321" i="155" s="1"/>
  <c r="R249" i="155" a="1"/>
  <c r="R249" i="155" s="1"/>
  <c r="R364" i="155" a="1"/>
  <c r="R364" i="155" s="1"/>
  <c r="S364" i="155" s="1"/>
  <c r="G400" i="154"/>
  <c r="R206" i="155" a="1"/>
  <c r="R206" i="155" s="1"/>
  <c r="R120" i="155" a="1"/>
  <c r="R120" i="155" s="1"/>
  <c r="S120" i="155" s="1"/>
  <c r="G120" i="155"/>
  <c r="R294" i="155" a="1"/>
  <c r="R294" i="155" s="1"/>
  <c r="R166" i="155" a="1"/>
  <c r="R166" i="155" s="1"/>
  <c r="R201" i="155" a="1"/>
  <c r="R201" i="155" s="1"/>
  <c r="R212" i="155" a="1"/>
  <c r="R212" i="155" s="1"/>
  <c r="R362" i="155" a="1"/>
  <c r="R362" i="155" s="1"/>
  <c r="R198" i="155" a="1"/>
  <c r="R198" i="155" s="1"/>
  <c r="S198" i="155" s="1"/>
  <c r="R263" i="155" a="1"/>
  <c r="R263" i="155" s="1"/>
  <c r="S264" i="155" s="1"/>
  <c r="R247" i="155" a="1"/>
  <c r="R247" i="155" s="1"/>
  <c r="R184" i="155" a="1"/>
  <c r="R184" i="155" s="1"/>
  <c r="S184" i="155" s="1"/>
  <c r="R131" i="155" a="1"/>
  <c r="R131" i="155" s="1"/>
  <c r="R143" i="155" a="1"/>
  <c r="R143" i="155" s="1"/>
  <c r="R269" i="155" a="1"/>
  <c r="R269" i="155" s="1"/>
  <c r="R132" i="155" a="1"/>
  <c r="R132" i="155" s="1"/>
  <c r="S132" i="155" s="1"/>
  <c r="R354" i="155" a="1"/>
  <c r="R354" i="155" s="1"/>
  <c r="S354" i="155" s="1"/>
  <c r="R248" i="155" a="1"/>
  <c r="R248" i="155" s="1"/>
  <c r="R258" i="155" a="1"/>
  <c r="R258" i="155" s="1"/>
  <c r="S258" i="155" s="1"/>
  <c r="R287" i="155" a="1"/>
  <c r="R287" i="155" s="1"/>
  <c r="R241" i="155" a="1"/>
  <c r="R241" i="155" s="1"/>
  <c r="R204" i="155" a="1"/>
  <c r="R204" i="155" s="1"/>
  <c r="R115" i="155" a="1"/>
  <c r="R115" i="155" s="1"/>
  <c r="R371" i="155" a="1"/>
  <c r="R371" i="155" s="1"/>
  <c r="S371" i="155" s="1"/>
  <c r="R389" i="155" a="1"/>
  <c r="R389" i="155" s="1"/>
  <c r="S390" i="155" s="1"/>
  <c r="R388" i="155" a="1"/>
  <c r="R388" i="155" s="1"/>
  <c r="R286" i="155" a="1"/>
  <c r="R286" i="155" s="1"/>
  <c r="S286" i="155" s="1"/>
  <c r="R246" i="155" a="1"/>
  <c r="R246" i="155" s="1"/>
  <c r="R147" i="155" a="1"/>
  <c r="R147" i="155" s="1"/>
  <c r="R235" i="155" a="1"/>
  <c r="R235" i="155" s="1"/>
  <c r="R369" i="155" a="1"/>
  <c r="R369" i="155" s="1"/>
  <c r="R272" i="155" a="1"/>
  <c r="R272" i="155" s="1"/>
  <c r="R213" i="155" a="1"/>
  <c r="R213" i="155" s="1"/>
  <c r="S213" i="155" s="1"/>
  <c r="R380" i="155" a="1"/>
  <c r="R380" i="155" s="1"/>
  <c r="R205" i="155" a="1"/>
  <c r="R205" i="155" s="1"/>
  <c r="R190" i="155" a="1"/>
  <c r="R190" i="155" s="1"/>
  <c r="R302" i="155" a="1"/>
  <c r="R302" i="155" s="1"/>
  <c r="R350" i="155" a="1"/>
  <c r="R350" i="155" s="1"/>
  <c r="R153" i="155" a="1"/>
  <c r="R153" i="155" s="1"/>
  <c r="R284" i="155" a="1"/>
  <c r="R284" i="155" s="1"/>
  <c r="R289" i="155" a="1"/>
  <c r="R289" i="155" s="1"/>
  <c r="S290" i="155" s="1"/>
  <c r="R285" i="155" a="1"/>
  <c r="R285" i="155" s="1"/>
  <c r="R101" i="155" a="1"/>
  <c r="R101" i="155" s="1"/>
  <c r="G120" i="154"/>
  <c r="R237" i="155" a="1"/>
  <c r="R237" i="155" s="1"/>
  <c r="R169" i="155" a="1"/>
  <c r="R169" i="155" s="1"/>
  <c r="S169" i="155" s="1"/>
  <c r="R134" i="155" a="1"/>
  <c r="R134" i="155" s="1"/>
  <c r="R326" i="155" a="1"/>
  <c r="R326" i="155" s="1"/>
  <c r="S326" i="155" s="1"/>
  <c r="T326" i="155" s="1"/>
  <c r="R399" i="155" a="1"/>
  <c r="R399" i="155" s="1"/>
  <c r="R239" i="155" a="1"/>
  <c r="R239" i="155" s="1"/>
  <c r="R288" i="155" a="1"/>
  <c r="R288" i="155" s="1"/>
  <c r="S289" i="155" s="1"/>
  <c r="R233" i="155" a="1"/>
  <c r="R233" i="155" s="1"/>
  <c r="S233" i="155" s="1"/>
  <c r="R333" i="155" a="1"/>
  <c r="R333" i="155" s="1"/>
  <c r="R107" i="155" a="1"/>
  <c r="R107" i="155" s="1"/>
  <c r="S108" i="155" s="1"/>
  <c r="R345" i="155" a="1"/>
  <c r="R345" i="155" s="1"/>
  <c r="S345" i="155" s="1"/>
  <c r="R234" i="155" a="1"/>
  <c r="R234" i="155" s="1"/>
  <c r="R385" i="155" a="1"/>
  <c r="R385" i="155" s="1"/>
  <c r="S385" i="155" s="1"/>
  <c r="R252" i="155" a="1"/>
  <c r="R252" i="155" s="1"/>
  <c r="R251" i="155" a="1"/>
  <c r="R251" i="155" s="1"/>
  <c r="S252" i="155" s="1"/>
  <c r="R397" i="155" a="1"/>
  <c r="R397" i="155" s="1"/>
  <c r="R163" i="155" a="1"/>
  <c r="R163" i="155" s="1"/>
  <c r="R177" i="155" a="1"/>
  <c r="R177" i="155" s="1"/>
  <c r="R220" i="155" a="1"/>
  <c r="R220" i="155" s="1"/>
  <c r="R181" i="155" a="1"/>
  <c r="R181" i="155" s="1"/>
  <c r="I130" i="154"/>
  <c r="T110" i="155"/>
  <c r="S129" i="155"/>
  <c r="S357" i="155"/>
  <c r="T357" i="155" s="1"/>
  <c r="S145" i="155"/>
  <c r="S350" i="155"/>
  <c r="S107" i="155"/>
  <c r="T108" i="155" s="1"/>
  <c r="S358" i="155"/>
  <c r="S291" i="155"/>
  <c r="S204" i="155"/>
  <c r="S316" i="155"/>
  <c r="S230" i="155"/>
  <c r="S170" i="155"/>
  <c r="T170" i="155" s="1"/>
  <c r="S257" i="155"/>
  <c r="T109" i="155"/>
  <c r="D21" i="123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S162" i="155" l="1"/>
  <c r="S384" i="155"/>
  <c r="S194" i="155"/>
  <c r="S144" i="155"/>
  <c r="T144" i="155" s="1"/>
  <c r="S361" i="155"/>
  <c r="T361" i="155" s="1"/>
  <c r="S240" i="155"/>
  <c r="S380" i="155"/>
  <c r="S389" i="155"/>
  <c r="T389" i="155" s="1"/>
  <c r="S313" i="155"/>
  <c r="T313" i="155" s="1"/>
  <c r="T279" i="155"/>
  <c r="S376" i="155"/>
  <c r="S391" i="155"/>
  <c r="T391" i="155" s="1"/>
  <c r="S128" i="155"/>
  <c r="T129" i="155" s="1"/>
  <c r="S123" i="155"/>
  <c r="T123" i="155" s="1"/>
  <c r="S133" i="155"/>
  <c r="S247" i="155"/>
  <c r="S399" i="155"/>
  <c r="M101" i="155"/>
  <c r="S273" i="155"/>
  <c r="S125" i="155"/>
  <c r="S243" i="155"/>
  <c r="T244" i="155" s="1"/>
  <c r="S338" i="155"/>
  <c r="S126" i="155"/>
  <c r="S180" i="155"/>
  <c r="S191" i="155"/>
  <c r="T192" i="155" s="1"/>
  <c r="S272" i="155"/>
  <c r="S181" i="155"/>
  <c r="S304" i="155"/>
  <c r="T304" i="155" s="1"/>
  <c r="S347" i="155"/>
  <c r="S103" i="155"/>
  <c r="T103" i="155" s="1"/>
  <c r="S242" i="155"/>
  <c r="S241" i="155"/>
  <c r="T241" i="155" s="1"/>
  <c r="S197" i="155"/>
  <c r="S375" i="155"/>
  <c r="S228" i="155"/>
  <c r="T229" i="155" s="1"/>
  <c r="S135" i="155"/>
  <c r="T136" i="155" s="1"/>
  <c r="T198" i="155"/>
  <c r="T230" i="155"/>
  <c r="S131" i="155"/>
  <c r="S152" i="155"/>
  <c r="T152" i="155" s="1"/>
  <c r="S179" i="155"/>
  <c r="S362" i="155"/>
  <c r="S330" i="155"/>
  <c r="T331" i="155" s="1"/>
  <c r="S234" i="155"/>
  <c r="S246" i="155"/>
  <c r="S320" i="155"/>
  <c r="T321" i="155" s="1"/>
  <c r="T225" i="155"/>
  <c r="S346" i="155"/>
  <c r="T346" i="155" s="1"/>
  <c r="S227" i="155"/>
  <c r="T227" i="155" s="1"/>
  <c r="S232" i="155"/>
  <c r="T233" i="155" s="1"/>
  <c r="S369" i="155"/>
  <c r="T369" i="155" s="1"/>
  <c r="S269" i="155"/>
  <c r="T269" i="155" s="1"/>
  <c r="S296" i="155"/>
  <c r="T297" i="155" s="1"/>
  <c r="S288" i="155"/>
  <c r="T289" i="155" s="1"/>
  <c r="S372" i="155"/>
  <c r="T372" i="155" s="1"/>
  <c r="S138" i="155"/>
  <c r="T138" i="155" s="1"/>
  <c r="S370" i="155"/>
  <c r="S381" i="155"/>
  <c r="T381" i="155" s="1"/>
  <c r="S314" i="155"/>
  <c r="T314" i="155" s="1"/>
  <c r="S137" i="155"/>
  <c r="T137" i="155" s="1"/>
  <c r="S323" i="155"/>
  <c r="T323" i="155" s="1"/>
  <c r="S355" i="155"/>
  <c r="T355" i="155" s="1"/>
  <c r="S307" i="155"/>
  <c r="S294" i="155"/>
  <c r="S149" i="155"/>
  <c r="T149" i="155" s="1"/>
  <c r="T133" i="155"/>
  <c r="S353" i="155"/>
  <c r="T354" i="155" s="1"/>
  <c r="S293" i="155"/>
  <c r="T293" i="155" s="1"/>
  <c r="S395" i="155"/>
  <c r="T396" i="155" s="1"/>
  <c r="T309" i="155"/>
  <c r="K101" i="154"/>
  <c r="M101" i="154"/>
  <c r="S212" i="155"/>
  <c r="T212" i="155" s="1"/>
  <c r="K101" i="155"/>
  <c r="O101" i="155" s="1"/>
  <c r="O103" i="155" s="1"/>
  <c r="S130" i="155"/>
  <c r="S248" i="155"/>
  <c r="S392" i="155"/>
  <c r="T392" i="155" s="1"/>
  <c r="S318" i="155"/>
  <c r="T318" i="155" s="1"/>
  <c r="S156" i="155"/>
  <c r="T211" i="155"/>
  <c r="S388" i="155"/>
  <c r="T388" i="155" s="1"/>
  <c r="S255" i="155"/>
  <c r="S219" i="155"/>
  <c r="T220" i="155" s="1"/>
  <c r="S365" i="155"/>
  <c r="T366" i="155" s="1"/>
  <c r="S167" i="155"/>
  <c r="T168" i="155" s="1"/>
  <c r="S397" i="155"/>
  <c r="T397" i="155" s="1"/>
  <c r="S190" i="155"/>
  <c r="S287" i="155"/>
  <c r="T287" i="155" s="1"/>
  <c r="S185" i="155"/>
  <c r="T185" i="155" s="1"/>
  <c r="S174" i="155"/>
  <c r="S379" i="155"/>
  <c r="T379" i="155" s="1"/>
  <c r="S301" i="155"/>
  <c r="S265" i="155"/>
  <c r="T265" i="155" s="1"/>
  <c r="S337" i="155"/>
  <c r="S267" i="155"/>
  <c r="T268" i="155" s="1"/>
  <c r="S383" i="155"/>
  <c r="T383" i="155" s="1"/>
  <c r="S176" i="155"/>
  <c r="S203" i="155"/>
  <c r="S202" i="155"/>
  <c r="S306" i="155"/>
  <c r="S259" i="155"/>
  <c r="T259" i="155" s="1"/>
  <c r="S342" i="155"/>
  <c r="T342" i="155" s="1"/>
  <c r="S187" i="155"/>
  <c r="S175" i="155"/>
  <c r="S142" i="155"/>
  <c r="T143" i="155" s="1"/>
  <c r="S277" i="155"/>
  <c r="T277" i="155" s="1"/>
  <c r="T358" i="155"/>
  <c r="S124" i="155"/>
  <c r="S116" i="155"/>
  <c r="T117" i="155" s="1"/>
  <c r="S280" i="155"/>
  <c r="T280" i="155" s="1"/>
  <c r="S285" i="155"/>
  <c r="T286" i="155" s="1"/>
  <c r="S189" i="155"/>
  <c r="S106" i="155"/>
  <c r="T106" i="155" s="1"/>
  <c r="S193" i="155"/>
  <c r="T193" i="155" s="1"/>
  <c r="S134" i="155"/>
  <c r="T134" i="155" s="1"/>
  <c r="S300" i="155"/>
  <c r="T300" i="155" s="1"/>
  <c r="S199" i="155"/>
  <c r="T199" i="155" s="1"/>
  <c r="S207" i="155"/>
  <c r="S315" i="155"/>
  <c r="T316" i="155" s="1"/>
  <c r="S262" i="155"/>
  <c r="S270" i="155"/>
  <c r="S102" i="155"/>
  <c r="T329" i="155"/>
  <c r="S367" i="155"/>
  <c r="T367" i="155" s="1"/>
  <c r="S363" i="155"/>
  <c r="S222" i="155"/>
  <c r="T222" i="155" s="1"/>
  <c r="S239" i="155"/>
  <c r="T239" i="155" s="1"/>
  <c r="S310" i="155"/>
  <c r="T310" i="155" s="1"/>
  <c r="S386" i="155"/>
  <c r="T386" i="155" s="1"/>
  <c r="S209" i="155"/>
  <c r="T209" i="155" s="1"/>
  <c r="S206" i="155"/>
  <c r="S141" i="155"/>
  <c r="S114" i="155"/>
  <c r="T115" i="155" s="1"/>
  <c r="S150" i="155"/>
  <c r="T151" i="155" s="1"/>
  <c r="T298" i="155"/>
  <c r="S263" i="155"/>
  <c r="T264" i="155" s="1"/>
  <c r="S216" i="155"/>
  <c r="T216" i="155" s="1"/>
  <c r="S271" i="155"/>
  <c r="S182" i="155"/>
  <c r="T182" i="155" s="1"/>
  <c r="S245" i="155"/>
  <c r="T245" i="155" s="1"/>
  <c r="S305" i="155"/>
  <c r="T305" i="155" s="1"/>
  <c r="S393" i="155"/>
  <c r="S400" i="155"/>
  <c r="T400" i="155" s="1"/>
  <c r="S101" i="155"/>
  <c r="T258" i="155"/>
  <c r="S173" i="155"/>
  <c r="T173" i="155" s="1"/>
  <c r="S398" i="155"/>
  <c r="S274" i="155"/>
  <c r="T274" i="155" s="1"/>
  <c r="S127" i="155"/>
  <c r="S223" i="155"/>
  <c r="T224" i="155" s="1"/>
  <c r="S111" i="155"/>
  <c r="T111" i="155" s="1"/>
  <c r="S188" i="155"/>
  <c r="S333" i="155"/>
  <c r="T333" i="155" s="1"/>
  <c r="S196" i="155"/>
  <c r="T196" i="155" s="1"/>
  <c r="T317" i="155"/>
  <c r="S348" i="155"/>
  <c r="S251" i="155"/>
  <c r="S284" i="155"/>
  <c r="T284" i="155" s="1"/>
  <c r="S339" i="155"/>
  <c r="S266" i="155"/>
  <c r="S177" i="155"/>
  <c r="T178" i="155" s="1"/>
  <c r="S235" i="155"/>
  <c r="T236" i="155" s="1"/>
  <c r="S205" i="155"/>
  <c r="T205" i="155" s="1"/>
  <c r="S201" i="155"/>
  <c r="T201" i="155" s="1"/>
  <c r="S249" i="155"/>
  <c r="S159" i="155"/>
  <c r="T159" i="155" s="1"/>
  <c r="S118" i="155"/>
  <c r="T118" i="155" s="1"/>
  <c r="S373" i="155"/>
  <c r="S324" i="155"/>
  <c r="S161" i="155"/>
  <c r="T162" i="155" s="1"/>
  <c r="S218" i="155"/>
  <c r="T218" i="155" s="1"/>
  <c r="S352" i="155"/>
  <c r="S351" i="155"/>
  <c r="T351" i="155" s="1"/>
  <c r="S340" i="155"/>
  <c r="S335" i="155"/>
  <c r="T336" i="155" s="1"/>
  <c r="S261" i="155"/>
  <c r="S214" i="155"/>
  <c r="T214" i="155" s="1"/>
  <c r="S327" i="155"/>
  <c r="S349" i="155"/>
  <c r="T350" i="155" s="1"/>
  <c r="S119" i="155"/>
  <c r="S155" i="155"/>
  <c r="T155" i="155" s="1"/>
  <c r="S186" i="155"/>
  <c r="S377" i="155"/>
  <c r="T377" i="155" s="1"/>
  <c r="S260" i="155"/>
  <c r="S254" i="155"/>
  <c r="S319" i="155"/>
  <c r="S163" i="155"/>
  <c r="T163" i="155" s="1"/>
  <c r="S334" i="155"/>
  <c r="S237" i="155"/>
  <c r="T237" i="155" s="1"/>
  <c r="S302" i="155"/>
  <c r="S147" i="155"/>
  <c r="T147" i="155" s="1"/>
  <c r="S166" i="155"/>
  <c r="T166" i="155" s="1"/>
  <c r="S253" i="155"/>
  <c r="T253" i="155" s="1"/>
  <c r="S139" i="155"/>
  <c r="S153" i="155"/>
  <c r="S171" i="155"/>
  <c r="T172" i="155" s="1"/>
  <c r="S374" i="155"/>
  <c r="S359" i="155"/>
  <c r="T360" i="155" s="1"/>
  <c r="S112" i="155"/>
  <c r="S295" i="155"/>
  <c r="S164" i="155"/>
  <c r="S275" i="155"/>
  <c r="T275" i="155" s="1"/>
  <c r="S121" i="155"/>
  <c r="T122" i="155" s="1"/>
  <c r="S256" i="155"/>
  <c r="T385" i="155"/>
  <c r="T308" i="155"/>
  <c r="T344" i="155"/>
  <c r="T290" i="155"/>
  <c r="T195" i="155"/>
  <c r="T234" i="155"/>
  <c r="T291" i="155"/>
  <c r="T312" i="155"/>
  <c r="T157" i="155"/>
  <c r="T292" i="155"/>
  <c r="T299" i="155"/>
  <c r="T158" i="155"/>
  <c r="T231" i="155"/>
  <c r="T146" i="155"/>
  <c r="T145" i="155"/>
  <c r="T257" i="155"/>
  <c r="T359" i="155"/>
  <c r="T322" i="155"/>
  <c r="T281" i="155"/>
  <c r="T132" i="155"/>
  <c r="T226" i="155"/>
  <c r="T184" i="155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T124" i="155" l="1"/>
  <c r="T295" i="155"/>
  <c r="T376" i="155"/>
  <c r="T114" i="155"/>
  <c r="T387" i="155"/>
  <c r="T339" i="155"/>
  <c r="T362" i="155"/>
  <c r="T320" i="155"/>
  <c r="T395" i="155"/>
  <c r="T338" i="155"/>
  <c r="T330" i="155"/>
  <c r="T128" i="155"/>
  <c r="T191" i="155"/>
  <c r="T248" i="155"/>
  <c r="T247" i="155"/>
  <c r="T273" i="155"/>
  <c r="T390" i="155"/>
  <c r="T131" i="155"/>
  <c r="T243" i="155"/>
  <c r="T126" i="155"/>
  <c r="T272" i="155"/>
  <c r="T356" i="155"/>
  <c r="T365" i="155"/>
  <c r="T213" i="155"/>
  <c r="T370" i="155"/>
  <c r="T180" i="155"/>
  <c r="T104" i="155"/>
  <c r="T373" i="155"/>
  <c r="T270" i="155"/>
  <c r="T176" i="155"/>
  <c r="O101" i="154"/>
  <c r="T181" i="155"/>
  <c r="T116" i="155"/>
  <c r="T210" i="155"/>
  <c r="T125" i="155"/>
  <c r="T228" i="155"/>
  <c r="T139" i="155"/>
  <c r="T398" i="155"/>
  <c r="T363" i="155"/>
  <c r="T371" i="155"/>
  <c r="T217" i="155"/>
  <c r="T393" i="155"/>
  <c r="T235" i="155"/>
  <c r="T262" i="155"/>
  <c r="T174" i="155"/>
  <c r="T343" i="155"/>
  <c r="T179" i="155"/>
  <c r="T382" i="155"/>
  <c r="T232" i="155"/>
  <c r="T194" i="155"/>
  <c r="T249" i="155"/>
  <c r="T130" i="155"/>
  <c r="T378" i="155"/>
  <c r="T153" i="155"/>
  <c r="T242" i="155"/>
  <c r="T150" i="155"/>
  <c r="T107" i="155"/>
  <c r="T334" i="155"/>
  <c r="T203" i="155"/>
  <c r="T171" i="155"/>
  <c r="T204" i="155"/>
  <c r="T288" i="155"/>
  <c r="T189" i="155"/>
  <c r="T156" i="155"/>
  <c r="T294" i="155"/>
  <c r="T347" i="155"/>
  <c r="T119" i="155"/>
  <c r="T260" i="155"/>
  <c r="T112" i="155"/>
  <c r="T261" i="155"/>
  <c r="T140" i="155"/>
  <c r="T142" i="155"/>
  <c r="T263" i="155"/>
  <c r="T255" i="155"/>
  <c r="T302" i="155"/>
  <c r="T380" i="155"/>
  <c r="T187" i="155"/>
  <c r="T399" i="155"/>
  <c r="T215" i="155"/>
  <c r="T200" i="155"/>
  <c r="T197" i="155"/>
  <c r="T296" i="155"/>
  <c r="T141" i="155"/>
  <c r="T340" i="155"/>
  <c r="T285" i="155"/>
  <c r="T315" i="155"/>
  <c r="T252" i="155"/>
  <c r="T251" i="155"/>
  <c r="T183" i="155"/>
  <c r="T349" i="155"/>
  <c r="T348" i="155"/>
  <c r="T175" i="155"/>
  <c r="T250" i="155"/>
  <c r="T246" i="155"/>
  <c r="T190" i="155"/>
  <c r="T219" i="155"/>
  <c r="T240" i="155"/>
  <c r="T276" i="155"/>
  <c r="T120" i="155"/>
  <c r="T160" i="155"/>
  <c r="T148" i="155"/>
  <c r="T121" i="155"/>
  <c r="T327" i="155"/>
  <c r="T328" i="155"/>
  <c r="T311" i="155"/>
  <c r="T324" i="155"/>
  <c r="T325" i="155"/>
  <c r="T271" i="155"/>
  <c r="T303" i="155"/>
  <c r="T127" i="155"/>
  <c r="T267" i="155"/>
  <c r="T223" i="155"/>
  <c r="T374" i="155"/>
  <c r="T375" i="155"/>
  <c r="T186" i="155"/>
  <c r="T266" i="155"/>
  <c r="T306" i="155"/>
  <c r="T301" i="155"/>
  <c r="T384" i="155"/>
  <c r="T341" i="155"/>
  <c r="T368" i="155"/>
  <c r="T337" i="155"/>
  <c r="T238" i="155"/>
  <c r="T164" i="155"/>
  <c r="T165" i="155"/>
  <c r="T352" i="155"/>
  <c r="T353" i="155"/>
  <c r="T254" i="155"/>
  <c r="T177" i="155"/>
  <c r="T206" i="155"/>
  <c r="T113" i="155"/>
  <c r="T161" i="155"/>
  <c r="T278" i="155"/>
  <c r="T319" i="155"/>
  <c r="T256" i="155"/>
  <c r="T335" i="155"/>
  <c r="T188" i="155"/>
  <c r="T102" i="155"/>
  <c r="T154" i="155"/>
  <c r="T208" i="155"/>
  <c r="T207" i="155"/>
  <c r="T135" i="155"/>
  <c r="T202" i="155"/>
  <c r="T167" i="155"/>
  <c r="T364" i="155"/>
  <c r="T394" i="155"/>
  <c r="T307" i="155"/>
  <c r="I50" i="92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X101" i="155" l="1"/>
  <c r="AA101" i="155" s="1"/>
  <c r="AF101" i="155"/>
  <c r="K4" i="9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<sst xmlns="http://schemas.openxmlformats.org/spreadsheetml/2006/main" count="1630" uniqueCount="419">
  <si>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</si>
  <si>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</si>
  <si>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</si>
  <si>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</si>
  <si>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</si>
  <si>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</si>
  <si>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</si>
  <si>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</si>
  <si>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</si>
  <si>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</si>
  <si>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</si>
  <si>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</si>
  <si>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</si>
  <si>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</si>
  <si>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</si>
  <si>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</si>
  <si>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</si>
  <si>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</si>
  <si>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</si>
  <si>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</si>
  <si>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</si>
  <si>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</si>
  <si>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</si>
  <si>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</si>
  <si>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</si>
  <si>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</si>
  <si>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</si>
  <si>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</si>
  <si>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</si>
  <si>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</si>
  <si>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</si>
  <si>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</si>
  <si>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</si>
  <si>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</si>
  <si>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</si>
  <si>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</si>
  <si>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</si>
  <si>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</si>
  <si>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</si>
  <si>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</si>
  <si>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</si>
  <si>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</si>
  <si>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</si>
  <si>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</si>
  <si>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</si>
  <si>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</si>
  <si>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</si>
  <si>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</si>
  <si>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</si>
  <si>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</si>
  <si>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</si>
  <si>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</si>
  <si>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</si>
  <si>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</si>
  <si>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</si>
  <si>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</si>
  <si>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</si>
  <si>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</si>
  <si>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</si>
  <si>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</si>
  <si>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</si>
  <si>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</si>
  <si>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</si>
  <si>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</si>
  <si>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</si>
  <si>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</si>
  <si>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</si>
  <si>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</si>
  <si>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</si>
  <si>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</si>
  <si>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</si>
  <si>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</si>
  <si>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</si>
  <si>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</si>
  <si>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</si>
  <si>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</si>
  <si>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</si>
  <si>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</si>
  <si>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</si>
  <si>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</si>
  <si>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</si>
  <si>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</si>
  <si>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</si>
  <si>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</si>
  <si>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</si>
  <si>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</si>
  <si>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</si>
  <si>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</si>
  <si>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</si>
  <si>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</si>
  <si>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</si>
  <si>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</si>
  <si>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</si>
  <si>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</si>
  <si>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</si>
  <si>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</si>
  <si>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</si>
  <si>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</si>
  <si>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</si>
  <si>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</si>
  <si>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</si>
  <si>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</si>
  <si>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</si>
  <si>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</si>
  <si>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</si>
  <si>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</si>
  <si>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</si>
  <si>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</si>
  <si>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</si>
  <si>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</si>
  <si>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</si>
  <si>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</si>
  <si>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</si>
  <si>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</si>
  <si>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</si>
  <si>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</si>
  <si>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</si>
  <si>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</si>
  <si>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</si>
  <si>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</si>
  <si>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</si>
  <si>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</si>
  <si>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</si>
  <si>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</si>
  <si>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</si>
  <si>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</si>
  <si>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</si>
  <si>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</si>
  <si>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</si>
  <si>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</si>
  <si>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</si>
  <si>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</si>
  <si>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</si>
  <si>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</si>
  <si>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</si>
  <si>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</si>
  <si>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</si>
  <si>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</si>
  <si>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</si>
  <si>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</si>
  <si>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</si>
  <si>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</si>
  <si>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</si>
  <si>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</si>
  <si>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</si>
  <si>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</si>
  <si>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</si>
  <si>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</si>
  <si>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</si>
  <si>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</si>
  <si>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</si>
  <si>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</si>
  <si>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</si>
  <si>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</si>
  <si>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</si>
  <si>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</si>
  <si>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</si>
  <si>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</si>
  <si>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</si>
  <si>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</si>
  <si>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</si>
  <si>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</si>
  <si>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</si>
  <si>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</si>
  <si>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</si>
  <si>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</si>
  <si>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</si>
  <si>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</si>
  <si>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</si>
  <si>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</si>
  <si>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</si>
  <si>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</si>
  <si>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</si>
  <si>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</si>
  <si>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</si>
  <si>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</si>
  <si>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</si>
  <si>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</si>
  <si>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</si>
  <si>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</si>
  <si>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</si>
  <si>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</si>
  <si>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</si>
  <si>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</si>
  <si>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</si>
  <si>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</si>
  <si>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</si>
  <si>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</si>
  <si>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</si>
  <si>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</si>
  <si>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</si>
  <si>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</si>
  <si>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</si>
  <si>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</si>
  <si>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</si>
  <si>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</si>
  <si>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</si>
  <si>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</si>
  <si>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</si>
  <si>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</si>
  <si>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</si>
  <si>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</si>
  <si>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</si>
  <si>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</si>
  <si>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</si>
  <si>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</si>
  <si>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</si>
  <si>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</si>
  <si>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</si>
  <si>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</si>
  <si>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</si>
  <si>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</si>
  <si>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</si>
  <si>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</si>
  <si>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</si>
  <si>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</si>
  <si>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</si>
  <si>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</si>
  <si>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</si>
  <si>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</si>
  <si>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</si>
  <si>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</si>
  <si>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</si>
  <si>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</si>
  <si>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</si>
  <si>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</si>
  <si>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</si>
  <si>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</si>
  <si>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</si>
  <si>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</si>
  <si>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</si>
  <si>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</si>
  <si>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</si>
  <si>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</si>
  <si>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</si>
  <si>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</si>
  <si>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</si>
  <si>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</si>
  <si>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</si>
  <si>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</si>
  <si>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</si>
  <si>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</si>
  <si>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</si>
  <si>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</si>
  <si>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</si>
  <si>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</si>
  <si>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</si>
  <si>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</si>
  <si>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</si>
  <si>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</si>
  <si>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</si>
  <si>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</si>
  <si>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</si>
  <si>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</si>
  <si>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</si>
  <si>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</si>
  <si>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</si>
  <si>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</si>
  <si>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</si>
  <si>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</si>
  <si>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</si>
  <si>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</si>
  <si>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</si>
  <si>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</si>
  <si>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</si>
  <si>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</si>
  <si>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</si>
  <si>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</si>
  <si>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</si>
  <si>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</si>
  <si>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</si>
  <si>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</si>
  <si>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</si>
  <si>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</si>
  <si>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</si>
  <si>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</si>
  <si>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</si>
  <si>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</si>
  <si>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</si>
  <si>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</si>
  <si>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</si>
  <si>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</si>
  <si>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</si>
  <si>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</si>
  <si>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</si>
  <si>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</si>
  <si>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</si>
  <si>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</si>
  <si>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</si>
  <si>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</si>
  <si>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</si>
  <si>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</si>
  <si>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</si>
  <si>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</si>
  <si>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</si>
  <si>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</si>
  <si>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</si>
  <si>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</si>
  <si>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</si>
  <si>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</si>
  <si>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</si>
  <si>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</si>
  <si>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</si>
  <si>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</si>
  <si>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</si>
  <si>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</si>
  <si>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</si>
  <si>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</si>
  <si>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</si>
  <si>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</si>
  <si>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</si>
  <si>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</si>
  <si>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</si>
  <si>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</si>
  <si>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</si>
  <si>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</si>
  <si>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</si>
  <si>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</si>
  <si>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</si>
  <si>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</si>
  <si>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</si>
  <si>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</si>
  <si>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</si>
  <si>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</si>
  <si>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</si>
  <si>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</si>
  <si>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</si>
  <si>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</si>
  <si>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</si>
  <si>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</si>
  <si>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</si>
  <si>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</si>
  <si>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</si>
  <si>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</si>
  <si>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</si>
  <si>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</si>
  <si>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</si>
  <si>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</si>
  <si>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</si>
  <si>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</si>
  <si>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</si>
  <si>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</si>
  <si>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</si>
  <si>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</si>
  <si>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</si>
  <si>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</si>
  <si>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</si>
  <si>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</si>
  <si>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</si>
  <si>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</si>
  <si>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</si>
  <si>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</si>
  <si>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</si>
  <si>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</si>
  <si>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</si>
  <si>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</si>
  <si>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</si>
  <si>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</si>
  <si>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</si>
  <si>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</si>
  <si>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</si>
  <si>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</si>
  <si>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</si>
  <si>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</si>
  <si>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</si>
  <si>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</si>
  <si>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</si>
  <si>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</si>
  <si>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</si>
  <si>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</si>
  <si>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</si>
  <si>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</si>
  <si>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</si>
  <si>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</si>
  <si>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</si>
  <si>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</si>
  <si>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</si>
  <si>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Offer and example of conditional independence.</t>
  </si>
  <si>
    <t>What is P(A|Z &amp;B|Z &amp;C|Z &amp;D|Z) * P(Z) when A B C D are all conditionally-dependent-given Z?</t>
  </si>
  <si>
    <t>NaïveBayes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</si>
  <si>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</si>
  <si>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</si>
  <si>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</si>
  <si>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</si>
  <si>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</si>
  <si>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</si>
  <si>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</si>
  <si>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</si>
  <si>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</si>
  <si>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</si>
  <si>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</si>
  <si>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</si>
  <si>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</si>
  <si>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</si>
  <si>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</si>
  <si>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</si>
  <si>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</si>
  <si>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</si>
  <si>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</si>
  <si>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</si>
  <si>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</si>
  <si>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</si>
  <si>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Mathematically, describe Gini Impurity for two categorices in terms of Bernoulli variance.</t>
  </si>
  <si>
    <t>So,</t>
  </si>
  <si>
    <t>Find the function f.</t>
  </si>
  <si>
    <t>Gini = f(Bernoulli Variance)</t>
  </si>
  <si>
    <t>Calculate individual contributions.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</si>
  <si>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</si>
  <si>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</si>
  <si>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</si>
  <si>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</si>
  <si>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</si>
  <si>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</si>
  <si>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</si>
  <si>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</si>
  <si>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</si>
  <si>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</si>
  <si>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NewtonsMethod4Optimization</t>
  </si>
  <si>
    <t>NewtonsMethod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</si>
</sst>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3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2.xml"/><Relationship Id="rId68" Type="http://schemas.openxmlformats.org/officeDocument/2006/relationships/externalLink" Target="externalLinks/externalLink7.xml"/><Relationship Id="rId84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3.xml"/><Relationship Id="rId79" Type="http://schemas.openxmlformats.org/officeDocument/2006/relationships/externalLink" Target="externalLinks/externalLink18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3.xml"/><Relationship Id="rId69" Type="http://schemas.openxmlformats.org/officeDocument/2006/relationships/externalLink" Target="externalLinks/externalLink8.xml"/><Relationship Id="rId77" Type="http://schemas.openxmlformats.org/officeDocument/2006/relationships/externalLink" Target="externalLinks/externalLink1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1.xml"/><Relationship Id="rId80" Type="http://schemas.openxmlformats.org/officeDocument/2006/relationships/externalLink" Target="externalLinks/externalLink19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1.xml"/><Relationship Id="rId70" Type="http://schemas.openxmlformats.org/officeDocument/2006/relationships/externalLink" Target="externalLinks/externalLink9.xml"/><Relationship Id="rId75" Type="http://schemas.openxmlformats.org/officeDocument/2006/relationships/externalLink" Target="externalLinks/externalLink14.xml"/><Relationship Id="rId83" Type="http://schemas.openxmlformats.org/officeDocument/2006/relationships/theme" Target="theme/theme1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4.xml"/><Relationship Id="rId73" Type="http://schemas.openxmlformats.org/officeDocument/2006/relationships/externalLink" Target="externalLinks/externalLink12.xml"/><Relationship Id="rId78" Type="http://schemas.openxmlformats.org/officeDocument/2006/relationships/externalLink" Target="externalLinks/externalLink17.xml"/><Relationship Id="rId81" Type="http://schemas.openxmlformats.org/officeDocument/2006/relationships/externalLink" Target="externalLinks/externalLink20.xml"/><Relationship Id="rId86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4.2485899126281108</c:v>
                </c:pt>
                <c:pt idx="1">
                  <c:v>4.0178689820854085</c:v>
                </c:pt>
                <c:pt idx="2">
                  <c:v>4.0266961369480549</c:v>
                </c:pt>
                <c:pt idx="3">
                  <c:v>3.720328299676317</c:v>
                </c:pt>
                <c:pt idx="4">
                  <c:v>3.6881814391434902</c:v>
                </c:pt>
                <c:pt idx="5">
                  <c:v>3.5269367224058148</c:v>
                </c:pt>
                <c:pt idx="6">
                  <c:v>4.6101011518360693</c:v>
                </c:pt>
                <c:pt idx="7">
                  <c:v>3.85227693887256</c:v>
                </c:pt>
                <c:pt idx="8">
                  <c:v>3.5121159090580654</c:v>
                </c:pt>
                <c:pt idx="9">
                  <c:v>4.1884337716177154</c:v>
                </c:pt>
                <c:pt idx="10">
                  <c:v>1.6964604223066595</c:v>
                </c:pt>
                <c:pt idx="11">
                  <c:v>1.6651868557285525</c:v>
                </c:pt>
                <c:pt idx="12">
                  <c:v>1.9525117134848642</c:v>
                </c:pt>
                <c:pt idx="13">
                  <c:v>1.9904748280065472</c:v>
                </c:pt>
                <c:pt idx="14">
                  <c:v>2.2344898156812483</c:v>
                </c:pt>
                <c:pt idx="15">
                  <c:v>2.0403828434536773</c:v>
                </c:pt>
                <c:pt idx="16">
                  <c:v>1.6774228213418234</c:v>
                </c:pt>
                <c:pt idx="17">
                  <c:v>2.0073307946101764</c:v>
                </c:pt>
                <c:pt idx="18">
                  <c:v>1.8584768390020592</c:v>
                </c:pt>
                <c:pt idx="19">
                  <c:v>1.8381601804670433</c:v>
                </c:pt>
                <c:pt idx="20">
                  <c:v>1.9260168115639267</c:v>
                </c:pt>
                <c:pt idx="21">
                  <c:v>1.9175135186442778</c:v>
                </c:pt>
                <c:pt idx="22">
                  <c:v>1.9495594811179062</c:v>
                </c:pt>
                <c:pt idx="23">
                  <c:v>1.3804522973665168</c:v>
                </c:pt>
                <c:pt idx="24">
                  <c:v>1.670918000224116</c:v>
                </c:pt>
                <c:pt idx="25">
                  <c:v>2.0874240038746286</c:v>
                </c:pt>
                <c:pt idx="26">
                  <c:v>1.9629337155181918</c:v>
                </c:pt>
                <c:pt idx="27">
                  <c:v>2.0632413098212465</c:v>
                </c:pt>
                <c:pt idx="28">
                  <c:v>1.5515488395258619</c:v>
                </c:pt>
                <c:pt idx="29">
                  <c:v>2.3638374541578226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5.6697706022447756</c:v>
                </c:pt>
                <c:pt idx="1">
                  <c:v>6.1190474307973188</c:v>
                </c:pt>
                <c:pt idx="2">
                  <c:v>5.8911240860163776</c:v>
                </c:pt>
                <c:pt idx="3">
                  <c:v>6.1955135078451793</c:v>
                </c:pt>
                <c:pt idx="4">
                  <c:v>6.1534849817516495</c:v>
                </c:pt>
                <c:pt idx="5">
                  <c:v>5.8060045902663369</c:v>
                </c:pt>
                <c:pt idx="6">
                  <c:v>6.062563052886806</c:v>
                </c:pt>
                <c:pt idx="7">
                  <c:v>6.1278487640993484</c:v>
                </c:pt>
                <c:pt idx="8">
                  <c:v>5.8620951706602726</c:v>
                </c:pt>
                <c:pt idx="9">
                  <c:v>6.0557148601386039</c:v>
                </c:pt>
                <c:pt idx="10">
                  <c:v>2.1148632011359161</c:v>
                </c:pt>
                <c:pt idx="11">
                  <c:v>1.9622547968021338</c:v>
                </c:pt>
                <c:pt idx="12">
                  <c:v>1.8493040465017718</c:v>
                </c:pt>
                <c:pt idx="13">
                  <c:v>1.6690832057933154</c:v>
                </c:pt>
                <c:pt idx="14">
                  <c:v>1.9824194447416468</c:v>
                </c:pt>
                <c:pt idx="15">
                  <c:v>2.3236019027515447</c:v>
                </c:pt>
                <c:pt idx="16">
                  <c:v>2.0702935662466282</c:v>
                </c:pt>
                <c:pt idx="17">
                  <c:v>1.8380675206582868</c:v>
                </c:pt>
                <c:pt idx="18">
                  <c:v>2.0748863811771687</c:v>
                </c:pt>
                <c:pt idx="19">
                  <c:v>2.1409965271103997</c:v>
                </c:pt>
                <c:pt idx="20">
                  <c:v>7.4063371082572118</c:v>
                </c:pt>
                <c:pt idx="21">
                  <c:v>6.7165673763794658</c:v>
                </c:pt>
                <c:pt idx="22">
                  <c:v>6.7075049668112667</c:v>
                </c:pt>
                <c:pt idx="23">
                  <c:v>7.0419988599810956</c:v>
                </c:pt>
                <c:pt idx="24">
                  <c:v>6.6005778273210369</c:v>
                </c:pt>
                <c:pt idx="25">
                  <c:v>8.1858331991152422</c:v>
                </c:pt>
                <c:pt idx="26">
                  <c:v>7.6261532274858652</c:v>
                </c:pt>
                <c:pt idx="27">
                  <c:v>6.6456715513394036</c:v>
                </c:pt>
                <c:pt idx="28">
                  <c:v>7.1357635772524075</c:v>
                </c:pt>
                <c:pt idx="29">
                  <c:v>6.4093829218521288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4.2485899126281108</c:v>
                </c:pt>
                <c:pt idx="1">
                  <c:v>4.0178689820854085</c:v>
                </c:pt>
                <c:pt idx="2">
                  <c:v>4.0266961369480549</c:v>
                </c:pt>
                <c:pt idx="3">
                  <c:v>3.720328299676317</c:v>
                </c:pt>
                <c:pt idx="4">
                  <c:v>3.6881814391434902</c:v>
                </c:pt>
                <c:pt idx="5">
                  <c:v>3.5269367224058148</c:v>
                </c:pt>
                <c:pt idx="6">
                  <c:v>4.6101011518360693</c:v>
                </c:pt>
                <c:pt idx="7">
                  <c:v>3.85227693887256</c:v>
                </c:pt>
                <c:pt idx="8">
                  <c:v>3.5121159090580654</c:v>
                </c:pt>
                <c:pt idx="9">
                  <c:v>4.1884337716177154</c:v>
                </c:pt>
                <c:pt idx="10">
                  <c:v>1.6964604223066595</c:v>
                </c:pt>
                <c:pt idx="11">
                  <c:v>1.6651868557285525</c:v>
                </c:pt>
                <c:pt idx="12">
                  <c:v>1.9525117134848642</c:v>
                </c:pt>
                <c:pt idx="13">
                  <c:v>1.9904748280065472</c:v>
                </c:pt>
                <c:pt idx="14">
                  <c:v>2.2344898156812483</c:v>
                </c:pt>
                <c:pt idx="15">
                  <c:v>2.0403828434536773</c:v>
                </c:pt>
                <c:pt idx="16">
                  <c:v>1.6774228213418234</c:v>
                </c:pt>
                <c:pt idx="17">
                  <c:v>2.0073307946101764</c:v>
                </c:pt>
                <c:pt idx="18">
                  <c:v>1.8584768390020592</c:v>
                </c:pt>
                <c:pt idx="19">
                  <c:v>1.8381601804670433</c:v>
                </c:pt>
                <c:pt idx="20">
                  <c:v>1.9260168115639267</c:v>
                </c:pt>
                <c:pt idx="21">
                  <c:v>1.9175135186442778</c:v>
                </c:pt>
                <c:pt idx="22">
                  <c:v>1.9495594811179062</c:v>
                </c:pt>
                <c:pt idx="23">
                  <c:v>1.3804522973665168</c:v>
                </c:pt>
                <c:pt idx="24">
                  <c:v>1.670918000224116</c:v>
                </c:pt>
                <c:pt idx="25">
                  <c:v>2.0874240038746286</c:v>
                </c:pt>
                <c:pt idx="26">
                  <c:v>1.9629337155181918</c:v>
                </c:pt>
                <c:pt idx="27">
                  <c:v>2.0632413098212465</c:v>
                </c:pt>
                <c:pt idx="28">
                  <c:v>1.5515488395258619</c:v>
                </c:pt>
                <c:pt idx="29">
                  <c:v>2.3638374541578226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5.6697706022447756</c:v>
                </c:pt>
                <c:pt idx="1">
                  <c:v>6.1190474307973188</c:v>
                </c:pt>
                <c:pt idx="2">
                  <c:v>5.8911240860163776</c:v>
                </c:pt>
                <c:pt idx="3">
                  <c:v>6.1955135078451793</c:v>
                </c:pt>
                <c:pt idx="4">
                  <c:v>6.1534849817516495</c:v>
                </c:pt>
                <c:pt idx="5">
                  <c:v>5.8060045902663369</c:v>
                </c:pt>
                <c:pt idx="6">
                  <c:v>6.062563052886806</c:v>
                </c:pt>
                <c:pt idx="7">
                  <c:v>6.1278487640993484</c:v>
                </c:pt>
                <c:pt idx="8">
                  <c:v>5.8620951706602726</c:v>
                </c:pt>
                <c:pt idx="9">
                  <c:v>6.0557148601386039</c:v>
                </c:pt>
                <c:pt idx="10">
                  <c:v>2.1148632011359161</c:v>
                </c:pt>
                <c:pt idx="11">
                  <c:v>1.9622547968021338</c:v>
                </c:pt>
                <c:pt idx="12">
                  <c:v>1.8493040465017718</c:v>
                </c:pt>
                <c:pt idx="13">
                  <c:v>1.6690832057933154</c:v>
                </c:pt>
                <c:pt idx="14">
                  <c:v>1.9824194447416468</c:v>
                </c:pt>
                <c:pt idx="15">
                  <c:v>2.3236019027515447</c:v>
                </c:pt>
                <c:pt idx="16">
                  <c:v>2.0702935662466282</c:v>
                </c:pt>
                <c:pt idx="17">
                  <c:v>1.8380675206582868</c:v>
                </c:pt>
                <c:pt idx="18">
                  <c:v>2.0748863811771687</c:v>
                </c:pt>
                <c:pt idx="19">
                  <c:v>2.1409965271103997</c:v>
                </c:pt>
                <c:pt idx="20">
                  <c:v>7.4063371082572118</c:v>
                </c:pt>
                <c:pt idx="21">
                  <c:v>6.7165673763794658</c:v>
                </c:pt>
                <c:pt idx="22">
                  <c:v>6.7075049668112667</c:v>
                </c:pt>
                <c:pt idx="23">
                  <c:v>7.0419988599810956</c:v>
                </c:pt>
                <c:pt idx="24">
                  <c:v>6.6005778273210369</c:v>
                </c:pt>
                <c:pt idx="25">
                  <c:v>8.1858331991152422</c:v>
                </c:pt>
                <c:pt idx="26">
                  <c:v>7.6261532274858652</c:v>
                </c:pt>
                <c:pt idx="27">
                  <c:v>6.6456715513394036</c:v>
                </c:pt>
                <c:pt idx="28">
                  <c:v>7.1357635772524075</c:v>
                </c:pt>
                <c:pt idx="29">
                  <c:v>6.4093829218521288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4.2485899126281108</c:v>
                </c:pt>
                <c:pt idx="1">
                  <c:v>4.0178689820854085</c:v>
                </c:pt>
                <c:pt idx="2">
                  <c:v>4.0266961369480549</c:v>
                </c:pt>
                <c:pt idx="3">
                  <c:v>3.720328299676317</c:v>
                </c:pt>
                <c:pt idx="4">
                  <c:v>3.6881814391434902</c:v>
                </c:pt>
                <c:pt idx="5">
                  <c:v>3.5269367224058148</c:v>
                </c:pt>
                <c:pt idx="6">
                  <c:v>4.6101011518360693</c:v>
                </c:pt>
                <c:pt idx="7">
                  <c:v>3.85227693887256</c:v>
                </c:pt>
                <c:pt idx="8">
                  <c:v>3.5121159090580654</c:v>
                </c:pt>
                <c:pt idx="9">
                  <c:v>4.1884337716177154</c:v>
                </c:pt>
                <c:pt idx="10">
                  <c:v>1.6964604223066595</c:v>
                </c:pt>
                <c:pt idx="11">
                  <c:v>1.6651868557285525</c:v>
                </c:pt>
                <c:pt idx="12">
                  <c:v>1.9525117134848642</c:v>
                </c:pt>
                <c:pt idx="13">
                  <c:v>1.9904748280065472</c:v>
                </c:pt>
                <c:pt idx="14">
                  <c:v>2.2344898156812483</c:v>
                </c:pt>
                <c:pt idx="15">
                  <c:v>2.0403828434536773</c:v>
                </c:pt>
                <c:pt idx="16">
                  <c:v>1.6774228213418234</c:v>
                </c:pt>
                <c:pt idx="17">
                  <c:v>2.0073307946101764</c:v>
                </c:pt>
                <c:pt idx="18">
                  <c:v>1.8584768390020592</c:v>
                </c:pt>
                <c:pt idx="19">
                  <c:v>1.8381601804670433</c:v>
                </c:pt>
                <c:pt idx="20">
                  <c:v>1.9260168115639267</c:v>
                </c:pt>
                <c:pt idx="21">
                  <c:v>1.9175135186442778</c:v>
                </c:pt>
                <c:pt idx="22">
                  <c:v>1.9495594811179062</c:v>
                </c:pt>
                <c:pt idx="23">
                  <c:v>1.3804522973665168</c:v>
                </c:pt>
                <c:pt idx="24">
                  <c:v>1.670918000224116</c:v>
                </c:pt>
                <c:pt idx="25">
                  <c:v>2.0874240038746286</c:v>
                </c:pt>
                <c:pt idx="26">
                  <c:v>1.9629337155181918</c:v>
                </c:pt>
                <c:pt idx="27">
                  <c:v>2.0632413098212465</c:v>
                </c:pt>
                <c:pt idx="28">
                  <c:v>1.5515488395258619</c:v>
                </c:pt>
                <c:pt idx="29">
                  <c:v>2.3638374541578226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5.6697706022447756</c:v>
                </c:pt>
                <c:pt idx="1">
                  <c:v>6.1190474307973188</c:v>
                </c:pt>
                <c:pt idx="2">
                  <c:v>5.8911240860163776</c:v>
                </c:pt>
                <c:pt idx="3">
                  <c:v>6.1955135078451793</c:v>
                </c:pt>
                <c:pt idx="4">
                  <c:v>6.1534849817516495</c:v>
                </c:pt>
                <c:pt idx="5">
                  <c:v>5.8060045902663369</c:v>
                </c:pt>
                <c:pt idx="6">
                  <c:v>6.062563052886806</c:v>
                </c:pt>
                <c:pt idx="7">
                  <c:v>6.1278487640993484</c:v>
                </c:pt>
                <c:pt idx="8">
                  <c:v>5.8620951706602726</c:v>
                </c:pt>
                <c:pt idx="9">
                  <c:v>6.0557148601386039</c:v>
                </c:pt>
                <c:pt idx="10">
                  <c:v>2.1148632011359161</c:v>
                </c:pt>
                <c:pt idx="11">
                  <c:v>1.9622547968021338</c:v>
                </c:pt>
                <c:pt idx="12">
                  <c:v>1.8493040465017718</c:v>
                </c:pt>
                <c:pt idx="13">
                  <c:v>1.6690832057933154</c:v>
                </c:pt>
                <c:pt idx="14">
                  <c:v>1.9824194447416468</c:v>
                </c:pt>
                <c:pt idx="15">
                  <c:v>2.3236019027515447</c:v>
                </c:pt>
                <c:pt idx="16">
                  <c:v>2.0702935662466282</c:v>
                </c:pt>
                <c:pt idx="17">
                  <c:v>1.8380675206582868</c:v>
                </c:pt>
                <c:pt idx="18">
                  <c:v>2.0748863811771687</c:v>
                </c:pt>
                <c:pt idx="19">
                  <c:v>2.1409965271103997</c:v>
                </c:pt>
                <c:pt idx="20">
                  <c:v>7.4063371082572118</c:v>
                </c:pt>
                <c:pt idx="21">
                  <c:v>6.7165673763794658</c:v>
                </c:pt>
                <c:pt idx="22">
                  <c:v>6.7075049668112667</c:v>
                </c:pt>
                <c:pt idx="23">
                  <c:v>7.0419988599810956</c:v>
                </c:pt>
                <c:pt idx="24">
                  <c:v>6.6005778273210369</c:v>
                </c:pt>
                <c:pt idx="25">
                  <c:v>8.1858331991152422</c:v>
                </c:pt>
                <c:pt idx="26">
                  <c:v>7.6261532274858652</c:v>
                </c:pt>
                <c:pt idx="27">
                  <c:v>6.6456715513394036</c:v>
                </c:pt>
                <c:pt idx="28">
                  <c:v>7.1357635772524075</c:v>
                </c:pt>
                <c:pt idx="29">
                  <c:v>6.4093829218521288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4.2485899126281108</c:v>
                </c:pt>
                <c:pt idx="1">
                  <c:v>4.0178689820854085</c:v>
                </c:pt>
                <c:pt idx="2">
                  <c:v>4.0266961369480549</c:v>
                </c:pt>
                <c:pt idx="3">
                  <c:v>3.720328299676317</c:v>
                </c:pt>
                <c:pt idx="4">
                  <c:v>3.6881814391434902</c:v>
                </c:pt>
                <c:pt idx="5">
                  <c:v>3.5269367224058148</c:v>
                </c:pt>
                <c:pt idx="6">
                  <c:v>4.6101011518360693</c:v>
                </c:pt>
                <c:pt idx="7">
                  <c:v>3.85227693887256</c:v>
                </c:pt>
                <c:pt idx="8">
                  <c:v>3.5121159090580654</c:v>
                </c:pt>
                <c:pt idx="9">
                  <c:v>4.1884337716177154</c:v>
                </c:pt>
                <c:pt idx="10">
                  <c:v>1.6964604223066595</c:v>
                </c:pt>
                <c:pt idx="11">
                  <c:v>1.6651868557285525</c:v>
                </c:pt>
                <c:pt idx="12">
                  <c:v>1.9525117134848642</c:v>
                </c:pt>
                <c:pt idx="13">
                  <c:v>1.9904748280065472</c:v>
                </c:pt>
                <c:pt idx="14">
                  <c:v>2.2344898156812483</c:v>
                </c:pt>
                <c:pt idx="15">
                  <c:v>2.0403828434536773</c:v>
                </c:pt>
                <c:pt idx="16">
                  <c:v>1.6774228213418234</c:v>
                </c:pt>
                <c:pt idx="17">
                  <c:v>2.0073307946101764</c:v>
                </c:pt>
                <c:pt idx="18">
                  <c:v>1.8584768390020592</c:v>
                </c:pt>
                <c:pt idx="19">
                  <c:v>1.8381601804670433</c:v>
                </c:pt>
                <c:pt idx="20">
                  <c:v>1.9260168115639267</c:v>
                </c:pt>
                <c:pt idx="21">
                  <c:v>1.9175135186442778</c:v>
                </c:pt>
                <c:pt idx="22">
                  <c:v>1.9495594811179062</c:v>
                </c:pt>
                <c:pt idx="23">
                  <c:v>1.3804522973665168</c:v>
                </c:pt>
                <c:pt idx="24">
                  <c:v>1.670918000224116</c:v>
                </c:pt>
                <c:pt idx="25">
                  <c:v>2.0874240038746286</c:v>
                </c:pt>
                <c:pt idx="26">
                  <c:v>1.9629337155181918</c:v>
                </c:pt>
                <c:pt idx="27">
                  <c:v>2.0632413098212465</c:v>
                </c:pt>
                <c:pt idx="28">
                  <c:v>1.5515488395258619</c:v>
                </c:pt>
                <c:pt idx="29">
                  <c:v>2.3638374541578226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5.6697706022447756</c:v>
                </c:pt>
                <c:pt idx="1">
                  <c:v>6.1190474307973188</c:v>
                </c:pt>
                <c:pt idx="2">
                  <c:v>5.8911240860163776</c:v>
                </c:pt>
                <c:pt idx="3">
                  <c:v>6.1955135078451793</c:v>
                </c:pt>
                <c:pt idx="4">
                  <c:v>6.1534849817516495</c:v>
                </c:pt>
                <c:pt idx="5">
                  <c:v>5.8060045902663369</c:v>
                </c:pt>
                <c:pt idx="6">
                  <c:v>6.062563052886806</c:v>
                </c:pt>
                <c:pt idx="7">
                  <c:v>6.1278487640993484</c:v>
                </c:pt>
                <c:pt idx="8">
                  <c:v>5.8620951706602726</c:v>
                </c:pt>
                <c:pt idx="9">
                  <c:v>6.0557148601386039</c:v>
                </c:pt>
                <c:pt idx="10">
                  <c:v>2.1148632011359161</c:v>
                </c:pt>
                <c:pt idx="11">
                  <c:v>1.9622547968021338</c:v>
                </c:pt>
                <c:pt idx="12">
                  <c:v>1.8493040465017718</c:v>
                </c:pt>
                <c:pt idx="13">
                  <c:v>1.6690832057933154</c:v>
                </c:pt>
                <c:pt idx="14">
                  <c:v>1.9824194447416468</c:v>
                </c:pt>
                <c:pt idx="15">
                  <c:v>2.3236019027515447</c:v>
                </c:pt>
                <c:pt idx="16">
                  <c:v>2.0702935662466282</c:v>
                </c:pt>
                <c:pt idx="17">
                  <c:v>1.8380675206582868</c:v>
                </c:pt>
                <c:pt idx="18">
                  <c:v>2.0748863811771687</c:v>
                </c:pt>
                <c:pt idx="19">
                  <c:v>2.1409965271103997</c:v>
                </c:pt>
                <c:pt idx="20">
                  <c:v>7.4063371082572118</c:v>
                </c:pt>
                <c:pt idx="21">
                  <c:v>6.7165673763794658</c:v>
                </c:pt>
                <c:pt idx="22">
                  <c:v>6.7075049668112667</c:v>
                </c:pt>
                <c:pt idx="23">
                  <c:v>7.0419988599810956</c:v>
                </c:pt>
                <c:pt idx="24">
                  <c:v>6.6005778273210369</c:v>
                </c:pt>
                <c:pt idx="25">
                  <c:v>8.1858331991152422</c:v>
                </c:pt>
                <c:pt idx="26">
                  <c:v>7.6261532274858652</c:v>
                </c:pt>
                <c:pt idx="27">
                  <c:v>6.6456715513394036</c:v>
                </c:pt>
                <c:pt idx="28">
                  <c:v>7.1357635772524075</c:v>
                </c:pt>
                <c:pt idx="29">
                  <c:v>6.4093829218521288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4.2485899126281108</c:v>
                </c:pt>
                <c:pt idx="1">
                  <c:v>4.0178689820854085</c:v>
                </c:pt>
                <c:pt idx="2">
                  <c:v>4.0266961369480549</c:v>
                </c:pt>
                <c:pt idx="3">
                  <c:v>3.720328299676317</c:v>
                </c:pt>
                <c:pt idx="4">
                  <c:v>3.6881814391434902</c:v>
                </c:pt>
                <c:pt idx="5">
                  <c:v>3.5269367224058148</c:v>
                </c:pt>
                <c:pt idx="6">
                  <c:v>4.6101011518360693</c:v>
                </c:pt>
                <c:pt idx="7">
                  <c:v>3.85227693887256</c:v>
                </c:pt>
                <c:pt idx="8">
                  <c:v>3.5121159090580654</c:v>
                </c:pt>
                <c:pt idx="9">
                  <c:v>4.1884337716177154</c:v>
                </c:pt>
                <c:pt idx="10">
                  <c:v>1.6964604223066595</c:v>
                </c:pt>
                <c:pt idx="11">
                  <c:v>1.6651868557285525</c:v>
                </c:pt>
                <c:pt idx="12">
                  <c:v>1.9525117134848642</c:v>
                </c:pt>
                <c:pt idx="13">
                  <c:v>1.9904748280065472</c:v>
                </c:pt>
                <c:pt idx="14">
                  <c:v>2.2344898156812483</c:v>
                </c:pt>
                <c:pt idx="15">
                  <c:v>2.0403828434536773</c:v>
                </c:pt>
                <c:pt idx="16">
                  <c:v>1.6774228213418234</c:v>
                </c:pt>
                <c:pt idx="17">
                  <c:v>2.0073307946101764</c:v>
                </c:pt>
                <c:pt idx="18">
                  <c:v>1.8584768390020592</c:v>
                </c:pt>
                <c:pt idx="19">
                  <c:v>1.8381601804670433</c:v>
                </c:pt>
                <c:pt idx="20">
                  <c:v>1.9260168115639267</c:v>
                </c:pt>
                <c:pt idx="21">
                  <c:v>1.9175135186442778</c:v>
                </c:pt>
                <c:pt idx="22">
                  <c:v>1.9495594811179062</c:v>
                </c:pt>
                <c:pt idx="23">
                  <c:v>1.3804522973665168</c:v>
                </c:pt>
                <c:pt idx="24">
                  <c:v>1.670918000224116</c:v>
                </c:pt>
                <c:pt idx="25">
                  <c:v>2.0874240038746286</c:v>
                </c:pt>
                <c:pt idx="26">
                  <c:v>1.9629337155181918</c:v>
                </c:pt>
                <c:pt idx="27">
                  <c:v>2.0632413098212465</c:v>
                </c:pt>
                <c:pt idx="28">
                  <c:v>1.5515488395258619</c:v>
                </c:pt>
                <c:pt idx="29">
                  <c:v>2.3638374541578226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5.6697706022447756</c:v>
                </c:pt>
                <c:pt idx="1">
                  <c:v>6.1190474307973188</c:v>
                </c:pt>
                <c:pt idx="2">
                  <c:v>5.8911240860163776</c:v>
                </c:pt>
                <c:pt idx="3">
                  <c:v>6.1955135078451793</c:v>
                </c:pt>
                <c:pt idx="4">
                  <c:v>6.1534849817516495</c:v>
                </c:pt>
                <c:pt idx="5">
                  <c:v>5.8060045902663369</c:v>
                </c:pt>
                <c:pt idx="6">
                  <c:v>6.062563052886806</c:v>
                </c:pt>
                <c:pt idx="7">
                  <c:v>6.1278487640993484</c:v>
                </c:pt>
                <c:pt idx="8">
                  <c:v>5.8620951706602726</c:v>
                </c:pt>
                <c:pt idx="9">
                  <c:v>6.0557148601386039</c:v>
                </c:pt>
                <c:pt idx="10">
                  <c:v>2.1148632011359161</c:v>
                </c:pt>
                <c:pt idx="11">
                  <c:v>1.9622547968021338</c:v>
                </c:pt>
                <c:pt idx="12">
                  <c:v>1.8493040465017718</c:v>
                </c:pt>
                <c:pt idx="13">
                  <c:v>1.6690832057933154</c:v>
                </c:pt>
                <c:pt idx="14">
                  <c:v>1.9824194447416468</c:v>
                </c:pt>
                <c:pt idx="15">
                  <c:v>2.3236019027515447</c:v>
                </c:pt>
                <c:pt idx="16">
                  <c:v>2.0702935662466282</c:v>
                </c:pt>
                <c:pt idx="17">
                  <c:v>1.8380675206582868</c:v>
                </c:pt>
                <c:pt idx="18">
                  <c:v>2.0748863811771687</c:v>
                </c:pt>
                <c:pt idx="19">
                  <c:v>2.1409965271103997</c:v>
                </c:pt>
                <c:pt idx="20">
                  <c:v>7.4063371082572118</c:v>
                </c:pt>
                <c:pt idx="21">
                  <c:v>6.7165673763794658</c:v>
                </c:pt>
                <c:pt idx="22">
                  <c:v>6.7075049668112667</c:v>
                </c:pt>
                <c:pt idx="23">
                  <c:v>7.0419988599810956</c:v>
                </c:pt>
                <c:pt idx="24">
                  <c:v>6.6005778273210369</c:v>
                </c:pt>
                <c:pt idx="25">
                  <c:v>8.1858331991152422</c:v>
                </c:pt>
                <c:pt idx="26">
                  <c:v>7.6261532274858652</c:v>
                </c:pt>
                <c:pt idx="27">
                  <c:v>6.6456715513394036</c:v>
                </c:pt>
                <c:pt idx="28">
                  <c:v>7.1357635772524075</c:v>
                </c:pt>
                <c:pt idx="29">
                  <c:v>6.4093829218521288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2.7076740435298858</c:v>
                </c:pt>
                <c:pt idx="1">
                  <c:v>2.355542847799029</c:v>
                </c:pt>
                <c:pt idx="2">
                  <c:v>2.3451004866866265</c:v>
                </c:pt>
                <c:pt idx="3">
                  <c:v>4.0939988876260394</c:v>
                </c:pt>
                <c:pt idx="4">
                  <c:v>3.5169415947945857</c:v>
                </c:pt>
                <c:pt idx="5">
                  <c:v>2.6878728194208721</c:v>
                </c:pt>
                <c:pt idx="6">
                  <c:v>6.5824761253883493</c:v>
                </c:pt>
                <c:pt idx="7">
                  <c:v>8.6530549534399981</c:v>
                </c:pt>
                <c:pt idx="8">
                  <c:v>6.0228642989094814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1.8118845015432414</c:v>
                </c:pt>
                <c:pt idx="1">
                  <c:v>0.77019013998806019</c:v>
                </c:pt>
                <c:pt idx="2">
                  <c:v>-0.22800283778724317</c:v>
                </c:pt>
                <c:pt idx="3">
                  <c:v>4.7012875183211653</c:v>
                </c:pt>
                <c:pt idx="4">
                  <c:v>4.5153486824989075</c:v>
                </c:pt>
                <c:pt idx="5">
                  <c:v>3.3806243190397898</c:v>
                </c:pt>
                <c:pt idx="6">
                  <c:v>9.3183921304040567</c:v>
                </c:pt>
                <c:pt idx="7">
                  <c:v>7.4772464622267583</c:v>
                </c:pt>
                <c:pt idx="8">
                  <c:v>9.0084580624687369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2.4694391260051805</c:v>
                </c:pt>
                <c:pt idx="1">
                  <c:v>3.4329377672804995</c:v>
                </c:pt>
                <c:pt idx="2">
                  <c:v>7.0861317925792768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0.78469060124801937</c:v>
                </c:pt>
                <c:pt idx="1">
                  <c:v>4.1990868399532877</c:v>
                </c:pt>
                <c:pt idx="2">
                  <c:v>8.6013655516998515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{FDB9DBDA-DD12-BC4E-BA73-9E1777F8EACD}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{50958E89-4D5D-B04E-927C-8C8DF1A1EF07}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{5779C6F2-9864-E14A-B9FF-7BC751C540A9}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{3321FE71-0527-1B4B-9A0D-DF8CB8805935}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{566A0C12-B2D9-AE49-A7D9-951B46D6F1F7}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{AD129D77-0147-4F49-B6E3-25793D17EA1F}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{B4658155-C100-A946-827C-1701DC46F842}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{082DD85D-13F5-564E-B659-24BD0A43EEDF}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{5EAA626B-1D9A-7741-8292-AA5C5499B8DF}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{3EFC2193-9D66-2C41-88F3-10FD07183919}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{A864572E-4B5F-D047-AD15-8F5D36CD6D5B}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{2ABA1F6E-E580-B343-97CB-E71C4F99396A}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7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6" spans="2:2" x14ac:dyDescent="0.3">
      <c r="B6" s="1" t="s">
        <v>337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5" t="s">
        <v>319</v>
      </c>
    </row>
    <row r="2" spans="1:36" x14ac:dyDescent="0.3">
      <c r="C2"/>
    </row>
    <row r="8" spans="1:36" x14ac:dyDescent="0.3">
      <c r="C8" s="15" t="s">
        <v>381</v>
      </c>
      <c r="D8" s="15" t="s">
        <v>381</v>
      </c>
      <c r="E8" s="15" t="s">
        <v>381</v>
      </c>
      <c r="F8" s="15" t="s">
        <v>382</v>
      </c>
      <c r="G8" s="15" t="s">
        <v>382</v>
      </c>
      <c r="H8" s="15" t="s">
        <v>383</v>
      </c>
      <c r="I8" s="15" t="s">
        <v>383</v>
      </c>
      <c r="J8" s="15" t="s">
        <v>383</v>
      </c>
      <c r="K8" s="15" t="s">
        <v>383</v>
      </c>
      <c r="L8" s="15" t="s">
        <v>383</v>
      </c>
      <c r="O8" s="129" t="s">
        <v>381</v>
      </c>
      <c r="P8" s="129" t="s">
        <v>382</v>
      </c>
      <c r="Q8" s="129" t="s">
        <v>383</v>
      </c>
      <c r="R8" s="129" t="s">
        <v>384</v>
      </c>
      <c r="S8" s="129" t="s">
        <v>385</v>
      </c>
      <c r="T8" s="129" t="s">
        <v>386</v>
      </c>
      <c r="U8" s="129" t="s">
        <v>387</v>
      </c>
      <c r="V8" s="129" t="s">
        <v>388</v>
      </c>
      <c r="W8" s="129" t="s">
        <v>389</v>
      </c>
      <c r="X8" s="129" t="s">
        <v>390</v>
      </c>
      <c r="AA8" s="129" t="s">
        <v>381</v>
      </c>
      <c r="AB8" s="129" t="s">
        <v>381</v>
      </c>
      <c r="AC8" s="129" t="s">
        <v>381</v>
      </c>
      <c r="AD8" s="129" t="s">
        <v>381</v>
      </c>
      <c r="AE8" s="129" t="s">
        <v>381</v>
      </c>
      <c r="AF8" s="129" t="s">
        <v>381</v>
      </c>
      <c r="AG8" s="129" t="s">
        <v>381</v>
      </c>
      <c r="AH8" s="129" t="s">
        <v>381</v>
      </c>
      <c r="AI8" s="129" t="s">
        <v>381</v>
      </c>
      <c r="AJ8" s="129" t="s">
        <v>381</v>
      </c>
    </row>
    <row r="9" spans="1:36" x14ac:dyDescent="0.3">
      <c r="B9" s="15" t="s">
        <v>381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381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381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1:36" x14ac:dyDescent="0.3">
      <c r="B10" s="15" t="s">
        <v>381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382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381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1:36" x14ac:dyDescent="0.3">
      <c r="B11" s="15" t="s">
        <v>381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383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381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1:36" x14ac:dyDescent="0.3">
      <c r="B12" s="15" t="s">
        <v>382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384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381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1:36" x14ac:dyDescent="0.3">
      <c r="B13" s="15" t="s">
        <v>382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385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381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1:36" x14ac:dyDescent="0.3">
      <c r="B14" s="15" t="s">
        <v>383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386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381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1:36" x14ac:dyDescent="0.3">
      <c r="B15" s="15" t="s">
        <v>383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387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381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1:36" x14ac:dyDescent="0.3">
      <c r="B16" s="15" t="s">
        <v>383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388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381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383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389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381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383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390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381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37" t="s">
        <v>391</v>
      </c>
      <c r="D20" s="137"/>
      <c r="E20" s="137"/>
      <c r="F20" s="137"/>
      <c r="G20" s="137"/>
      <c r="H20" s="137"/>
      <c r="I20" s="137"/>
      <c r="J20" s="137"/>
      <c r="K20" s="137"/>
      <c r="L20" s="137"/>
      <c r="O20" s="137" t="s">
        <v>392</v>
      </c>
      <c r="P20" s="137"/>
      <c r="Q20" s="137"/>
      <c r="R20" s="137"/>
      <c r="S20" s="137"/>
      <c r="T20" s="137"/>
      <c r="U20" s="137"/>
      <c r="V20" s="137"/>
      <c r="W20" s="137"/>
      <c r="X20" s="137"/>
      <c r="AB20" s="137" t="s">
        <v>393</v>
      </c>
      <c r="AC20" s="137"/>
      <c r="AD20" s="137"/>
      <c r="AE20" s="137"/>
      <c r="AF20" s="137"/>
      <c r="AG20" s="137"/>
      <c r="AH20" s="137"/>
      <c r="AI20" s="137"/>
      <c r="AJ20" s="137"/>
      <c r="AK20" s="137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7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  <row r="7" spans="1:4" x14ac:dyDescent="0.25">
      <c r="A7" s="2" t="s">
        <v>401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A1:B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407</v>
      </c>
    </row>
    <row r="2" spans="1:2" x14ac:dyDescent="0.3">
      <c r="B2" s="3" t="s">
        <v>317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394</v>
      </c>
    </row>
    <row r="5" spans="1:1" x14ac:dyDescent="0.3">
      <c r="A5" s="1" t="s">
        <v>267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4.2485899126281108</v>
      </c>
      <c r="H4" s="1">
        <f ca="1">_xlfn.NORM.INV(RAND(),E4,F4)</f>
        <v>5.6697706022447756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4.0178689820854085</v>
      </c>
      <c r="H5" s="1">
        <f t="shared" ref="H5:H33" ca="1" si="1">_xlfn.NORM.INV(RAND(),E5,F5)</f>
        <v>6.1190474307973188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4.0266961369480549</v>
      </c>
      <c r="H6" s="1">
        <f t="shared" ca="1" si="1"/>
        <v>5.8911240860163776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3.720328299676317</v>
      </c>
      <c r="H7" s="1">
        <f t="shared" ca="1" si="1"/>
        <v>6.1955135078451793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3.6881814391434902</v>
      </c>
      <c r="H8" s="1">
        <f t="shared" ca="1" si="1"/>
        <v>6.1534849817516495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3.5269367224058148</v>
      </c>
      <c r="H9" s="1">
        <f t="shared" ca="1" si="1"/>
        <v>5.8060045902663369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4.6101011518360693</v>
      </c>
      <c r="H10" s="1">
        <f t="shared" ca="1" si="1"/>
        <v>6.062563052886806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3.85227693887256</v>
      </c>
      <c r="H11" s="1">
        <f t="shared" ca="1" si="1"/>
        <v>6.1278487640993484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3.5121159090580654</v>
      </c>
      <c r="H12" s="1">
        <f t="shared" ca="1" si="1"/>
        <v>5.8620951706602726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4.1884337716177154</v>
      </c>
      <c r="H13" s="1">
        <f t="shared" ca="1" si="1"/>
        <v>6.0557148601386039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1.6964604223066595</v>
      </c>
      <c r="H14" s="1">
        <f t="shared" ca="1" si="1"/>
        <v>2.1148632011359161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1.6651868557285525</v>
      </c>
      <c r="H15" s="1">
        <f t="shared" ca="1" si="1"/>
        <v>1.9622547968021338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1.9525117134848642</v>
      </c>
      <c r="H16" s="1">
        <f t="shared" ca="1" si="1"/>
        <v>1.8493040465017718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1.9904748280065472</v>
      </c>
      <c r="H17" s="1">
        <f t="shared" ca="1" si="1"/>
        <v>1.6690832057933154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2.2344898156812483</v>
      </c>
      <c r="H18" s="1">
        <f t="shared" ca="1" si="1"/>
        <v>1.9824194447416468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2.0403828434536773</v>
      </c>
      <c r="H19" s="1">
        <f t="shared" ca="1" si="1"/>
        <v>2.3236019027515447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1.6774228213418234</v>
      </c>
      <c r="H20" s="1">
        <f t="shared" ca="1" si="1"/>
        <v>2.0702935662466282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2.0073307946101764</v>
      </c>
      <c r="H21" s="1">
        <f t="shared" ca="1" si="1"/>
        <v>1.8380675206582868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1.8584768390020592</v>
      </c>
      <c r="H22" s="1">
        <f t="shared" ca="1" si="1"/>
        <v>2.0748863811771687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1.8381601804670433</v>
      </c>
      <c r="H23" s="1">
        <f t="shared" ca="1" si="1"/>
        <v>2.1409965271103997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1.9260168115639267</v>
      </c>
      <c r="H24" s="1">
        <f t="shared" ca="1" si="1"/>
        <v>7.4063371082572118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1.9175135186442778</v>
      </c>
      <c r="H25" s="1">
        <f t="shared" ca="1" si="1"/>
        <v>6.7165673763794658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1.9495594811179062</v>
      </c>
      <c r="H26" s="1">
        <f t="shared" ca="1" si="1"/>
        <v>6.7075049668112667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1.3804522973665168</v>
      </c>
      <c r="H27" s="1">
        <f t="shared" ca="1" si="1"/>
        <v>7.0419988599810956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1.670918000224116</v>
      </c>
      <c r="H28" s="1">
        <f t="shared" ca="1" si="1"/>
        <v>6.6005778273210369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2.0874240038746286</v>
      </c>
      <c r="H29" s="1">
        <f t="shared" ca="1" si="1"/>
        <v>8.1858331991152422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1.9629337155181918</v>
      </c>
      <c r="H30" s="1">
        <f t="shared" ca="1" si="1"/>
        <v>7.6261532274858652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2.0632413098212465</v>
      </c>
      <c r="H31" s="1">
        <f t="shared" ca="1" si="1"/>
        <v>6.6456715513394036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1.5515488395258619</v>
      </c>
      <c r="H32" s="1">
        <f t="shared" ca="1" si="1"/>
        <v>7.1357635772524075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2.3638374541578226</v>
      </c>
      <c r="H33" s="1">
        <f t="shared" ca="1" si="1"/>
        <v>6.4093829218521288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2.7076740435298858</v>
      </c>
      <c r="D9" s="15">
        <f ca="1">_xlfn.NORM.INV(RAND(),2,1)</f>
        <v>1.8118845015432414</v>
      </c>
      <c r="E9" s="15" cm="1">
        <f t="array" aca="1" ref="E9" ca="1">SUMSQ(C9:D9-C$5:D$5)</f>
        <v>3.5753070827918281</v>
      </c>
      <c r="F9" s="15" cm="1">
        <f t="array" aca="1" ref="F9" ca="1">SUMSQ(C9:D9-C$6:D$6)</f>
        <v>15.418838722206809</v>
      </c>
      <c r="G9" s="15" cm="1">
        <f t="array" aca="1" ref="G9" ca="1">SUMSQ(C9:D9-C$7:D$7)</f>
        <v>120.22325327147553</v>
      </c>
      <c r="H9" s="15">
        <f ca="1">MATCH(MIN(E9:G9),E9:G9,0)</f>
        <v>1</v>
      </c>
    </row>
    <row r="10" spans="2:8" x14ac:dyDescent="0.3">
      <c r="B10" s="15" t="s">
        <v>55</v>
      </c>
      <c r="C10" s="15">
        <f t="shared" ref="C10:D11" ca="1" si="0">_xlfn.NORM.INV(RAND(),2,1)</f>
        <v>2.355542847799029</v>
      </c>
      <c r="D10" s="15">
        <f t="shared" ca="1" si="0"/>
        <v>0.77019013998806019</v>
      </c>
      <c r="E10" s="15" cm="1">
        <f t="array" aca="1" ref="E10" ca="1">SUMSQ(C10:D10-C$5:D$5)</f>
        <v>1.8903089839778089</v>
      </c>
      <c r="F10" s="15" cm="1">
        <f t="array" aca="1" ref="F10" ca="1">SUMSQ(C10:D10-C$6:D$6)</f>
        <v>24.8844450816811</v>
      </c>
      <c r="G10" s="15" cm="1">
        <f t="array" aca="1" ref="G10" ca="1">SUMSQ(C10:D10-C$7:D$7)</f>
        <v>143.62711520381021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2.3451004866866265</v>
      </c>
      <c r="D11" s="15">
        <f t="shared" ca="1" si="0"/>
        <v>-0.22800283778724317</v>
      </c>
      <c r="E11" s="15" cm="1">
        <f t="array" aca="1" ref="E11" ca="1">SUMSQ(C11:D11-C$5:D$5)</f>
        <v>3.3172862888981216</v>
      </c>
      <c r="F11" s="15" cm="1">
        <f t="array" aca="1" ref="F11" ca="1">SUMSQ(C11:D11-C$6:D$6)</f>
        <v>34.380505097703058</v>
      </c>
      <c r="G11" s="15" cm="1">
        <f t="array" aca="1" ref="G11" ca="1">SUMSQ(C11:D11-C$7:D$7)</f>
        <v>163.20952860870926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4.0939988876260394</v>
      </c>
      <c r="D12" s="15">
        <f ca="1">_xlfn.NORM.INV(RAND(),4,1)</f>
        <v>4.7012875183211653</v>
      </c>
      <c r="E12" s="15" cm="1">
        <f t="array" aca="1" ref="E12" ca="1">SUMSQ(C12:D12-C$5:D$5)</f>
        <v>23.27235840991122</v>
      </c>
      <c r="F12" s="15" cm="1">
        <f t="array" aca="1" ref="F12" ca="1">SUMSQ(C12:D12-C$6:D$6)</f>
        <v>0.9100671623335822</v>
      </c>
      <c r="G12" s="15" cm="1">
        <f t="array" aca="1" ref="G12" ca="1">SUMSQ(C12:D12-C$7:D$7)</f>
        <v>62.957203102861534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3.5169415947945857</v>
      </c>
      <c r="D13" s="15">
        <f t="shared" ca="1" si="2"/>
        <v>4.5153486824989075</v>
      </c>
      <c r="E13" s="15" cm="1">
        <f t="array" aca="1" ref="E13" ca="1">SUMSQ(C13:D13-C$5:D$5)</f>
        <v>18.692671351153916</v>
      </c>
      <c r="F13" s="15" cm="1">
        <f t="array" aca="1" ref="F13" ca="1">SUMSQ(C13:D13-C$6:D$6)</f>
        <v>2.4343491328059716</v>
      </c>
      <c r="G13" s="15" cm="1">
        <f t="array" aca="1" ref="G13" ca="1">SUMSQ(C13:D13-C$7:D$7)</f>
        <v>72.111446359871039</v>
      </c>
      <c r="H13" s="15">
        <f t="shared" ca="1" si="1"/>
        <v>2</v>
      </c>
    </row>
    <row r="14" spans="2:8" x14ac:dyDescent="0.3">
      <c r="B14" s="15" t="s">
        <v>59</v>
      </c>
      <c r="C14" s="15">
        <f t="shared" ca="1" si="2"/>
        <v>2.6878728194208721</v>
      </c>
      <c r="D14" s="15">
        <f t="shared" ca="1" si="2"/>
        <v>3.3806243190397898</v>
      </c>
      <c r="E14" s="15" cm="1">
        <f t="array" aca="1" ref="E14" ca="1">SUMSQ(C14:D14-C$5:D$5)</f>
        <v>8.5162868029434264</v>
      </c>
      <c r="F14" s="15" cm="1">
        <f t="array" aca="1" ref="F14" ca="1">SUMSQ(C14:D14-C$6:D$6)</f>
        <v>7.9683096952581316</v>
      </c>
      <c r="G14" s="15" cm="1">
        <f t="array" aca="1" ref="G14" ca="1">SUMSQ(C14:D14-C$7:D$7)</f>
        <v>97.283338310651516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6.5824761253883493</v>
      </c>
      <c r="D15" s="15">
        <f ca="1">_xlfn.NORM.INV(RAND(),8,1)</f>
        <v>9.3183921304040567</v>
      </c>
      <c r="E15" s="15" cm="1">
        <f t="array" aca="1" ref="E15" ca="1">SUMSQ(C15:D15-C$5:D$5)</f>
        <v>100.35968732569906</v>
      </c>
      <c r="F15" s="15" cm="1">
        <f t="array" aca="1" ref="F15" ca="1">SUMSQ(C15:D15-C$6:D$6)</f>
        <v>21.152741279359809</v>
      </c>
      <c r="G15" s="15" cm="1">
        <f t="array" aca="1" ref="G15" ca="1">SUMSQ(C15:D15-C$7:D$7)</f>
        <v>12.144058721435751</v>
      </c>
      <c r="H15" s="15">
        <f t="shared" ca="1" si="1"/>
        <v>3</v>
      </c>
    </row>
    <row r="16" spans="2:8" x14ac:dyDescent="0.3">
      <c r="B16" s="15" t="s">
        <v>61</v>
      </c>
      <c r="C16" s="15">
        <f t="shared" ref="C16:D17" ca="1" si="3">_xlfn.NORM.INV(RAND(),8,1)</f>
        <v>8.6530549534399981</v>
      </c>
      <c r="D16" s="15">
        <f t="shared" ca="1" si="3"/>
        <v>7.4772464622267583</v>
      </c>
      <c r="E16" s="15" cm="1">
        <f t="array" aca="1" ref="E16" ca="1">SUMSQ(C16:D16-C$5:D$5)</f>
        <v>100.52397185280155</v>
      </c>
      <c r="F16" s="15" cm="1">
        <f t="array" aca="1" ref="F16" ca="1">SUMSQ(C16:D16-C$6:D$6)</f>
        <v>19.481560527467494</v>
      </c>
      <c r="G16" s="15" cm="1">
        <f t="array" aca="1" ref="G16" ca="1">SUMSQ(C16:D16-C$7:D$7)</f>
        <v>8.178546370799932</v>
      </c>
      <c r="H16" s="15">
        <f t="shared" ca="1" si="1"/>
        <v>3</v>
      </c>
    </row>
    <row r="17" spans="1:8" x14ac:dyDescent="0.3">
      <c r="B17" s="15" t="s">
        <v>62</v>
      </c>
      <c r="C17" s="15">
        <f t="shared" ca="1" si="3"/>
        <v>6.0228642989094814</v>
      </c>
      <c r="D17" s="15">
        <f t="shared" ca="1" si="3"/>
        <v>9.0084580624687369</v>
      </c>
      <c r="E17" s="15" cm="1">
        <f t="array" aca="1" ref="E17" ca="1">SUMSQ(C17:D17-C$5:D$5)</f>
        <v>89.364566303579949</v>
      </c>
      <c r="F17" s="15" cm="1">
        <f t="array" aca="1" ref="F17" ca="1">SUMSQ(C17:D17-C$6:D$6)</f>
        <v>17.113987412554202</v>
      </c>
      <c r="G17" s="15" cm="1">
        <f t="array" aca="1" ref="G17" ca="1">SUMSQ(C17:D17-C$7:D$7)</f>
        <v>16.800763798772024</v>
      </c>
      <c r="H17" s="15">
        <f t="shared" ca="1" si="1"/>
        <v>3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2.4694391260051805</v>
      </c>
      <c r="D19" s="15">
        <f ca="1">AVERAGEIF($H$9:$H$17,A19,$D$9:$D$17)</f>
        <v>0.78469060124801937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3.4329377672804995</v>
      </c>
      <c r="D20" s="15">
        <f ca="1">AVERAGEIF($H$9:$H$17,A20,$D$9:$D$17)</f>
        <v>4.1990868399532877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7.0861317925792768</v>
      </c>
      <c r="D21" s="15">
        <f ca="1">AVERAGEIF($H$9:$H$17,A21,$D$9:$D$17)</f>
        <v>8.6013655516998515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>
    <tabColor rgb="FFFF0000"/>
  </sheetPr>
  <dimension ref="A1:B1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394</v>
      </c>
    </row>
    <row r="2" spans="1:2" x14ac:dyDescent="0.3">
      <c r="B2" s="3" t="s">
        <v>400</v>
      </c>
    </row>
    <row r="4" spans="1:2" ht="92" x14ac:dyDescent="1">
      <c r="B4" s="128" t="s">
        <v>394</v>
      </c>
    </row>
    <row r="5" spans="1:2" ht="92" x14ac:dyDescent="1">
      <c r="B5" s="128" t="s">
        <v>395</v>
      </c>
    </row>
    <row r="7" spans="1:2" x14ac:dyDescent="0.3">
      <c r="B7" s="1" t="s">
        <v>396</v>
      </c>
    </row>
    <row r="8" spans="1:2" x14ac:dyDescent="0.3">
      <c r="B8" s="1" t="s">
        <v>398</v>
      </c>
    </row>
    <row r="10" spans="1:2" x14ac:dyDescent="0.3">
      <c r="B10" s="1" t="s">
        <v>397</v>
      </c>
    </row>
    <row r="11" spans="1:2" x14ac:dyDescent="0.3">
      <c r="B11" s="1" t="s">
        <v>399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415</v>
      </c>
    </row>
    <row r="2" spans="1:3" x14ac:dyDescent="0.3">
      <c r="A2" s="3" t="s">
        <v>416</v>
      </c>
    </row>
    <row r="3" spans="1:3" x14ac:dyDescent="0.3">
      <c r="A3" s="3" t="s">
        <v>408</v>
      </c>
      <c r="B3" s="3"/>
      <c r="C3" s="3" t="s">
        <v>318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264</v>
      </c>
    </row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409</v>
      </c>
    </row>
    <row r="2" spans="1:6" x14ac:dyDescent="0.2">
      <c r="A2" s="136" t="s">
        <v>410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412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411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413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414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92D050"/>
  </sheetPr>
  <dimension ref="B2:N20"/>
  <sheetViews>
    <sheetView workbookViewId="0"/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92D050"/>
  </sheetPr>
  <dimension ref="B2:K12"/>
  <sheetViews>
    <sheetView workbookViewId="0"/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365</v>
      </c>
    </row>
    <row r="2" spans="1:1" x14ac:dyDescent="0.3">
      <c r="A2" s="95" t="s">
        <v>366</v>
      </c>
    </row>
    <row r="3" spans="1:1" x14ac:dyDescent="0.3">
      <c r="A3" s="95" t="s">
        <v>367</v>
      </c>
    </row>
    <row r="4" spans="1:1" x14ac:dyDescent="0.3">
      <c r="A4" s="95" t="s">
        <v>368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0" bestFit="1" customWidth="1"/>
    <col min="2" max="2" width="14.33203125" style="130" bestFit="1" customWidth="1"/>
    <col min="3" max="3" width="21.5" style="130" bestFit="1" customWidth="1"/>
    <col min="4" max="16384" width="10.83203125" style="130"/>
  </cols>
  <sheetData>
    <row r="1" spans="1:3" x14ac:dyDescent="0.3">
      <c r="A1" s="130" t="s">
        <v>344</v>
      </c>
      <c r="B1" s="130" t="s">
        <v>345</v>
      </c>
      <c r="C1" s="130" t="s">
        <v>346</v>
      </c>
    </row>
    <row r="2" spans="1:3" x14ac:dyDescent="0.3">
      <c r="A2" s="131" t="s">
        <v>347</v>
      </c>
      <c r="B2" s="132" t="s">
        <v>348</v>
      </c>
      <c r="C2" s="132" t="s">
        <v>349</v>
      </c>
    </row>
    <row r="3" spans="1:3" x14ac:dyDescent="0.3">
      <c r="A3" s="131" t="s">
        <v>347</v>
      </c>
      <c r="B3" s="132" t="s">
        <v>348</v>
      </c>
      <c r="C3" s="132" t="s">
        <v>349</v>
      </c>
    </row>
    <row r="4" spans="1:3" x14ac:dyDescent="0.3">
      <c r="A4" s="131" t="s">
        <v>347</v>
      </c>
      <c r="B4" s="132" t="s">
        <v>348</v>
      </c>
      <c r="C4" s="132" t="s">
        <v>349</v>
      </c>
    </row>
    <row r="5" spans="1:3" x14ac:dyDescent="0.3">
      <c r="A5" s="131" t="s">
        <v>347</v>
      </c>
      <c r="B5" s="132" t="s">
        <v>348</v>
      </c>
      <c r="C5" s="132" t="s">
        <v>350</v>
      </c>
    </row>
    <row r="6" spans="1:3" x14ac:dyDescent="0.3">
      <c r="A6" s="131" t="s">
        <v>347</v>
      </c>
      <c r="B6" s="132" t="s">
        <v>351</v>
      </c>
      <c r="C6" s="132" t="s">
        <v>350</v>
      </c>
    </row>
    <row r="7" spans="1:3" x14ac:dyDescent="0.3">
      <c r="A7" s="131" t="s">
        <v>352</v>
      </c>
      <c r="B7" s="132" t="s">
        <v>351</v>
      </c>
      <c r="C7" s="132" t="s">
        <v>349</v>
      </c>
    </row>
    <row r="8" spans="1:3" x14ac:dyDescent="0.3">
      <c r="A8" s="131" t="s">
        <v>352</v>
      </c>
      <c r="B8" s="132" t="s">
        <v>351</v>
      </c>
      <c r="C8" s="132" t="s">
        <v>350</v>
      </c>
    </row>
    <row r="9" spans="1:3" x14ac:dyDescent="0.3">
      <c r="A9" s="131" t="s">
        <v>352</v>
      </c>
      <c r="B9" s="132" t="s">
        <v>351</v>
      </c>
      <c r="C9" s="132" t="s">
        <v>350</v>
      </c>
    </row>
    <row r="10" spans="1:3" x14ac:dyDescent="0.3">
      <c r="A10" s="131" t="s">
        <v>352</v>
      </c>
      <c r="B10" s="132" t="s">
        <v>348</v>
      </c>
      <c r="C10" s="132" t="s">
        <v>350</v>
      </c>
    </row>
    <row r="11" spans="1:3" x14ac:dyDescent="0.3">
      <c r="A11" s="131" t="s">
        <v>352</v>
      </c>
      <c r="B11" s="132" t="s">
        <v>348</v>
      </c>
      <c r="C11" s="132" t="s">
        <v>350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3" bestFit="1" customWidth="1"/>
    <col min="2" max="2" width="21.5" style="133" bestFit="1" customWidth="1"/>
    <col min="3" max="16384" width="10.83203125" style="133"/>
  </cols>
  <sheetData>
    <row r="1" spans="1:2" x14ac:dyDescent="0.3">
      <c r="A1" s="130" t="s">
        <v>345</v>
      </c>
      <c r="B1" s="130" t="s">
        <v>346</v>
      </c>
    </row>
    <row r="2" spans="1:2" x14ac:dyDescent="0.3">
      <c r="A2" s="134" t="s">
        <v>348</v>
      </c>
      <c r="B2" s="134" t="s">
        <v>349</v>
      </c>
    </row>
    <row r="3" spans="1:2" x14ac:dyDescent="0.3">
      <c r="A3" s="134" t="s">
        <v>348</v>
      </c>
      <c r="B3" s="134" t="s">
        <v>350</v>
      </c>
    </row>
    <row r="4" spans="1:2" x14ac:dyDescent="0.3">
      <c r="A4" s="134" t="s">
        <v>351</v>
      </c>
      <c r="B4" s="134" t="s">
        <v>349</v>
      </c>
    </row>
    <row r="5" spans="1:2" x14ac:dyDescent="0.3">
      <c r="A5" s="134" t="s">
        <v>351</v>
      </c>
      <c r="B5" s="134" t="s">
        <v>350</v>
      </c>
    </row>
    <row r="6" spans="1:2" x14ac:dyDescent="0.3">
      <c r="A6" s="130"/>
      <c r="B6" s="130"/>
    </row>
    <row r="7" spans="1:2" x14ac:dyDescent="0.3">
      <c r="A7" s="130"/>
      <c r="B7" s="130"/>
    </row>
    <row r="8" spans="1:2" x14ac:dyDescent="0.3">
      <c r="A8" s="130"/>
      <c r="B8" s="130"/>
    </row>
    <row r="9" spans="1:2" x14ac:dyDescent="0.3">
      <c r="A9" s="130"/>
      <c r="B9" s="130"/>
    </row>
    <row r="10" spans="1:2" x14ac:dyDescent="0.3">
      <c r="A10" s="130"/>
      <c r="B10" s="130"/>
    </row>
    <row r="11" spans="1:2" x14ac:dyDescent="0.3">
      <c r="A11" s="130"/>
      <c r="B11" s="13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FF000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353</v>
      </c>
      <c r="I1" s="15" t="s">
        <v>354</v>
      </c>
    </row>
    <row r="2" spans="1:9" x14ac:dyDescent="0.3">
      <c r="A2" s="103" t="s">
        <v>347</v>
      </c>
      <c r="B2" s="104"/>
      <c r="D2" s="105" t="s">
        <v>348</v>
      </c>
      <c r="E2" s="106" t="s">
        <v>349</v>
      </c>
      <c r="F2" s="106"/>
      <c r="G2" s="107"/>
      <c r="H2" s="1">
        <v>1</v>
      </c>
      <c r="I2" s="1">
        <v>1</v>
      </c>
    </row>
    <row r="3" spans="1:9" x14ac:dyDescent="0.3">
      <c r="A3" s="103" t="s">
        <v>347</v>
      </c>
      <c r="B3" s="104"/>
      <c r="D3" s="108" t="s">
        <v>348</v>
      </c>
      <c r="E3" s="104" t="s">
        <v>349</v>
      </c>
      <c r="F3" s="104"/>
      <c r="G3" s="109"/>
      <c r="H3" s="1">
        <v>1</v>
      </c>
      <c r="I3" s="1">
        <v>1</v>
      </c>
    </row>
    <row r="4" spans="1:9" x14ac:dyDescent="0.3">
      <c r="A4" s="103" t="s">
        <v>347</v>
      </c>
      <c r="B4" s="104"/>
      <c r="D4" s="108" t="s">
        <v>348</v>
      </c>
      <c r="E4" s="104" t="s">
        <v>349</v>
      </c>
      <c r="F4" s="104"/>
      <c r="G4" s="109"/>
      <c r="H4" s="1">
        <v>1</v>
      </c>
      <c r="I4" s="1">
        <v>1</v>
      </c>
    </row>
    <row r="5" spans="1:9" x14ac:dyDescent="0.3">
      <c r="A5" s="103" t="s">
        <v>347</v>
      </c>
      <c r="B5" s="104"/>
      <c r="D5" s="108" t="s">
        <v>348</v>
      </c>
      <c r="E5" s="104" t="s">
        <v>350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347</v>
      </c>
      <c r="B6" s="104"/>
      <c r="D6" s="108" t="s">
        <v>351</v>
      </c>
      <c r="E6" s="104" t="s">
        <v>350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352</v>
      </c>
      <c r="B7" s="104"/>
      <c r="D7" s="108" t="s">
        <v>351</v>
      </c>
      <c r="E7" s="104" t="s">
        <v>349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352</v>
      </c>
      <c r="B8" s="104"/>
      <c r="D8" s="108" t="s">
        <v>351</v>
      </c>
      <c r="E8" s="104" t="s">
        <v>350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352</v>
      </c>
      <c r="B9" s="104"/>
      <c r="D9" s="108" t="s">
        <v>351</v>
      </c>
      <c r="E9" s="104" t="s">
        <v>350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352</v>
      </c>
      <c r="B10" s="104"/>
      <c r="D10" s="108" t="s">
        <v>348</v>
      </c>
      <c r="E10" s="104" t="s">
        <v>350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352</v>
      </c>
      <c r="B11" s="104"/>
      <c r="D11" s="110" t="s">
        <v>348</v>
      </c>
      <c r="E11" s="111" t="s">
        <v>350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355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356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357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358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359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353</v>
      </c>
      <c r="I19" s="15" t="s">
        <v>354</v>
      </c>
      <c r="K19" s="15" t="s">
        <v>360</v>
      </c>
      <c r="L19" s="15" t="s">
        <v>361</v>
      </c>
      <c r="M19" s="15" t="s">
        <v>362</v>
      </c>
      <c r="N19" s="15"/>
      <c r="O19" s="15" t="s">
        <v>363</v>
      </c>
      <c r="P19" s="15" t="s">
        <v>364</v>
      </c>
    </row>
    <row r="20" spans="1:16" x14ac:dyDescent="0.3">
      <c r="A20" s="114"/>
      <c r="B20" s="115"/>
      <c r="D20" s="116" t="s">
        <v>348</v>
      </c>
      <c r="E20" s="117" t="s">
        <v>349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348</v>
      </c>
      <c r="E21" s="115" t="s">
        <v>350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351</v>
      </c>
      <c r="E22" s="115" t="s">
        <v>349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351</v>
      </c>
      <c r="E23" s="115" t="s">
        <v>350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1C30-E407-374B-8B8D-6A0B20976316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418</v>
      </c>
    </row>
    <row r="2" spans="1:1" x14ac:dyDescent="0.3">
      <c r="A2" s="1" t="s">
        <v>417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A716-DE41-D14D-B192-23942AB9FBEA}">
  <sheetPr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1D799-FCC7-A24F-89CF-ED0C790207A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330</v>
      </c>
    </row>
    <row r="4" spans="2:2" x14ac:dyDescent="0.3">
      <c r="B4" s="1" t="s">
        <v>333</v>
      </c>
    </row>
    <row r="6" spans="2:2" x14ac:dyDescent="0.3">
      <c r="B6" s="1" t="s">
        <v>380</v>
      </c>
    </row>
    <row r="8" spans="2:2" x14ac:dyDescent="0.3">
      <c r="B8" s="1" t="s">
        <v>332</v>
      </c>
    </row>
    <row r="10" spans="2:2" x14ac:dyDescent="0.3">
      <c r="B10" s="1" t="s">
        <v>331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8"/>
  <sheetViews>
    <sheetView tabSelected="1"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5</v>
      </c>
    </row>
    <row r="4" spans="1:3" x14ac:dyDescent="0.3">
      <c r="A4" s="1">
        <v>2</v>
      </c>
      <c r="B4" s="1" t="s">
        <v>1</v>
      </c>
      <c r="C4" s="1">
        <v>5</v>
      </c>
    </row>
    <row r="5" spans="1:3" x14ac:dyDescent="0.3">
      <c r="A5" s="1">
        <v>3</v>
      </c>
      <c r="B5" s="1" t="s">
        <v>63</v>
      </c>
      <c r="C5" s="1">
        <v>5</v>
      </c>
    </row>
    <row r="6" spans="1:3" x14ac:dyDescent="0.3">
      <c r="A6" s="1">
        <v>4</v>
      </c>
      <c r="B6" s="1" t="s">
        <v>259</v>
      </c>
      <c r="C6" s="1">
        <v>5</v>
      </c>
    </row>
    <row r="7" spans="1:3" x14ac:dyDescent="0.3">
      <c r="A7" s="1">
        <v>5</v>
      </c>
      <c r="B7" s="1" t="s">
        <v>334</v>
      </c>
      <c r="C7" s="1">
        <v>5</v>
      </c>
    </row>
    <row r="8" spans="1:3" x14ac:dyDescent="0.3">
      <c r="A8" s="1">
        <v>6</v>
      </c>
      <c r="B8" s="1" t="s">
        <v>379</v>
      </c>
      <c r="C8" s="1">
        <v>5</v>
      </c>
    </row>
  </sheetData>
  <phoneticPr fontId="7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319</v>
      </c>
    </row>
    <row r="4" spans="2:2" x14ac:dyDescent="0.3">
      <c r="B4" s="1" t="s">
        <v>402</v>
      </c>
    </row>
    <row r="5" spans="2:2" x14ac:dyDescent="0.3">
      <c r="B5" s="1" t="s">
        <v>403</v>
      </c>
    </row>
    <row r="6" spans="2:2" x14ac:dyDescent="0.3">
      <c r="B6" s="1" t="s">
        <v>405</v>
      </c>
    </row>
    <row r="7" spans="2:2" x14ac:dyDescent="0.3">
      <c r="B7" s="1" t="s">
        <v>404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339</v>
      </c>
    </row>
    <row r="3" spans="1:2" x14ac:dyDescent="0.3">
      <c r="B3" s="1" t="s">
        <v>342</v>
      </c>
    </row>
    <row r="4" spans="1:2" x14ac:dyDescent="0.3">
      <c r="B4" s="1" t="s">
        <v>340</v>
      </c>
    </row>
    <row r="5" spans="1:2" x14ac:dyDescent="0.3">
      <c r="A5" s="1">
        <v>1</v>
      </c>
      <c r="B5" s="1" t="s">
        <v>341</v>
      </c>
    </row>
    <row r="6" spans="1:2" x14ac:dyDescent="0.3">
      <c r="A6" s="1">
        <v>2</v>
      </c>
      <c r="B6" s="1" t="s">
        <v>343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x14ac:dyDescent="0.3">
      <c r="B6" s="1" t="s">
        <v>322</v>
      </c>
    </row>
    <row r="7" spans="1:2" x14ac:dyDescent="0.3">
      <c r="B7" s="1" t="s">
        <v>323</v>
      </c>
    </row>
    <row r="8" spans="1:2" x14ac:dyDescent="0.3">
      <c r="B8" s="1" t="s">
        <v>324</v>
      </c>
    </row>
    <row r="9" spans="1:2" x14ac:dyDescent="0.3">
      <c r="B9" s="1" t="s">
        <v>325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326</v>
      </c>
    </row>
    <row r="3" spans="2:2" x14ac:dyDescent="0.3">
      <c r="B3" s="1" t="s">
        <v>327</v>
      </c>
    </row>
    <row r="4" spans="2:2" x14ac:dyDescent="0.3">
      <c r="B4" s="1" t="s">
        <v>328</v>
      </c>
    </row>
    <row r="5" spans="2:2" x14ac:dyDescent="0.3">
      <c r="B5" s="1" t="s">
        <v>406</v>
      </c>
    </row>
    <row r="6" spans="2:2" x14ac:dyDescent="0.3">
      <c r="B6" s="1" t="s">
        <v>329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369</v>
      </c>
    </row>
    <row r="3" spans="1:2" s="97" customFormat="1" x14ac:dyDescent="0.3">
      <c r="A3" s="1"/>
    </row>
    <row r="4" spans="1:2" x14ac:dyDescent="0.3">
      <c r="A4" s="1">
        <v>2</v>
      </c>
      <c r="B4" s="1" t="s">
        <v>370</v>
      </c>
    </row>
    <row r="5" spans="1:2" s="97" customFormat="1" x14ac:dyDescent="0.3">
      <c r="A5" s="1"/>
    </row>
    <row r="6" spans="1:2" x14ac:dyDescent="0.3">
      <c r="A6" s="1">
        <v>3</v>
      </c>
      <c r="B6" s="1" t="s">
        <v>371</v>
      </c>
    </row>
    <row r="7" spans="1:2" s="97" customFormat="1" x14ac:dyDescent="0.3">
      <c r="A7" s="1"/>
    </row>
    <row r="8" spans="1:2" x14ac:dyDescent="0.3">
      <c r="A8" s="1">
        <v>4</v>
      </c>
      <c r="B8" s="1" t="s">
        <v>372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373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374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375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377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376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378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180</vt:i4>
      </vt:variant>
    </vt:vector>
  </HeadingPairs>
  <TitlesOfParts>
    <vt:vector size="198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Optimization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2022-10-04T18:16:12Z</dcterms:modified>
</cp:coreProperties>
</file>