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Classes/Dev/"/>
    </mc:Choice>
  </mc:AlternateContent>
  <xr:revisionPtr revIDLastSave="0" documentId="13_ncr:1_{81838A96-D03F-D342-83C1-1C97F21CF045}" xr6:coauthVersionLast="47" xr6:coauthVersionMax="47" xr10:uidLastSave="{00000000-0000-0000-0000-000000000000}"/>
  <bookViews>
    <workbookView xWindow="42740" yWindow="0" windowWidth="24460" windowHeight="21600" xr2:uid="{2528C2F6-2D91-5941-BA0A-8E362C5A735B}"/>
  </bookViews>
  <sheets>
    <sheet name="Today" sheetId="6" r:id="rId1"/>
    <sheet name="Themes" sheetId="13" r:id="rId2"/>
    <sheet name="Assumptions" sheetId="35" r:id="rId3"/>
    <sheet name="SetUp" sheetId="12" state="veryHidden" r:id="rId4"/>
    <sheet name="Linearity" sheetId="8" state="veryHidden" r:id="rId5"/>
    <sheet name="NormalErrors" sheetId="68" state="veryHidden" r:id="rId6"/>
    <sheet name="ConstantVariance" sheetId="9" state="veryHidden" r:id="rId7"/>
    <sheet name="Leverage" sheetId="10" state="veryHidden" r:id="rId8"/>
    <sheet name="CooksDistance" sheetId="69" state="veryHidden" r:id="rId9"/>
    <sheet name="IndependentErrors" sheetId="11" state="veryHidden" r:id="rId10"/>
    <sheet name="DurbinWatson" sheetId="16" state="veryHidden" r:id="rId11"/>
    <sheet name="KNN" sheetId="34" r:id="rId12"/>
    <sheet name="KNN_Data" sheetId="45" state="veryHidden" r:id="rId13"/>
    <sheet name="KNN_XNew" sheetId="46" state="veryHidden" r:id="rId14"/>
    <sheet name="KNN_Distance" sheetId="47" state="veryHidden" r:id="rId15"/>
    <sheet name="KNN_Nearest" sheetId="48" state="veryHidden" r:id="rId16"/>
    <sheet name="KNN_K" sheetId="49" state="veryHidden" r:id="rId17"/>
    <sheet name="KNN_Vote" sheetId="50" state="veryHidden" r:id="rId18"/>
    <sheet name="KNN_RCode" sheetId="72" state="veryHidden" r:id="rId19"/>
    <sheet name="Diagnostics" sheetId="80" r:id="rId20"/>
    <sheet name="OutOfSampleTesting" sheetId="36" r:id="rId21"/>
    <sheet name="Setup_" sheetId="39" state="veryHidden" r:id="rId22"/>
    <sheet name="Explore" sheetId="40" state="veryHidden" r:id="rId23"/>
    <sheet name="Tools" sheetId="41" state="veryHidden" r:id="rId24"/>
    <sheet name="LM_InAndOut" sheetId="42" state="veryHidden" r:id="rId25"/>
    <sheet name="Optim_InAndOut" sheetId="43" state="veryHidden" r:id="rId26"/>
    <sheet name="Optim_Shrinkage" sheetId="44" state="veryHidden" r:id="rId27"/>
    <sheet name="Optim_LSearch" sheetId="81" state="veryHidden" r:id="rId28"/>
    <sheet name="AIC" sheetId="64" r:id="rId29"/>
    <sheet name="MLR_Step" sheetId="51" state="veryHidden" r:id="rId30"/>
    <sheet name="Data" sheetId="53" state="veryHidden" r:id="rId31"/>
    <sheet name="AIC_0" sheetId="62" state="veryHidden" r:id="rId32"/>
    <sheet name="AIC_1" sheetId="63" state="veryHidden" r:id="rId33"/>
    <sheet name="PreWork4NextClass" sheetId="27" r:id="rId34"/>
    <sheet name="InClassProjects" sheetId="26" r:id="rId35"/>
    <sheet name="Q_KNN_wVote" sheetId="25" r:id="rId36"/>
    <sheet name="Q_KNN_HighD" sheetId="77" r:id="rId37"/>
    <sheet name="Q_IndepErrors" sheetId="76" r:id="rId38"/>
    <sheet name="Q_CooksD" sheetId="79" r:id="rId39"/>
    <sheet name="Q_Specificity" sheetId="31" r:id="rId40"/>
    <sheet name="Q_OOS" sheetId="33" r:id="rId41"/>
    <sheet name="Q_AIC" sheetId="65" r:id="rId42"/>
    <sheet name="LendingClubData" sheetId="70" r:id="rId43"/>
    <sheet name="Hitters" sheetId="75" r:id="rId44"/>
    <sheet name="Hitters_Simple" sheetId="78" r:id="rId45"/>
  </sheets>
  <externalReferences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</externalReferences>
  <definedNames>
    <definedName name="_r2" localSheetId="19">#REF!</definedName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2_">#REF!</definedName>
    <definedName name="beta" localSheetId="19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ake">#REF!</definedName>
    <definedName name="Cd" localSheetId="19">[8]Options2!#REF!</definedName>
    <definedName name="Cd">[8]Options2!#REF!</definedName>
    <definedName name="Change" localSheetId="19">[5]VaR0!#REF!</definedName>
    <definedName name="Change">[5]VaR0!#REF!</definedName>
    <definedName name="change1" localSheetId="19">#REF!</definedName>
    <definedName name="change1">#REF!</definedName>
    <definedName name="change2" localSheetId="19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 localSheetId="19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 localSheetId="19">#REF!</definedName>
    <definedName name="idx">#REF!</definedName>
    <definedName name="Inflator">[1]RSquareAdj!$C$10</definedName>
    <definedName name="k" localSheetId="31">[2]Binomial!$C$14</definedName>
    <definedName name="k" localSheetId="32">[2]Binomial!$C$14</definedName>
    <definedName name="k" localSheetId="30">[2]Binomial!$C$14</definedName>
    <definedName name="k" localSheetId="19">[15]KNN_Vote!$AB$4</definedName>
    <definedName name="k" localSheetId="16">KNN_K!$AB$4</definedName>
    <definedName name="k" localSheetId="29">[2]Binomial!$C$14</definedName>
    <definedName name="k">KNN_Vote!$AB$4</definedName>
    <definedName name="L">#REF!</definedName>
    <definedName name="LL">#REF!</definedName>
    <definedName name="LN_Sim" localSheetId="19">#REF!</definedName>
    <definedName name="LN_Sim">#REF!</definedName>
    <definedName name="loss" localSheetId="19">#REF!</definedName>
    <definedName name="loss">#REF!</definedName>
    <definedName name="loss_30" localSheetId="19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19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1">[2]Binomial!$C$13</definedName>
    <definedName name="p" localSheetId="32">[2]Binomial!$C$13</definedName>
    <definedName name="p" localSheetId="30">[2]Binomial!$C$13</definedName>
    <definedName name="p" localSheetId="19">#REF!</definedName>
    <definedName name="p" localSheetId="29">[2]Binomial!$C$13</definedName>
    <definedName name="p">DurbinWatson!$B$3</definedName>
    <definedName name="PD">[4]CDS!$C$21:$C$25</definedName>
    <definedName name="PDF">[14]Calcs_Mean2!$K$10:$K$30</definedName>
    <definedName name="Period" localSheetId="19">#REF!</definedName>
    <definedName name="Period">#REF!</definedName>
    <definedName name="peso_rate">[12]FX_Intro!$C$66</definedName>
    <definedName name="Pij" localSheetId="19">#REF!</definedName>
    <definedName name="Pij">#REF!</definedName>
    <definedName name="pmt" localSheetId="19">#REF!</definedName>
    <definedName name="pmt">#REF!</definedName>
    <definedName name="pmt_" localSheetId="19">#REF!</definedName>
    <definedName name="pmt_">#REF!</definedName>
    <definedName name="pmtperyear">[17]Bond!$C$6</definedName>
    <definedName name="pmts">[17]Bond!$E$12:$E$25</definedName>
    <definedName name="price1" localSheetId="19">#REF!</definedName>
    <definedName name="price1">#REF!</definedName>
    <definedName name="price2" localSheetId="19">#REF!</definedName>
    <definedName name="price2">#REF!</definedName>
    <definedName name="price3" localSheetId="19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19">#REF!</definedName>
    <definedName name="risk1">#REF!</definedName>
    <definedName name="risk2" localSheetId="19">#REF!</definedName>
    <definedName name="risk2">#REF!</definedName>
    <definedName name="risk3" localSheetId="19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19">#REF!</definedName>
    <definedName name="SD">#REF!</definedName>
    <definedName name="sd_x">[1]MaximumLikelihood!$C$3</definedName>
    <definedName name="SD_xbar">[14]Calcs_Mean2!$O$28</definedName>
    <definedName name="SE0" localSheetId="19">#REF!</definedName>
    <definedName name="SE0">#REF!</definedName>
    <definedName name="SE1_" localSheetId="19">#REF!</definedName>
    <definedName name="SE1_">#REF!</definedName>
    <definedName name="SE2_" localSheetId="19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19">#REF!</definedName>
    <definedName name="stdev">#REF!</definedName>
    <definedName name="Sum">[13]CentralLimitTheorem!$C$7:$C$106</definedName>
    <definedName name="t" localSheetId="19">#REF!</definedName>
    <definedName name="t">#REF!</definedName>
    <definedName name="t_">[4]CDS!$B$21:$B$25</definedName>
    <definedName name="table_asf">[19]ASF!$C$31:$D$34</definedName>
    <definedName name="Time" localSheetId="19">#REF!</definedName>
    <definedName name="Time">#REF!</definedName>
    <definedName name="Time_">[4]Spread2PD!$B$40:$B$44</definedName>
    <definedName name="tmat">[4]ExporeInf!$C$3:$H$8</definedName>
    <definedName name="tmat12" localSheetId="19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19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19">#REF!</definedName>
    <definedName name="y_draw">#REF!</definedName>
    <definedName name="ybar" localSheetId="19">#REF!</definedName>
    <definedName name="ybar">#REF!</definedName>
    <definedName name="year">Data!$D$2:$D$235</definedName>
    <definedName name="years">[17]Bond!$C$7</definedName>
    <definedName name="yhat" localSheetId="19">#REF!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80" l="1" a="1"/>
  <c r="E8" i="80" s="1"/>
  <c r="I2" i="63" l="1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F2" i="62" l="1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H2" i="62" l="1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D12" i="16"/>
  <c r="F4" i="16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<sst xmlns="http://schemas.openxmlformats.org/spreadsheetml/2006/main" count="15082" uniqueCount="261">
  <si>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</si>
  <si>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</si>
  <si>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</si>
  <si>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</si>
  <si>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</si>
  <si>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</si>
  <si>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</si>
  <si>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</si>
  <si>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</si>
  <si>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</si>
  <si>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</si>
  <si>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K Nearest Neighbors</t>
  </si>
  <si>
    <t>Out of Sample Testing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</si>
  <si>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</si>
  <si>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</si>
  <si>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</si>
  <si>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</si>
  <si>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</si>
  <si>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</si>
  <si>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</si>
  <si>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</si>
  <si>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Diagnostics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</si>
  <si>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</si>
  <si>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</si>
  <si>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</si>
  <si>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</si>
  <si>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</si>
  <si>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</si>
  <si>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</si>
  <si>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</si>
  <si>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</si>
  <si>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</si>
  <si>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</si>
  <si>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</si>
  <si>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</si>
  <si>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</si>
  <si>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</si>
  <si>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</si>
  <si>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</si>
  <si>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</si>
  <si>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</si>
  <si>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</si>
  <si>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</si>
  <si>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</si>
  <si>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</si>
  <si>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</si>
  <si>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</si>
  <si>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</si>
  <si>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</si>
  <si>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</si>
  <si>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</si>
  <si>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</si>
  <si>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</si>
  <si>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</si>
  <si>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</si>
  <si>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</si>
  <si>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</si>
  <si>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</si>
  <si>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</si>
  <si>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</si>
  <si>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</si>
  <si>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</si>
  <si>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</si>
  <si>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</si>
  <si>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</si>
  <si>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</si>
  <si>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</si>
  <si>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</si>
  <si>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</si>
  <si>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</si>
  <si>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</si>
  <si>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</si>
  <si>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</si>
  <si>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</si>
  <si>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</si>
  <si>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</si>
  <si>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</si>
  <si>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</si>
  <si>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</si>
  <si>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</si>
  <si>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</si>
  <si>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</si>
  <si>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</si>
  <si>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</si>
  <si>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</si>
  <si>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</si>
  <si>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</si>
  <si>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</si>
  <si>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</si>
  <si>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</si>
  <si>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</si>
  <si>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</si>
  <si>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</si>
  <si>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</si>
  <si>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</si>
  <si>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</si>
  <si>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</si>
  <si>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</si>
  <si>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</si>
  <si>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</si>
  <si>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</si>
  <si>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</si>
  <si>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</si>
  <si>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</si>
  <si>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</si>
  <si>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</si>
  <si>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</si>
  <si>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</si>
  <si>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</si>
  <si>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</si>
  <si>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</si>
  <si>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</si>
  <si>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</si>
  <si>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</si>
  <si>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</si>
  <si>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</si>
  <si>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</si>
  <si>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</si>
  <si>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</si>
  <si>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</si>
  <si>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</si>
  <si>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</si>
  <si>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</si>
  <si>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</si>
  <si>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</si>
  <si>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</si>
  <si>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</si>
  <si>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</si>
  <si>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</si>
  <si>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</si>
  <si>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</si>
  <si>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</si>
  <si>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</si>
  <si>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</si>
  <si>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</si>
  <si>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</si>
  <si>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</si>
  <si>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</si>
  <si>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</si>
  <si>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</si>
  <si>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</si>
  <si>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</si>
  <si>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</si>
  <si>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</si>
  <si>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</si>
  <si>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</si>
  <si>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</si>
  <si>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</si>
  <si>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</si>
  <si>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</si>
  <si>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</si>
  <si>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</si>
  <si>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</si>
  <si>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</si>
  <si>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</si>
  <si>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</si>
  <si>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</si>
  <si>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</si>
  <si>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</si>
  <si>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</si>
  <si>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</si>
  <si>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</si>
  <si>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</si>
  <si>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</si>
  <si>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</si>
  <si>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</si>
  <si>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</si>
  <si>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</si>
  <si>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</si>
  <si>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</si>
  <si>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</si>
  <si>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</si>
  <si>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</si>
  <si>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</si>
  <si>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</si>
  <si>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</si>
  <si>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</si>
  <si>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</si>
  <si>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Question</t>
  </si>
  <si>
    <t>Points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</si>
  <si>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</si>
  <si>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</si>
  <si>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</si>
  <si>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</si>
  <si>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</si>
  <si>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</si>
  <si>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</si>
  <si>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</si>
  <si>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</si>
  <si>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</si>
  <si>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</si>
  <si>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</si>
  <si>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</si>
  <si>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</si>
  <si>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</si>
  <si>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</si>
  <si>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</si>
  <si>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</si>
  <si>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</si>
  <si>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</si>
  <si>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</si>
  <si>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</si>
  <si>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</si>
  <si>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</si>
  <si>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</si>
  <si>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</si>
  <si>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</si>
  <si>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</si>
  <si>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</si>
  <si>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</si>
  <si>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</si>
  <si>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</si>
  <si>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</si>
  <si>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</si>
  <si>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</si>
  <si>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</si>
  <si>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</si>
  <si>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</si>
  <si>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</si>
  <si>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</si>
  <si>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</si>
  <si>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</si>
  <si>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</si>
  <si>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</si>
  <si>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</si>
  <si>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</si>
  <si>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</si>
  <si>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</si>
  <si>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</si>
  <si>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</si>
  <si>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Use 3 or more dimensions.</t>
  </si>
  <si>
    <t>If you use code, manually calculate the distances.</t>
  </si>
  <si>
    <t>This works best on standardized data.</t>
  </si>
  <si>
    <t>Votes</t>
  </si>
  <si>
    <t>Distance Measures</t>
  </si>
  <si>
    <t>Code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</si>
  <si>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</si>
  <si>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</si>
  <si>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</si>
  <si>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</si>
  <si>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</si>
  <si>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</si>
  <si>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</si>
  <si>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</si>
  <si>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</si>
  <si>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Fit a regression model and use it to estimate Cooks Distance for all of your data points.</t>
  </si>
  <si>
    <t>A display of the Cooks Distance values for each point.</t>
  </si>
  <si>
    <t>The cricitical value for the Cooks Distances at 95% confidence, 1 tail.</t>
  </si>
  <si>
    <t>KNN_wVote</t>
  </si>
  <si>
    <t>KNN_HighD</t>
  </si>
  <si>
    <t>IndepErrors</t>
  </si>
  <si>
    <t>CooksD</t>
  </si>
  <si>
    <t>OOS</t>
  </si>
  <si>
    <t>&lt;- Bonus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</si>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</sst>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9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7" fillId="6" borderId="0" xfId="0" applyFont="1" applyFill="1"/>
    <xf numFmtId="11" fontId="0" fillId="0" borderId="0" xfId="0" applyNumberFormat="1"/>
    <xf numFmtId="0" fontId="1" fillId="4" borderId="0" xfId="0" applyFont="1" applyFill="1"/>
    <xf numFmtId="0" fontId="8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63" Type="http://schemas.openxmlformats.org/officeDocument/2006/relationships/externalLink" Target="externalLinks/externalLink18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8.xml"/><Relationship Id="rId58" Type="http://schemas.openxmlformats.org/officeDocument/2006/relationships/externalLink" Target="externalLinks/externalLink13.xml"/><Relationship Id="rId66" Type="http://schemas.openxmlformats.org/officeDocument/2006/relationships/externalLink" Target="externalLinks/externalLink2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6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3.xml"/><Relationship Id="rId56" Type="http://schemas.openxmlformats.org/officeDocument/2006/relationships/externalLink" Target="externalLinks/externalLink11.xml"/><Relationship Id="rId64" Type="http://schemas.openxmlformats.org/officeDocument/2006/relationships/externalLink" Target="externalLinks/externalLink19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6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59" Type="http://schemas.openxmlformats.org/officeDocument/2006/relationships/externalLink" Target="externalLinks/externalLink14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9.xml"/><Relationship Id="rId62" Type="http://schemas.openxmlformats.org/officeDocument/2006/relationships/externalLink" Target="externalLinks/externalLink17.xml"/><Relationship Id="rId7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4.xml"/><Relationship Id="rId57" Type="http://schemas.openxmlformats.org/officeDocument/2006/relationships/externalLink" Target="externalLinks/externalLink1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7.xml"/><Relationship Id="rId60" Type="http://schemas.openxmlformats.org/officeDocument/2006/relationships/externalLink" Target="externalLinks/externalLink15.xml"/><Relationship Id="rId65" Type="http://schemas.openxmlformats.org/officeDocument/2006/relationships/externalLink" Target="externalLinks/externalLink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5.xml"/><Relationship Id="rId55" Type="http://schemas.openxmlformats.org/officeDocument/2006/relationships/externalLink" Target="externalLinks/externalLink1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0.9217553898934927</c:v>
                </c:pt>
                <c:pt idx="1">
                  <c:v>0.64826072752322061</c:v>
                </c:pt>
                <c:pt idx="2">
                  <c:v>0.8641974685157503</c:v>
                </c:pt>
                <c:pt idx="3">
                  <c:v>0.90293046806219157</c:v>
                </c:pt>
                <c:pt idx="4">
                  <c:v>0.75339409010807912</c:v>
                </c:pt>
                <c:pt idx="5">
                  <c:v>7.8900487345735515E-2</c:v>
                </c:pt>
                <c:pt idx="6">
                  <c:v>0.70187558450142895</c:v>
                </c:pt>
                <c:pt idx="7">
                  <c:v>0.31445390656552696</c:v>
                </c:pt>
                <c:pt idx="8">
                  <c:v>9.0588634437198001E-2</c:v>
                </c:pt>
                <c:pt idx="9">
                  <c:v>0.21212059162907693</c:v>
                </c:pt>
                <c:pt idx="10">
                  <c:v>0.21923720699601823</c:v>
                </c:pt>
                <c:pt idx="11">
                  <c:v>0.29917522993981505</c:v>
                </c:pt>
                <c:pt idx="12">
                  <c:v>0.48706631946853085</c:v>
                </c:pt>
                <c:pt idx="13">
                  <c:v>0.13016858712860413</c:v>
                </c:pt>
                <c:pt idx="14">
                  <c:v>0.20341106833412959</c:v>
                </c:pt>
                <c:pt idx="15">
                  <c:v>0.6061881621680808</c:v>
                </c:pt>
                <c:pt idx="16">
                  <c:v>0.14827393233881347</c:v>
                </c:pt>
                <c:pt idx="17">
                  <c:v>0.78391240513484517</c:v>
                </c:pt>
                <c:pt idx="18">
                  <c:v>0.33666208733293002</c:v>
                </c:pt>
                <c:pt idx="19">
                  <c:v>0.33051028152571971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0.98229407681843317</c:v>
                </c:pt>
                <c:pt idx="1">
                  <c:v>0.97138719584414823</c:v>
                </c:pt>
                <c:pt idx="2">
                  <c:v>0.96888906201404645</c:v>
                </c:pt>
                <c:pt idx="3">
                  <c:v>0.92095203987235352</c:v>
                </c:pt>
                <c:pt idx="4">
                  <c:v>0.83477119444886916</c:v>
                </c:pt>
                <c:pt idx="5">
                  <c:v>0.65094559379500361</c:v>
                </c:pt>
                <c:pt idx="6">
                  <c:v>0.99784390119204525</c:v>
                </c:pt>
                <c:pt idx="7">
                  <c:v>0.80279654143281776</c:v>
                </c:pt>
                <c:pt idx="8">
                  <c:v>0.67036246169826397</c:v>
                </c:pt>
                <c:pt idx="9">
                  <c:v>0.91899797749315115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0.9217553898934927</c:v>
                </c:pt>
                <c:pt idx="1">
                  <c:v>0.64826072752322061</c:v>
                </c:pt>
                <c:pt idx="2">
                  <c:v>0.8641974685157503</c:v>
                </c:pt>
                <c:pt idx="3">
                  <c:v>0.90293046806219157</c:v>
                </c:pt>
                <c:pt idx="4">
                  <c:v>0.75339409010807912</c:v>
                </c:pt>
                <c:pt idx="5">
                  <c:v>7.8900487345735515E-2</c:v>
                </c:pt>
                <c:pt idx="6">
                  <c:v>0.70187558450142895</c:v>
                </c:pt>
                <c:pt idx="7">
                  <c:v>0.31445390656552696</c:v>
                </c:pt>
                <c:pt idx="8">
                  <c:v>9.0588634437198001E-2</c:v>
                </c:pt>
                <c:pt idx="9">
                  <c:v>0.21212059162907693</c:v>
                </c:pt>
                <c:pt idx="10">
                  <c:v>0.21923720699601823</c:v>
                </c:pt>
                <c:pt idx="11">
                  <c:v>0.29917522993981505</c:v>
                </c:pt>
                <c:pt idx="12">
                  <c:v>0.48706631946853085</c:v>
                </c:pt>
                <c:pt idx="13">
                  <c:v>0.13016858712860413</c:v>
                </c:pt>
                <c:pt idx="14">
                  <c:v>0.20341106833412959</c:v>
                </c:pt>
                <c:pt idx="15">
                  <c:v>0.6061881621680808</c:v>
                </c:pt>
                <c:pt idx="16">
                  <c:v>0.14827393233881347</c:v>
                </c:pt>
                <c:pt idx="17">
                  <c:v>0.78391240513484517</c:v>
                </c:pt>
                <c:pt idx="18">
                  <c:v>0.33666208733293002</c:v>
                </c:pt>
                <c:pt idx="19">
                  <c:v>0.33051028152571971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9.3131709949941965E-2</c:v>
                </c:pt>
                <c:pt idx="11">
                  <c:v>0.25426550593068764</c:v>
                </c:pt>
                <c:pt idx="12">
                  <c:v>5.2066527649087445E-2</c:v>
                </c:pt>
                <c:pt idx="13">
                  <c:v>4.5248274163410353E-2</c:v>
                </c:pt>
                <c:pt idx="14">
                  <c:v>0.1532567073909602</c:v>
                </c:pt>
                <c:pt idx="15">
                  <c:v>0.40260248689444367</c:v>
                </c:pt>
                <c:pt idx="16">
                  <c:v>4.6478931990940914E-2</c:v>
                </c:pt>
                <c:pt idx="17">
                  <c:v>0.74199214733523089</c:v>
                </c:pt>
                <c:pt idx="18">
                  <c:v>0.21904756344283474</c:v>
                </c:pt>
                <c:pt idx="19">
                  <c:v>5.3774740069869459E-3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0.51862110957950558</c:v>
                </c:pt>
                <c:pt idx="1">
                  <c:v>0.20944895424086041</c:v>
                </c:pt>
                <c:pt idx="2">
                  <c:v>0.48191507593557348</c:v>
                </c:pt>
                <c:pt idx="3">
                  <c:v>0.2080492087808905</c:v>
                </c:pt>
                <c:pt idx="4">
                  <c:v>1.5808959052793781E-2</c:v>
                </c:pt>
                <c:pt idx="5">
                  <c:v>0.49081122625472073</c:v>
                </c:pt>
                <c:pt idx="6">
                  <c:v>0.98790821722995292</c:v>
                </c:pt>
                <c:pt idx="7">
                  <c:v>0.64113100762208086</c:v>
                </c:pt>
                <c:pt idx="8">
                  <c:v>0.20181939557176121</c:v>
                </c:pt>
                <c:pt idx="9">
                  <c:v>0.74763533921723424</c:v>
                </c:pt>
                <c:pt idx="10">
                  <c:v>0.14790219812474192</c:v>
                </c:pt>
                <c:pt idx="11">
                  <c:v>2.6718940802706315E-2</c:v>
                </c:pt>
                <c:pt idx="12">
                  <c:v>0.85957592102160452</c:v>
                </c:pt>
                <c:pt idx="13">
                  <c:v>0.31829137551847819</c:v>
                </c:pt>
                <c:pt idx="14">
                  <c:v>0.66489751491111759</c:v>
                </c:pt>
                <c:pt idx="15">
                  <c:v>0.68271270314260024</c:v>
                </c:pt>
                <c:pt idx="16">
                  <c:v>0.97127068688417617</c:v>
                </c:pt>
                <c:pt idx="17">
                  <c:v>0.57326420650373267</c:v>
                </c:pt>
                <c:pt idx="18">
                  <c:v>0.65185168346797107</c:v>
                </c:pt>
                <c:pt idx="19">
                  <c:v>0.80494467002423342</c:v>
                </c:pt>
                <c:pt idx="20">
                  <c:v>0.50553563807698965</c:v>
                </c:pt>
                <c:pt idx="21">
                  <c:v>0.95346712501162123</c:v>
                </c:pt>
                <c:pt idx="22">
                  <c:v>8.0087928260186625E-2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0.91388462529133119</c:v>
                </c:pt>
                <c:pt idx="1">
                  <c:v>0.51845453690424237</c:v>
                </c:pt>
                <c:pt idx="2">
                  <c:v>0.72044287344309188</c:v>
                </c:pt>
                <c:pt idx="3">
                  <c:v>0.65164752428557549</c:v>
                </c:pt>
                <c:pt idx="4">
                  <c:v>0.78380537704072162</c:v>
                </c:pt>
                <c:pt idx="5">
                  <c:v>0.82612082514292018</c:v>
                </c:pt>
                <c:pt idx="6">
                  <c:v>0.99105569368969115</c:v>
                </c:pt>
                <c:pt idx="7">
                  <c:v>0.88218483435328432</c:v>
                </c:pt>
                <c:pt idx="8">
                  <c:v>0.95452308416248222</c:v>
                </c:pt>
                <c:pt idx="9">
                  <c:v>0.81422580303555836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0.51862110957950558</c:v>
                </c:pt>
                <c:pt idx="1">
                  <c:v>0.20944895424086041</c:v>
                </c:pt>
                <c:pt idx="2">
                  <c:v>0.48191507593557348</c:v>
                </c:pt>
                <c:pt idx="3">
                  <c:v>0.2080492087808905</c:v>
                </c:pt>
                <c:pt idx="4">
                  <c:v>1.5808959052793781E-2</c:v>
                </c:pt>
                <c:pt idx="5">
                  <c:v>0.49081122625472073</c:v>
                </c:pt>
                <c:pt idx="6">
                  <c:v>0.98790821722995292</c:v>
                </c:pt>
                <c:pt idx="7">
                  <c:v>0.64113100762208086</c:v>
                </c:pt>
                <c:pt idx="8">
                  <c:v>0.20181939557176121</c:v>
                </c:pt>
                <c:pt idx="9">
                  <c:v>0.74763533921723424</c:v>
                </c:pt>
                <c:pt idx="10">
                  <c:v>0.14790219812474192</c:v>
                </c:pt>
                <c:pt idx="11">
                  <c:v>2.6718940802706315E-2</c:v>
                </c:pt>
                <c:pt idx="12">
                  <c:v>0.85957592102160452</c:v>
                </c:pt>
                <c:pt idx="13">
                  <c:v>0.31829137551847819</c:v>
                </c:pt>
                <c:pt idx="14">
                  <c:v>0.66489751491111759</c:v>
                </c:pt>
                <c:pt idx="15">
                  <c:v>0.68271270314260024</c:v>
                </c:pt>
                <c:pt idx="16">
                  <c:v>0.97127068688417617</c:v>
                </c:pt>
                <c:pt idx="17">
                  <c:v>0.57326420650373267</c:v>
                </c:pt>
                <c:pt idx="18">
                  <c:v>0.65185168346797107</c:v>
                </c:pt>
                <c:pt idx="19">
                  <c:v>0.80494467002423342</c:v>
                </c:pt>
                <c:pt idx="20">
                  <c:v>0.50553563807698965</c:v>
                </c:pt>
                <c:pt idx="21">
                  <c:v>0.95346712501162123</c:v>
                </c:pt>
                <c:pt idx="22">
                  <c:v>8.0087928260186625E-2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0.10120504475342645</c:v>
                </c:pt>
                <c:pt idx="11">
                  <c:v>2.162435916762729E-2</c:v>
                </c:pt>
                <c:pt idx="12">
                  <c:v>0.51514838876512548</c:v>
                </c:pt>
                <c:pt idx="13">
                  <c:v>0.21464549968729388</c:v>
                </c:pt>
                <c:pt idx="14">
                  <c:v>0.51359126020051959</c:v>
                </c:pt>
                <c:pt idx="15">
                  <c:v>0.23138198555728318</c:v>
                </c:pt>
                <c:pt idx="16">
                  <c:v>0.20156867956954924</c:v>
                </c:pt>
                <c:pt idx="17">
                  <c:v>1.2266787891731627E-3</c:v>
                </c:pt>
                <c:pt idx="18">
                  <c:v>0.54232599472355369</c:v>
                </c:pt>
                <c:pt idx="19">
                  <c:v>0.13393333114060876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0.51862110957950558</c:v>
                </c:pt>
                <c:pt idx="1">
                  <c:v>0.20944895424086041</c:v>
                </c:pt>
                <c:pt idx="2">
                  <c:v>0.48191507593557348</c:v>
                </c:pt>
                <c:pt idx="3">
                  <c:v>0.2080492087808905</c:v>
                </c:pt>
                <c:pt idx="4">
                  <c:v>1.5808959052793781E-2</c:v>
                </c:pt>
                <c:pt idx="5">
                  <c:v>0.49081122625472073</c:v>
                </c:pt>
                <c:pt idx="6">
                  <c:v>0.98790821722995292</c:v>
                </c:pt>
                <c:pt idx="7">
                  <c:v>0.64113100762208086</c:v>
                </c:pt>
                <c:pt idx="8">
                  <c:v>0.20181939557176121</c:v>
                </c:pt>
                <c:pt idx="9">
                  <c:v>0.74763533921723424</c:v>
                </c:pt>
                <c:pt idx="10">
                  <c:v>0.14790219812474192</c:v>
                </c:pt>
                <c:pt idx="11">
                  <c:v>2.6718940802706315E-2</c:v>
                </c:pt>
                <c:pt idx="12">
                  <c:v>0.85957592102160452</c:v>
                </c:pt>
                <c:pt idx="13">
                  <c:v>0.31829137551847819</c:v>
                </c:pt>
                <c:pt idx="14">
                  <c:v>0.66489751491111759</c:v>
                </c:pt>
                <c:pt idx="15">
                  <c:v>0.68271270314260024</c:v>
                </c:pt>
                <c:pt idx="16">
                  <c:v>0.97127068688417617</c:v>
                </c:pt>
                <c:pt idx="17">
                  <c:v>0.57326420650373267</c:v>
                </c:pt>
                <c:pt idx="18">
                  <c:v>0.65185168346797107</c:v>
                </c:pt>
                <c:pt idx="19">
                  <c:v>0.80494467002423342</c:v>
                </c:pt>
                <c:pt idx="20">
                  <c:v>0.50553563807698965</c:v>
                </c:pt>
                <c:pt idx="21">
                  <c:v>0.95346712501162123</c:v>
                </c:pt>
                <c:pt idx="22">
                  <c:v>8.0087928260186625E-2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0.89266550627041208</c:v>
                </c:pt>
                <c:pt idx="21" formatCode="0.00">
                  <c:v>0.92951714675467911</c:v>
                </c:pt>
                <c:pt idx="22" formatCode="0.00">
                  <c:v>0.55633574078685033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0.68420163989720573</c:v>
                </c:pt>
                <c:pt idx="1">
                  <c:v>0.99165621389197411</c:v>
                </c:pt>
                <c:pt idx="2">
                  <c:v>0.58924749392897435</c:v>
                </c:pt>
                <c:pt idx="3">
                  <c:v>0.9473357614742306</c:v>
                </c:pt>
                <c:pt idx="4">
                  <c:v>7.6217775142213284E-2</c:v>
                </c:pt>
                <c:pt idx="5">
                  <c:v>0.36740521109468927</c:v>
                </c:pt>
                <c:pt idx="6">
                  <c:v>0.43913157347043918</c:v>
                </c:pt>
                <c:pt idx="7">
                  <c:v>4.0558528549655248E-2</c:v>
                </c:pt>
                <c:pt idx="8">
                  <c:v>0.79938179244522189</c:v>
                </c:pt>
                <c:pt idx="9">
                  <c:v>0.66122805341473323</c:v>
                </c:pt>
                <c:pt idx="10">
                  <c:v>0.86544364577392041</c:v>
                </c:pt>
                <c:pt idx="11">
                  <c:v>0.2061110367255149</c:v>
                </c:pt>
                <c:pt idx="12">
                  <c:v>0.15427698499966336</c:v>
                </c:pt>
                <c:pt idx="13">
                  <c:v>0.79728289963549437</c:v>
                </c:pt>
                <c:pt idx="14">
                  <c:v>0.8656879412532078</c:v>
                </c:pt>
                <c:pt idx="15">
                  <c:v>0.72105212555402798</c:v>
                </c:pt>
                <c:pt idx="16">
                  <c:v>0.48436667155781965</c:v>
                </c:pt>
                <c:pt idx="17">
                  <c:v>2.0505351165736929E-2</c:v>
                </c:pt>
                <c:pt idx="18">
                  <c:v>0.69416488856623471</c:v>
                </c:pt>
                <c:pt idx="19">
                  <c:v>6.4478212362608534E-2</c:v>
                </c:pt>
                <c:pt idx="20">
                  <c:v>0.48634862946166546</c:v>
                </c:pt>
                <c:pt idx="21">
                  <c:v>0.74310816705916971</c:v>
                </c:pt>
                <c:pt idx="22">
                  <c:v>0.56971526376952131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0.91317815223375165</c:v>
                </c:pt>
                <c:pt idx="1">
                  <c:v>0.99278646037191665</c:v>
                </c:pt>
                <c:pt idx="2">
                  <c:v>0.96513749758902856</c:v>
                </c:pt>
                <c:pt idx="3">
                  <c:v>0.96020023125230325</c:v>
                </c:pt>
                <c:pt idx="4">
                  <c:v>0.13968612070908926</c:v>
                </c:pt>
                <c:pt idx="5">
                  <c:v>0.93833049693503179</c:v>
                </c:pt>
                <c:pt idx="6">
                  <c:v>0.77895318639899236</c:v>
                </c:pt>
                <c:pt idx="7">
                  <c:v>0.46008129937139208</c:v>
                </c:pt>
                <c:pt idx="8">
                  <c:v>0.92388639882079127</c:v>
                </c:pt>
                <c:pt idx="9">
                  <c:v>0.89521321281273747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0.68420163989720573</c:v>
                </c:pt>
                <c:pt idx="1">
                  <c:v>0.99165621389197411</c:v>
                </c:pt>
                <c:pt idx="2">
                  <c:v>0.58924749392897435</c:v>
                </c:pt>
                <c:pt idx="3">
                  <c:v>0.9473357614742306</c:v>
                </c:pt>
                <c:pt idx="4">
                  <c:v>7.6217775142213284E-2</c:v>
                </c:pt>
                <c:pt idx="5">
                  <c:v>0.36740521109468927</c:v>
                </c:pt>
                <c:pt idx="6">
                  <c:v>0.43913157347043918</c:v>
                </c:pt>
                <c:pt idx="7">
                  <c:v>4.0558528549655248E-2</c:v>
                </c:pt>
                <c:pt idx="8">
                  <c:v>0.79938179244522189</c:v>
                </c:pt>
                <c:pt idx="9">
                  <c:v>0.66122805341473323</c:v>
                </c:pt>
                <c:pt idx="10">
                  <c:v>0.86544364577392041</c:v>
                </c:pt>
                <c:pt idx="11">
                  <c:v>0.2061110367255149</c:v>
                </c:pt>
                <c:pt idx="12">
                  <c:v>0.15427698499966336</c:v>
                </c:pt>
                <c:pt idx="13">
                  <c:v>0.79728289963549437</c:v>
                </c:pt>
                <c:pt idx="14">
                  <c:v>0.8656879412532078</c:v>
                </c:pt>
                <c:pt idx="15">
                  <c:v>0.72105212555402798</c:v>
                </c:pt>
                <c:pt idx="16">
                  <c:v>0.48436667155781965</c:v>
                </c:pt>
                <c:pt idx="17">
                  <c:v>2.0505351165736929E-2</c:v>
                </c:pt>
                <c:pt idx="18">
                  <c:v>0.69416488856623471</c:v>
                </c:pt>
                <c:pt idx="19">
                  <c:v>6.4478212362608534E-2</c:v>
                </c:pt>
                <c:pt idx="20">
                  <c:v>0.48634862946166546</c:v>
                </c:pt>
                <c:pt idx="21">
                  <c:v>0.74310816705916971</c:v>
                </c:pt>
                <c:pt idx="22">
                  <c:v>0.56971526376952131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1.6748183432039359E-2</c:v>
                </c:pt>
                <c:pt idx="11">
                  <c:v>3.5973353129595383E-2</c:v>
                </c:pt>
                <c:pt idx="12">
                  <c:v>8.7227134463666117E-2</c:v>
                </c:pt>
                <c:pt idx="13">
                  <c:v>0.40128021630849875</c:v>
                </c:pt>
                <c:pt idx="14">
                  <c:v>0.73439162841776662</c:v>
                </c:pt>
                <c:pt idx="15">
                  <c:v>0.14460742340900518</c:v>
                </c:pt>
                <c:pt idx="16">
                  <c:v>0.2384074954080459</c:v>
                </c:pt>
                <c:pt idx="17">
                  <c:v>1.6324601273248706E-2</c:v>
                </c:pt>
                <c:pt idx="18">
                  <c:v>7.3168173245083276E-2</c:v>
                </c:pt>
                <c:pt idx="19">
                  <c:v>4.171623926483127E-2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0.68420163989720573</c:v>
                </c:pt>
                <c:pt idx="1">
                  <c:v>0.99165621389197411</c:v>
                </c:pt>
                <c:pt idx="2">
                  <c:v>0.58924749392897435</c:v>
                </c:pt>
                <c:pt idx="3">
                  <c:v>0.9473357614742306</c:v>
                </c:pt>
                <c:pt idx="4">
                  <c:v>7.6217775142213284E-2</c:v>
                </c:pt>
                <c:pt idx="5">
                  <c:v>0.36740521109468927</c:v>
                </c:pt>
                <c:pt idx="6">
                  <c:v>0.43913157347043918</c:v>
                </c:pt>
                <c:pt idx="7">
                  <c:v>4.0558528549655248E-2</c:v>
                </c:pt>
                <c:pt idx="8">
                  <c:v>0.79938179244522189</c:v>
                </c:pt>
                <c:pt idx="9">
                  <c:v>0.66122805341473323</c:v>
                </c:pt>
                <c:pt idx="10">
                  <c:v>0.86544364577392041</c:v>
                </c:pt>
                <c:pt idx="11">
                  <c:v>0.2061110367255149</c:v>
                </c:pt>
                <c:pt idx="12">
                  <c:v>0.15427698499966336</c:v>
                </c:pt>
                <c:pt idx="13">
                  <c:v>0.79728289963549437</c:v>
                </c:pt>
                <c:pt idx="14">
                  <c:v>0.8656879412532078</c:v>
                </c:pt>
                <c:pt idx="15">
                  <c:v>0.72105212555402798</c:v>
                </c:pt>
                <c:pt idx="16">
                  <c:v>0.48436667155781965</c:v>
                </c:pt>
                <c:pt idx="17">
                  <c:v>2.0505351165736929E-2</c:v>
                </c:pt>
                <c:pt idx="18">
                  <c:v>0.69416488856623471</c:v>
                </c:pt>
                <c:pt idx="19">
                  <c:v>6.4478212362608534E-2</c:v>
                </c:pt>
                <c:pt idx="20">
                  <c:v>0.48634862946166546</c:v>
                </c:pt>
                <c:pt idx="21">
                  <c:v>0.74310816705916971</c:v>
                </c:pt>
                <c:pt idx="22">
                  <c:v>0.56971526376952131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4.1919044329164934E-2</c:v>
                </c:pt>
                <c:pt idx="21" formatCode="0.00">
                  <c:v>0.26756735797690245</c:v>
                </c:pt>
                <c:pt idx="22" formatCode="0.00">
                  <c:v>0.38482380342392386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0.21432072332356422</c:v>
                </c:pt>
                <c:pt idx="1">
                  <c:v>0.87333457233215916</c:v>
                </c:pt>
                <c:pt idx="2">
                  <c:v>0.80996714926514879</c:v>
                </c:pt>
                <c:pt idx="3">
                  <c:v>0.10205028126618809</c:v>
                </c:pt>
                <c:pt idx="4">
                  <c:v>0.56835509168213294</c:v>
                </c:pt>
                <c:pt idx="5">
                  <c:v>0.587609180980044</c:v>
                </c:pt>
                <c:pt idx="6">
                  <c:v>0.65304445145585965</c:v>
                </c:pt>
                <c:pt idx="7">
                  <c:v>0.36437847340908081</c:v>
                </c:pt>
                <c:pt idx="8">
                  <c:v>0.63582662051700933</c:v>
                </c:pt>
                <c:pt idx="9">
                  <c:v>0.64884660199463562</c:v>
                </c:pt>
                <c:pt idx="10">
                  <c:v>0.74637542907860943</c:v>
                </c:pt>
                <c:pt idx="11">
                  <c:v>4.9198061659890158E-2</c:v>
                </c:pt>
                <c:pt idx="12">
                  <c:v>6.4910538285116393E-2</c:v>
                </c:pt>
                <c:pt idx="13">
                  <c:v>0.50682280489739573</c:v>
                </c:pt>
                <c:pt idx="14">
                  <c:v>5.5552573213457079E-2</c:v>
                </c:pt>
                <c:pt idx="15">
                  <c:v>0.2590786798020871</c:v>
                </c:pt>
                <c:pt idx="16">
                  <c:v>2.807279360439896E-3</c:v>
                </c:pt>
                <c:pt idx="17">
                  <c:v>0.21887091459061303</c:v>
                </c:pt>
                <c:pt idx="18">
                  <c:v>0.23232382440176813</c:v>
                </c:pt>
                <c:pt idx="19">
                  <c:v>0.98488641300882263</c:v>
                </c:pt>
                <c:pt idx="21">
                  <c:v>0.40148372051827774</c:v>
                </c:pt>
                <c:pt idx="22">
                  <c:v>0.77042516190536425</c:v>
                </c:pt>
                <c:pt idx="23">
                  <c:v>0.55396992419819269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0.50419238897009078</c:v>
                </c:pt>
                <c:pt idx="1">
                  <c:v>0.98925653950339987</c:v>
                </c:pt>
                <c:pt idx="2">
                  <c:v>0.86784973748578587</c:v>
                </c:pt>
                <c:pt idx="3">
                  <c:v>0.66220953817620243</c:v>
                </c:pt>
                <c:pt idx="4">
                  <c:v>0.88712971731893986</c:v>
                </c:pt>
                <c:pt idx="5">
                  <c:v>0.62318483853264472</c:v>
                </c:pt>
                <c:pt idx="6">
                  <c:v>0.74072546871084977</c:v>
                </c:pt>
                <c:pt idx="7">
                  <c:v>0.96457662462278759</c:v>
                </c:pt>
                <c:pt idx="8">
                  <c:v>0.92054712697955077</c:v>
                </c:pt>
                <c:pt idx="9">
                  <c:v>0.95809586851362194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0.21432072332356422</c:v>
                </c:pt>
                <c:pt idx="1">
                  <c:v>0.87333457233215916</c:v>
                </c:pt>
                <c:pt idx="2">
                  <c:v>0.80996714926514879</c:v>
                </c:pt>
                <c:pt idx="3">
                  <c:v>0.10205028126618809</c:v>
                </c:pt>
                <c:pt idx="4">
                  <c:v>0.56835509168213294</c:v>
                </c:pt>
                <c:pt idx="5">
                  <c:v>0.587609180980044</c:v>
                </c:pt>
                <c:pt idx="6">
                  <c:v>0.65304445145585965</c:v>
                </c:pt>
                <c:pt idx="7">
                  <c:v>0.36437847340908081</c:v>
                </c:pt>
                <c:pt idx="8">
                  <c:v>0.63582662051700933</c:v>
                </c:pt>
                <c:pt idx="9">
                  <c:v>0.64884660199463562</c:v>
                </c:pt>
                <c:pt idx="10">
                  <c:v>0.74637542907860943</c:v>
                </c:pt>
                <c:pt idx="11">
                  <c:v>4.9198061659890158E-2</c:v>
                </c:pt>
                <c:pt idx="12">
                  <c:v>6.4910538285116393E-2</c:v>
                </c:pt>
                <c:pt idx="13">
                  <c:v>0.50682280489739573</c:v>
                </c:pt>
                <c:pt idx="14">
                  <c:v>5.5552573213457079E-2</c:v>
                </c:pt>
                <c:pt idx="15">
                  <c:v>0.2590786798020871</c:v>
                </c:pt>
                <c:pt idx="16">
                  <c:v>2.807279360439896E-3</c:v>
                </c:pt>
                <c:pt idx="17">
                  <c:v>0.21887091459061303</c:v>
                </c:pt>
                <c:pt idx="18">
                  <c:v>0.23232382440176813</c:v>
                </c:pt>
                <c:pt idx="19">
                  <c:v>0.98488641300882263</c:v>
                </c:pt>
                <c:pt idx="21">
                  <c:v>0.40148372051827774</c:v>
                </c:pt>
                <c:pt idx="22">
                  <c:v>0.77042516190536425</c:v>
                </c:pt>
                <c:pt idx="23">
                  <c:v>0.55396992419819269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0.50538754148684184</c:v>
                </c:pt>
                <c:pt idx="11">
                  <c:v>3.8955502830892064E-3</c:v>
                </c:pt>
                <c:pt idx="12">
                  <c:v>1.8028055121414123E-2</c:v>
                </c:pt>
                <c:pt idx="13">
                  <c:v>0.24855721863312583</c:v>
                </c:pt>
                <c:pt idx="14">
                  <c:v>4.6371403873040028E-3</c:v>
                </c:pt>
                <c:pt idx="15">
                  <c:v>0.21462934152408764</c:v>
                </c:pt>
                <c:pt idx="16">
                  <c:v>2.5596854320079549E-3</c:v>
                </c:pt>
                <c:pt idx="17">
                  <c:v>6.6229696566646699E-3</c:v>
                </c:pt>
                <c:pt idx="18">
                  <c:v>0.14984646257381265</c:v>
                </c:pt>
                <c:pt idx="19">
                  <c:v>0.14133580587717678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0.21432072332356422</c:v>
                </c:pt>
                <c:pt idx="1">
                  <c:v>0.87333457233215916</c:v>
                </c:pt>
                <c:pt idx="2">
                  <c:v>0.80996714926514879</c:v>
                </c:pt>
                <c:pt idx="3">
                  <c:v>0.10205028126618809</c:v>
                </c:pt>
                <c:pt idx="4">
                  <c:v>0.56835509168213294</c:v>
                </c:pt>
                <c:pt idx="5">
                  <c:v>0.587609180980044</c:v>
                </c:pt>
                <c:pt idx="6">
                  <c:v>0.65304445145585965</c:v>
                </c:pt>
                <c:pt idx="7">
                  <c:v>0.36437847340908081</c:v>
                </c:pt>
                <c:pt idx="8">
                  <c:v>0.63582662051700933</c:v>
                </c:pt>
                <c:pt idx="9">
                  <c:v>0.64884660199463562</c:v>
                </c:pt>
                <c:pt idx="10">
                  <c:v>0.74637542907860943</c:v>
                </c:pt>
                <c:pt idx="11">
                  <c:v>4.9198061659890158E-2</c:v>
                </c:pt>
                <c:pt idx="12">
                  <c:v>6.4910538285116393E-2</c:v>
                </c:pt>
                <c:pt idx="13">
                  <c:v>0.50682280489739573</c:v>
                </c:pt>
                <c:pt idx="14">
                  <c:v>5.5552573213457079E-2</c:v>
                </c:pt>
                <c:pt idx="15">
                  <c:v>0.2590786798020871</c:v>
                </c:pt>
                <c:pt idx="16">
                  <c:v>2.807279360439896E-3</c:v>
                </c:pt>
                <c:pt idx="17">
                  <c:v>0.21887091459061303</c:v>
                </c:pt>
                <c:pt idx="18">
                  <c:v>0.23232382440176813</c:v>
                </c:pt>
                <c:pt idx="19">
                  <c:v>0.98488641300882263</c:v>
                </c:pt>
                <c:pt idx="21">
                  <c:v>0.40148372051827774</c:v>
                </c:pt>
                <c:pt idx="22">
                  <c:v>0.77042516190536425</c:v>
                </c:pt>
                <c:pt idx="23">
                  <c:v>0.55396992419819269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0.94434943725042986</c:v>
                </c:pt>
                <c:pt idx="22" formatCode="0.00">
                  <c:v>0.11465151224275449</c:v>
                </c:pt>
                <c:pt idx="23" formatCode="0.00">
                  <c:v>0.85854773675467244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0.42967386144216668</c:v>
                </c:pt>
                <c:pt idx="1">
                  <c:v>0.19275706073523502</c:v>
                </c:pt>
                <c:pt idx="2">
                  <c:v>0.64143260923510503</c:v>
                </c:pt>
                <c:pt idx="3">
                  <c:v>0.88553504413455253</c:v>
                </c:pt>
                <c:pt idx="4">
                  <c:v>0.14686743992571583</c:v>
                </c:pt>
                <c:pt idx="5">
                  <c:v>0.31882042080443196</c:v>
                </c:pt>
                <c:pt idx="6">
                  <c:v>0.76504948189540611</c:v>
                </c:pt>
                <c:pt idx="7">
                  <c:v>0.17128061680499895</c:v>
                </c:pt>
                <c:pt idx="8">
                  <c:v>0.55818128703118142</c:v>
                </c:pt>
                <c:pt idx="9">
                  <c:v>8.8601840504400897E-2</c:v>
                </c:pt>
                <c:pt idx="10">
                  <c:v>0.26551606773799119</c:v>
                </c:pt>
                <c:pt idx="11">
                  <c:v>0.94299893426662029</c:v>
                </c:pt>
                <c:pt idx="12">
                  <c:v>0.6601570285657018</c:v>
                </c:pt>
                <c:pt idx="13">
                  <c:v>0.51165900763545102</c:v>
                </c:pt>
                <c:pt idx="14">
                  <c:v>0.68233846152038147</c:v>
                </c:pt>
                <c:pt idx="15">
                  <c:v>0.38173493165425187</c:v>
                </c:pt>
                <c:pt idx="16">
                  <c:v>0.68240231769628501</c:v>
                </c:pt>
                <c:pt idx="17">
                  <c:v>1.8109839241862047E-2</c:v>
                </c:pt>
                <c:pt idx="18">
                  <c:v>0.54699183610816626</c:v>
                </c:pt>
                <c:pt idx="19">
                  <c:v>0.91322089940272877</c:v>
                </c:pt>
                <c:pt idx="21">
                  <c:v>0.30137484193128994</c:v>
                </c:pt>
                <c:pt idx="22">
                  <c:v>0.51951194200339079</c:v>
                </c:pt>
                <c:pt idx="23">
                  <c:v>4.665682882009603E-2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0.4319008916465451</c:v>
                </c:pt>
                <c:pt idx="1">
                  <c:v>0.97672908821146276</c:v>
                </c:pt>
                <c:pt idx="2">
                  <c:v>0.8101630227474691</c:v>
                </c:pt>
                <c:pt idx="3">
                  <c:v>0.95271915158228937</c:v>
                </c:pt>
                <c:pt idx="4">
                  <c:v>0.96026484632771392</c:v>
                </c:pt>
                <c:pt idx="5">
                  <c:v>0.40000587852789904</c:v>
                </c:pt>
                <c:pt idx="6">
                  <c:v>0.78874258679073717</c:v>
                </c:pt>
                <c:pt idx="7">
                  <c:v>0.68751730418280466</c:v>
                </c:pt>
                <c:pt idx="8">
                  <c:v>0.99120905965460637</c:v>
                </c:pt>
                <c:pt idx="9">
                  <c:v>0.95354468627949895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0.42967386144216668</c:v>
                </c:pt>
                <c:pt idx="1">
                  <c:v>0.19275706073523502</c:v>
                </c:pt>
                <c:pt idx="2">
                  <c:v>0.64143260923510503</c:v>
                </c:pt>
                <c:pt idx="3">
                  <c:v>0.88553504413455253</c:v>
                </c:pt>
                <c:pt idx="4">
                  <c:v>0.14686743992571583</c:v>
                </c:pt>
                <c:pt idx="5">
                  <c:v>0.31882042080443196</c:v>
                </c:pt>
                <c:pt idx="6">
                  <c:v>0.76504948189540611</c:v>
                </c:pt>
                <c:pt idx="7">
                  <c:v>0.17128061680499895</c:v>
                </c:pt>
                <c:pt idx="8">
                  <c:v>0.55818128703118142</c:v>
                </c:pt>
                <c:pt idx="9">
                  <c:v>8.8601840504400897E-2</c:v>
                </c:pt>
                <c:pt idx="10">
                  <c:v>0.26551606773799119</c:v>
                </c:pt>
                <c:pt idx="11">
                  <c:v>0.94299893426662029</c:v>
                </c:pt>
                <c:pt idx="12">
                  <c:v>0.6601570285657018</c:v>
                </c:pt>
                <c:pt idx="13">
                  <c:v>0.51165900763545102</c:v>
                </c:pt>
                <c:pt idx="14">
                  <c:v>0.68233846152038147</c:v>
                </c:pt>
                <c:pt idx="15">
                  <c:v>0.38173493165425187</c:v>
                </c:pt>
                <c:pt idx="16">
                  <c:v>0.68240231769628501</c:v>
                </c:pt>
                <c:pt idx="17">
                  <c:v>1.8109839241862047E-2</c:v>
                </c:pt>
                <c:pt idx="18">
                  <c:v>0.54699183610816626</c:v>
                </c:pt>
                <c:pt idx="19">
                  <c:v>0.91322089940272877</c:v>
                </c:pt>
                <c:pt idx="21">
                  <c:v>0.30137484193128994</c:v>
                </c:pt>
                <c:pt idx="22">
                  <c:v>0.51951194200339079</c:v>
                </c:pt>
                <c:pt idx="23">
                  <c:v>4.665682882009603E-2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6.6188491598164298E-2</c:v>
                </c:pt>
                <c:pt idx="11">
                  <c:v>0.70626972329454085</c:v>
                </c:pt>
                <c:pt idx="12">
                  <c:v>1.7937209741005114E-2</c:v>
                </c:pt>
                <c:pt idx="13">
                  <c:v>0.50882861800979096</c:v>
                </c:pt>
                <c:pt idx="14">
                  <c:v>0.22695173129233914</c:v>
                </c:pt>
                <c:pt idx="15">
                  <c:v>0.24249040854392825</c:v>
                </c:pt>
                <c:pt idx="16">
                  <c:v>0.57999875801021883</c:v>
                </c:pt>
                <c:pt idx="17">
                  <c:v>1.2826806899280254E-2</c:v>
                </c:pt>
                <c:pt idx="18">
                  <c:v>8.8998226510258807E-2</c:v>
                </c:pt>
                <c:pt idx="19">
                  <c:v>0.66796394589378716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0.42967386144216668</c:v>
                </c:pt>
                <c:pt idx="1">
                  <c:v>0.19275706073523502</c:v>
                </c:pt>
                <c:pt idx="2">
                  <c:v>0.64143260923510503</c:v>
                </c:pt>
                <c:pt idx="3">
                  <c:v>0.88553504413455253</c:v>
                </c:pt>
                <c:pt idx="4">
                  <c:v>0.14686743992571583</c:v>
                </c:pt>
                <c:pt idx="5">
                  <c:v>0.31882042080443196</c:v>
                </c:pt>
                <c:pt idx="6">
                  <c:v>0.76504948189540611</c:v>
                </c:pt>
                <c:pt idx="7">
                  <c:v>0.17128061680499895</c:v>
                </c:pt>
                <c:pt idx="8">
                  <c:v>0.55818128703118142</c:v>
                </c:pt>
                <c:pt idx="9">
                  <c:v>8.8601840504400897E-2</c:v>
                </c:pt>
                <c:pt idx="10">
                  <c:v>0.26551606773799119</c:v>
                </c:pt>
                <c:pt idx="11">
                  <c:v>0.94299893426662029</c:v>
                </c:pt>
                <c:pt idx="12">
                  <c:v>0.6601570285657018</c:v>
                </c:pt>
                <c:pt idx="13">
                  <c:v>0.51165900763545102</c:v>
                </c:pt>
                <c:pt idx="14">
                  <c:v>0.68233846152038147</c:v>
                </c:pt>
                <c:pt idx="15">
                  <c:v>0.38173493165425187</c:v>
                </c:pt>
                <c:pt idx="16">
                  <c:v>0.68240231769628501</c:v>
                </c:pt>
                <c:pt idx="17">
                  <c:v>1.8109839241862047E-2</c:v>
                </c:pt>
                <c:pt idx="18">
                  <c:v>0.54699183610816626</c:v>
                </c:pt>
                <c:pt idx="19">
                  <c:v>0.91322089940272877</c:v>
                </c:pt>
                <c:pt idx="21">
                  <c:v>0.30137484193128994</c:v>
                </c:pt>
                <c:pt idx="22">
                  <c:v>0.51951194200339079</c:v>
                </c:pt>
                <c:pt idx="23">
                  <c:v>4.665682882009603E-2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0.77052509363004418</c:v>
                </c:pt>
                <c:pt idx="22" formatCode="0.00">
                  <c:v>0.14062611168650241</c:v>
                </c:pt>
                <c:pt idx="23" formatCode="0.00">
                  <c:v>0.57932805670253551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0.85595475534564269</c:v>
                </c:pt>
                <c:pt idx="1">
                  <c:v>0.59826733704699087</c:v>
                </c:pt>
                <c:pt idx="2">
                  <c:v>0.1607088939275868</c:v>
                </c:pt>
                <c:pt idx="3">
                  <c:v>0.91291744520474638</c:v>
                </c:pt>
                <c:pt idx="4">
                  <c:v>0.74839952740641291</c:v>
                </c:pt>
                <c:pt idx="5">
                  <c:v>0.9634025691733975</c:v>
                </c:pt>
                <c:pt idx="6">
                  <c:v>0.94922957864701862</c:v>
                </c:pt>
                <c:pt idx="7">
                  <c:v>0.9624467828231974</c:v>
                </c:pt>
                <c:pt idx="8">
                  <c:v>0.69917891517821429</c:v>
                </c:pt>
                <c:pt idx="9">
                  <c:v>0.63708595681348512</c:v>
                </c:pt>
                <c:pt idx="10">
                  <c:v>7.6952598289588447E-2</c:v>
                </c:pt>
                <c:pt idx="11">
                  <c:v>2.1097972260745834E-2</c:v>
                </c:pt>
                <c:pt idx="12">
                  <c:v>0.39606510687113616</c:v>
                </c:pt>
                <c:pt idx="13">
                  <c:v>0.90218078535324098</c:v>
                </c:pt>
                <c:pt idx="14">
                  <c:v>0.70832647699749751</c:v>
                </c:pt>
                <c:pt idx="15">
                  <c:v>0.18707979930150909</c:v>
                </c:pt>
                <c:pt idx="16">
                  <c:v>0.71177960498904314</c:v>
                </c:pt>
                <c:pt idx="17">
                  <c:v>0.76306189106277966</c:v>
                </c:pt>
                <c:pt idx="18">
                  <c:v>0.69963877698268517</c:v>
                </c:pt>
                <c:pt idx="19">
                  <c:v>0.10002023231000312</c:v>
                </c:pt>
                <c:pt idx="21">
                  <c:v>0.38362909717119187</c:v>
                </c:pt>
                <c:pt idx="22">
                  <c:v>2.7201681883258333E-2</c:v>
                </c:pt>
                <c:pt idx="23">
                  <c:v>0.82817227414352135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0.89188226917962743</c:v>
                </c:pt>
                <c:pt idx="1">
                  <c:v>0.80065308426981607</c:v>
                </c:pt>
                <c:pt idx="2">
                  <c:v>0.897016099250879</c:v>
                </c:pt>
                <c:pt idx="3">
                  <c:v>0.99579907161015258</c:v>
                </c:pt>
                <c:pt idx="4">
                  <c:v>0.83003992879388688</c:v>
                </c:pt>
                <c:pt idx="5">
                  <c:v>0.96812891258566813</c:v>
                </c:pt>
                <c:pt idx="6">
                  <c:v>0.95719337318916131</c:v>
                </c:pt>
                <c:pt idx="7">
                  <c:v>0.99203140923041977</c:v>
                </c:pt>
                <c:pt idx="8">
                  <c:v>0.76611420087365545</c:v>
                </c:pt>
                <c:pt idx="9">
                  <c:v>0.99359326027231565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0.85595475534564269</c:v>
                </c:pt>
                <c:pt idx="1">
                  <c:v>0.59826733704699087</c:v>
                </c:pt>
                <c:pt idx="2">
                  <c:v>0.1607088939275868</c:v>
                </c:pt>
                <c:pt idx="3">
                  <c:v>0.91291744520474638</c:v>
                </c:pt>
                <c:pt idx="4">
                  <c:v>0.74839952740641291</c:v>
                </c:pt>
                <c:pt idx="5">
                  <c:v>0.9634025691733975</c:v>
                </c:pt>
                <c:pt idx="6">
                  <c:v>0.94922957864701862</c:v>
                </c:pt>
                <c:pt idx="7">
                  <c:v>0.9624467828231974</c:v>
                </c:pt>
                <c:pt idx="8">
                  <c:v>0.69917891517821429</c:v>
                </c:pt>
                <c:pt idx="9">
                  <c:v>0.63708595681348512</c:v>
                </c:pt>
                <c:pt idx="10">
                  <c:v>7.6952598289588447E-2</c:v>
                </c:pt>
                <c:pt idx="11">
                  <c:v>2.1097972260745834E-2</c:v>
                </c:pt>
                <c:pt idx="12">
                  <c:v>0.39606510687113616</c:v>
                </c:pt>
                <c:pt idx="13">
                  <c:v>0.90218078535324098</c:v>
                </c:pt>
                <c:pt idx="14">
                  <c:v>0.70832647699749751</c:v>
                </c:pt>
                <c:pt idx="15">
                  <c:v>0.18707979930150909</c:v>
                </c:pt>
                <c:pt idx="16">
                  <c:v>0.71177960498904314</c:v>
                </c:pt>
                <c:pt idx="17">
                  <c:v>0.76306189106277966</c:v>
                </c:pt>
                <c:pt idx="18">
                  <c:v>0.69963877698268517</c:v>
                </c:pt>
                <c:pt idx="19">
                  <c:v>0.10002023231000312</c:v>
                </c:pt>
                <c:pt idx="21">
                  <c:v>0.38362909717119187</c:v>
                </c:pt>
                <c:pt idx="22">
                  <c:v>2.7201681883258333E-2</c:v>
                </c:pt>
                <c:pt idx="23">
                  <c:v>0.82817227414352135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4.3854763010396744E-2</c:v>
                </c:pt>
                <c:pt idx="11">
                  <c:v>3.080250576075496E-3</c:v>
                </c:pt>
                <c:pt idx="12">
                  <c:v>0.35211469328633943</c:v>
                </c:pt>
                <c:pt idx="13">
                  <c:v>0.38277300500755052</c:v>
                </c:pt>
                <c:pt idx="14">
                  <c:v>0.65318024399922792</c:v>
                </c:pt>
                <c:pt idx="15">
                  <c:v>2.7809713096682374E-2</c:v>
                </c:pt>
                <c:pt idx="16">
                  <c:v>0.20085692206117092</c:v>
                </c:pt>
                <c:pt idx="17">
                  <c:v>0.13669953632709206</c:v>
                </c:pt>
                <c:pt idx="18">
                  <c:v>0.52938438148233402</c:v>
                </c:pt>
                <c:pt idx="19">
                  <c:v>9.9653825224560066E-2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0.85595475534564269</c:v>
                </c:pt>
                <c:pt idx="1">
                  <c:v>0.59826733704699087</c:v>
                </c:pt>
                <c:pt idx="2">
                  <c:v>0.1607088939275868</c:v>
                </c:pt>
                <c:pt idx="3">
                  <c:v>0.91291744520474638</c:v>
                </c:pt>
                <c:pt idx="4">
                  <c:v>0.74839952740641291</c:v>
                </c:pt>
                <c:pt idx="5">
                  <c:v>0.9634025691733975</c:v>
                </c:pt>
                <c:pt idx="6">
                  <c:v>0.94922957864701862</c:v>
                </c:pt>
                <c:pt idx="7">
                  <c:v>0.9624467828231974</c:v>
                </c:pt>
                <c:pt idx="8">
                  <c:v>0.69917891517821429</c:v>
                </c:pt>
                <c:pt idx="9">
                  <c:v>0.63708595681348512</c:v>
                </c:pt>
                <c:pt idx="10">
                  <c:v>7.6952598289588447E-2</c:v>
                </c:pt>
                <c:pt idx="11">
                  <c:v>2.1097972260745834E-2</c:v>
                </c:pt>
                <c:pt idx="12">
                  <c:v>0.39606510687113616</c:v>
                </c:pt>
                <c:pt idx="13">
                  <c:v>0.90218078535324098</c:v>
                </c:pt>
                <c:pt idx="14">
                  <c:v>0.70832647699749751</c:v>
                </c:pt>
                <c:pt idx="15">
                  <c:v>0.18707979930150909</c:v>
                </c:pt>
                <c:pt idx="16">
                  <c:v>0.71177960498904314</c:v>
                </c:pt>
                <c:pt idx="17">
                  <c:v>0.76306189106277966</c:v>
                </c:pt>
                <c:pt idx="18">
                  <c:v>0.69963877698268517</c:v>
                </c:pt>
                <c:pt idx="19">
                  <c:v>0.10002023231000312</c:v>
                </c:pt>
                <c:pt idx="21">
                  <c:v>0.38362909717119187</c:v>
                </c:pt>
                <c:pt idx="22">
                  <c:v>2.7201681883258333E-2</c:v>
                </c:pt>
                <c:pt idx="23">
                  <c:v>0.82817227414352135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4.3967022133645783E-2</c:v>
                </c:pt>
                <c:pt idx="22" formatCode="0.00">
                  <c:v>0.75359635008560377</c:v>
                </c:pt>
                <c:pt idx="23" formatCode="0.00">
                  <c:v>0.98012351356181526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2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KNN"/>
      <sheetName val="KNN_Data"/>
      <sheetName val="KNN_XNew"/>
      <sheetName val="KNN_Distance"/>
      <sheetName val="KNN_Nearest"/>
      <sheetName val="KNN_K"/>
      <sheetName val="KNN_Vote"/>
      <sheetName val="KNN_Probability"/>
      <sheetName val="KNN_Link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Optim_LSearch"/>
      <sheetName val="Diagnostics"/>
      <sheetName val="Overall_Ftest_Importance"/>
      <sheetName val="Data"/>
      <sheetName val="AIC_0"/>
      <sheetName val="Overall_Ftest"/>
      <sheetName val="Narcissus"/>
      <sheetName val="Importance"/>
      <sheetName val="MLR_Step"/>
      <sheetName val="LogisticRegression"/>
      <sheetName val="Concept"/>
      <sheetName val="YourTurn"/>
      <sheetName val="Iris_Data"/>
      <sheetName val="Iris_Fit"/>
      <sheetName val="Iris_Forecast_OOS"/>
      <sheetName val="R_Code"/>
      <sheetName val="PCA"/>
      <sheetName val="Terminology"/>
      <sheetName val="Boxers1"/>
      <sheetName val="Boxers2"/>
      <sheetName val="Boxers3"/>
      <sheetName val="Dimensions"/>
      <sheetName val="GreenPaint1"/>
      <sheetName val="GreenPaint2"/>
      <sheetName val="LimePaint"/>
      <sheetName val="Boxers4"/>
      <sheetName val="Calculation"/>
      <sheetName val="Code_R"/>
      <sheetName val="Extra"/>
      <sheetName val="PreWork4NextClass"/>
      <sheetName val="InClassProjects"/>
      <sheetName val="Q_KNN"/>
      <sheetName val="Q_Diagnostics"/>
      <sheetName val="Q_Regression"/>
      <sheetName val="Q_LogisticRegres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AB4">
            <v>3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en.wikipedia.org/wiki/Sensitivity_and_specificity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C15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3" x14ac:dyDescent="0.3">
      <c r="B3" s="1" t="s">
        <v>11</v>
      </c>
    </row>
    <row r="4" spans="2:3" x14ac:dyDescent="0.3">
      <c r="C4" s="1" t="s">
        <v>233</v>
      </c>
    </row>
    <row r="5" spans="2:3" x14ac:dyDescent="0.3">
      <c r="C5" s="1" t="s">
        <v>234</v>
      </c>
    </row>
    <row r="7" spans="2:3" x14ac:dyDescent="0.3">
      <c r="B7" s="1" t="s">
        <v>12</v>
      </c>
    </row>
    <row r="8" spans="2:3" x14ac:dyDescent="0.3">
      <c r="C8" s="1" t="s">
        <v>235</v>
      </c>
    </row>
    <row r="9" spans="2:3" x14ac:dyDescent="0.3">
      <c r="C9" s="1" t="s">
        <v>236</v>
      </c>
    </row>
    <row r="11" spans="2:3" x14ac:dyDescent="0.3">
      <c r="B11" s="1" t="s">
        <v>21</v>
      </c>
    </row>
    <row r="12" spans="2:3" x14ac:dyDescent="0.3">
      <c r="C12" s="1" t="s">
        <v>237</v>
      </c>
    </row>
    <row r="14" spans="2:3" x14ac:dyDescent="0.3">
      <c r="B14" s="1" t="s">
        <v>149</v>
      </c>
    </row>
    <row r="15" spans="2:3" x14ac:dyDescent="0.3">
      <c r="C15" s="1" t="s">
        <v>238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13</v>
      </c>
    </row>
    <row r="4" spans="2:2" x14ac:dyDescent="0.3">
      <c r="B4" s="1" t="s">
        <v>14</v>
      </c>
    </row>
    <row r="6" spans="2:2" x14ac:dyDescent="0.3">
      <c r="B6" s="1" t="s">
        <v>15</v>
      </c>
    </row>
    <row r="8" spans="2:2" x14ac:dyDescent="0.3">
      <c r="B8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30</v>
      </c>
    </row>
    <row r="2" spans="1:1" x14ac:dyDescent="0.3">
      <c r="A2" s="1" t="s">
        <v>0</v>
      </c>
    </row>
    <row r="3" spans="1:1" x14ac:dyDescent="0.3">
      <c r="A3" s="1" t="s">
        <v>166</v>
      </c>
    </row>
    <row r="4" spans="1:1" x14ac:dyDescent="0.3">
      <c r="A4" s="1" t="s">
        <v>31</v>
      </c>
    </row>
    <row r="5" spans="1:1" x14ac:dyDescent="0.3">
      <c r="A5" s="1" t="s">
        <v>177</v>
      </c>
    </row>
    <row r="6" spans="1:1" x14ac:dyDescent="0.3">
      <c r="A6" s="1" t="s">
        <v>32</v>
      </c>
    </row>
    <row r="7" spans="1:1" x14ac:dyDescent="0.3">
      <c r="A7" s="1" t="s">
        <v>33</v>
      </c>
    </row>
    <row r="8" spans="1:1" x14ac:dyDescent="0.3">
      <c r="A8" s="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A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>
      <selection activeCell="A5" sqref="A5:B104"/>
    </sheetView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3.5425028148073072</v>
      </c>
      <c r="I2" s="6">
        <f t="shared" si="0"/>
        <v>3.1106961116117611</v>
      </c>
      <c r="J2" s="6">
        <f t="shared" si="0"/>
        <v>2.7438057603894048</v>
      </c>
      <c r="K2" s="6">
        <f t="shared" si="0"/>
        <v>2.362427267327365</v>
      </c>
      <c r="L2" s="6">
        <f t="shared" si="0"/>
        <v>1.9380535152205389</v>
      </c>
      <c r="M2" s="6">
        <f t="shared" si="0"/>
        <v>1.6119974109579565</v>
      </c>
      <c r="N2" s="6">
        <f t="shared" si="0"/>
        <v>1.1936273699387676</v>
      </c>
      <c r="O2" s="6">
        <f t="shared" si="0"/>
        <v>0.83184621912039736</v>
      </c>
      <c r="P2" s="6">
        <f t="shared" si="0"/>
        <v>0.4084612877739271</v>
      </c>
      <c r="Q2" s="6">
        <f t="shared" si="0"/>
        <v>0</v>
      </c>
    </row>
    <row r="3" spans="1:17" x14ac:dyDescent="0.2">
      <c r="B3" s="2">
        <v>0.1</v>
      </c>
      <c r="D3" s="5">
        <f ca="1">CORREL(OFFSET(B4,1,0,100),OFFSET(B4,2,0,100))</f>
        <v>4.1924319307291631E-2</v>
      </c>
    </row>
    <row r="4" spans="1:17" x14ac:dyDescent="0.2">
      <c r="F4" s="4">
        <f ca="1">D12</f>
        <v>1.8749612134423397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-0.42975156748737808</v>
      </c>
      <c r="D5" s="2" t="s">
        <v>3</v>
      </c>
      <c r="F5" s="4">
        <v>1</v>
      </c>
      <c r="G5" s="3">
        <f t="dataTable" ref="G5:Q104" dt2D="1" dtr="1" r1="B3" r2="A1" ca="1"/>
        <v>3.96</v>
      </c>
      <c r="H5" s="3">
        <v>3.5476188020015167</v>
      </c>
      <c r="I5" s="3">
        <v>2.8895444631528187</v>
      </c>
      <c r="J5" s="3">
        <v>2.6596170039932701</v>
      </c>
      <c r="K5" s="3">
        <v>2.3296551885410208</v>
      </c>
      <c r="L5" s="3">
        <v>1.8275555030570088</v>
      </c>
      <c r="M5" s="3">
        <v>1.4816888907319079</v>
      </c>
      <c r="N5" s="3">
        <v>1.0791981692356012</v>
      </c>
      <c r="O5" s="3">
        <v>1.1485829780776613</v>
      </c>
      <c r="P5" s="3">
        <v>0.41610706759208599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-1.8523045958366458</v>
      </c>
      <c r="D6" s="5">
        <f ca="1">SUMXMY2(OFFSET(B4,1,0,99),OFFSET(B4,2,0,99))</f>
        <v>169.20730689782957</v>
      </c>
      <c r="F6" s="4">
        <v>2</v>
      </c>
      <c r="G6" s="3">
        <v>3.96</v>
      </c>
      <c r="H6" s="3">
        <v>3.4855210873631202</v>
      </c>
      <c r="I6" s="3">
        <v>3.3267233779386678</v>
      </c>
      <c r="J6" s="3">
        <v>2.7792625432450406</v>
      </c>
      <c r="K6" s="3">
        <v>2.2540646347026962</v>
      </c>
      <c r="L6" s="3">
        <v>2.0836784023874255</v>
      </c>
      <c r="M6" s="3">
        <v>1.7045981654076856</v>
      </c>
      <c r="N6" s="3">
        <v>1.0351908650496007</v>
      </c>
      <c r="O6" s="3">
        <v>1.1897297037347578</v>
      </c>
      <c r="P6" s="3">
        <v>0.63743715134549228</v>
      </c>
      <c r="Q6" s="3">
        <v>0</v>
      </c>
    </row>
    <row r="7" spans="1:17" x14ac:dyDescent="0.2">
      <c r="A7" s="2">
        <v>3</v>
      </c>
      <c r="B7" s="2">
        <f t="shared" ca="1" si="1"/>
        <v>-0.89024796968596509</v>
      </c>
      <c r="F7" s="4">
        <v>3</v>
      </c>
      <c r="G7" s="3">
        <v>3.96</v>
      </c>
      <c r="H7" s="3">
        <v>3.576301147212694</v>
      </c>
      <c r="I7" s="3">
        <v>3.0059213839790839</v>
      </c>
      <c r="J7" s="3">
        <v>2.8895804159536502</v>
      </c>
      <c r="K7" s="3">
        <v>2.7948090459979769</v>
      </c>
      <c r="L7" s="3">
        <v>2.033648559910803</v>
      </c>
      <c r="M7" s="3">
        <v>1.6754406121186718</v>
      </c>
      <c r="N7" s="3">
        <v>1.3424548493332729</v>
      </c>
      <c r="O7" s="3">
        <v>0.76461561310559778</v>
      </c>
      <c r="P7" s="3">
        <v>0.38545114449226275</v>
      </c>
      <c r="Q7" s="3">
        <v>0</v>
      </c>
    </row>
    <row r="8" spans="1:17" x14ac:dyDescent="0.2">
      <c r="A8" s="2">
        <v>4</v>
      </c>
      <c r="B8" s="2">
        <f t="shared" ca="1" si="1"/>
        <v>0.61406401961867163</v>
      </c>
      <c r="D8" s="2" t="s">
        <v>2</v>
      </c>
      <c r="F8" s="4">
        <v>4</v>
      </c>
      <c r="G8" s="3">
        <v>3.96</v>
      </c>
      <c r="H8" s="3">
        <v>3.5476692839671937</v>
      </c>
      <c r="I8" s="3">
        <v>3.1618886265877126</v>
      </c>
      <c r="J8" s="3">
        <v>2.8436595465881815</v>
      </c>
      <c r="K8" s="3">
        <v>2.4962965381093132</v>
      </c>
      <c r="L8" s="3">
        <v>1.8713300869427039</v>
      </c>
      <c r="M8" s="3">
        <v>2.0034061940646071</v>
      </c>
      <c r="N8" s="3">
        <v>1.0487017832231531</v>
      </c>
      <c r="O8" s="3">
        <v>0.5212664108094659</v>
      </c>
      <c r="P8" s="3">
        <v>0.37153385400107941</v>
      </c>
      <c r="Q8" s="3">
        <v>0</v>
      </c>
    </row>
    <row r="9" spans="1:17" x14ac:dyDescent="0.2">
      <c r="A9" s="2">
        <v>5</v>
      </c>
      <c r="B9" s="2">
        <f t="shared" ca="1" si="1"/>
        <v>-0.67591453659774936</v>
      </c>
      <c r="D9" s="2">
        <f ca="1">SUMSQ(B5:B104)</f>
        <v>90.245763850854814</v>
      </c>
      <c r="F9" s="4">
        <v>5</v>
      </c>
      <c r="G9" s="3">
        <v>3.9600000000000004</v>
      </c>
      <c r="H9" s="3">
        <v>3.3514709639779459</v>
      </c>
      <c r="I9" s="3">
        <v>2.923321340033167</v>
      </c>
      <c r="J9" s="3">
        <v>2.8250037398224999</v>
      </c>
      <c r="K9" s="3">
        <v>2.2940537763683504</v>
      </c>
      <c r="L9" s="3">
        <v>1.9398045112259665</v>
      </c>
      <c r="M9" s="3">
        <v>1.5814063987682583</v>
      </c>
      <c r="N9" s="3">
        <v>1.1987898333412892</v>
      </c>
      <c r="O9" s="3">
        <v>0.7567156866540744</v>
      </c>
      <c r="P9" s="3">
        <v>0.17146764908281265</v>
      </c>
      <c r="Q9" s="3">
        <v>0</v>
      </c>
    </row>
    <row r="10" spans="1:17" x14ac:dyDescent="0.2">
      <c r="A10" s="2">
        <v>6</v>
      </c>
      <c r="B10" s="2">
        <f t="shared" ca="1" si="1"/>
        <v>0.93740602902943138</v>
      </c>
      <c r="F10" s="4">
        <v>6</v>
      </c>
      <c r="G10" s="3">
        <v>3.96</v>
      </c>
      <c r="H10" s="3">
        <v>3.6393904377738742</v>
      </c>
      <c r="I10" s="3">
        <v>3.0056909176151683</v>
      </c>
      <c r="J10" s="3">
        <v>2.7069590796658729</v>
      </c>
      <c r="K10" s="3">
        <v>2.1626621326905364</v>
      </c>
      <c r="L10" s="3">
        <v>2.0648254385692923</v>
      </c>
      <c r="M10" s="3">
        <v>1.64373525688679</v>
      </c>
      <c r="N10" s="3">
        <v>1.2671650225079909</v>
      </c>
      <c r="O10" s="3">
        <v>0.90289498002483415</v>
      </c>
      <c r="P10" s="3">
        <v>0.44536634382485801</v>
      </c>
      <c r="Q10" s="3">
        <v>0</v>
      </c>
    </row>
    <row r="11" spans="1:17" x14ac:dyDescent="0.2">
      <c r="A11" s="2">
        <v>7</v>
      </c>
      <c r="B11" s="2">
        <f t="shared" ca="1" si="1"/>
        <v>-0.1907487282461294</v>
      </c>
      <c r="D11" s="2" t="s">
        <v>1</v>
      </c>
      <c r="F11" s="4">
        <v>7</v>
      </c>
      <c r="G11" s="3">
        <v>3.96</v>
      </c>
      <c r="H11" s="3">
        <v>3.4522590896696119</v>
      </c>
      <c r="I11" s="3">
        <v>2.9742939711745189</v>
      </c>
      <c r="J11" s="3">
        <v>2.7434959700199899</v>
      </c>
      <c r="K11" s="3">
        <v>2.5482124428794091</v>
      </c>
      <c r="L11" s="3">
        <v>1.8315046831942516</v>
      </c>
      <c r="M11" s="3">
        <v>1.3976555887277957</v>
      </c>
      <c r="N11" s="3">
        <v>1.052556730619199</v>
      </c>
      <c r="O11" s="3">
        <v>0.78191199988006521</v>
      </c>
      <c r="P11" s="3">
        <v>0.31471319924349928</v>
      </c>
      <c r="Q11" s="3">
        <v>0</v>
      </c>
    </row>
    <row r="12" spans="1:17" x14ac:dyDescent="0.2">
      <c r="A12" s="2">
        <v>8</v>
      </c>
      <c r="B12" s="2">
        <f t="shared" ca="1" si="1"/>
        <v>-0.12190055964922344</v>
      </c>
      <c r="D12" s="2">
        <f ca="1">D6/D9</f>
        <v>1.8749612134423397</v>
      </c>
      <c r="F12" s="4">
        <v>8</v>
      </c>
      <c r="G12" s="3">
        <v>3.96</v>
      </c>
      <c r="H12" s="3">
        <v>3.4453241489828819</v>
      </c>
      <c r="I12" s="3">
        <v>3.0214816206113206</v>
      </c>
      <c r="J12" s="3">
        <v>2.9135154077915737</v>
      </c>
      <c r="K12" s="3">
        <v>2.8988395875840784</v>
      </c>
      <c r="L12" s="3">
        <v>2.1801524891420203</v>
      </c>
      <c r="M12" s="3">
        <v>1.7253691679320105</v>
      </c>
      <c r="N12" s="3">
        <v>1.3387861391176621</v>
      </c>
      <c r="O12" s="3">
        <v>0.67965437359477854</v>
      </c>
      <c r="P12" s="3">
        <v>0.41464317608785545</v>
      </c>
      <c r="Q12" s="3">
        <v>0</v>
      </c>
    </row>
    <row r="13" spans="1:17" x14ac:dyDescent="0.2">
      <c r="A13" s="2">
        <v>9</v>
      </c>
      <c r="B13" s="2">
        <f t="shared" ca="1" si="1"/>
        <v>-1.3398157005282385</v>
      </c>
      <c r="F13" s="4">
        <v>9</v>
      </c>
      <c r="G13" s="3">
        <v>3.96</v>
      </c>
      <c r="H13" s="3">
        <v>3.7316772141956966</v>
      </c>
      <c r="I13" s="3">
        <v>3.1006293587345346</v>
      </c>
      <c r="J13" s="3">
        <v>2.7795062048264181</v>
      </c>
      <c r="K13" s="3">
        <v>2.2941630181903658</v>
      </c>
      <c r="L13" s="3">
        <v>1.8477896921917318</v>
      </c>
      <c r="M13" s="3">
        <v>1.5904671504935526</v>
      </c>
      <c r="N13" s="3">
        <v>0.9578373862872579</v>
      </c>
      <c r="O13" s="3">
        <v>0.9268095052839237</v>
      </c>
      <c r="P13" s="3">
        <v>0.49283067834222882</v>
      </c>
      <c r="Q13" s="3">
        <v>0</v>
      </c>
    </row>
    <row r="14" spans="1:17" x14ac:dyDescent="0.2">
      <c r="A14" s="2">
        <v>10</v>
      </c>
      <c r="B14" s="2">
        <f t="shared" ca="1" si="1"/>
        <v>0.45764976995719442</v>
      </c>
      <c r="F14" s="4">
        <v>10</v>
      </c>
      <c r="G14" s="3">
        <v>3.96</v>
      </c>
      <c r="H14" s="3">
        <v>3.31286857144408</v>
      </c>
      <c r="I14" s="3">
        <v>3.128168407530076</v>
      </c>
      <c r="J14" s="3">
        <v>3.0267841134172118</v>
      </c>
      <c r="K14" s="3">
        <v>2.434227130636351</v>
      </c>
      <c r="L14" s="3">
        <v>1.9903921195253695</v>
      </c>
      <c r="M14" s="3">
        <v>1.2848494777182073</v>
      </c>
      <c r="N14" s="3">
        <v>1.2631132060798138</v>
      </c>
      <c r="O14" s="3">
        <v>0.77459290078017273</v>
      </c>
      <c r="P14" s="3">
        <v>0.36204221511322715</v>
      </c>
      <c r="Q14" s="3">
        <v>0</v>
      </c>
    </row>
    <row r="15" spans="1:17" x14ac:dyDescent="0.2">
      <c r="A15" s="2">
        <v>11</v>
      </c>
      <c r="B15" s="2">
        <f t="shared" ca="1" si="1"/>
        <v>0.1948013977497968</v>
      </c>
      <c r="F15" s="4">
        <v>11</v>
      </c>
      <c r="G15" s="3">
        <v>3.9600000000000004</v>
      </c>
      <c r="H15" s="3">
        <v>3.4848346754662369</v>
      </c>
      <c r="I15" s="3">
        <v>3.0737011698914216</v>
      </c>
      <c r="J15" s="3">
        <v>3.0293278257765404</v>
      </c>
      <c r="K15" s="3">
        <v>2.4888409543948073</v>
      </c>
      <c r="L15" s="3">
        <v>2.0360959830666885</v>
      </c>
      <c r="M15" s="3">
        <v>1.5536656445482826</v>
      </c>
      <c r="N15" s="3">
        <v>1.0912073839488363</v>
      </c>
      <c r="O15" s="3">
        <v>1.1435793488401194</v>
      </c>
      <c r="P15" s="3">
        <v>0.26127151543025151</v>
      </c>
      <c r="Q15" s="3">
        <v>0</v>
      </c>
    </row>
    <row r="16" spans="1:17" x14ac:dyDescent="0.2">
      <c r="A16" s="2">
        <v>12</v>
      </c>
      <c r="B16" s="2">
        <f t="shared" ca="1" si="1"/>
        <v>-1.3998000897334519</v>
      </c>
      <c r="F16" s="4">
        <v>12</v>
      </c>
      <c r="G16" s="3">
        <v>3.96</v>
      </c>
      <c r="H16" s="3">
        <v>3.5613691101839424</v>
      </c>
      <c r="I16" s="3">
        <v>3.0963624577218618</v>
      </c>
      <c r="J16" s="3">
        <v>2.8155442708837199</v>
      </c>
      <c r="K16" s="3">
        <v>2.5239861614274006</v>
      </c>
      <c r="L16" s="3">
        <v>1.9105662572338735</v>
      </c>
      <c r="M16" s="3">
        <v>1.4718068649283278</v>
      </c>
      <c r="N16" s="3">
        <v>1.3769500981469773</v>
      </c>
      <c r="O16" s="3">
        <v>0.67967368032583042</v>
      </c>
      <c r="P16" s="3">
        <v>0.43869211908305322</v>
      </c>
      <c r="Q16" s="3">
        <v>0</v>
      </c>
    </row>
    <row r="17" spans="1:17" x14ac:dyDescent="0.2">
      <c r="A17" s="2">
        <v>13</v>
      </c>
      <c r="B17" s="2">
        <f t="shared" ca="1" si="1"/>
        <v>-0.13982603391726336</v>
      </c>
      <c r="F17" s="4">
        <v>13</v>
      </c>
      <c r="G17" s="3">
        <v>3.96</v>
      </c>
      <c r="H17" s="3">
        <v>3.2744458362951172</v>
      </c>
      <c r="I17" s="3">
        <v>3.0327756874292566</v>
      </c>
      <c r="J17" s="3">
        <v>2.4212475674212697</v>
      </c>
      <c r="K17" s="3">
        <v>1.9170795385746886</v>
      </c>
      <c r="L17" s="3">
        <v>1.8027065927931798</v>
      </c>
      <c r="M17" s="3">
        <v>1.4656969840481835</v>
      </c>
      <c r="N17" s="3">
        <v>0.88954596272559139</v>
      </c>
      <c r="O17" s="3">
        <v>1.3207551793091632</v>
      </c>
      <c r="P17" s="3">
        <v>0.4745246346502322</v>
      </c>
      <c r="Q17" s="3">
        <v>0</v>
      </c>
    </row>
    <row r="18" spans="1:17" x14ac:dyDescent="0.2">
      <c r="A18" s="2">
        <v>14</v>
      </c>
      <c r="B18" s="2">
        <f t="shared" ca="1" si="1"/>
        <v>0.21717502761415974</v>
      </c>
      <c r="F18" s="4">
        <v>14</v>
      </c>
      <c r="G18" s="3">
        <v>3.96</v>
      </c>
      <c r="H18" s="3">
        <v>3.6332248865828549</v>
      </c>
      <c r="I18" s="3">
        <v>2.8782258935089371</v>
      </c>
      <c r="J18" s="3">
        <v>2.4665494456295853</v>
      </c>
      <c r="K18" s="3">
        <v>2.602418821268436</v>
      </c>
      <c r="L18" s="3">
        <v>1.7059428205537048</v>
      </c>
      <c r="M18" s="3">
        <v>1.6889944386676823</v>
      </c>
      <c r="N18" s="3">
        <v>1.487005724057975</v>
      </c>
      <c r="O18" s="3">
        <v>0.64686565087864079</v>
      </c>
      <c r="P18" s="3">
        <v>0.39033056531190163</v>
      </c>
      <c r="Q18" s="3">
        <v>0</v>
      </c>
    </row>
    <row r="19" spans="1:17" x14ac:dyDescent="0.2">
      <c r="A19" s="2">
        <v>15</v>
      </c>
      <c r="B19" s="2">
        <f t="shared" ca="1" si="1"/>
        <v>0.53834664734352999</v>
      </c>
      <c r="F19" s="4">
        <v>15</v>
      </c>
      <c r="G19" s="3">
        <v>3.96</v>
      </c>
      <c r="H19" s="3">
        <v>3.5190744171657098</v>
      </c>
      <c r="I19" s="3">
        <v>3.1262111672671935</v>
      </c>
      <c r="J19" s="3">
        <v>2.8290168475418533</v>
      </c>
      <c r="K19" s="3">
        <v>2.7718975813549069</v>
      </c>
      <c r="L19" s="3">
        <v>1.7813036605084529</v>
      </c>
      <c r="M19" s="3">
        <v>1.2486285562335051</v>
      </c>
      <c r="N19" s="3">
        <v>1.08585845245792</v>
      </c>
      <c r="O19" s="3">
        <v>0.9091156564521109</v>
      </c>
      <c r="P19" s="3">
        <v>0.51382627151842353</v>
      </c>
      <c r="Q19" s="3">
        <v>0</v>
      </c>
    </row>
    <row r="20" spans="1:17" x14ac:dyDescent="0.2">
      <c r="A20" s="2">
        <v>16</v>
      </c>
      <c r="B20" s="2">
        <f t="shared" ca="1" si="1"/>
        <v>-1.7240424766345426</v>
      </c>
      <c r="F20" s="4">
        <v>16</v>
      </c>
      <c r="G20" s="3">
        <v>3.96</v>
      </c>
      <c r="H20" s="3">
        <v>3.4930278128371732</v>
      </c>
      <c r="I20" s="3">
        <v>3.3858279561989066</v>
      </c>
      <c r="J20" s="3">
        <v>2.9357440102204411</v>
      </c>
      <c r="K20" s="3">
        <v>2.628662200126437</v>
      </c>
      <c r="L20" s="3">
        <v>1.8270421382762321</v>
      </c>
      <c r="M20" s="3">
        <v>1.400100621652304</v>
      </c>
      <c r="N20" s="3">
        <v>1.0444242407331372</v>
      </c>
      <c r="O20" s="3">
        <v>0.84103336475593971</v>
      </c>
      <c r="P20" s="3">
        <v>0.44762653018891024</v>
      </c>
      <c r="Q20" s="3">
        <v>0</v>
      </c>
    </row>
    <row r="21" spans="1:17" x14ac:dyDescent="0.2">
      <c r="A21" s="2">
        <v>17</v>
      </c>
      <c r="B21" s="2">
        <f t="shared" ca="1" si="1"/>
        <v>-0.99005664427440421</v>
      </c>
      <c r="F21" s="4">
        <v>17</v>
      </c>
      <c r="G21" s="3">
        <v>3.9600000000000004</v>
      </c>
      <c r="H21" s="3">
        <v>3.423324366093353</v>
      </c>
      <c r="I21" s="3">
        <v>3.2143978435052505</v>
      </c>
      <c r="J21" s="3">
        <v>2.6600841134039954</v>
      </c>
      <c r="K21" s="3">
        <v>2.3121984785919389</v>
      </c>
      <c r="L21" s="3">
        <v>1.7627988274832522</v>
      </c>
      <c r="M21" s="3">
        <v>1.4806387946954909</v>
      </c>
      <c r="N21" s="3">
        <v>1.0343364979365126</v>
      </c>
      <c r="O21" s="3">
        <v>0.99173263540803369</v>
      </c>
      <c r="P21" s="3">
        <v>0.40623263079444349</v>
      </c>
      <c r="Q21" s="3">
        <v>0</v>
      </c>
    </row>
    <row r="22" spans="1:17" x14ac:dyDescent="0.2">
      <c r="A22" s="2">
        <v>18</v>
      </c>
      <c r="B22" s="2">
        <f t="shared" ca="1" si="1"/>
        <v>-0.15092417029010755</v>
      </c>
      <c r="F22" s="4">
        <v>18</v>
      </c>
      <c r="G22" s="3">
        <v>3.9599999999999995</v>
      </c>
      <c r="H22" s="3">
        <v>3.5753784223634293</v>
      </c>
      <c r="I22" s="3">
        <v>3.0218158550239642</v>
      </c>
      <c r="J22" s="3">
        <v>2.4922926217478865</v>
      </c>
      <c r="K22" s="3">
        <v>2.4756839931651928</v>
      </c>
      <c r="L22" s="3">
        <v>2.0622625382571789</v>
      </c>
      <c r="M22" s="3">
        <v>1.5066840097646852</v>
      </c>
      <c r="N22" s="3">
        <v>0.95450193874480327</v>
      </c>
      <c r="O22" s="3">
        <v>0.88175627506664722</v>
      </c>
      <c r="P22" s="3">
        <v>0.24215707797821895</v>
      </c>
      <c r="Q22" s="3">
        <v>0</v>
      </c>
    </row>
    <row r="23" spans="1:17" x14ac:dyDescent="0.2">
      <c r="A23" s="2">
        <v>19</v>
      </c>
      <c r="B23" s="2">
        <f t="shared" ca="1" si="1"/>
        <v>3.3423718780934732E-4</v>
      </c>
      <c r="F23" s="4">
        <v>19</v>
      </c>
      <c r="G23" s="3">
        <v>3.96</v>
      </c>
      <c r="H23" s="3">
        <v>3.6018664242875591</v>
      </c>
      <c r="I23" s="3">
        <v>3.2148587660441916</v>
      </c>
      <c r="J23" s="3">
        <v>3.0157507176533929</v>
      </c>
      <c r="K23" s="3">
        <v>2.3466022313911297</v>
      </c>
      <c r="L23" s="3">
        <v>1.8909118183788081</v>
      </c>
      <c r="M23" s="3">
        <v>1.7243291330791135</v>
      </c>
      <c r="N23" s="3">
        <v>1.3027239256699661</v>
      </c>
      <c r="O23" s="3">
        <v>0.73848433282256798</v>
      </c>
      <c r="P23" s="3">
        <v>0.27310700281047384</v>
      </c>
      <c r="Q23" s="3">
        <v>0</v>
      </c>
    </row>
    <row r="24" spans="1:17" x14ac:dyDescent="0.2">
      <c r="A24" s="2">
        <v>20</v>
      </c>
      <c r="B24" s="2">
        <f t="shared" ca="1" si="1"/>
        <v>0.56350665767006625</v>
      </c>
      <c r="F24" s="4">
        <v>20</v>
      </c>
      <c r="G24" s="3">
        <v>3.96</v>
      </c>
      <c r="H24" s="3">
        <v>3.4817712108794492</v>
      </c>
      <c r="I24" s="3">
        <v>3.2892449503789805</v>
      </c>
      <c r="J24" s="3">
        <v>2.7222978252448686</v>
      </c>
      <c r="K24" s="3">
        <v>2.1319821567021329</v>
      </c>
      <c r="L24" s="3">
        <v>2.0379962524820163</v>
      </c>
      <c r="M24" s="3">
        <v>1.3310897945625908</v>
      </c>
      <c r="N24" s="3">
        <v>1.3489857469084106</v>
      </c>
      <c r="O24" s="3">
        <v>0.8294337312832829</v>
      </c>
      <c r="P24" s="3">
        <v>0.52343620504612065</v>
      </c>
      <c r="Q24" s="3">
        <v>0</v>
      </c>
    </row>
    <row r="25" spans="1:17" x14ac:dyDescent="0.2">
      <c r="A25" s="2">
        <v>21</v>
      </c>
      <c r="B25" s="2">
        <f t="shared" ca="1" si="1"/>
        <v>-2.0619337999320289</v>
      </c>
      <c r="F25" s="4">
        <v>21</v>
      </c>
      <c r="G25" s="3">
        <v>3.96</v>
      </c>
      <c r="H25" s="3">
        <v>3.6218040874280883</v>
      </c>
      <c r="I25" s="3">
        <v>3.3699030993955388</v>
      </c>
      <c r="J25" s="3">
        <v>3.0199777373427441</v>
      </c>
      <c r="K25" s="3">
        <v>2.1662442775156836</v>
      </c>
      <c r="L25" s="3">
        <v>1.8012201810732527</v>
      </c>
      <c r="M25" s="3">
        <v>1.5620668425082143</v>
      </c>
      <c r="N25" s="3">
        <v>1.2877803200303375</v>
      </c>
      <c r="O25" s="3">
        <v>0.4673110979641959</v>
      </c>
      <c r="P25" s="3">
        <v>0.46565852715609657</v>
      </c>
      <c r="Q25" s="3">
        <v>0</v>
      </c>
    </row>
    <row r="26" spans="1:17" x14ac:dyDescent="0.2">
      <c r="A26" s="2">
        <v>22</v>
      </c>
      <c r="B26" s="2">
        <f t="shared" ca="1" si="1"/>
        <v>-0.25940440876031401</v>
      </c>
      <c r="F26" s="4">
        <v>22</v>
      </c>
      <c r="G26" s="3">
        <v>3.96</v>
      </c>
      <c r="H26" s="3">
        <v>3.4823531033241717</v>
      </c>
      <c r="I26" s="3">
        <v>3.0984842087392557</v>
      </c>
      <c r="J26" s="3">
        <v>2.6865164343626731</v>
      </c>
      <c r="K26" s="3">
        <v>2.3373663038264882</v>
      </c>
      <c r="L26" s="3">
        <v>1.8775716673239047</v>
      </c>
      <c r="M26" s="3">
        <v>1.5885828084728728</v>
      </c>
      <c r="N26" s="3">
        <v>1.4617898887681333</v>
      </c>
      <c r="O26" s="3">
        <v>0.87320479534372131</v>
      </c>
      <c r="P26" s="3">
        <v>0.49940523178738333</v>
      </c>
      <c r="Q26" s="3">
        <v>0</v>
      </c>
    </row>
    <row r="27" spans="1:17" x14ac:dyDescent="0.2">
      <c r="A27" s="2">
        <v>23</v>
      </c>
      <c r="B27" s="2">
        <f t="shared" ca="1" si="1"/>
        <v>1.1492936876307391</v>
      </c>
      <c r="F27" s="4">
        <v>23</v>
      </c>
      <c r="G27" s="3">
        <v>3.96</v>
      </c>
      <c r="H27" s="3">
        <v>3.6443208361392805</v>
      </c>
      <c r="I27" s="3">
        <v>3.3219899745916046</v>
      </c>
      <c r="J27" s="3">
        <v>2.8830910712478652</v>
      </c>
      <c r="K27" s="3">
        <v>2.3839101422937428</v>
      </c>
      <c r="L27" s="3">
        <v>1.959149898705608</v>
      </c>
      <c r="M27" s="3">
        <v>1.3815578857690582</v>
      </c>
      <c r="N27" s="3">
        <v>1.5004986708427532</v>
      </c>
      <c r="O27" s="3">
        <v>0.77074107805057923</v>
      </c>
      <c r="P27" s="3">
        <v>0.45611605611780015</v>
      </c>
      <c r="Q27" s="3">
        <v>0</v>
      </c>
    </row>
    <row r="28" spans="1:17" x14ac:dyDescent="0.2">
      <c r="A28" s="2">
        <v>24</v>
      </c>
      <c r="B28" s="2">
        <f t="shared" ca="1" si="1"/>
        <v>0.11985223895248552</v>
      </c>
      <c r="F28" s="4">
        <v>24</v>
      </c>
      <c r="G28" s="3">
        <v>3.9600000000000004</v>
      </c>
      <c r="H28" s="3">
        <v>3.666720803528059</v>
      </c>
      <c r="I28" s="3">
        <v>3.3379525171563573</v>
      </c>
      <c r="J28" s="3">
        <v>2.8735807429472477</v>
      </c>
      <c r="K28" s="3">
        <v>2.3493733049757788</v>
      </c>
      <c r="L28" s="3">
        <v>1.8674677689368755</v>
      </c>
      <c r="M28" s="3">
        <v>1.8087604227273781</v>
      </c>
      <c r="N28" s="3">
        <v>1.3743446816020284</v>
      </c>
      <c r="O28" s="3">
        <v>1.1284070527153951</v>
      </c>
      <c r="P28" s="3">
        <v>0.61736550062681284</v>
      </c>
      <c r="Q28" s="3">
        <v>0</v>
      </c>
    </row>
    <row r="29" spans="1:17" x14ac:dyDescent="0.2">
      <c r="A29" s="2">
        <v>25</v>
      </c>
      <c r="B29" s="2">
        <f t="shared" ca="1" si="1"/>
        <v>1.3333239686260869</v>
      </c>
      <c r="F29" s="4">
        <v>25</v>
      </c>
      <c r="G29" s="3">
        <v>3.96</v>
      </c>
      <c r="H29" s="3">
        <v>3.5402540346246441</v>
      </c>
      <c r="I29" s="3">
        <v>2.9891309527679515</v>
      </c>
      <c r="J29" s="3">
        <v>2.6253975943018415</v>
      </c>
      <c r="K29" s="3">
        <v>2.3853177674561561</v>
      </c>
      <c r="L29" s="3">
        <v>1.9510050163808881</v>
      </c>
      <c r="M29" s="3">
        <v>1.7595374823544725</v>
      </c>
      <c r="N29" s="3">
        <v>1.0401092112025476</v>
      </c>
      <c r="O29" s="3">
        <v>0.92991741201636757</v>
      </c>
      <c r="P29" s="3">
        <v>0.33987549067589101</v>
      </c>
      <c r="Q29" s="3">
        <v>0</v>
      </c>
    </row>
    <row r="30" spans="1:17" x14ac:dyDescent="0.2">
      <c r="A30" s="2">
        <v>26</v>
      </c>
      <c r="B30" s="2">
        <f t="shared" ca="1" si="1"/>
        <v>-1.2701167053177709</v>
      </c>
      <c r="F30" s="4">
        <v>26</v>
      </c>
      <c r="G30" s="3">
        <v>3.96</v>
      </c>
      <c r="H30" s="3">
        <v>3.5765284416430037</v>
      </c>
      <c r="I30" s="3">
        <v>3.090340279710091</v>
      </c>
      <c r="J30" s="3">
        <v>2.4193740117666556</v>
      </c>
      <c r="K30" s="3">
        <v>2.3935395257616032</v>
      </c>
      <c r="L30" s="3">
        <v>1.775745483448268</v>
      </c>
      <c r="M30" s="3">
        <v>1.6757616278105933</v>
      </c>
      <c r="N30" s="3">
        <v>1.1721285855794821</v>
      </c>
      <c r="O30" s="3">
        <v>0.8510029937198027</v>
      </c>
      <c r="P30" s="3">
        <v>0.36070474768444888</v>
      </c>
      <c r="Q30" s="3">
        <v>0</v>
      </c>
    </row>
    <row r="31" spans="1:17" x14ac:dyDescent="0.2">
      <c r="A31" s="2">
        <v>27</v>
      </c>
      <c r="B31" s="2">
        <f t="shared" ca="1" si="1"/>
        <v>0.15300748279351523</v>
      </c>
      <c r="F31" s="4">
        <v>27</v>
      </c>
      <c r="G31" s="3">
        <v>3.96</v>
      </c>
      <c r="H31" s="3">
        <v>3.3701047827431392</v>
      </c>
      <c r="I31" s="3">
        <v>3.0805079572991909</v>
      </c>
      <c r="J31" s="3">
        <v>2.7751866503337559</v>
      </c>
      <c r="K31" s="3">
        <v>2.1906146056759881</v>
      </c>
      <c r="L31" s="3">
        <v>1.665780869292935</v>
      </c>
      <c r="M31" s="3">
        <v>1.355978051692279</v>
      </c>
      <c r="N31" s="3">
        <v>1.0745269486071971</v>
      </c>
      <c r="O31" s="3">
        <v>0.85770550217898689</v>
      </c>
      <c r="P31" s="3">
        <v>0.37839782793003235</v>
      </c>
      <c r="Q31" s="3">
        <v>0</v>
      </c>
    </row>
    <row r="32" spans="1:17" x14ac:dyDescent="0.2">
      <c r="A32" s="2">
        <v>28</v>
      </c>
      <c r="B32" s="2">
        <f t="shared" ca="1" si="1"/>
        <v>-1.0268149601445555</v>
      </c>
      <c r="F32" s="4">
        <v>28</v>
      </c>
      <c r="G32" s="3">
        <v>3.96</v>
      </c>
      <c r="H32" s="3">
        <v>3.4565749430683659</v>
      </c>
      <c r="I32" s="3">
        <v>3.1399632852616368</v>
      </c>
      <c r="J32" s="3">
        <v>3.0232214215137088</v>
      </c>
      <c r="K32" s="3">
        <v>2.5689254833680568</v>
      </c>
      <c r="L32" s="3">
        <v>2.4114977844467207</v>
      </c>
      <c r="M32" s="3">
        <v>1.4016952641827081</v>
      </c>
      <c r="N32" s="3">
        <v>1.0229577564416876</v>
      </c>
      <c r="O32" s="3">
        <v>0.84814064473970041</v>
      </c>
      <c r="P32" s="3">
        <v>0.29485340204741745</v>
      </c>
      <c r="Q32" s="3">
        <v>0</v>
      </c>
    </row>
    <row r="33" spans="1:17" x14ac:dyDescent="0.2">
      <c r="A33" s="2">
        <v>29</v>
      </c>
      <c r="B33" s="2">
        <f t="shared" ca="1" si="1"/>
        <v>-3.9266210815130126E-2</v>
      </c>
      <c r="F33" s="4">
        <v>29</v>
      </c>
      <c r="G33" s="3">
        <v>3.96</v>
      </c>
      <c r="H33" s="3">
        <v>3.677945579798128</v>
      </c>
      <c r="I33" s="3">
        <v>3.2065827945160272</v>
      </c>
      <c r="J33" s="3">
        <v>2.5944027938705778</v>
      </c>
      <c r="K33" s="3">
        <v>2.4293395599137462</v>
      </c>
      <c r="L33" s="3">
        <v>1.9653889185761333</v>
      </c>
      <c r="M33" s="3">
        <v>1.8079820486409233</v>
      </c>
      <c r="N33" s="3">
        <v>1.3124636829721674</v>
      </c>
      <c r="O33" s="3">
        <v>1.0445502932509361</v>
      </c>
      <c r="P33" s="3">
        <v>0.43113026633836588</v>
      </c>
      <c r="Q33" s="3">
        <v>0</v>
      </c>
    </row>
    <row r="34" spans="1:17" x14ac:dyDescent="0.2">
      <c r="A34" s="2">
        <v>30</v>
      </c>
      <c r="B34" s="2">
        <f t="shared" ca="1" si="1"/>
        <v>-0.98488234609812009</v>
      </c>
      <c r="F34" s="4">
        <v>30</v>
      </c>
      <c r="G34" s="3">
        <v>3.96</v>
      </c>
      <c r="H34" s="3">
        <v>3.6211827238984564</v>
      </c>
      <c r="I34" s="3">
        <v>3.1580890895159497</v>
      </c>
      <c r="J34" s="3">
        <v>2.6269134134893721</v>
      </c>
      <c r="K34" s="3">
        <v>2.3566210677957873</v>
      </c>
      <c r="L34" s="3">
        <v>1.92859027993674</v>
      </c>
      <c r="M34" s="3">
        <v>1.534450385557081</v>
      </c>
      <c r="N34" s="3">
        <v>1.4642604028229547</v>
      </c>
      <c r="O34" s="3">
        <v>0.62172922678433773</v>
      </c>
      <c r="P34" s="3">
        <v>0.4016053966943039</v>
      </c>
      <c r="Q34" s="3">
        <v>0</v>
      </c>
    </row>
    <row r="35" spans="1:17" x14ac:dyDescent="0.2">
      <c r="A35" s="2">
        <v>31</v>
      </c>
      <c r="B35" s="2">
        <f t="shared" ca="1" si="1"/>
        <v>-1.3065341367839414</v>
      </c>
      <c r="F35" s="4">
        <v>31</v>
      </c>
      <c r="G35" s="3">
        <v>3.96</v>
      </c>
      <c r="H35" s="3">
        <v>3.5577718229800079</v>
      </c>
      <c r="I35" s="3">
        <v>3.0744537741190867</v>
      </c>
      <c r="J35" s="3">
        <v>3.1644866563843839</v>
      </c>
      <c r="K35" s="3">
        <v>2.1970846507142916</v>
      </c>
      <c r="L35" s="3">
        <v>1.9169583087795792</v>
      </c>
      <c r="M35" s="3">
        <v>1.6324888995718434</v>
      </c>
      <c r="N35" s="3">
        <v>1.2026695873851896</v>
      </c>
      <c r="O35" s="3">
        <v>1.0315808038885597</v>
      </c>
      <c r="P35" s="3">
        <v>0.46480094116564452</v>
      </c>
      <c r="Q35" s="3">
        <v>0</v>
      </c>
    </row>
    <row r="36" spans="1:17" x14ac:dyDescent="0.2">
      <c r="A36" s="2">
        <v>32</v>
      </c>
      <c r="B36" s="2">
        <f t="shared" ca="1" si="1"/>
        <v>-0.17275068457618592</v>
      </c>
      <c r="F36" s="4">
        <v>32</v>
      </c>
      <c r="G36" s="3">
        <v>3.96</v>
      </c>
      <c r="H36" s="3">
        <v>3.607347228950025</v>
      </c>
      <c r="I36" s="3">
        <v>3.0549551881779053</v>
      </c>
      <c r="J36" s="3">
        <v>3.016542136136243</v>
      </c>
      <c r="K36" s="3">
        <v>2.3737772274032869</v>
      </c>
      <c r="L36" s="3">
        <v>1.7831581969206927</v>
      </c>
      <c r="M36" s="3">
        <v>1.7940929590616237</v>
      </c>
      <c r="N36" s="3">
        <v>1.4283015131714198</v>
      </c>
      <c r="O36" s="3">
        <v>0.6518127659001538</v>
      </c>
      <c r="P36" s="3">
        <v>0.28677146807174886</v>
      </c>
      <c r="Q36" s="3">
        <v>0</v>
      </c>
    </row>
    <row r="37" spans="1:17" x14ac:dyDescent="0.2">
      <c r="A37" s="2">
        <v>33</v>
      </c>
      <c r="B37" s="2">
        <f t="shared" ca="1" si="1"/>
        <v>-0.19868078536496517</v>
      </c>
      <c r="F37" s="4">
        <v>33</v>
      </c>
      <c r="G37" s="3">
        <v>3.96</v>
      </c>
      <c r="H37" s="3">
        <v>3.4900915789822582</v>
      </c>
      <c r="I37" s="3">
        <v>3.2181486363605387</v>
      </c>
      <c r="J37" s="3">
        <v>2.655491014312676</v>
      </c>
      <c r="K37" s="3">
        <v>2.3802730088301631</v>
      </c>
      <c r="L37" s="3">
        <v>2.214453370901917</v>
      </c>
      <c r="M37" s="3">
        <v>1.4601085055061109</v>
      </c>
      <c r="N37" s="3">
        <v>1.1028433424725972</v>
      </c>
      <c r="O37" s="3">
        <v>0.80257079979922241</v>
      </c>
      <c r="P37" s="3">
        <v>0.21337882887479964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1.6493948988446576</v>
      </c>
      <c r="F38" s="4">
        <v>34</v>
      </c>
      <c r="G38" s="3">
        <v>3.96</v>
      </c>
      <c r="H38" s="3">
        <v>3.6433987868472348</v>
      </c>
      <c r="I38" s="3">
        <v>3.1012857619426426</v>
      </c>
      <c r="J38" s="3">
        <v>2.6948949873180563</v>
      </c>
      <c r="K38" s="3">
        <v>2.1403689352523676</v>
      </c>
      <c r="L38" s="3">
        <v>2.2954638656597441</v>
      </c>
      <c r="M38" s="3">
        <v>1.5989200351356658</v>
      </c>
      <c r="N38" s="3">
        <v>1.3147437529828396</v>
      </c>
      <c r="O38" s="3">
        <v>0.7637789070343266</v>
      </c>
      <c r="P38" s="3">
        <v>0.45921307264611116</v>
      </c>
      <c r="Q38" s="3">
        <v>0</v>
      </c>
    </row>
    <row r="39" spans="1:17" x14ac:dyDescent="0.2">
      <c r="A39" s="2">
        <v>35</v>
      </c>
      <c r="B39" s="2">
        <f t="shared" ca="1" si="2"/>
        <v>1.5943294679912294</v>
      </c>
      <c r="F39" s="4">
        <v>35</v>
      </c>
      <c r="G39" s="3">
        <v>3.96</v>
      </c>
      <c r="H39" s="3">
        <v>3.6930898222921034</v>
      </c>
      <c r="I39" s="3">
        <v>2.9568414889586094</v>
      </c>
      <c r="J39" s="3">
        <v>2.4253648057270913</v>
      </c>
      <c r="K39" s="3">
        <v>2.3474921832437285</v>
      </c>
      <c r="L39" s="3">
        <v>1.9808498226886078</v>
      </c>
      <c r="M39" s="3">
        <v>1.5213182597268706</v>
      </c>
      <c r="N39" s="3">
        <v>1.2761084973436381</v>
      </c>
      <c r="O39" s="3">
        <v>0.84982937922559698</v>
      </c>
      <c r="P39" s="3">
        <v>0.35748196215428019</v>
      </c>
      <c r="Q39" s="3">
        <v>0</v>
      </c>
    </row>
    <row r="40" spans="1:17" x14ac:dyDescent="0.2">
      <c r="A40" s="2">
        <v>36</v>
      </c>
      <c r="B40" s="2">
        <f t="shared" ca="1" si="2"/>
        <v>0.60481026748221134</v>
      </c>
      <c r="F40" s="4">
        <v>36</v>
      </c>
      <c r="G40" s="3">
        <v>3.96</v>
      </c>
      <c r="H40" s="3">
        <v>3.6744055444787089</v>
      </c>
      <c r="I40" s="3">
        <v>3.1524726597206034</v>
      </c>
      <c r="J40" s="3">
        <v>2.7962811703278616</v>
      </c>
      <c r="K40" s="3">
        <v>2.2580945434084918</v>
      </c>
      <c r="L40" s="3">
        <v>1.7816390425394864</v>
      </c>
      <c r="M40" s="3">
        <v>1.6002606719507466</v>
      </c>
      <c r="N40" s="3">
        <v>1.5732279230572883</v>
      </c>
      <c r="O40" s="3">
        <v>0.81896013739672491</v>
      </c>
      <c r="P40" s="3">
        <v>0.42487360411241532</v>
      </c>
      <c r="Q40" s="3">
        <v>0</v>
      </c>
    </row>
    <row r="41" spans="1:17" x14ac:dyDescent="0.2">
      <c r="A41" s="2">
        <v>37</v>
      </c>
      <c r="B41" s="2">
        <f t="shared" ca="1" si="2"/>
        <v>0.84590448623222381</v>
      </c>
      <c r="F41" s="4">
        <v>37</v>
      </c>
      <c r="G41" s="3">
        <v>3.96</v>
      </c>
      <c r="H41" s="3">
        <v>3.5555973313615201</v>
      </c>
      <c r="I41" s="3">
        <v>3.1553253789683824</v>
      </c>
      <c r="J41" s="3">
        <v>2.9233962978581673</v>
      </c>
      <c r="K41" s="3">
        <v>2.084132650939845</v>
      </c>
      <c r="L41" s="3">
        <v>1.8833598222709753</v>
      </c>
      <c r="M41" s="3">
        <v>1.5834513785323165</v>
      </c>
      <c r="N41" s="3">
        <v>1.4114902334792228</v>
      </c>
      <c r="O41" s="3">
        <v>0.62949441259268724</v>
      </c>
      <c r="P41" s="3">
        <v>0.35341457730854786</v>
      </c>
      <c r="Q41" s="3">
        <v>0</v>
      </c>
    </row>
    <row r="42" spans="1:17" x14ac:dyDescent="0.2">
      <c r="A42" s="2">
        <v>38</v>
      </c>
      <c r="B42" s="2">
        <f t="shared" ca="1" si="2"/>
        <v>1.366861736250196</v>
      </c>
      <c r="F42" s="4">
        <v>38</v>
      </c>
      <c r="G42" s="3">
        <v>3.9600000000000004</v>
      </c>
      <c r="H42" s="3">
        <v>3.3560899664449377</v>
      </c>
      <c r="I42" s="3">
        <v>3.2462330428132611</v>
      </c>
      <c r="J42" s="3">
        <v>2.5766866053448192</v>
      </c>
      <c r="K42" s="3">
        <v>1.9616578366422586</v>
      </c>
      <c r="L42" s="3">
        <v>2.0839095744886573</v>
      </c>
      <c r="M42" s="3">
        <v>1.6185663851125234</v>
      </c>
      <c r="N42" s="3">
        <v>1.2685316236479216</v>
      </c>
      <c r="O42" s="3">
        <v>0.85029863875557798</v>
      </c>
      <c r="P42" s="3">
        <v>0.39098410291375868</v>
      </c>
      <c r="Q42" s="3">
        <v>0</v>
      </c>
    </row>
    <row r="43" spans="1:17" x14ac:dyDescent="0.2">
      <c r="A43" s="2">
        <v>39</v>
      </c>
      <c r="B43" s="2">
        <f t="shared" ca="1" si="2"/>
        <v>0.79148195203786487</v>
      </c>
      <c r="F43" s="4">
        <v>39</v>
      </c>
      <c r="G43" s="3">
        <v>3.96</v>
      </c>
      <c r="H43" s="3">
        <v>3.4918505281664642</v>
      </c>
      <c r="I43" s="3">
        <v>3.1128647642185174</v>
      </c>
      <c r="J43" s="3">
        <v>2.8258940185283423</v>
      </c>
      <c r="K43" s="3">
        <v>2.4739342595819855</v>
      </c>
      <c r="L43" s="3">
        <v>2.2844472991231264</v>
      </c>
      <c r="M43" s="3">
        <v>1.7419742245807925</v>
      </c>
      <c r="N43" s="3">
        <v>1.0757850662828772</v>
      </c>
      <c r="O43" s="3">
        <v>0.82463576879785994</v>
      </c>
      <c r="P43" s="3">
        <v>0.3915742186432814</v>
      </c>
      <c r="Q43" s="3">
        <v>0</v>
      </c>
    </row>
    <row r="44" spans="1:17" x14ac:dyDescent="0.2">
      <c r="A44" s="2">
        <v>40</v>
      </c>
      <c r="B44" s="2">
        <f t="shared" ca="1" si="2"/>
        <v>1.594808620101299</v>
      </c>
      <c r="F44" s="4">
        <v>40</v>
      </c>
      <c r="G44" s="3">
        <v>3.96</v>
      </c>
      <c r="H44" s="3">
        <v>3.5888762824830156</v>
      </c>
      <c r="I44" s="3">
        <v>2.9264269197542538</v>
      </c>
      <c r="J44" s="3">
        <v>2.8016222827173207</v>
      </c>
      <c r="K44" s="3">
        <v>2.4821160794430157</v>
      </c>
      <c r="L44" s="3">
        <v>2.1362081134150972</v>
      </c>
      <c r="M44" s="3">
        <v>1.0565596028796258</v>
      </c>
      <c r="N44" s="3">
        <v>1.1366451045014521</v>
      </c>
      <c r="O44" s="3">
        <v>1.0697946470546034</v>
      </c>
      <c r="P44" s="3">
        <v>0.40434928291176303</v>
      </c>
      <c r="Q44" s="3">
        <v>0</v>
      </c>
    </row>
    <row r="45" spans="1:17" x14ac:dyDescent="0.2">
      <c r="A45" s="2">
        <v>41</v>
      </c>
      <c r="B45" s="2">
        <f t="shared" ca="1" si="2"/>
        <v>-6.6794144863717764E-2</v>
      </c>
      <c r="F45" s="4">
        <v>41</v>
      </c>
      <c r="G45" s="3">
        <v>3.96</v>
      </c>
      <c r="H45" s="3">
        <v>3.5876772501658833</v>
      </c>
      <c r="I45" s="3">
        <v>3.1809550212569335</v>
      </c>
      <c r="J45" s="3">
        <v>2.7924629014606479</v>
      </c>
      <c r="K45" s="3">
        <v>2.2006600570990562</v>
      </c>
      <c r="L45" s="3">
        <v>1.9230147387485954</v>
      </c>
      <c r="M45" s="3">
        <v>1.6378204467303998</v>
      </c>
      <c r="N45" s="3">
        <v>1.1998661686567464</v>
      </c>
      <c r="O45" s="3">
        <v>0.54661586867962453</v>
      </c>
      <c r="P45" s="3">
        <v>0.43535815791382276</v>
      </c>
      <c r="Q45" s="3">
        <v>0</v>
      </c>
    </row>
    <row r="46" spans="1:17" x14ac:dyDescent="0.2">
      <c r="A46" s="2">
        <v>42</v>
      </c>
      <c r="B46" s="2">
        <f t="shared" ca="1" si="2"/>
        <v>-0.59722969082102495</v>
      </c>
      <c r="F46" s="4">
        <v>42</v>
      </c>
      <c r="G46" s="3">
        <v>3.96</v>
      </c>
      <c r="H46" s="3">
        <v>3.4833038924156914</v>
      </c>
      <c r="I46" s="3">
        <v>3.0388224085774134</v>
      </c>
      <c r="J46" s="3">
        <v>2.7300135941334975</v>
      </c>
      <c r="K46" s="3">
        <v>2.3331166632038234</v>
      </c>
      <c r="L46" s="3">
        <v>1.8652085060632146</v>
      </c>
      <c r="M46" s="3">
        <v>1.3998886038125695</v>
      </c>
      <c r="N46" s="3">
        <v>1.4179690154639411</v>
      </c>
      <c r="O46" s="3">
        <v>0.78858034745145456</v>
      </c>
      <c r="P46" s="3">
        <v>0.53734080632659065</v>
      </c>
      <c r="Q46" s="3">
        <v>0</v>
      </c>
    </row>
    <row r="47" spans="1:17" x14ac:dyDescent="0.2">
      <c r="A47" s="2">
        <v>43</v>
      </c>
      <c r="B47" s="2">
        <f t="shared" ca="1" si="2"/>
        <v>0.99648641583953868</v>
      </c>
      <c r="F47" s="4">
        <v>43</v>
      </c>
      <c r="G47" s="3">
        <v>3.96</v>
      </c>
      <c r="H47" s="3">
        <v>3.5735598833061641</v>
      </c>
      <c r="I47" s="3">
        <v>2.9042551857505972</v>
      </c>
      <c r="J47" s="3">
        <v>3.0564540849974366</v>
      </c>
      <c r="K47" s="3">
        <v>2.6817408166993952</v>
      </c>
      <c r="L47" s="3">
        <v>1.9435018706832772</v>
      </c>
      <c r="M47" s="3">
        <v>1.6486808466443075</v>
      </c>
      <c r="N47" s="3">
        <v>1.186645883854559</v>
      </c>
      <c r="O47" s="3">
        <v>0.71417603231611215</v>
      </c>
      <c r="P47" s="3">
        <v>0.4610435769040504</v>
      </c>
      <c r="Q47" s="3">
        <v>0</v>
      </c>
    </row>
    <row r="48" spans="1:17" x14ac:dyDescent="0.2">
      <c r="A48" s="2">
        <v>44</v>
      </c>
      <c r="B48" s="2">
        <f t="shared" ca="1" si="2"/>
        <v>-0.27401989356434048</v>
      </c>
      <c r="F48" s="4">
        <v>44</v>
      </c>
      <c r="G48" s="3">
        <v>3.96</v>
      </c>
      <c r="H48" s="3">
        <v>3.2818255928672984</v>
      </c>
      <c r="I48" s="3">
        <v>3.1151213149874826</v>
      </c>
      <c r="J48" s="3">
        <v>2.4961759879972298</v>
      </c>
      <c r="K48" s="3">
        <v>2.2906584027415202</v>
      </c>
      <c r="L48" s="3">
        <v>2.2930615799901823</v>
      </c>
      <c r="M48" s="3">
        <v>1.8193493865455679</v>
      </c>
      <c r="N48" s="3">
        <v>1.0866475075011852</v>
      </c>
      <c r="O48" s="3">
        <v>0.64183565201893866</v>
      </c>
      <c r="P48" s="3">
        <v>0.45313615027783194</v>
      </c>
      <c r="Q48" s="3">
        <v>0</v>
      </c>
    </row>
    <row r="49" spans="1:17" x14ac:dyDescent="0.2">
      <c r="A49" s="2">
        <v>45</v>
      </c>
      <c r="B49" s="2">
        <f t="shared" ca="1" si="2"/>
        <v>0.81326431171270197</v>
      </c>
      <c r="F49" s="4">
        <v>45</v>
      </c>
      <c r="G49" s="3">
        <v>3.9600000000000004</v>
      </c>
      <c r="H49" s="3">
        <v>3.4479205407214839</v>
      </c>
      <c r="I49" s="3">
        <v>2.8251038687799999</v>
      </c>
      <c r="J49" s="3">
        <v>2.4615084755720327</v>
      </c>
      <c r="K49" s="3">
        <v>2.4571863059431092</v>
      </c>
      <c r="L49" s="3">
        <v>1.8376500130165838</v>
      </c>
      <c r="M49" s="3">
        <v>1.7038126162020701</v>
      </c>
      <c r="N49" s="3">
        <v>1.3555286312495425</v>
      </c>
      <c r="O49" s="3">
        <v>0.80629640279391568</v>
      </c>
      <c r="P49" s="3">
        <v>0.45855629910183371</v>
      </c>
      <c r="Q49" s="3">
        <v>0</v>
      </c>
    </row>
    <row r="50" spans="1:17" x14ac:dyDescent="0.2">
      <c r="A50" s="2">
        <v>46</v>
      </c>
      <c r="B50" s="2">
        <f t="shared" ca="1" si="2"/>
        <v>1.7711204680645392</v>
      </c>
      <c r="F50" s="4">
        <v>46</v>
      </c>
      <c r="G50" s="3">
        <v>3.96</v>
      </c>
      <c r="H50" s="3">
        <v>3.5375972474475339</v>
      </c>
      <c r="I50" s="3">
        <v>3.1598358067965622</v>
      </c>
      <c r="J50" s="3">
        <v>2.7260130810652989</v>
      </c>
      <c r="K50" s="3">
        <v>2.2411679061997436</v>
      </c>
      <c r="L50" s="3">
        <v>2.1371052592191635</v>
      </c>
      <c r="M50" s="3">
        <v>1.7572952073311512</v>
      </c>
      <c r="N50" s="3">
        <v>1.1709354678107031</v>
      </c>
      <c r="O50" s="3">
        <v>0.68170755682814288</v>
      </c>
      <c r="P50" s="3">
        <v>0.41664207085138277</v>
      </c>
      <c r="Q50" s="3">
        <v>0</v>
      </c>
    </row>
    <row r="51" spans="1:17" x14ac:dyDescent="0.2">
      <c r="A51" s="2">
        <v>47</v>
      </c>
      <c r="B51" s="2">
        <f t="shared" ca="1" si="2"/>
        <v>-0.55997415522700345</v>
      </c>
      <c r="F51" s="4">
        <v>47</v>
      </c>
      <c r="G51" s="3">
        <v>3.96</v>
      </c>
      <c r="H51" s="3">
        <v>3.6158732544288892</v>
      </c>
      <c r="I51" s="3">
        <v>3.1793518467544479</v>
      </c>
      <c r="J51" s="3">
        <v>2.8017700466032034</v>
      </c>
      <c r="K51" s="3">
        <v>2.3294124958801934</v>
      </c>
      <c r="L51" s="3">
        <v>1.9515954539618219</v>
      </c>
      <c r="M51" s="3">
        <v>1.5843168157525636</v>
      </c>
      <c r="N51" s="3">
        <v>1.5341876215768901</v>
      </c>
      <c r="O51" s="3">
        <v>0.69392445733516084</v>
      </c>
      <c r="P51" s="3">
        <v>0.32308213895888332</v>
      </c>
      <c r="Q51" s="3">
        <v>0</v>
      </c>
    </row>
    <row r="52" spans="1:17" x14ac:dyDescent="0.2">
      <c r="A52" s="2">
        <v>48</v>
      </c>
      <c r="B52" s="2">
        <f t="shared" ca="1" si="2"/>
        <v>-0.87043740030894656</v>
      </c>
      <c r="F52" s="4">
        <v>48</v>
      </c>
      <c r="G52" s="3">
        <v>3.96</v>
      </c>
      <c r="H52" s="3">
        <v>3.6197207450659299</v>
      </c>
      <c r="I52" s="3">
        <v>2.6733160689327331</v>
      </c>
      <c r="J52" s="3">
        <v>2.7380552130144884</v>
      </c>
      <c r="K52" s="3">
        <v>2.3687621976458955</v>
      </c>
      <c r="L52" s="3">
        <v>2.0068541066981287</v>
      </c>
      <c r="M52" s="3">
        <v>1.7330876002816795</v>
      </c>
      <c r="N52" s="3">
        <v>1.4037260015479851</v>
      </c>
      <c r="O52" s="3">
        <v>0.75193000374265473</v>
      </c>
      <c r="P52" s="3">
        <v>0.25394635240766567</v>
      </c>
      <c r="Q52" s="3">
        <v>0</v>
      </c>
    </row>
    <row r="53" spans="1:17" x14ac:dyDescent="0.2">
      <c r="A53" s="2">
        <v>49</v>
      </c>
      <c r="B53" s="2">
        <f t="shared" ca="1" si="2"/>
        <v>-1.5266990597266719</v>
      </c>
      <c r="F53" s="4">
        <v>49</v>
      </c>
      <c r="G53" s="3">
        <v>3.96</v>
      </c>
      <c r="H53" s="3">
        <v>3.4021825553660934</v>
      </c>
      <c r="I53" s="3">
        <v>3.2179088173192762</v>
      </c>
      <c r="J53" s="3">
        <v>2.8756777732855756</v>
      </c>
      <c r="K53" s="3">
        <v>2.564666235837497</v>
      </c>
      <c r="L53" s="3">
        <v>1.9563899255957462</v>
      </c>
      <c r="M53" s="3">
        <v>1.8523083206213369</v>
      </c>
      <c r="N53" s="3">
        <v>1.3353507660967918</v>
      </c>
      <c r="O53" s="3">
        <v>0.80812807178183244</v>
      </c>
      <c r="P53" s="3">
        <v>0.36964363900040509</v>
      </c>
      <c r="Q53" s="3">
        <v>0</v>
      </c>
    </row>
    <row r="54" spans="1:17" x14ac:dyDescent="0.2">
      <c r="A54" s="2">
        <v>50</v>
      </c>
      <c r="B54" s="2">
        <f t="shared" ca="1" si="2"/>
        <v>0.84756553046232852</v>
      </c>
      <c r="F54" s="4">
        <v>50</v>
      </c>
      <c r="G54" s="3">
        <v>3.96</v>
      </c>
      <c r="H54" s="3">
        <v>3.4785033601874042</v>
      </c>
      <c r="I54" s="3">
        <v>3.2567958485757189</v>
      </c>
      <c r="J54" s="3">
        <v>2.5277297611219764</v>
      </c>
      <c r="K54" s="3">
        <v>1.9898792642725263</v>
      </c>
      <c r="L54" s="3">
        <v>1.9987361314060619</v>
      </c>
      <c r="M54" s="3">
        <v>1.4389089162687947</v>
      </c>
      <c r="N54" s="3">
        <v>0.98851252918631616</v>
      </c>
      <c r="O54" s="3">
        <v>0.68622045890581129</v>
      </c>
      <c r="P54" s="3">
        <v>0.3466439734739904</v>
      </c>
      <c r="Q54" s="3">
        <v>0</v>
      </c>
    </row>
    <row r="55" spans="1:17" x14ac:dyDescent="0.2">
      <c r="A55" s="2">
        <v>51</v>
      </c>
      <c r="B55" s="2">
        <f t="shared" ca="1" si="2"/>
        <v>-1.1105454356742746</v>
      </c>
      <c r="F55" s="4">
        <v>51</v>
      </c>
      <c r="G55" s="3">
        <v>3.96</v>
      </c>
      <c r="H55" s="3">
        <v>3.6174637448188176</v>
      </c>
      <c r="I55" s="3">
        <v>3.1703061325487427</v>
      </c>
      <c r="J55" s="3">
        <v>2.6593994983627094</v>
      </c>
      <c r="K55" s="3">
        <v>2.6835618563792094</v>
      </c>
      <c r="L55" s="3">
        <v>1.9153301764902682</v>
      </c>
      <c r="M55" s="3">
        <v>1.5901305943185096</v>
      </c>
      <c r="N55" s="3">
        <v>1.3305953177027345</v>
      </c>
      <c r="O55" s="3">
        <v>0.5707898526137104</v>
      </c>
      <c r="P55" s="3">
        <v>0.33731009554727104</v>
      </c>
      <c r="Q55" s="3">
        <v>0</v>
      </c>
    </row>
    <row r="56" spans="1:17" x14ac:dyDescent="0.2">
      <c r="A56" s="2">
        <v>52</v>
      </c>
      <c r="B56" s="2">
        <f t="shared" ca="1" si="2"/>
        <v>-0.75930832525569292</v>
      </c>
      <c r="F56" s="4">
        <v>52</v>
      </c>
      <c r="G56" s="3">
        <v>3.96</v>
      </c>
      <c r="H56" s="3">
        <v>3.6422315502186908</v>
      </c>
      <c r="I56" s="3">
        <v>3.0412307084838406</v>
      </c>
      <c r="J56" s="3">
        <v>2.7584127961230429</v>
      </c>
      <c r="K56" s="3">
        <v>2.3936755023571852</v>
      </c>
      <c r="L56" s="3">
        <v>1.8132791058338622</v>
      </c>
      <c r="M56" s="3">
        <v>1.4212946240693698</v>
      </c>
      <c r="N56" s="3">
        <v>1.051921962445715</v>
      </c>
      <c r="O56" s="3">
        <v>0.64011803923066579</v>
      </c>
      <c r="P56" s="3">
        <v>0.45011236301386509</v>
      </c>
      <c r="Q56" s="3">
        <v>0</v>
      </c>
    </row>
    <row r="57" spans="1:17" x14ac:dyDescent="0.2">
      <c r="A57" s="2">
        <v>53</v>
      </c>
      <c r="B57" s="2">
        <f t="shared" ca="1" si="2"/>
        <v>-0.43484582002260519</v>
      </c>
      <c r="F57" s="4">
        <v>53</v>
      </c>
      <c r="G57" s="3">
        <v>3.96</v>
      </c>
      <c r="H57" s="3">
        <v>3.6765836900025421</v>
      </c>
      <c r="I57" s="3">
        <v>3.3244749065987818</v>
      </c>
      <c r="J57" s="3">
        <v>2.7071124622190244</v>
      </c>
      <c r="K57" s="3">
        <v>2.4002000257619129</v>
      </c>
      <c r="L57" s="3">
        <v>2.2340424421795033</v>
      </c>
      <c r="M57" s="3">
        <v>1.5942981087104373</v>
      </c>
      <c r="N57" s="3">
        <v>0.97376283490816917</v>
      </c>
      <c r="O57" s="3">
        <v>0.56569777048939129</v>
      </c>
      <c r="P57" s="3">
        <v>0.44067179493064806</v>
      </c>
      <c r="Q57" s="3">
        <v>0</v>
      </c>
    </row>
    <row r="58" spans="1:17" x14ac:dyDescent="0.2">
      <c r="A58" s="2">
        <v>54</v>
      </c>
      <c r="B58" s="2">
        <f t="shared" ca="1" si="2"/>
        <v>-0.85716683747735201</v>
      </c>
      <c r="F58" s="4">
        <v>54</v>
      </c>
      <c r="G58" s="3">
        <v>3.96</v>
      </c>
      <c r="H58" s="3">
        <v>3.6498120799629183</v>
      </c>
      <c r="I58" s="3">
        <v>3.142406851569234</v>
      </c>
      <c r="J58" s="3">
        <v>2.7968128201821698</v>
      </c>
      <c r="K58" s="3">
        <v>2.4658234782153863</v>
      </c>
      <c r="L58" s="3">
        <v>1.9296828997534852</v>
      </c>
      <c r="M58" s="3">
        <v>1.2484589951434359</v>
      </c>
      <c r="N58" s="3">
        <v>1.2606113938386421</v>
      </c>
      <c r="O58" s="3">
        <v>1.1120077456083883</v>
      </c>
      <c r="P58" s="3">
        <v>0.5142079668851558</v>
      </c>
      <c r="Q58" s="3">
        <v>0</v>
      </c>
    </row>
    <row r="59" spans="1:17" x14ac:dyDescent="0.2">
      <c r="A59" s="2">
        <v>55</v>
      </c>
      <c r="B59" s="2">
        <f t="shared" ca="1" si="2"/>
        <v>0.62480839422338452</v>
      </c>
      <c r="F59" s="4">
        <v>55</v>
      </c>
      <c r="G59" s="3">
        <v>3.96</v>
      </c>
      <c r="H59" s="3">
        <v>3.5035128893201786</v>
      </c>
      <c r="I59" s="3">
        <v>3.0700094037810595</v>
      </c>
      <c r="J59" s="3">
        <v>2.3917865403880012</v>
      </c>
      <c r="K59" s="3">
        <v>2.3113244582886003</v>
      </c>
      <c r="L59" s="3">
        <v>2.0559494035529102</v>
      </c>
      <c r="M59" s="3">
        <v>1.5778798136867764</v>
      </c>
      <c r="N59" s="3">
        <v>1.0851198442685115</v>
      </c>
      <c r="O59" s="3">
        <v>0.53161799796924192</v>
      </c>
      <c r="P59" s="3">
        <v>0.56664360335808239</v>
      </c>
      <c r="Q59" s="3">
        <v>0</v>
      </c>
    </row>
    <row r="60" spans="1:17" x14ac:dyDescent="0.2">
      <c r="A60" s="2">
        <v>56</v>
      </c>
      <c r="B60" s="2">
        <f t="shared" ca="1" si="2"/>
        <v>-1.5174354400991774</v>
      </c>
      <c r="F60" s="4">
        <v>56</v>
      </c>
      <c r="G60" s="3">
        <v>3.96</v>
      </c>
      <c r="H60" s="3">
        <v>3.4538067525433029</v>
      </c>
      <c r="I60" s="3">
        <v>2.9149439940378867</v>
      </c>
      <c r="J60" s="3">
        <v>2.9769407578402189</v>
      </c>
      <c r="K60" s="3">
        <v>2.3510383569319053</v>
      </c>
      <c r="L60" s="3">
        <v>1.7041906213918054</v>
      </c>
      <c r="M60" s="3">
        <v>1.1469124557540447</v>
      </c>
      <c r="N60" s="3">
        <v>1.0762763781992686</v>
      </c>
      <c r="O60" s="3">
        <v>0.84093400917702033</v>
      </c>
      <c r="P60" s="3">
        <v>0.31224478111909643</v>
      </c>
      <c r="Q60" s="3">
        <v>0</v>
      </c>
    </row>
    <row r="61" spans="1:17" x14ac:dyDescent="0.2">
      <c r="A61" s="2">
        <v>57</v>
      </c>
      <c r="B61" s="2">
        <f t="shared" ca="1" si="2"/>
        <v>-0.76155352486096184</v>
      </c>
      <c r="F61" s="4">
        <v>57</v>
      </c>
      <c r="G61" s="3">
        <v>3.9600000000000004</v>
      </c>
      <c r="H61" s="3">
        <v>3.5469841664315247</v>
      </c>
      <c r="I61" s="3">
        <v>3.2862721338609431</v>
      </c>
      <c r="J61" s="3">
        <v>2.5170197180104643</v>
      </c>
      <c r="K61" s="3">
        <v>2.6385105516217076</v>
      </c>
      <c r="L61" s="3">
        <v>1.8116737343790166</v>
      </c>
      <c r="M61" s="3">
        <v>1.6304764163311236</v>
      </c>
      <c r="N61" s="3">
        <v>1.2416686450352257</v>
      </c>
      <c r="O61" s="3">
        <v>0.85920457603989797</v>
      </c>
      <c r="P61" s="3">
        <v>0.28141912665238961</v>
      </c>
      <c r="Q61" s="3">
        <v>0</v>
      </c>
    </row>
    <row r="62" spans="1:17" x14ac:dyDescent="0.2">
      <c r="A62" s="2">
        <v>58</v>
      </c>
      <c r="B62" s="2">
        <f t="shared" ca="1" si="2"/>
        <v>0.42131857541757695</v>
      </c>
      <c r="F62" s="4">
        <v>58</v>
      </c>
      <c r="G62" s="3">
        <v>3.96</v>
      </c>
      <c r="H62" s="3">
        <v>3.5263321292640013</v>
      </c>
      <c r="I62" s="3">
        <v>3.0812910762480819</v>
      </c>
      <c r="J62" s="3">
        <v>2.9347499898483851</v>
      </c>
      <c r="K62" s="3">
        <v>2.1175067979784772</v>
      </c>
      <c r="L62" s="3">
        <v>1.8917318411417656</v>
      </c>
      <c r="M62" s="3">
        <v>1.6793946404226978</v>
      </c>
      <c r="N62" s="3">
        <v>1.1821384589757642</v>
      </c>
      <c r="O62" s="3">
        <v>1.3881665447346883</v>
      </c>
      <c r="P62" s="3">
        <v>0.3942088758231323</v>
      </c>
      <c r="Q62" s="3">
        <v>0</v>
      </c>
    </row>
    <row r="63" spans="1:17" x14ac:dyDescent="0.2">
      <c r="A63" s="2">
        <v>59</v>
      </c>
      <c r="B63" s="2">
        <f t="shared" ca="1" si="2"/>
        <v>9.5729849369299833E-2</v>
      </c>
      <c r="F63" s="4">
        <v>59</v>
      </c>
      <c r="G63" s="3">
        <v>3.9600000000000004</v>
      </c>
      <c r="H63" s="3">
        <v>3.5245924044297254</v>
      </c>
      <c r="I63" s="3">
        <v>3.2001229751688154</v>
      </c>
      <c r="J63" s="3">
        <v>2.561387509563851</v>
      </c>
      <c r="K63" s="3">
        <v>2.454005501700729</v>
      </c>
      <c r="L63" s="3">
        <v>1.7187872315425066</v>
      </c>
      <c r="M63" s="3">
        <v>1.5934413256143067</v>
      </c>
      <c r="N63" s="3">
        <v>1.0979832900760718</v>
      </c>
      <c r="O63" s="3">
        <v>0.92797973896008235</v>
      </c>
      <c r="P63" s="3">
        <v>0.52932832972123056</v>
      </c>
      <c r="Q63" s="3">
        <v>0</v>
      </c>
    </row>
    <row r="64" spans="1:17" x14ac:dyDescent="0.2">
      <c r="A64" s="2">
        <v>60</v>
      </c>
      <c r="B64" s="2">
        <f t="shared" ca="1" si="2"/>
        <v>1.053469430573033</v>
      </c>
      <c r="F64" s="4">
        <v>60</v>
      </c>
      <c r="G64" s="3">
        <v>3.96</v>
      </c>
      <c r="H64" s="3">
        <v>3.4925244907196329</v>
      </c>
      <c r="I64" s="3">
        <v>3.2054919232106922</v>
      </c>
      <c r="J64" s="3">
        <v>2.44335579639898</v>
      </c>
      <c r="K64" s="3">
        <v>2.1981717130936023</v>
      </c>
      <c r="L64" s="3">
        <v>1.8384989716095796</v>
      </c>
      <c r="M64" s="3">
        <v>1.814515438771954</v>
      </c>
      <c r="N64" s="3">
        <v>0.76722187254714125</v>
      </c>
      <c r="O64" s="3">
        <v>0.87877828742561137</v>
      </c>
      <c r="P64" s="3">
        <v>0.43245453285532848</v>
      </c>
      <c r="Q64" s="3">
        <v>0</v>
      </c>
    </row>
    <row r="65" spans="1:17" x14ac:dyDescent="0.2">
      <c r="A65" s="2">
        <v>61</v>
      </c>
      <c r="B65" s="2">
        <f t="shared" ca="1" si="2"/>
        <v>-1.6005113920491469</v>
      </c>
      <c r="F65" s="4">
        <v>61</v>
      </c>
      <c r="G65" s="3">
        <v>3.96</v>
      </c>
      <c r="H65" s="3">
        <v>3.5520408872085807</v>
      </c>
      <c r="I65" s="3">
        <v>3.0995378789789303</v>
      </c>
      <c r="J65" s="3">
        <v>2.7577479788968078</v>
      </c>
      <c r="K65" s="3">
        <v>2.2538278751468872</v>
      </c>
      <c r="L65" s="3">
        <v>1.8265242648297026</v>
      </c>
      <c r="M65" s="3">
        <v>1.5493792289441908</v>
      </c>
      <c r="N65" s="3">
        <v>1.3693118137814604</v>
      </c>
      <c r="O65" s="3">
        <v>0.80475108013767005</v>
      </c>
      <c r="P65" s="3">
        <v>0.34384061017143158</v>
      </c>
      <c r="Q65" s="3">
        <v>0</v>
      </c>
    </row>
    <row r="66" spans="1:17" x14ac:dyDescent="0.2">
      <c r="A66" s="2">
        <v>62</v>
      </c>
      <c r="B66" s="2">
        <f t="shared" ca="1" si="2"/>
        <v>-0.39289313866063758</v>
      </c>
      <c r="F66" s="4">
        <v>62</v>
      </c>
      <c r="G66" s="3">
        <v>3.96</v>
      </c>
      <c r="H66" s="3">
        <v>3.7223405089825494</v>
      </c>
      <c r="I66" s="3">
        <v>2.9892412263219361</v>
      </c>
      <c r="J66" s="3">
        <v>2.8044153492337203</v>
      </c>
      <c r="K66" s="3">
        <v>2.3380986881509909</v>
      </c>
      <c r="L66" s="3">
        <v>1.5406426419323831</v>
      </c>
      <c r="M66" s="3">
        <v>1.9878433423083857</v>
      </c>
      <c r="N66" s="3">
        <v>1.4448626833681009</v>
      </c>
      <c r="O66" s="3">
        <v>0.79147918967518383</v>
      </c>
      <c r="P66" s="3">
        <v>0.41323295237181357</v>
      </c>
      <c r="Q66" s="3">
        <v>0</v>
      </c>
    </row>
    <row r="67" spans="1:17" x14ac:dyDescent="0.2">
      <c r="A67" s="2">
        <v>63</v>
      </c>
      <c r="B67" s="2">
        <f t="shared" ca="1" si="2"/>
        <v>8.3419027015500552E-2</v>
      </c>
      <c r="F67" s="4">
        <v>63</v>
      </c>
      <c r="G67" s="3">
        <v>3.96</v>
      </c>
      <c r="H67" s="3">
        <v>3.5040694406951278</v>
      </c>
      <c r="I67" s="3">
        <v>3.2592018252594475</v>
      </c>
      <c r="J67" s="3">
        <v>2.6152489077844061</v>
      </c>
      <c r="K67" s="3">
        <v>2.3353650640955421</v>
      </c>
      <c r="L67" s="3">
        <v>2.0142551073057149</v>
      </c>
      <c r="M67" s="3">
        <v>1.7198316889301488</v>
      </c>
      <c r="N67" s="3">
        <v>0.95270622314120423</v>
      </c>
      <c r="O67" s="3">
        <v>0.74839830962900922</v>
      </c>
      <c r="P67" s="3">
        <v>0.26850991004278496</v>
      </c>
      <c r="Q67" s="3">
        <v>0</v>
      </c>
    </row>
    <row r="68" spans="1:17" x14ac:dyDescent="0.2">
      <c r="A68" s="2">
        <v>64</v>
      </c>
      <c r="B68" s="2">
        <f t="shared" ca="1" si="2"/>
        <v>-1.2006378449709481</v>
      </c>
      <c r="F68" s="4">
        <v>64</v>
      </c>
      <c r="G68" s="3">
        <v>3.9600000000000004</v>
      </c>
      <c r="H68" s="3">
        <v>3.4689396084173434</v>
      </c>
      <c r="I68" s="3">
        <v>3.2017595262908585</v>
      </c>
      <c r="J68" s="3">
        <v>2.5432093448912885</v>
      </c>
      <c r="K68" s="3">
        <v>2.0056926427885324</v>
      </c>
      <c r="L68" s="3">
        <v>1.7619238556592802</v>
      </c>
      <c r="M68" s="3">
        <v>1.5649944120621146</v>
      </c>
      <c r="N68" s="3">
        <v>1.0999699074561695</v>
      </c>
      <c r="O68" s="3">
        <v>0.76502853766834411</v>
      </c>
      <c r="P68" s="3">
        <v>0.28862326760559587</v>
      </c>
      <c r="Q68" s="3">
        <v>0</v>
      </c>
    </row>
    <row r="69" spans="1:17" x14ac:dyDescent="0.2">
      <c r="A69" s="2">
        <v>65</v>
      </c>
      <c r="B69" s="2">
        <f t="shared" ca="1" si="2"/>
        <v>0.51844030861058266</v>
      </c>
      <c r="F69" s="4">
        <v>65</v>
      </c>
      <c r="G69" s="3">
        <v>3.9600000000000004</v>
      </c>
      <c r="H69" s="3">
        <v>3.4492865098029468</v>
      </c>
      <c r="I69" s="3">
        <v>3.036288964205907</v>
      </c>
      <c r="J69" s="3">
        <v>2.7671395294057226</v>
      </c>
      <c r="K69" s="3">
        <v>2.2378734570427907</v>
      </c>
      <c r="L69" s="3">
        <v>2.0771692880812909</v>
      </c>
      <c r="M69" s="3">
        <v>1.5034017636873462</v>
      </c>
      <c r="N69" s="3">
        <v>1.0458401753970972</v>
      </c>
      <c r="O69" s="3">
        <v>0.74006944243846573</v>
      </c>
      <c r="P69" s="3">
        <v>0.41448390523899586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1.0038281492921217</v>
      </c>
      <c r="F70" s="4">
        <v>66</v>
      </c>
      <c r="G70" s="3">
        <v>3.96</v>
      </c>
      <c r="H70" s="3">
        <v>3.5959887283383947</v>
      </c>
      <c r="I70" s="3">
        <v>3.2385780429040514</v>
      </c>
      <c r="J70" s="3">
        <v>2.6684748834486882</v>
      </c>
      <c r="K70" s="3">
        <v>2.1413344677522201</v>
      </c>
      <c r="L70" s="3">
        <v>1.9128741252959811</v>
      </c>
      <c r="M70" s="3">
        <v>1.7033120296194455</v>
      </c>
      <c r="N70" s="3">
        <v>1.3031298256092692</v>
      </c>
      <c r="O70" s="3">
        <v>0.9507183061480865</v>
      </c>
      <c r="P70" s="3">
        <v>0.40528409957598294</v>
      </c>
      <c r="Q70" s="3">
        <v>0</v>
      </c>
    </row>
    <row r="71" spans="1:17" x14ac:dyDescent="0.2">
      <c r="A71" s="2">
        <v>67</v>
      </c>
      <c r="B71" s="2">
        <f t="shared" ca="1" si="3"/>
        <v>-0.12878813963079255</v>
      </c>
      <c r="F71" s="4">
        <v>67</v>
      </c>
      <c r="G71" s="3">
        <v>3.96</v>
      </c>
      <c r="H71" s="3">
        <v>3.5904540759034504</v>
      </c>
      <c r="I71" s="3">
        <v>3.166416797605708</v>
      </c>
      <c r="J71" s="3">
        <v>2.5452523266084337</v>
      </c>
      <c r="K71" s="3">
        <v>2.7852384458910837</v>
      </c>
      <c r="L71" s="3">
        <v>1.75716008112269</v>
      </c>
      <c r="M71" s="3">
        <v>1.4363543751314232</v>
      </c>
      <c r="N71" s="3">
        <v>1.3116575379469435</v>
      </c>
      <c r="O71" s="3">
        <v>0.89963161260896229</v>
      </c>
      <c r="P71" s="3">
        <v>0.45046634681984599</v>
      </c>
      <c r="Q71" s="3">
        <v>0</v>
      </c>
    </row>
    <row r="72" spans="1:17" x14ac:dyDescent="0.2">
      <c r="A72" s="2">
        <v>68</v>
      </c>
      <c r="B72" s="2">
        <f t="shared" ca="1" si="3"/>
        <v>-0.56167409197891516</v>
      </c>
      <c r="F72" s="4">
        <v>68</v>
      </c>
      <c r="G72" s="3">
        <v>3.9600000000000004</v>
      </c>
      <c r="H72" s="3">
        <v>3.5087784050867921</v>
      </c>
      <c r="I72" s="3">
        <v>3.1184873790826799</v>
      </c>
      <c r="J72" s="3">
        <v>2.912119003773499</v>
      </c>
      <c r="K72" s="3">
        <v>2.2347284808858525</v>
      </c>
      <c r="L72" s="3">
        <v>1.8838313885212477</v>
      </c>
      <c r="M72" s="3">
        <v>1.6538935745995904</v>
      </c>
      <c r="N72" s="3">
        <v>1.2279777172091093</v>
      </c>
      <c r="O72" s="3">
        <v>0.61932521159719767</v>
      </c>
      <c r="P72" s="3">
        <v>0.47893571888001263</v>
      </c>
      <c r="Q72" s="3">
        <v>0</v>
      </c>
    </row>
    <row r="73" spans="1:17" x14ac:dyDescent="0.2">
      <c r="A73" s="2">
        <v>69</v>
      </c>
      <c r="B73" s="2">
        <f t="shared" ca="1" si="3"/>
        <v>1.4005613745451391</v>
      </c>
      <c r="F73" s="4">
        <v>69</v>
      </c>
      <c r="G73" s="3">
        <v>3.96</v>
      </c>
      <c r="H73" s="3">
        <v>3.4509433241155234</v>
      </c>
      <c r="I73" s="3">
        <v>2.6897468119153842</v>
      </c>
      <c r="J73" s="3">
        <v>2.567503767420233</v>
      </c>
      <c r="K73" s="3">
        <v>2.0367924974251101</v>
      </c>
      <c r="L73" s="3">
        <v>2.0891619443123997</v>
      </c>
      <c r="M73" s="3">
        <v>1.4256248864540295</v>
      </c>
      <c r="N73" s="3">
        <v>0.90209276885870948</v>
      </c>
      <c r="O73" s="3">
        <v>0.91896208629718923</v>
      </c>
      <c r="P73" s="3">
        <v>0.42139807271616869</v>
      </c>
      <c r="Q73" s="3">
        <v>0</v>
      </c>
    </row>
    <row r="74" spans="1:17" x14ac:dyDescent="0.2">
      <c r="A74" s="2">
        <v>70</v>
      </c>
      <c r="B74" s="2">
        <f t="shared" ca="1" si="3"/>
        <v>0.60684492286854508</v>
      </c>
      <c r="F74" s="4">
        <v>70</v>
      </c>
      <c r="G74" s="3">
        <v>3.9600000000000004</v>
      </c>
      <c r="H74" s="3">
        <v>3.3770845210812386</v>
      </c>
      <c r="I74" s="3">
        <v>3.1663943762251834</v>
      </c>
      <c r="J74" s="3">
        <v>2.7920137181691844</v>
      </c>
      <c r="K74" s="3">
        <v>2.5606322531057391</v>
      </c>
      <c r="L74" s="3">
        <v>2.0040806933130022</v>
      </c>
      <c r="M74" s="3">
        <v>1.785001152122083</v>
      </c>
      <c r="N74" s="3">
        <v>1.0435397819084911</v>
      </c>
      <c r="O74" s="3">
        <v>1.0531431629771011</v>
      </c>
      <c r="P74" s="3">
        <v>0.37922767134227564</v>
      </c>
      <c r="Q74" s="3">
        <v>0</v>
      </c>
    </row>
    <row r="75" spans="1:17" x14ac:dyDescent="0.2">
      <c r="A75" s="2">
        <v>71</v>
      </c>
      <c r="B75" s="2">
        <f t="shared" ca="1" si="3"/>
        <v>0.80335618216106874</v>
      </c>
      <c r="F75" s="4">
        <v>71</v>
      </c>
      <c r="G75" s="3">
        <v>3.9599999999999995</v>
      </c>
      <c r="H75" s="3">
        <v>3.4722446570275163</v>
      </c>
      <c r="I75" s="3">
        <v>3.3016038220058479</v>
      </c>
      <c r="J75" s="3">
        <v>3.0115118666182696</v>
      </c>
      <c r="K75" s="3">
        <v>1.9927760151630491</v>
      </c>
      <c r="L75" s="3">
        <v>2.2564607272323385</v>
      </c>
      <c r="M75" s="3">
        <v>1.7498827578170717</v>
      </c>
      <c r="N75" s="3">
        <v>0.91646529777713215</v>
      </c>
      <c r="O75" s="3">
        <v>0.98697606929961335</v>
      </c>
      <c r="P75" s="3">
        <v>0.25732530920963431</v>
      </c>
      <c r="Q75" s="3">
        <v>0</v>
      </c>
    </row>
    <row r="76" spans="1:17" x14ac:dyDescent="0.2">
      <c r="A76" s="2">
        <v>72</v>
      </c>
      <c r="B76" s="2">
        <f t="shared" ca="1" si="3"/>
        <v>-1.79054521116582</v>
      </c>
      <c r="F76" s="4">
        <v>72</v>
      </c>
      <c r="G76" s="3">
        <v>3.96</v>
      </c>
      <c r="H76" s="3">
        <v>3.6244169827568191</v>
      </c>
      <c r="I76" s="3">
        <v>3.3567468915497236</v>
      </c>
      <c r="J76" s="3">
        <v>2.5808359891619848</v>
      </c>
      <c r="K76" s="3">
        <v>2.3987861410522235</v>
      </c>
      <c r="L76" s="3">
        <v>1.5187481583327977</v>
      </c>
      <c r="M76" s="3">
        <v>1.8483248196723716</v>
      </c>
      <c r="N76" s="3">
        <v>1.2583679734748259</v>
      </c>
      <c r="O76" s="3">
        <v>0.57912140127932932</v>
      </c>
      <c r="P76" s="3">
        <v>0.31940734332429382</v>
      </c>
      <c r="Q76" s="3">
        <v>0</v>
      </c>
    </row>
    <row r="77" spans="1:17" x14ac:dyDescent="0.2">
      <c r="A77" s="2">
        <v>73</v>
      </c>
      <c r="B77" s="2">
        <f t="shared" ca="1" si="3"/>
        <v>-0.18239485507880276</v>
      </c>
      <c r="F77" s="4">
        <v>73</v>
      </c>
      <c r="G77" s="3">
        <v>3.9600000000000004</v>
      </c>
      <c r="H77" s="3">
        <v>3.5573142738484789</v>
      </c>
      <c r="I77" s="3">
        <v>3.2063466268965048</v>
      </c>
      <c r="J77" s="3">
        <v>2.965700464849264</v>
      </c>
      <c r="K77" s="3">
        <v>2.2261815783664454</v>
      </c>
      <c r="L77" s="3">
        <v>2.0194612915405386</v>
      </c>
      <c r="M77" s="3">
        <v>1.4467284375489404</v>
      </c>
      <c r="N77" s="3">
        <v>0.91622629942250455</v>
      </c>
      <c r="O77" s="3">
        <v>0.80429980636877929</v>
      </c>
      <c r="P77" s="3">
        <v>0.34462143117315613</v>
      </c>
      <c r="Q77" s="3">
        <v>0</v>
      </c>
    </row>
    <row r="78" spans="1:17" x14ac:dyDescent="0.2">
      <c r="A78" s="2">
        <v>74</v>
      </c>
      <c r="B78" s="2">
        <f t="shared" ca="1" si="3"/>
        <v>-1.2822865124889464</v>
      </c>
      <c r="F78" s="4">
        <v>74</v>
      </c>
      <c r="G78" s="3">
        <v>3.96</v>
      </c>
      <c r="H78" s="3">
        <v>3.7535605322028345</v>
      </c>
      <c r="I78" s="3">
        <v>2.9273487110147505</v>
      </c>
      <c r="J78" s="3">
        <v>2.7357338916314351</v>
      </c>
      <c r="K78" s="3">
        <v>2.5106381586625335</v>
      </c>
      <c r="L78" s="3">
        <v>1.8512563135015538</v>
      </c>
      <c r="M78" s="3">
        <v>1.5099262760737489</v>
      </c>
      <c r="N78" s="3">
        <v>1.1620644115623953</v>
      </c>
      <c r="O78" s="3">
        <v>0.85894610344744693</v>
      </c>
      <c r="P78" s="3">
        <v>0.60567142373296334</v>
      </c>
      <c r="Q78" s="3">
        <v>0</v>
      </c>
    </row>
    <row r="79" spans="1:17" x14ac:dyDescent="0.2">
      <c r="A79" s="2">
        <v>75</v>
      </c>
      <c r="B79" s="2">
        <f t="shared" ca="1" si="3"/>
        <v>-1.1050565161127042</v>
      </c>
      <c r="F79" s="4">
        <v>75</v>
      </c>
      <c r="G79" s="3">
        <v>3.96</v>
      </c>
      <c r="H79" s="3">
        <v>3.6276050788491787</v>
      </c>
      <c r="I79" s="3">
        <v>2.8783273799410658</v>
      </c>
      <c r="J79" s="3">
        <v>2.8291130769167303</v>
      </c>
      <c r="K79" s="3">
        <v>2.4396929391875788</v>
      </c>
      <c r="L79" s="3">
        <v>2.1946313341926027</v>
      </c>
      <c r="M79" s="3">
        <v>1.7542531009516336</v>
      </c>
      <c r="N79" s="3">
        <v>0.9445957093340438</v>
      </c>
      <c r="O79" s="3">
        <v>0.70358524329443006</v>
      </c>
      <c r="P79" s="3">
        <v>0.22769041628456951</v>
      </c>
      <c r="Q79" s="3">
        <v>0</v>
      </c>
    </row>
    <row r="80" spans="1:17" x14ac:dyDescent="0.2">
      <c r="A80" s="2">
        <v>76</v>
      </c>
      <c r="B80" s="2">
        <f t="shared" ca="1" si="3"/>
        <v>0.96794582459762035</v>
      </c>
      <c r="F80" s="4">
        <v>76</v>
      </c>
      <c r="G80" s="3">
        <v>3.9600000000000004</v>
      </c>
      <c r="H80" s="3">
        <v>3.5250996498879243</v>
      </c>
      <c r="I80" s="3">
        <v>3.339375795924624</v>
      </c>
      <c r="J80" s="3">
        <v>2.3122341482198916</v>
      </c>
      <c r="K80" s="3">
        <v>2.3173225867068736</v>
      </c>
      <c r="L80" s="3">
        <v>2.1635751149748201</v>
      </c>
      <c r="M80" s="3">
        <v>1.6199071045801392</v>
      </c>
      <c r="N80" s="3">
        <v>1.154719110776135</v>
      </c>
      <c r="O80" s="3">
        <v>0.77158033904923007</v>
      </c>
      <c r="P80" s="3">
        <v>0.42542267464374378</v>
      </c>
      <c r="Q80" s="3">
        <v>0</v>
      </c>
    </row>
    <row r="81" spans="1:17" x14ac:dyDescent="0.2">
      <c r="A81" s="2">
        <v>77</v>
      </c>
      <c r="B81" s="2">
        <f t="shared" ca="1" si="3"/>
        <v>0.24547350395299916</v>
      </c>
      <c r="F81" s="4">
        <v>77</v>
      </c>
      <c r="G81" s="3">
        <v>3.9600000000000004</v>
      </c>
      <c r="H81" s="3">
        <v>3.5841734282421678</v>
      </c>
      <c r="I81" s="3">
        <v>3.0992531281707354</v>
      </c>
      <c r="J81" s="3">
        <v>2.6552111837067254</v>
      </c>
      <c r="K81" s="3">
        <v>2.3291216350272008</v>
      </c>
      <c r="L81" s="3">
        <v>1.8800809709874604</v>
      </c>
      <c r="M81" s="3">
        <v>1.6738866760516589</v>
      </c>
      <c r="N81" s="3">
        <v>1.1175875639437536</v>
      </c>
      <c r="O81" s="3">
        <v>0.99219649092735984</v>
      </c>
      <c r="P81" s="3">
        <v>0.32608849488799924</v>
      </c>
      <c r="Q81" s="3">
        <v>0</v>
      </c>
    </row>
    <row r="82" spans="1:17" x14ac:dyDescent="0.2">
      <c r="A82" s="2">
        <v>78</v>
      </c>
      <c r="B82" s="2">
        <f t="shared" ca="1" si="3"/>
        <v>-1.5976449896568756</v>
      </c>
      <c r="F82" s="4">
        <v>78</v>
      </c>
      <c r="G82" s="3">
        <v>3.96</v>
      </c>
      <c r="H82" s="3">
        <v>3.3735170791375992</v>
      </c>
      <c r="I82" s="3">
        <v>3.248311831745557</v>
      </c>
      <c r="J82" s="3">
        <v>2.4725758573095074</v>
      </c>
      <c r="K82" s="3">
        <v>2.6244025149822217</v>
      </c>
      <c r="L82" s="3">
        <v>1.8846307120452273</v>
      </c>
      <c r="M82" s="3">
        <v>1.5136650958708671</v>
      </c>
      <c r="N82" s="3">
        <v>1.2891202574821983</v>
      </c>
      <c r="O82" s="3">
        <v>1.0561617228599152</v>
      </c>
      <c r="P82" s="3">
        <v>0.37895491518591079</v>
      </c>
      <c r="Q82" s="3">
        <v>0</v>
      </c>
    </row>
    <row r="83" spans="1:17" x14ac:dyDescent="0.2">
      <c r="A83" s="2">
        <v>79</v>
      </c>
      <c r="B83" s="2">
        <f t="shared" ca="1" si="3"/>
        <v>0.51685324806943378</v>
      </c>
      <c r="F83" s="4">
        <v>79</v>
      </c>
      <c r="G83" s="3">
        <v>3.96</v>
      </c>
      <c r="H83" s="3">
        <v>3.6030021630822153</v>
      </c>
      <c r="I83" s="3">
        <v>3.1606090952777328</v>
      </c>
      <c r="J83" s="3">
        <v>2.8694246548862252</v>
      </c>
      <c r="K83" s="3">
        <v>2.5337981099095694</v>
      </c>
      <c r="L83" s="3">
        <v>1.9808555007729673</v>
      </c>
      <c r="M83" s="3">
        <v>1.9569349385774026</v>
      </c>
      <c r="N83" s="3">
        <v>1.0882462551071019</v>
      </c>
      <c r="O83" s="3">
        <v>0.90788578146531684</v>
      </c>
      <c r="P83" s="3">
        <v>0.445513977661815</v>
      </c>
      <c r="Q83" s="3">
        <v>0</v>
      </c>
    </row>
    <row r="84" spans="1:17" x14ac:dyDescent="0.2">
      <c r="A84" s="2">
        <v>80</v>
      </c>
      <c r="B84" s="2">
        <f t="shared" ca="1" si="3"/>
        <v>-0.1456006282937625</v>
      </c>
      <c r="F84" s="4">
        <v>80</v>
      </c>
      <c r="G84" s="3">
        <v>3.96</v>
      </c>
      <c r="H84" s="3">
        <v>3.5975704612914803</v>
      </c>
      <c r="I84" s="3">
        <v>3.4068573284627863</v>
      </c>
      <c r="J84" s="3">
        <v>2.8862767851154212</v>
      </c>
      <c r="K84" s="3">
        <v>1.8364471657231756</v>
      </c>
      <c r="L84" s="3">
        <v>2.2601323399605726</v>
      </c>
      <c r="M84" s="3">
        <v>1.4504985918966842</v>
      </c>
      <c r="N84" s="3">
        <v>0.83789462147974825</v>
      </c>
      <c r="O84" s="3">
        <v>0.87964319638117439</v>
      </c>
      <c r="P84" s="3">
        <v>0.43923565640113849</v>
      </c>
      <c r="Q84" s="3">
        <v>0</v>
      </c>
    </row>
    <row r="85" spans="1:17" x14ac:dyDescent="0.2">
      <c r="A85" s="2">
        <v>81</v>
      </c>
      <c r="B85" s="2">
        <f t="shared" ca="1" si="3"/>
        <v>0.33025225712312128</v>
      </c>
      <c r="F85" s="4">
        <v>81</v>
      </c>
      <c r="G85" s="3">
        <v>3.96</v>
      </c>
      <c r="H85" s="3">
        <v>3.5641806436014609</v>
      </c>
      <c r="I85" s="3">
        <v>2.9623303451965302</v>
      </c>
      <c r="J85" s="3">
        <v>2.2427791831342336</v>
      </c>
      <c r="K85" s="3">
        <v>2.1567733002380245</v>
      </c>
      <c r="L85" s="3">
        <v>1.9924944476487101</v>
      </c>
      <c r="M85" s="3">
        <v>1.5950370634790185</v>
      </c>
      <c r="N85" s="3">
        <v>1.0766255417106052</v>
      </c>
      <c r="O85" s="3">
        <v>0.89011884470343816</v>
      </c>
      <c r="P85" s="3">
        <v>0.7374725561379516</v>
      </c>
      <c r="Q85" s="3">
        <v>0</v>
      </c>
    </row>
    <row r="86" spans="1:17" x14ac:dyDescent="0.2">
      <c r="A86" s="2">
        <v>82</v>
      </c>
      <c r="B86" s="2">
        <f t="shared" ca="1" si="3"/>
        <v>-0.84235110094432997</v>
      </c>
      <c r="F86" s="4">
        <v>82</v>
      </c>
      <c r="G86" s="3">
        <v>3.96</v>
      </c>
      <c r="H86" s="3">
        <v>3.6505288025939917</v>
      </c>
      <c r="I86" s="3">
        <v>3.2543000307800996</v>
      </c>
      <c r="J86" s="3">
        <v>2.6780533563843214</v>
      </c>
      <c r="K86" s="3">
        <v>2.4870416367527333</v>
      </c>
      <c r="L86" s="3">
        <v>1.9145097027042492</v>
      </c>
      <c r="M86" s="3">
        <v>1.2486848437762075</v>
      </c>
      <c r="N86" s="3">
        <v>1.2167814730044615</v>
      </c>
      <c r="O86" s="3">
        <v>0.70774714359824387</v>
      </c>
      <c r="P86" s="3">
        <v>0.40067980773384354</v>
      </c>
      <c r="Q86" s="3">
        <v>0</v>
      </c>
    </row>
    <row r="87" spans="1:17" x14ac:dyDescent="0.2">
      <c r="A87" s="2">
        <v>83</v>
      </c>
      <c r="B87" s="2">
        <f t="shared" ca="1" si="3"/>
        <v>-0.55195137946176609</v>
      </c>
      <c r="F87" s="4">
        <v>83</v>
      </c>
      <c r="G87" s="3">
        <v>3.96</v>
      </c>
      <c r="H87" s="3">
        <v>3.3762459724867209</v>
      </c>
      <c r="I87" s="3">
        <v>2.8957142766157857</v>
      </c>
      <c r="J87" s="3">
        <v>2.7206287418913679</v>
      </c>
      <c r="K87" s="3">
        <v>2.1379178192039365</v>
      </c>
      <c r="L87" s="3">
        <v>2.0539494419984603</v>
      </c>
      <c r="M87" s="3">
        <v>1.5438170278918313</v>
      </c>
      <c r="N87" s="3">
        <v>1.3609014078587283</v>
      </c>
      <c r="O87" s="3">
        <v>1.1991599128744792</v>
      </c>
      <c r="P87" s="3">
        <v>0.39799577824211346</v>
      </c>
      <c r="Q87" s="3">
        <v>0</v>
      </c>
    </row>
    <row r="88" spans="1:17" x14ac:dyDescent="0.2">
      <c r="A88" s="2">
        <v>84</v>
      </c>
      <c r="B88" s="2">
        <f t="shared" ca="1" si="3"/>
        <v>0.69079043923549155</v>
      </c>
      <c r="F88" s="4">
        <v>84</v>
      </c>
      <c r="G88" s="3">
        <v>3.96</v>
      </c>
      <c r="H88" s="3">
        <v>3.6820000191521087</v>
      </c>
      <c r="I88" s="3">
        <v>3.186438405654223</v>
      </c>
      <c r="J88" s="3">
        <v>2.5728331274778897</v>
      </c>
      <c r="K88" s="3">
        <v>2.5955175424553842</v>
      </c>
      <c r="L88" s="3">
        <v>1.9582896181920395</v>
      </c>
      <c r="M88" s="3">
        <v>1.6200597442459748</v>
      </c>
      <c r="N88" s="3">
        <v>1.2071774991457143</v>
      </c>
      <c r="O88" s="3">
        <v>1.0842852632190254</v>
      </c>
      <c r="P88" s="3">
        <v>0.38829666337787239</v>
      </c>
      <c r="Q88" s="3">
        <v>0</v>
      </c>
    </row>
    <row r="89" spans="1:17" x14ac:dyDescent="0.2">
      <c r="A89" s="2">
        <v>85</v>
      </c>
      <c r="B89" s="2">
        <f t="shared" ca="1" si="3"/>
        <v>0.47296795069233377</v>
      </c>
      <c r="F89" s="4">
        <v>85</v>
      </c>
      <c r="G89" s="3">
        <v>3.9599999999999995</v>
      </c>
      <c r="H89" s="3">
        <v>3.484702156544385</v>
      </c>
      <c r="I89" s="3">
        <v>2.8898586745424386</v>
      </c>
      <c r="J89" s="3">
        <v>2.569500979541369</v>
      </c>
      <c r="K89" s="3">
        <v>2.3078337611209081</v>
      </c>
      <c r="L89" s="3">
        <v>1.7464410221704429</v>
      </c>
      <c r="M89" s="3">
        <v>1.8441174920535333</v>
      </c>
      <c r="N89" s="3">
        <v>1.0008468655530431</v>
      </c>
      <c r="O89" s="3">
        <v>0.71586838867010616</v>
      </c>
      <c r="P89" s="3">
        <v>0.46607352617819098</v>
      </c>
      <c r="Q89" s="3">
        <v>0</v>
      </c>
    </row>
    <row r="90" spans="1:17" x14ac:dyDescent="0.2">
      <c r="A90" s="2">
        <v>86</v>
      </c>
      <c r="B90" s="2">
        <f t="shared" ca="1" si="3"/>
        <v>-0.26156735470968767</v>
      </c>
      <c r="F90" s="4">
        <v>86</v>
      </c>
      <c r="G90" s="3">
        <v>3.96</v>
      </c>
      <c r="H90" s="3">
        <v>3.5049758802281303</v>
      </c>
      <c r="I90" s="3">
        <v>3.2517981624628929</v>
      </c>
      <c r="J90" s="3">
        <v>2.9256609281796102</v>
      </c>
      <c r="K90" s="3">
        <v>2.3393717176808448</v>
      </c>
      <c r="L90" s="3">
        <v>2.4486912748223033</v>
      </c>
      <c r="M90" s="3">
        <v>1.8500753530420946</v>
      </c>
      <c r="N90" s="3">
        <v>1.1162462729418248</v>
      </c>
      <c r="O90" s="3">
        <v>0.86930198321822139</v>
      </c>
      <c r="P90" s="3">
        <v>0.40495269132087619</v>
      </c>
      <c r="Q90" s="3">
        <v>0</v>
      </c>
    </row>
    <row r="91" spans="1:17" x14ac:dyDescent="0.2">
      <c r="A91" s="2">
        <v>87</v>
      </c>
      <c r="B91" s="2">
        <f t="shared" ca="1" si="3"/>
        <v>-2.5711653202894058</v>
      </c>
      <c r="F91" s="4">
        <v>87</v>
      </c>
      <c r="G91" s="3">
        <v>3.96</v>
      </c>
      <c r="H91" s="3">
        <v>3.6509634261803678</v>
      </c>
      <c r="I91" s="3">
        <v>3.1554149040800996</v>
      </c>
      <c r="J91" s="3">
        <v>2.6566816678614114</v>
      </c>
      <c r="K91" s="3">
        <v>2.3737347815476579</v>
      </c>
      <c r="L91" s="3">
        <v>1.6965195542960643</v>
      </c>
      <c r="M91" s="3">
        <v>1.9766837819369847</v>
      </c>
      <c r="N91" s="3">
        <v>1.1494925137916256</v>
      </c>
      <c r="O91" s="3">
        <v>0.97204540288377339</v>
      </c>
      <c r="P91" s="3">
        <v>0.48391524124955848</v>
      </c>
      <c r="Q91" s="3">
        <v>0</v>
      </c>
    </row>
    <row r="92" spans="1:17" x14ac:dyDescent="0.2">
      <c r="A92" s="2">
        <v>88</v>
      </c>
      <c r="B92" s="2">
        <f t="shared" ca="1" si="3"/>
        <v>0.58226695059060241</v>
      </c>
      <c r="F92" s="4">
        <v>88</v>
      </c>
      <c r="G92" s="3">
        <v>3.96</v>
      </c>
      <c r="H92" s="3">
        <v>3.6435913121376142</v>
      </c>
      <c r="I92" s="3">
        <v>3.1191767686812844</v>
      </c>
      <c r="J92" s="3">
        <v>2.9041813881414451</v>
      </c>
      <c r="K92" s="3">
        <v>2.487261088578772</v>
      </c>
      <c r="L92" s="3">
        <v>2.1494614206515932</v>
      </c>
      <c r="M92" s="3">
        <v>1.6999828131587229</v>
      </c>
      <c r="N92" s="3">
        <v>1.2258150116273065</v>
      </c>
      <c r="O92" s="3">
        <v>0.87581733282009722</v>
      </c>
      <c r="P92" s="3">
        <v>0.32340367774304413</v>
      </c>
      <c r="Q92" s="3">
        <v>0</v>
      </c>
    </row>
    <row r="93" spans="1:17" x14ac:dyDescent="0.2">
      <c r="A93" s="2">
        <v>89</v>
      </c>
      <c r="B93" s="2">
        <f t="shared" ca="1" si="3"/>
        <v>9.0446228738182616E-2</v>
      </c>
      <c r="F93" s="4">
        <v>89</v>
      </c>
      <c r="G93" s="3">
        <v>3.96</v>
      </c>
      <c r="H93" s="3">
        <v>3.3367485621939306</v>
      </c>
      <c r="I93" s="3">
        <v>3.2380436252773199</v>
      </c>
      <c r="J93" s="3">
        <v>2.8303681362880488</v>
      </c>
      <c r="K93" s="3">
        <v>2.3586192298494635</v>
      </c>
      <c r="L93" s="3">
        <v>1.6734008904139612</v>
      </c>
      <c r="M93" s="3">
        <v>2.1226217497144155</v>
      </c>
      <c r="N93" s="3">
        <v>1.2486726593839579</v>
      </c>
      <c r="O93" s="3">
        <v>0.91216189388245639</v>
      </c>
      <c r="P93" s="3">
        <v>0.53306643366757822</v>
      </c>
      <c r="Q93" s="3">
        <v>0</v>
      </c>
    </row>
    <row r="94" spans="1:17" x14ac:dyDescent="0.2">
      <c r="A94" s="2">
        <v>90</v>
      </c>
      <c r="B94" s="2">
        <f t="shared" ca="1" si="3"/>
        <v>-1.3525850086113123</v>
      </c>
      <c r="F94" s="4">
        <v>90</v>
      </c>
      <c r="G94" s="3">
        <v>3.9599999999999995</v>
      </c>
      <c r="H94" s="3">
        <v>3.3861377229941416</v>
      </c>
      <c r="I94" s="3">
        <v>3.4391316954135678</v>
      </c>
      <c r="J94" s="3">
        <v>2.8441674733819555</v>
      </c>
      <c r="K94" s="3">
        <v>2.6391305085381958</v>
      </c>
      <c r="L94" s="3">
        <v>1.9790372921103083</v>
      </c>
      <c r="M94" s="3">
        <v>1.8156366009065168</v>
      </c>
      <c r="N94" s="3">
        <v>1.4682558662968312</v>
      </c>
      <c r="O94" s="3">
        <v>0.95929252238613893</v>
      </c>
      <c r="P94" s="3">
        <v>0.66051288580054512</v>
      </c>
      <c r="Q94" s="3">
        <v>0</v>
      </c>
    </row>
    <row r="95" spans="1:17" x14ac:dyDescent="0.2">
      <c r="A95" s="2">
        <v>91</v>
      </c>
      <c r="B95" s="2">
        <f t="shared" ca="1" si="3"/>
        <v>-1.4732956094122778</v>
      </c>
      <c r="F95" s="4">
        <v>91</v>
      </c>
      <c r="G95" s="3">
        <v>3.96</v>
      </c>
      <c r="H95" s="3">
        <v>3.736581274231598</v>
      </c>
      <c r="I95" s="3">
        <v>2.7108813375526002</v>
      </c>
      <c r="J95" s="3">
        <v>2.7448339050335124</v>
      </c>
      <c r="K95" s="3">
        <v>2.5592233493649323</v>
      </c>
      <c r="L95" s="3">
        <v>1.8612530255726072</v>
      </c>
      <c r="M95" s="3">
        <v>1.8786463430102092</v>
      </c>
      <c r="N95" s="3">
        <v>1.0699630124859285</v>
      </c>
      <c r="O95" s="3">
        <v>0.77104673103338761</v>
      </c>
      <c r="P95" s="3">
        <v>0.28330381430094781</v>
      </c>
      <c r="Q95" s="3">
        <v>0</v>
      </c>
    </row>
    <row r="96" spans="1:17" x14ac:dyDescent="0.2">
      <c r="A96" s="2">
        <v>92</v>
      </c>
      <c r="B96" s="2">
        <f t="shared" ca="1" si="3"/>
        <v>0.13722487238841158</v>
      </c>
      <c r="F96" s="4">
        <v>92</v>
      </c>
      <c r="G96" s="3">
        <v>3.96</v>
      </c>
      <c r="H96" s="3">
        <v>3.6612356240232242</v>
      </c>
      <c r="I96" s="3">
        <v>2.8011625632548447</v>
      </c>
      <c r="J96" s="3">
        <v>2.8899945406785839</v>
      </c>
      <c r="K96" s="3">
        <v>2.0944459378231168</v>
      </c>
      <c r="L96" s="3">
        <v>1.7923379140752447</v>
      </c>
      <c r="M96" s="3">
        <v>1.6593677322484868</v>
      </c>
      <c r="N96" s="3">
        <v>1.4868198194480162</v>
      </c>
      <c r="O96" s="3">
        <v>0.90604407130970566</v>
      </c>
      <c r="P96" s="3">
        <v>0.30765959106975821</v>
      </c>
      <c r="Q96" s="3">
        <v>0</v>
      </c>
    </row>
    <row r="97" spans="1:17" x14ac:dyDescent="0.2">
      <c r="A97" s="2">
        <v>93</v>
      </c>
      <c r="B97" s="2">
        <f t="shared" ca="1" si="3"/>
        <v>-2.2886750717232139E-2</v>
      </c>
      <c r="F97" s="4">
        <v>93</v>
      </c>
      <c r="G97" s="3">
        <v>3.96</v>
      </c>
      <c r="H97" s="3">
        <v>3.4852621900372553</v>
      </c>
      <c r="I97" s="3">
        <v>2.9661077979251087</v>
      </c>
      <c r="J97" s="3">
        <v>2.8864169121017067</v>
      </c>
      <c r="K97" s="3">
        <v>2.2460817663301338</v>
      </c>
      <c r="L97" s="3">
        <v>1.7964041166204958</v>
      </c>
      <c r="M97" s="3">
        <v>1.7651252191119182</v>
      </c>
      <c r="N97" s="3">
        <v>1.0289675744496913</v>
      </c>
      <c r="O97" s="3">
        <v>0.63711387272257913</v>
      </c>
      <c r="P97" s="3">
        <v>0.44903988750680768</v>
      </c>
      <c r="Q97" s="3">
        <v>0</v>
      </c>
    </row>
    <row r="98" spans="1:17" x14ac:dyDescent="0.2">
      <c r="A98" s="2">
        <v>94</v>
      </c>
      <c r="B98" s="2">
        <f t="shared" ca="1" si="3"/>
        <v>1.1368646052533988</v>
      </c>
      <c r="F98" s="4">
        <v>94</v>
      </c>
      <c r="G98" s="3">
        <v>3.9599999999999995</v>
      </c>
      <c r="H98" s="3">
        <v>3.6882688769122183</v>
      </c>
      <c r="I98" s="3">
        <v>2.9724443311706898</v>
      </c>
      <c r="J98" s="3">
        <v>2.9854179422975031</v>
      </c>
      <c r="K98" s="3">
        <v>2.6196901412141043</v>
      </c>
      <c r="L98" s="3">
        <v>1.628361670618472</v>
      </c>
      <c r="M98" s="3">
        <v>2.0766888106088546</v>
      </c>
      <c r="N98" s="3">
        <v>1.3043554167344853</v>
      </c>
      <c r="O98" s="3">
        <v>0.6041765207247336</v>
      </c>
      <c r="P98" s="3">
        <v>0.68849001098689688</v>
      </c>
      <c r="Q98" s="3">
        <v>0</v>
      </c>
    </row>
    <row r="99" spans="1:17" x14ac:dyDescent="0.2">
      <c r="A99" s="2">
        <v>95</v>
      </c>
      <c r="B99" s="2">
        <f t="shared" ca="1" si="3"/>
        <v>-0.11681000501409482</v>
      </c>
      <c r="F99" s="4">
        <v>95</v>
      </c>
      <c r="G99" s="3">
        <v>3.96</v>
      </c>
      <c r="H99" s="3">
        <v>3.5759096098035505</v>
      </c>
      <c r="I99" s="3">
        <v>3.1252394182172472</v>
      </c>
      <c r="J99" s="3">
        <v>2.8524236493138524</v>
      </c>
      <c r="K99" s="3">
        <v>2.1658862781443582</v>
      </c>
      <c r="L99" s="3">
        <v>1.8203829878622999</v>
      </c>
      <c r="M99" s="3">
        <v>1.3972194315815321</v>
      </c>
      <c r="N99" s="3">
        <v>1.2255773288708671</v>
      </c>
      <c r="O99" s="3">
        <v>0.85039417119330307</v>
      </c>
      <c r="P99" s="3">
        <v>0.39352159643648538</v>
      </c>
      <c r="Q99" s="3">
        <v>0</v>
      </c>
    </row>
    <row r="100" spans="1:17" x14ac:dyDescent="0.2">
      <c r="A100" s="2">
        <v>96</v>
      </c>
      <c r="B100" s="2">
        <f t="shared" ca="1" si="3"/>
        <v>0.33363162187828621</v>
      </c>
      <c r="F100" s="4">
        <v>96</v>
      </c>
      <c r="G100" s="3">
        <v>3.9600000000000004</v>
      </c>
      <c r="H100" s="3">
        <v>3.6220903242980915</v>
      </c>
      <c r="I100" s="3">
        <v>3.3771147854704364</v>
      </c>
      <c r="J100" s="3">
        <v>2.860580192243428</v>
      </c>
      <c r="K100" s="3">
        <v>2.4555042773293163</v>
      </c>
      <c r="L100" s="3">
        <v>2.3582434460715307</v>
      </c>
      <c r="M100" s="3">
        <v>1.2018616333258221</v>
      </c>
      <c r="N100" s="3">
        <v>1.0964880799666967</v>
      </c>
      <c r="O100" s="3">
        <v>0.84161144951489719</v>
      </c>
      <c r="P100" s="3">
        <v>0.56705416092600591</v>
      </c>
      <c r="Q100" s="3">
        <v>0</v>
      </c>
    </row>
    <row r="101" spans="1:17" x14ac:dyDescent="0.2">
      <c r="A101" s="2">
        <v>97</v>
      </c>
      <c r="B101" s="2">
        <f t="shared" ca="1" si="3"/>
        <v>-0.76843324216271947</v>
      </c>
      <c r="F101" s="4">
        <v>97</v>
      </c>
      <c r="G101" s="3">
        <v>3.9599999999999995</v>
      </c>
      <c r="H101" s="3">
        <v>3.5077554015325476</v>
      </c>
      <c r="I101" s="3">
        <v>2.9360631966011419</v>
      </c>
      <c r="J101" s="3">
        <v>3.121590802061009</v>
      </c>
      <c r="K101" s="3">
        <v>2.1171453244879972</v>
      </c>
      <c r="L101" s="3">
        <v>1.7202985533687627</v>
      </c>
      <c r="M101" s="3">
        <v>1.9380693863345289</v>
      </c>
      <c r="N101" s="3">
        <v>1.5165260765710049</v>
      </c>
      <c r="O101" s="3">
        <v>0.45043616141078174</v>
      </c>
      <c r="P101" s="3">
        <v>0.35834751215416044</v>
      </c>
      <c r="Q101" s="3">
        <v>0</v>
      </c>
    </row>
    <row r="102" spans="1:17" x14ac:dyDescent="0.2">
      <c r="A102" s="2">
        <v>98</v>
      </c>
      <c r="B102" s="2">
        <f t="shared" ca="1" si="3"/>
        <v>-0.80179288744387911</v>
      </c>
      <c r="F102" s="4">
        <v>98</v>
      </c>
      <c r="G102" s="3">
        <v>3.96</v>
      </c>
      <c r="H102" s="3">
        <v>3.700501047776136</v>
      </c>
      <c r="I102" s="3">
        <v>3.096622599144164</v>
      </c>
      <c r="J102" s="3">
        <v>2.7403471888510356</v>
      </c>
      <c r="K102" s="3">
        <v>2.5133707834565766</v>
      </c>
      <c r="L102" s="3">
        <v>1.8310197312030319</v>
      </c>
      <c r="M102" s="3">
        <v>1.7094668372824076</v>
      </c>
      <c r="N102" s="3">
        <v>1.1963597804842709</v>
      </c>
      <c r="O102" s="3">
        <v>1.3022676458621232</v>
      </c>
      <c r="P102" s="3">
        <v>0.29634395903811517</v>
      </c>
      <c r="Q102" s="3">
        <v>0</v>
      </c>
    </row>
    <row r="103" spans="1:17" x14ac:dyDescent="0.2">
      <c r="A103" s="2">
        <v>99</v>
      </c>
      <c r="B103" s="2">
        <f t="shared" ca="1" si="3"/>
        <v>0.50635342903280789</v>
      </c>
      <c r="F103" s="4">
        <v>99</v>
      </c>
      <c r="G103" s="3">
        <v>3.96</v>
      </c>
      <c r="H103" s="3">
        <v>3.3745612182204638</v>
      </c>
      <c r="I103" s="3">
        <v>2.8372922595172518</v>
      </c>
      <c r="J103" s="3">
        <v>2.6431649879251293</v>
      </c>
      <c r="K103" s="3">
        <v>2.2031079688499782</v>
      </c>
      <c r="L103" s="3">
        <v>1.6118648542462428</v>
      </c>
      <c r="M103" s="3">
        <v>1.5815074959805961</v>
      </c>
      <c r="N103" s="3">
        <v>1.2144575792351424</v>
      </c>
      <c r="O103" s="3">
        <v>0.57245537244714584</v>
      </c>
      <c r="P103" s="3">
        <v>0.25359831382365189</v>
      </c>
      <c r="Q103" s="3">
        <v>0</v>
      </c>
    </row>
    <row r="104" spans="1:17" x14ac:dyDescent="0.2">
      <c r="A104" s="2">
        <v>100</v>
      </c>
      <c r="B104" s="2">
        <f t="shared" ca="1" si="3"/>
        <v>-0.22455619972853932</v>
      </c>
      <c r="F104" s="4">
        <v>100</v>
      </c>
      <c r="G104" s="3">
        <v>3.96</v>
      </c>
      <c r="H104" s="3">
        <v>3.5628767422159329</v>
      </c>
      <c r="I104" s="3">
        <v>3.3129892622854542</v>
      </c>
      <c r="J104" s="3">
        <v>2.5028082832387644</v>
      </c>
      <c r="K104" s="3">
        <v>2.8087311881133274</v>
      </c>
      <c r="L104" s="3">
        <v>2.016477030145853</v>
      </c>
      <c r="M104" s="3">
        <v>1.504790823390284</v>
      </c>
      <c r="N104" s="3">
        <v>1.318820939019536</v>
      </c>
      <c r="O104" s="3">
        <v>0.68199435561591293</v>
      </c>
      <c r="P104" s="3">
        <v>0.52972029950718358</v>
      </c>
      <c r="Q104" s="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</v>
      </c>
    </row>
    <row r="2" spans="1:1" x14ac:dyDescent="0.3">
      <c r="A2" s="1" t="s">
        <v>52</v>
      </c>
    </row>
    <row r="3" spans="1:1" x14ac:dyDescent="0.3">
      <c r="A3" s="1" t="s">
        <v>53</v>
      </c>
    </row>
    <row r="4" spans="1:1" x14ac:dyDescent="0.3">
      <c r="A4" s="1" t="s">
        <v>54</v>
      </c>
    </row>
    <row r="5" spans="1:1" x14ac:dyDescent="0.3">
      <c r="A5" s="1" t="s">
        <v>55</v>
      </c>
    </row>
    <row r="6" spans="1:1" x14ac:dyDescent="0.3">
      <c r="A6" s="1" t="s">
        <v>56</v>
      </c>
    </row>
    <row r="7" spans="1:1" x14ac:dyDescent="0.3">
      <c r="A7" s="1" t="s">
        <v>192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C0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4" t="s">
        <v>42</v>
      </c>
      <c r="C2" s="13" t="s">
        <v>41</v>
      </c>
      <c r="D2" s="13" t="s">
        <v>40</v>
      </c>
      <c r="E2" s="13" t="s">
        <v>39</v>
      </c>
    </row>
    <row r="3" spans="2:5" x14ac:dyDescent="0.3">
      <c r="B3" s="1" t="s">
        <v>38</v>
      </c>
      <c r="C3" s="12">
        <f t="shared" ref="C3:C22" ca="1" si="0">RAND()</f>
        <v>0.9217553898934927</v>
      </c>
      <c r="D3" s="12">
        <f t="shared" ref="D3:D12" ca="1" si="1">C3+RAND()*(1-C3)</f>
        <v>0.98229407681843317</v>
      </c>
      <c r="E3" s="12"/>
    </row>
    <row r="4" spans="2:5" x14ac:dyDescent="0.3">
      <c r="B4" s="1" t="s">
        <v>38</v>
      </c>
      <c r="C4" s="12">
        <f t="shared" ca="1" si="0"/>
        <v>0.64826072752322061</v>
      </c>
      <c r="D4" s="12">
        <f t="shared" ca="1" si="1"/>
        <v>0.97138719584414823</v>
      </c>
      <c r="E4" s="12"/>
    </row>
    <row r="5" spans="2:5" x14ac:dyDescent="0.3">
      <c r="B5" s="1" t="s">
        <v>38</v>
      </c>
      <c r="C5" s="12">
        <f t="shared" ca="1" si="0"/>
        <v>0.8641974685157503</v>
      </c>
      <c r="D5" s="12">
        <f t="shared" ca="1" si="1"/>
        <v>0.96888906201404645</v>
      </c>
      <c r="E5" s="12"/>
    </row>
    <row r="6" spans="2:5" x14ac:dyDescent="0.3">
      <c r="B6" s="1" t="s">
        <v>38</v>
      </c>
      <c r="C6" s="12">
        <f t="shared" ca="1" si="0"/>
        <v>0.90293046806219157</v>
      </c>
      <c r="D6" s="12">
        <f t="shared" ca="1" si="1"/>
        <v>0.92095203987235352</v>
      </c>
      <c r="E6" s="12"/>
    </row>
    <row r="7" spans="2:5" x14ac:dyDescent="0.3">
      <c r="B7" s="1" t="s">
        <v>38</v>
      </c>
      <c r="C7" s="12">
        <f t="shared" ca="1" si="0"/>
        <v>0.75339409010807912</v>
      </c>
      <c r="D7" s="12">
        <f t="shared" ca="1" si="1"/>
        <v>0.83477119444886916</v>
      </c>
      <c r="E7" s="12"/>
    </row>
    <row r="8" spans="2:5" x14ac:dyDescent="0.3">
      <c r="B8" s="1" t="s">
        <v>38</v>
      </c>
      <c r="C8" s="12">
        <f t="shared" ca="1" si="0"/>
        <v>7.8900487345735515E-2</v>
      </c>
      <c r="D8" s="12">
        <f t="shared" ca="1" si="1"/>
        <v>0.65094559379500361</v>
      </c>
      <c r="E8" s="12"/>
    </row>
    <row r="9" spans="2:5" x14ac:dyDescent="0.3">
      <c r="B9" s="1" t="s">
        <v>38</v>
      </c>
      <c r="C9" s="12">
        <f t="shared" ca="1" si="0"/>
        <v>0.70187558450142895</v>
      </c>
      <c r="D9" s="12">
        <f t="shared" ca="1" si="1"/>
        <v>0.99784390119204525</v>
      </c>
      <c r="E9" s="12"/>
    </row>
    <row r="10" spans="2:5" x14ac:dyDescent="0.3">
      <c r="B10" s="1" t="s">
        <v>38</v>
      </c>
      <c r="C10" s="12">
        <f t="shared" ca="1" si="0"/>
        <v>0.31445390656552696</v>
      </c>
      <c r="D10" s="12">
        <f t="shared" ca="1" si="1"/>
        <v>0.80279654143281776</v>
      </c>
      <c r="E10" s="12"/>
    </row>
    <row r="11" spans="2:5" x14ac:dyDescent="0.3">
      <c r="B11" s="1" t="s">
        <v>38</v>
      </c>
      <c r="C11" s="12">
        <f t="shared" ca="1" si="0"/>
        <v>9.0588634437198001E-2</v>
      </c>
      <c r="D11" s="12">
        <f t="shared" ca="1" si="1"/>
        <v>0.67036246169826397</v>
      </c>
      <c r="E11" s="12"/>
    </row>
    <row r="12" spans="2:5" x14ac:dyDescent="0.3">
      <c r="B12" s="1" t="s">
        <v>38</v>
      </c>
      <c r="C12" s="12">
        <f t="shared" ca="1" si="0"/>
        <v>0.21212059162907693</v>
      </c>
      <c r="D12" s="12">
        <f t="shared" ca="1" si="1"/>
        <v>0.91899797749315115</v>
      </c>
      <c r="E12" s="12"/>
    </row>
    <row r="13" spans="2:5" x14ac:dyDescent="0.3">
      <c r="B13" s="1" t="s">
        <v>37</v>
      </c>
      <c r="C13" s="12">
        <f t="shared" ca="1" si="0"/>
        <v>0.21923720699601823</v>
      </c>
      <c r="D13" s="12"/>
      <c r="E13" s="12">
        <f t="shared" ref="E13:E22" ca="1" si="2">RAND()*C13</f>
        <v>9.3131709949941965E-2</v>
      </c>
    </row>
    <row r="14" spans="2:5" x14ac:dyDescent="0.3">
      <c r="B14" s="1" t="s">
        <v>37</v>
      </c>
      <c r="C14" s="12">
        <f t="shared" ca="1" si="0"/>
        <v>0.29917522993981505</v>
      </c>
      <c r="D14" s="12"/>
      <c r="E14" s="12">
        <f t="shared" ca="1" si="2"/>
        <v>0.25426550593068764</v>
      </c>
    </row>
    <row r="15" spans="2:5" x14ac:dyDescent="0.3">
      <c r="B15" s="1" t="s">
        <v>37</v>
      </c>
      <c r="C15" s="12">
        <f t="shared" ca="1" si="0"/>
        <v>0.48706631946853085</v>
      </c>
      <c r="D15" s="12"/>
      <c r="E15" s="12">
        <f t="shared" ca="1" si="2"/>
        <v>5.2066527649087445E-2</v>
      </c>
    </row>
    <row r="16" spans="2:5" x14ac:dyDescent="0.3">
      <c r="B16" s="1" t="s">
        <v>37</v>
      </c>
      <c r="C16" s="12">
        <f t="shared" ca="1" si="0"/>
        <v>0.13016858712860413</v>
      </c>
      <c r="D16" s="12"/>
      <c r="E16" s="12">
        <f t="shared" ca="1" si="2"/>
        <v>4.5248274163410353E-2</v>
      </c>
    </row>
    <row r="17" spans="2:5" x14ac:dyDescent="0.3">
      <c r="B17" s="1" t="s">
        <v>37</v>
      </c>
      <c r="C17" s="12">
        <f t="shared" ca="1" si="0"/>
        <v>0.20341106833412959</v>
      </c>
      <c r="D17" s="12"/>
      <c r="E17" s="12">
        <f t="shared" ca="1" si="2"/>
        <v>0.1532567073909602</v>
      </c>
    </row>
    <row r="18" spans="2:5" x14ac:dyDescent="0.3">
      <c r="B18" s="1" t="s">
        <v>37</v>
      </c>
      <c r="C18" s="12">
        <f t="shared" ca="1" si="0"/>
        <v>0.6061881621680808</v>
      </c>
      <c r="D18" s="12"/>
      <c r="E18" s="12">
        <f t="shared" ca="1" si="2"/>
        <v>0.40260248689444367</v>
      </c>
    </row>
    <row r="19" spans="2:5" x14ac:dyDescent="0.3">
      <c r="B19" s="1" t="s">
        <v>37</v>
      </c>
      <c r="C19" s="12">
        <f t="shared" ca="1" si="0"/>
        <v>0.14827393233881347</v>
      </c>
      <c r="D19" s="12"/>
      <c r="E19" s="12">
        <f t="shared" ca="1" si="2"/>
        <v>4.6478931990940914E-2</v>
      </c>
    </row>
    <row r="20" spans="2:5" x14ac:dyDescent="0.3">
      <c r="B20" s="1" t="s">
        <v>37</v>
      </c>
      <c r="C20" s="12">
        <f t="shared" ca="1" si="0"/>
        <v>0.78391240513484517</v>
      </c>
      <c r="D20" s="12"/>
      <c r="E20" s="12">
        <f t="shared" ca="1" si="2"/>
        <v>0.74199214733523089</v>
      </c>
    </row>
    <row r="21" spans="2:5" x14ac:dyDescent="0.3">
      <c r="B21" s="1" t="s">
        <v>37</v>
      </c>
      <c r="C21" s="12">
        <f t="shared" ca="1" si="0"/>
        <v>0.33666208733293002</v>
      </c>
      <c r="D21" s="12"/>
      <c r="E21" s="12">
        <f t="shared" ca="1" si="2"/>
        <v>0.21904756344283474</v>
      </c>
    </row>
    <row r="22" spans="2:5" x14ac:dyDescent="0.3">
      <c r="B22" s="1" t="s">
        <v>37</v>
      </c>
      <c r="C22" s="12">
        <f t="shared" ca="1" si="0"/>
        <v>0.33051028152571971</v>
      </c>
      <c r="D22" s="12"/>
      <c r="E22" s="12">
        <f t="shared" ca="1" si="2"/>
        <v>5.3774740069869459E-3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C0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</row>
    <row r="3" spans="2:6" x14ac:dyDescent="0.3">
      <c r="B3" s="1" t="s">
        <v>38</v>
      </c>
      <c r="C3" s="12">
        <f t="shared" ref="C3:C25" ca="1" si="0">RAND()</f>
        <v>0.51862110957950558</v>
      </c>
      <c r="D3" s="12">
        <f t="shared" ref="D3:D12" ca="1" si="1">C3+RAND()*(1-C3)</f>
        <v>0.91388462529133119</v>
      </c>
      <c r="E3" s="12"/>
    </row>
    <row r="4" spans="2:6" x14ac:dyDescent="0.3">
      <c r="B4" s="1" t="s">
        <v>38</v>
      </c>
      <c r="C4" s="12">
        <f t="shared" ca="1" si="0"/>
        <v>0.20944895424086041</v>
      </c>
      <c r="D4" s="12">
        <f t="shared" ca="1" si="1"/>
        <v>0.51845453690424237</v>
      </c>
      <c r="E4" s="12"/>
    </row>
    <row r="5" spans="2:6" x14ac:dyDescent="0.3">
      <c r="B5" s="1" t="s">
        <v>38</v>
      </c>
      <c r="C5" s="12">
        <f t="shared" ca="1" si="0"/>
        <v>0.48191507593557348</v>
      </c>
      <c r="D5" s="12">
        <f t="shared" ca="1" si="1"/>
        <v>0.72044287344309188</v>
      </c>
      <c r="E5" s="12"/>
    </row>
    <row r="6" spans="2:6" x14ac:dyDescent="0.3">
      <c r="B6" s="1" t="s">
        <v>38</v>
      </c>
      <c r="C6" s="12">
        <f t="shared" ca="1" si="0"/>
        <v>0.2080492087808905</v>
      </c>
      <c r="D6" s="12">
        <f t="shared" ca="1" si="1"/>
        <v>0.65164752428557549</v>
      </c>
      <c r="E6" s="12"/>
    </row>
    <row r="7" spans="2:6" x14ac:dyDescent="0.3">
      <c r="B7" s="1" t="s">
        <v>38</v>
      </c>
      <c r="C7" s="12">
        <f t="shared" ca="1" si="0"/>
        <v>1.5808959052793781E-2</v>
      </c>
      <c r="D7" s="12">
        <f t="shared" ca="1" si="1"/>
        <v>0.78380537704072162</v>
      </c>
      <c r="E7" s="12"/>
    </row>
    <row r="8" spans="2:6" x14ac:dyDescent="0.3">
      <c r="B8" s="1" t="s">
        <v>38</v>
      </c>
      <c r="C8" s="12">
        <f t="shared" ca="1" si="0"/>
        <v>0.49081122625472073</v>
      </c>
      <c r="D8" s="12">
        <f t="shared" ca="1" si="1"/>
        <v>0.82612082514292018</v>
      </c>
      <c r="E8" s="12"/>
    </row>
    <row r="9" spans="2:6" x14ac:dyDescent="0.3">
      <c r="B9" s="1" t="s">
        <v>38</v>
      </c>
      <c r="C9" s="12">
        <f t="shared" ca="1" si="0"/>
        <v>0.98790821722995292</v>
      </c>
      <c r="D9" s="12">
        <f t="shared" ca="1" si="1"/>
        <v>0.99105569368969115</v>
      </c>
      <c r="E9" s="12"/>
    </row>
    <row r="10" spans="2:6" x14ac:dyDescent="0.3">
      <c r="B10" s="1" t="s">
        <v>38</v>
      </c>
      <c r="C10" s="12">
        <f t="shared" ca="1" si="0"/>
        <v>0.64113100762208086</v>
      </c>
      <c r="D10" s="12">
        <f t="shared" ca="1" si="1"/>
        <v>0.88218483435328432</v>
      </c>
      <c r="E10" s="12"/>
    </row>
    <row r="11" spans="2:6" x14ac:dyDescent="0.3">
      <c r="B11" s="1" t="s">
        <v>38</v>
      </c>
      <c r="C11" s="12">
        <f t="shared" ca="1" si="0"/>
        <v>0.20181939557176121</v>
      </c>
      <c r="D11" s="12">
        <f t="shared" ca="1" si="1"/>
        <v>0.95452308416248222</v>
      </c>
      <c r="E11" s="12"/>
    </row>
    <row r="12" spans="2:6" x14ac:dyDescent="0.3">
      <c r="B12" s="1" t="s">
        <v>38</v>
      </c>
      <c r="C12" s="12">
        <f t="shared" ca="1" si="0"/>
        <v>0.74763533921723424</v>
      </c>
      <c r="D12" s="12">
        <f t="shared" ca="1" si="1"/>
        <v>0.81422580303555836</v>
      </c>
      <c r="E12" s="12"/>
    </row>
    <row r="13" spans="2:6" x14ac:dyDescent="0.3">
      <c r="B13" s="1" t="s">
        <v>37</v>
      </c>
      <c r="C13" s="12">
        <f t="shared" ca="1" si="0"/>
        <v>0.14790219812474192</v>
      </c>
      <c r="D13" s="12"/>
      <c r="E13" s="12">
        <f t="shared" ref="E13:E22" ca="1" si="2">RAND()*C13</f>
        <v>0.10120504475342645</v>
      </c>
    </row>
    <row r="14" spans="2:6" x14ac:dyDescent="0.3">
      <c r="B14" s="1" t="s">
        <v>37</v>
      </c>
      <c r="C14" s="12">
        <f t="shared" ca="1" si="0"/>
        <v>2.6718940802706315E-2</v>
      </c>
      <c r="D14" s="12"/>
      <c r="E14" s="12">
        <f t="shared" ca="1" si="2"/>
        <v>2.162435916762729E-2</v>
      </c>
    </row>
    <row r="15" spans="2:6" x14ac:dyDescent="0.3">
      <c r="B15" s="1" t="s">
        <v>37</v>
      </c>
      <c r="C15" s="12">
        <f t="shared" ca="1" si="0"/>
        <v>0.85957592102160452</v>
      </c>
      <c r="D15" s="12"/>
      <c r="E15" s="12">
        <f t="shared" ca="1" si="2"/>
        <v>0.51514838876512548</v>
      </c>
    </row>
    <row r="16" spans="2:6" x14ac:dyDescent="0.3">
      <c r="B16" s="1" t="s">
        <v>37</v>
      </c>
      <c r="C16" s="12">
        <f t="shared" ca="1" si="0"/>
        <v>0.31829137551847819</v>
      </c>
      <c r="D16" s="12"/>
      <c r="E16" s="12">
        <f t="shared" ca="1" si="2"/>
        <v>0.21464549968729388</v>
      </c>
    </row>
    <row r="17" spans="2:6" x14ac:dyDescent="0.3">
      <c r="B17" s="1" t="s">
        <v>37</v>
      </c>
      <c r="C17" s="12">
        <f t="shared" ca="1" si="0"/>
        <v>0.66489751491111759</v>
      </c>
      <c r="D17" s="12"/>
      <c r="E17" s="12">
        <f t="shared" ca="1" si="2"/>
        <v>0.51359126020051959</v>
      </c>
    </row>
    <row r="18" spans="2:6" x14ac:dyDescent="0.3">
      <c r="B18" s="1" t="s">
        <v>37</v>
      </c>
      <c r="C18" s="12">
        <f t="shared" ca="1" si="0"/>
        <v>0.68271270314260024</v>
      </c>
      <c r="D18" s="12"/>
      <c r="E18" s="12">
        <f t="shared" ca="1" si="2"/>
        <v>0.23138198555728318</v>
      </c>
    </row>
    <row r="19" spans="2:6" x14ac:dyDescent="0.3">
      <c r="B19" s="1" t="s">
        <v>37</v>
      </c>
      <c r="C19" s="12">
        <f t="shared" ca="1" si="0"/>
        <v>0.97127068688417617</v>
      </c>
      <c r="D19" s="12"/>
      <c r="E19" s="12">
        <f t="shared" ca="1" si="2"/>
        <v>0.20156867956954924</v>
      </c>
    </row>
    <row r="20" spans="2:6" x14ac:dyDescent="0.3">
      <c r="B20" s="1" t="s">
        <v>37</v>
      </c>
      <c r="C20" s="12">
        <f t="shared" ca="1" si="0"/>
        <v>0.57326420650373267</v>
      </c>
      <c r="D20" s="12"/>
      <c r="E20" s="12">
        <f t="shared" ca="1" si="2"/>
        <v>1.2266787891731627E-3</v>
      </c>
    </row>
    <row r="21" spans="2:6" x14ac:dyDescent="0.3">
      <c r="B21" s="1" t="s">
        <v>37</v>
      </c>
      <c r="C21" s="12">
        <f t="shared" ca="1" si="0"/>
        <v>0.65185168346797107</v>
      </c>
      <c r="D21" s="12"/>
      <c r="E21" s="12">
        <f t="shared" ca="1" si="2"/>
        <v>0.54232599472355369</v>
      </c>
    </row>
    <row r="22" spans="2:6" x14ac:dyDescent="0.3">
      <c r="B22" s="1" t="s">
        <v>37</v>
      </c>
      <c r="C22" s="12">
        <f t="shared" ca="1" si="0"/>
        <v>0.80494467002423342</v>
      </c>
      <c r="D22" s="12"/>
      <c r="E22" s="12">
        <f t="shared" ca="1" si="2"/>
        <v>0.13393333114060876</v>
      </c>
    </row>
    <row r="23" spans="2:6" x14ac:dyDescent="0.3">
      <c r="B23" s="1" t="s">
        <v>45</v>
      </c>
      <c r="C23" s="12">
        <f t="shared" ca="1" si="0"/>
        <v>0.50553563807698965</v>
      </c>
      <c r="F23" s="12">
        <f ca="1">RAND()</f>
        <v>0.89266550627041208</v>
      </c>
    </row>
    <row r="24" spans="2:6" x14ac:dyDescent="0.3">
      <c r="B24" s="1" t="s">
        <v>44</v>
      </c>
      <c r="C24" s="12">
        <f t="shared" ca="1" si="0"/>
        <v>0.95346712501162123</v>
      </c>
      <c r="F24" s="12">
        <f ca="1">RAND()</f>
        <v>0.92951714675467911</v>
      </c>
    </row>
    <row r="25" spans="2:6" x14ac:dyDescent="0.3">
      <c r="B25" s="1" t="s">
        <v>43</v>
      </c>
      <c r="C25" s="12">
        <f t="shared" ca="1" si="0"/>
        <v>8.0087928260186625E-2</v>
      </c>
      <c r="F25" s="12">
        <f ca="1">RAND()</f>
        <v>0.55633574078685033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4" t="s">
        <v>42</v>
      </c>
      <c r="C2" s="13" t="s">
        <v>41</v>
      </c>
      <c r="D2" s="13" t="s">
        <v>40</v>
      </c>
      <c r="E2" s="13" t="s">
        <v>39</v>
      </c>
      <c r="F2" s="1" t="s">
        <v>46</v>
      </c>
      <c r="G2" s="16" t="s">
        <v>49</v>
      </c>
      <c r="H2" s="16" t="s">
        <v>48</v>
      </c>
      <c r="I2" s="15" t="s">
        <v>47</v>
      </c>
    </row>
    <row r="3" spans="2:9" x14ac:dyDescent="0.3">
      <c r="B3" s="1" t="s">
        <v>38</v>
      </c>
      <c r="C3" s="12">
        <f t="shared" ref="C3:C25" ca="1" si="0">RAND()</f>
        <v>0.68420163989720573</v>
      </c>
      <c r="D3" s="12">
        <f t="shared" ref="D3:D12" ca="1" si="1">C3+RAND()*(1-C3)</f>
        <v>0.91317815223375165</v>
      </c>
      <c r="E3" s="12"/>
      <c r="G3" s="12">
        <f t="shared" ref="G3:G12" ca="1" si="2">SUMSQ($C3-$C$23,$D3-$F$23)</f>
        <v>0.79823824684510225</v>
      </c>
      <c r="H3" s="12">
        <f t="shared" ref="H3:H12" ca="1" si="3">SUMSQ($C3-$C$24,$D3-$F$24)</f>
        <v>0.42028327660324283</v>
      </c>
      <c r="I3" s="12">
        <f t="shared" ref="I3:I12" ca="1" si="4">SUMSQ($C3-$C$25,$D3-$F$25)</f>
        <v>0.29226544822510681</v>
      </c>
    </row>
    <row r="4" spans="2:9" x14ac:dyDescent="0.3">
      <c r="B4" s="1" t="s">
        <v>38</v>
      </c>
      <c r="C4" s="12">
        <f t="shared" ca="1" si="0"/>
        <v>0.99165621389197411</v>
      </c>
      <c r="D4" s="12">
        <f t="shared" ca="1" si="1"/>
        <v>0.99278646037191665</v>
      </c>
      <c r="E4" s="12"/>
      <c r="G4" s="12">
        <f t="shared" ca="1" si="2"/>
        <v>1.1594845977746131</v>
      </c>
      <c r="H4" s="12">
        <f t="shared" ca="1" si="3"/>
        <v>0.58771887806303202</v>
      </c>
      <c r="I4" s="12">
        <f t="shared" ca="1" si="4"/>
        <v>0.54765275763350096</v>
      </c>
    </row>
    <row r="5" spans="2:9" x14ac:dyDescent="0.3">
      <c r="B5" s="1" t="s">
        <v>38</v>
      </c>
      <c r="C5" s="12">
        <f t="shared" ca="1" si="0"/>
        <v>0.58924749392897435</v>
      </c>
      <c r="D5" s="12">
        <f t="shared" ca="1" si="1"/>
        <v>0.96513749758902856</v>
      </c>
      <c r="E5" s="12"/>
      <c r="G5" s="12">
        <f t="shared" ca="1" si="2"/>
        <v>0.8629204887481966</v>
      </c>
      <c r="H5" s="12">
        <f t="shared" ca="1" si="3"/>
        <v>0.51027720641455798</v>
      </c>
      <c r="I5" s="12">
        <f t="shared" ca="1" si="4"/>
        <v>0.33714549165055252</v>
      </c>
    </row>
    <row r="6" spans="2:9" x14ac:dyDescent="0.3">
      <c r="B6" s="1" t="s">
        <v>38</v>
      </c>
      <c r="C6" s="12">
        <f t="shared" ca="1" si="0"/>
        <v>0.9473357614742306</v>
      </c>
      <c r="D6" s="12">
        <f t="shared" ca="1" si="1"/>
        <v>0.96020023125230325</v>
      </c>
      <c r="E6" s="12"/>
      <c r="G6" s="12">
        <f t="shared" ca="1" si="2"/>
        <v>1.0557494741381377</v>
      </c>
      <c r="H6" s="12">
        <f t="shared" ca="1" si="3"/>
        <v>0.52144920746230006</v>
      </c>
      <c r="I6" s="12">
        <f t="shared" ca="1" si="4"/>
        <v>0.47365527398729862</v>
      </c>
    </row>
    <row r="7" spans="2:9" x14ac:dyDescent="0.3">
      <c r="B7" s="1" t="s">
        <v>38</v>
      </c>
      <c r="C7" s="12">
        <f t="shared" ca="1" si="0"/>
        <v>7.6217775142213284E-2</v>
      </c>
      <c r="D7" s="12">
        <f t="shared" ca="1" si="1"/>
        <v>0.13968612070908926</v>
      </c>
      <c r="E7" s="12"/>
      <c r="G7" s="12">
        <f t="shared" ca="1" si="2"/>
        <v>0.17776571888868167</v>
      </c>
      <c r="H7" s="12">
        <f t="shared" ca="1" si="3"/>
        <v>0.4610964056762985</v>
      </c>
      <c r="I7" s="12">
        <f t="shared" ca="1" si="4"/>
        <v>0.30363225476825895</v>
      </c>
    </row>
    <row r="8" spans="2:9" x14ac:dyDescent="0.3">
      <c r="B8" s="1" t="s">
        <v>38</v>
      </c>
      <c r="C8" s="12">
        <f t="shared" ca="1" si="0"/>
        <v>0.36740521109468927</v>
      </c>
      <c r="D8" s="12">
        <f t="shared" ca="1" si="1"/>
        <v>0.93833049693503179</v>
      </c>
      <c r="E8" s="12"/>
      <c r="G8" s="12">
        <f t="shared" ca="1" si="2"/>
        <v>0.8177010291357818</v>
      </c>
      <c r="H8" s="12">
        <f t="shared" ca="1" si="3"/>
        <v>0.59107589970541108</v>
      </c>
      <c r="I8" s="12">
        <f t="shared" ca="1" si="4"/>
        <v>0.34729901717489287</v>
      </c>
    </row>
    <row r="9" spans="2:9" x14ac:dyDescent="0.3">
      <c r="B9" s="1" t="s">
        <v>38</v>
      </c>
      <c r="C9" s="12">
        <f t="shared" ca="1" si="0"/>
        <v>0.43913157347043918</v>
      </c>
      <c r="D9" s="12">
        <f t="shared" ca="1" si="1"/>
        <v>0.77895318639899236</v>
      </c>
      <c r="E9" s="12"/>
      <c r="G9" s="12">
        <f t="shared" ca="1" si="2"/>
        <v>0.54544877695308513</v>
      </c>
      <c r="H9" s="12">
        <f t="shared" ca="1" si="3"/>
        <v>0.35391723496075544</v>
      </c>
      <c r="I9" s="12">
        <f t="shared" ca="1" si="4"/>
        <v>0.17239007069643483</v>
      </c>
    </row>
    <row r="10" spans="2:9" x14ac:dyDescent="0.3">
      <c r="B10" s="1" t="s">
        <v>38</v>
      </c>
      <c r="C10" s="12">
        <f t="shared" ca="1" si="0"/>
        <v>4.0558528549655248E-2</v>
      </c>
      <c r="D10" s="12">
        <f t="shared" ca="1" si="1"/>
        <v>0.46008129937139208</v>
      </c>
      <c r="E10" s="12"/>
      <c r="G10" s="12">
        <f t="shared" ca="1" si="2"/>
        <v>0.37358848561314084</v>
      </c>
      <c r="H10" s="12">
        <f t="shared" ca="1" si="3"/>
        <v>0.5306376122010904</v>
      </c>
      <c r="I10" s="12">
        <f t="shared" ca="1" si="4"/>
        <v>0.28567054112483065</v>
      </c>
    </row>
    <row r="11" spans="2:9" x14ac:dyDescent="0.3">
      <c r="B11" s="1" t="s">
        <v>38</v>
      </c>
      <c r="C11" s="12">
        <f t="shared" ca="1" si="0"/>
        <v>0.79938179244522189</v>
      </c>
      <c r="D11" s="12">
        <f t="shared" ca="1" si="1"/>
        <v>0.92388639882079127</v>
      </c>
      <c r="E11" s="12"/>
      <c r="G11" s="12">
        <f t="shared" ca="1" si="2"/>
        <v>0.8758561755164479</v>
      </c>
      <c r="H11" s="12">
        <f t="shared" ca="1" si="3"/>
        <v>0.43392140428833192</v>
      </c>
      <c r="I11" s="12">
        <f t="shared" ca="1" si="4"/>
        <v>0.34333519614995317</v>
      </c>
    </row>
    <row r="12" spans="2:9" x14ac:dyDescent="0.3">
      <c r="B12" s="1" t="s">
        <v>38</v>
      </c>
      <c r="C12" s="12">
        <f t="shared" ca="1" si="0"/>
        <v>0.66122805341473323</v>
      </c>
      <c r="D12" s="12">
        <f t="shared" ca="1" si="1"/>
        <v>0.89521321281273747</v>
      </c>
      <c r="E12" s="12"/>
      <c r="G12" s="12">
        <f t="shared" ca="1" si="2"/>
        <v>0.75869375089022828</v>
      </c>
      <c r="H12" s="12">
        <f t="shared" ca="1" si="3"/>
        <v>0.40064367210303192</v>
      </c>
      <c r="I12" s="12">
        <f t="shared" ca="1" si="4"/>
        <v>0.26887193988491082</v>
      </c>
    </row>
    <row r="13" spans="2:9" x14ac:dyDescent="0.3">
      <c r="B13" s="1" t="s">
        <v>37</v>
      </c>
      <c r="C13" s="12">
        <f t="shared" ca="1" si="0"/>
        <v>0.86544364577392041</v>
      </c>
      <c r="D13" s="12"/>
      <c r="E13" s="12">
        <f t="shared" ref="E13:E22" ca="1" si="5">RAND()*C13</f>
        <v>1.6748183432039359E-2</v>
      </c>
      <c r="G13" s="12">
        <f t="shared" ref="G13:G22" ca="1" si="6">SUMSQ(C13-$C$23,E13-$F$23)</f>
        <v>0.14434660363109128</v>
      </c>
      <c r="H13" s="12">
        <f t="shared" ref="H13:H22" ca="1" si="7">SUMSQ($C13-$C$24,$E13-$F$24)</f>
        <v>7.7876227671733717E-2</v>
      </c>
      <c r="I13" s="12">
        <f t="shared" ref="I13:I22" ca="1" si="8">SUMSQ($C13-$C$25,$E13-$F$25)</f>
        <v>0.22293493795534997</v>
      </c>
    </row>
    <row r="14" spans="2:9" x14ac:dyDescent="0.3">
      <c r="B14" s="1" t="s">
        <v>37</v>
      </c>
      <c r="C14" s="12">
        <f t="shared" ca="1" si="0"/>
        <v>0.2061110367255149</v>
      </c>
      <c r="D14" s="12"/>
      <c r="E14" s="12">
        <f t="shared" ca="1" si="5"/>
        <v>3.5973353129595383E-2</v>
      </c>
      <c r="G14" s="12">
        <f t="shared" ca="1" si="6"/>
        <v>7.8568459626393236E-2</v>
      </c>
      <c r="H14" s="12">
        <f t="shared" ca="1" si="7"/>
        <v>0.34200170106779471</v>
      </c>
      <c r="I14" s="12">
        <f t="shared" ca="1" si="8"/>
        <v>0.25390467059482513</v>
      </c>
    </row>
    <row r="15" spans="2:9" x14ac:dyDescent="0.3">
      <c r="B15" s="1" t="s">
        <v>37</v>
      </c>
      <c r="C15" s="12">
        <f t="shared" ca="1" si="0"/>
        <v>0.15427698499966336</v>
      </c>
      <c r="D15" s="12"/>
      <c r="E15" s="12">
        <f t="shared" ca="1" si="5"/>
        <v>8.7227134463666117E-2</v>
      </c>
      <c r="G15" s="12">
        <f t="shared" ca="1" si="6"/>
        <v>0.11232440008733441</v>
      </c>
      <c r="H15" s="12">
        <f t="shared" ca="1" si="7"/>
        <v>0.37924475718239953</v>
      </c>
      <c r="I15" s="12">
        <f t="shared" ca="1" si="8"/>
        <v>0.26115274084350343</v>
      </c>
    </row>
    <row r="16" spans="2:9" x14ac:dyDescent="0.3">
      <c r="B16" s="1" t="s">
        <v>37</v>
      </c>
      <c r="C16" s="12">
        <f t="shared" ca="1" si="0"/>
        <v>0.79728289963549437</v>
      </c>
      <c r="D16" s="12"/>
      <c r="E16" s="12">
        <f t="shared" ca="1" si="5"/>
        <v>0.40128021630849875</v>
      </c>
      <c r="G16" s="12">
        <f t="shared" ca="1" si="6"/>
        <v>0.22582057229489197</v>
      </c>
      <c r="H16" s="12">
        <f t="shared" ca="1" si="7"/>
        <v>2.0814030132921834E-2</v>
      </c>
      <c r="I16" s="12">
        <f t="shared" ca="1" si="8"/>
        <v>5.2057842418655707E-2</v>
      </c>
    </row>
    <row r="17" spans="2:9" x14ac:dyDescent="0.3">
      <c r="B17" s="1" t="s">
        <v>37</v>
      </c>
      <c r="C17" s="12">
        <f t="shared" ca="1" si="0"/>
        <v>0.8656879412532078</v>
      </c>
      <c r="D17" s="12"/>
      <c r="E17" s="12">
        <f t="shared" ca="1" si="5"/>
        <v>0.73439162841776662</v>
      </c>
      <c r="G17" s="12">
        <f t="shared" ca="1" si="6"/>
        <v>0.62341659318482656</v>
      </c>
      <c r="H17" s="12">
        <f t="shared" ca="1" si="7"/>
        <v>0.23295070051410646</v>
      </c>
      <c r="I17" s="12">
        <f t="shared" ca="1" si="8"/>
        <v>0.2097974900877882</v>
      </c>
    </row>
    <row r="18" spans="2:9" x14ac:dyDescent="0.3">
      <c r="B18" s="1" t="s">
        <v>37</v>
      </c>
      <c r="C18" s="12">
        <f t="shared" ca="1" si="0"/>
        <v>0.72105212555402798</v>
      </c>
      <c r="D18" s="12"/>
      <c r="E18" s="12">
        <f t="shared" ca="1" si="5"/>
        <v>0.14460742340900518</v>
      </c>
      <c r="G18" s="12">
        <f t="shared" ca="1" si="6"/>
        <v>6.5630634276022601E-2</v>
      </c>
      <c r="H18" s="12">
        <f t="shared" ca="1" si="7"/>
        <v>1.5605614475818114E-2</v>
      </c>
      <c r="I18" s="12">
        <f t="shared" ca="1" si="8"/>
        <v>8.0606754962254695E-2</v>
      </c>
    </row>
    <row r="19" spans="2:9" x14ac:dyDescent="0.3">
      <c r="B19" s="1" t="s">
        <v>37</v>
      </c>
      <c r="C19" s="12">
        <f t="shared" ca="1" si="0"/>
        <v>0.48436667155781965</v>
      </c>
      <c r="D19" s="12"/>
      <c r="E19" s="12">
        <f t="shared" ca="1" si="5"/>
        <v>0.2384074954080459</v>
      </c>
      <c r="G19" s="12">
        <f t="shared" ca="1" si="6"/>
        <v>3.8611639564510421E-2</v>
      </c>
      <c r="H19" s="12">
        <f t="shared" ca="1" si="7"/>
        <v>6.7797459079309758E-2</v>
      </c>
      <c r="I19" s="12">
        <f t="shared" ca="1" si="8"/>
        <v>2.872211744551979E-2</v>
      </c>
    </row>
    <row r="20" spans="2:9" x14ac:dyDescent="0.3">
      <c r="B20" s="1" t="s">
        <v>37</v>
      </c>
      <c r="C20" s="12">
        <f t="shared" ca="1" si="0"/>
        <v>2.0505351165736929E-2</v>
      </c>
      <c r="D20" s="12"/>
      <c r="E20" s="12">
        <f t="shared" ca="1" si="5"/>
        <v>1.6324601273248706E-2</v>
      </c>
      <c r="G20" s="12">
        <f t="shared" ca="1" si="6"/>
        <v>0.21766503544884047</v>
      </c>
      <c r="H20" s="12">
        <f t="shared" ca="1" si="7"/>
        <v>0.5852777523331697</v>
      </c>
      <c r="I20" s="12">
        <f t="shared" ca="1" si="8"/>
        <v>0.43742319008794062</v>
      </c>
    </row>
    <row r="21" spans="2:9" x14ac:dyDescent="0.3">
      <c r="B21" s="1" t="s">
        <v>37</v>
      </c>
      <c r="C21" s="12">
        <f t="shared" ca="1" si="0"/>
        <v>0.69416488856623471</v>
      </c>
      <c r="D21" s="12"/>
      <c r="E21" s="12">
        <f t="shared" ca="1" si="5"/>
        <v>7.3168173245083276E-2</v>
      </c>
      <c r="G21" s="12">
        <f t="shared" ca="1" si="6"/>
        <v>4.4164105606221145E-2</v>
      </c>
      <c r="H21" s="12">
        <f t="shared" ca="1" si="7"/>
        <v>4.018648753403295E-2</v>
      </c>
      <c r="I21" s="12">
        <f t="shared" ca="1" si="8"/>
        <v>0.11261694093421298</v>
      </c>
    </row>
    <row r="22" spans="2:9" x14ac:dyDescent="0.3">
      <c r="B22" s="1" t="s">
        <v>37</v>
      </c>
      <c r="C22" s="12">
        <f t="shared" ca="1" si="0"/>
        <v>6.4478212362608534E-2</v>
      </c>
      <c r="D22" s="12"/>
      <c r="E22" s="12">
        <f t="shared" ca="1" si="5"/>
        <v>4.171623926483127E-2</v>
      </c>
      <c r="G22" s="12">
        <f t="shared" ca="1" si="6"/>
        <v>0.17797468995322641</v>
      </c>
      <c r="H22" s="12">
        <f t="shared" ca="1" si="7"/>
        <v>0.51154734323495077</v>
      </c>
      <c r="I22" s="12">
        <f t="shared" ca="1" si="8"/>
        <v>0.37298727869753728</v>
      </c>
    </row>
    <row r="23" spans="2:9" x14ac:dyDescent="0.3">
      <c r="B23" s="1" t="s">
        <v>45</v>
      </c>
      <c r="C23" s="12">
        <f t="shared" ca="1" si="0"/>
        <v>0.48634862946166546</v>
      </c>
      <c r="F23" s="12">
        <f ca="1">RAND()</f>
        <v>4.1919044329164934E-2</v>
      </c>
    </row>
    <row r="24" spans="2:9" x14ac:dyDescent="0.3">
      <c r="B24" s="1" t="s">
        <v>44</v>
      </c>
      <c r="C24" s="12">
        <f t="shared" ca="1" si="0"/>
        <v>0.74310816705916971</v>
      </c>
      <c r="F24" s="12">
        <f ca="1">RAND()</f>
        <v>0.26756735797690245</v>
      </c>
    </row>
    <row r="25" spans="2:9" x14ac:dyDescent="0.3">
      <c r="B25" s="1" t="s">
        <v>43</v>
      </c>
      <c r="C25" s="12">
        <f t="shared" ca="1" si="0"/>
        <v>0.56971526376952131</v>
      </c>
      <c r="F25" s="12">
        <f ca="1">RAND()</f>
        <v>0.38482380342392386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C00000"/>
  </sheetPr>
  <dimension ref="B2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10" x14ac:dyDescent="0.25">
      <c r="B3" s="8" t="s">
        <v>38</v>
      </c>
      <c r="C3" s="18">
        <f t="shared" ref="C3:C22" ca="1" si="0">RAND()</f>
        <v>0.21432072332356422</v>
      </c>
      <c r="D3" s="18">
        <f t="shared" ref="D3:D12" ca="1" si="1">C3+RAND()*(1-C3)</f>
        <v>0.50419238897009078</v>
      </c>
      <c r="E3" s="18"/>
      <c r="H3" s="18">
        <f t="shared" ref="H3:H12" ca="1" si="2">SUMSQ($C3-$C$24,$D3-$F$24)</f>
        <v>0.2287682146697691</v>
      </c>
      <c r="I3" s="18">
        <f t="shared" ref="I3:I12" ca="1" si="3">SUMSQ($C3-$C$25,$D3-$F$25)</f>
        <v>0.46099424125188082</v>
      </c>
      <c r="J3" s="18">
        <f t="shared" ref="J3:J12" ca="1" si="4">SUMSQ($C3-$C$26,$D3-$F$26)</f>
        <v>0.24092929215830555</v>
      </c>
    </row>
    <row r="4" spans="2:10" x14ac:dyDescent="0.25">
      <c r="B4" s="8" t="s">
        <v>38</v>
      </c>
      <c r="C4" s="18">
        <f t="shared" ca="1" si="0"/>
        <v>0.87333457233215916</v>
      </c>
      <c r="D4" s="18">
        <f t="shared" ca="1" si="1"/>
        <v>0.98925653950339987</v>
      </c>
      <c r="E4" s="18"/>
      <c r="H4" s="18">
        <f t="shared" ca="1" si="2"/>
        <v>0.22465987419024419</v>
      </c>
      <c r="I4" s="18">
        <f t="shared" ca="1" si="3"/>
        <v>0.77552430046398479</v>
      </c>
      <c r="J4" s="18">
        <f t="shared" ca="1" si="4"/>
        <v>0.11907856959373796</v>
      </c>
    </row>
    <row r="5" spans="2:10" x14ac:dyDescent="0.25">
      <c r="B5" s="8" t="s">
        <v>38</v>
      </c>
      <c r="C5" s="18">
        <f t="shared" ca="1" si="0"/>
        <v>0.80996714926514879</v>
      </c>
      <c r="D5" s="18">
        <f t="shared" ca="1" si="1"/>
        <v>0.86784973748578587</v>
      </c>
      <c r="E5" s="18"/>
      <c r="H5" s="18">
        <f t="shared" ca="1" si="2"/>
        <v>0.17271091562488075</v>
      </c>
      <c r="I5" s="18">
        <f t="shared" ca="1" si="3"/>
        <v>0.56887113527361355</v>
      </c>
      <c r="J5" s="18">
        <f t="shared" ca="1" si="4"/>
        <v>6.5621106459583411E-2</v>
      </c>
    </row>
    <row r="6" spans="2:10" x14ac:dyDescent="0.25">
      <c r="B6" s="8" t="s">
        <v>38</v>
      </c>
      <c r="C6" s="18">
        <f t="shared" ca="1" si="0"/>
        <v>0.10205028126618809</v>
      </c>
      <c r="D6" s="18">
        <f t="shared" ca="1" si="1"/>
        <v>0.66220953817620243</v>
      </c>
      <c r="E6" s="18"/>
      <c r="H6" s="18">
        <f t="shared" ca="1" si="2"/>
        <v>0.1692633071919501</v>
      </c>
      <c r="I6" s="18">
        <f t="shared" ca="1" si="3"/>
        <v>0.74654477283356746</v>
      </c>
      <c r="J6" s="18">
        <f t="shared" ca="1" si="4"/>
        <v>0.24278005188882928</v>
      </c>
    </row>
    <row r="7" spans="2:10" x14ac:dyDescent="0.25">
      <c r="B7" s="8" t="s">
        <v>38</v>
      </c>
      <c r="C7" s="18">
        <f t="shared" ca="1" si="0"/>
        <v>0.56835509168213294</v>
      </c>
      <c r="D7" s="18">
        <f t="shared" ca="1" si="1"/>
        <v>0.88712971731893986</v>
      </c>
      <c r="E7" s="18"/>
      <c r="H7" s="18">
        <f t="shared" ca="1" si="2"/>
        <v>3.1120150863143278E-2</v>
      </c>
      <c r="I7" s="18">
        <f t="shared" ca="1" si="3"/>
        <v>0.63755489059774673</v>
      </c>
      <c r="J7" s="18">
        <f t="shared" ca="1" si="4"/>
        <v>1.0238626565171724E-3</v>
      </c>
    </row>
    <row r="8" spans="2:10" x14ac:dyDescent="0.25">
      <c r="B8" s="8" t="s">
        <v>38</v>
      </c>
      <c r="C8" s="18">
        <f t="shared" ca="1" si="0"/>
        <v>0.587609180980044</v>
      </c>
      <c r="D8" s="18">
        <f t="shared" ca="1" si="1"/>
        <v>0.62318483853264472</v>
      </c>
      <c r="E8" s="18"/>
      <c r="H8" s="18">
        <f t="shared" ca="1" si="2"/>
        <v>0.13778938650166048</v>
      </c>
      <c r="I8" s="18">
        <f t="shared" ca="1" si="3"/>
        <v>0.29202782682914702</v>
      </c>
      <c r="J8" s="18">
        <f t="shared" ca="1" si="4"/>
        <v>5.6527293456307907E-2</v>
      </c>
    </row>
    <row r="9" spans="2:10" x14ac:dyDescent="0.25">
      <c r="B9" s="8" t="s">
        <v>38</v>
      </c>
      <c r="C9" s="18">
        <f t="shared" ca="1" si="0"/>
        <v>0.65304445145585965</v>
      </c>
      <c r="D9" s="18">
        <f t="shared" ca="1" si="1"/>
        <v>0.74072546871084977</v>
      </c>
      <c r="E9" s="18"/>
      <c r="H9" s="18">
        <f t="shared" ca="1" si="2"/>
        <v>0.10474552191365838</v>
      </c>
      <c r="I9" s="18">
        <f t="shared" ca="1" si="3"/>
        <v>0.40574683015324486</v>
      </c>
      <c r="J9" s="18">
        <f t="shared" ca="1" si="4"/>
        <v>2.3697848798320591E-2</v>
      </c>
    </row>
    <row r="10" spans="2:10" x14ac:dyDescent="0.25">
      <c r="B10" s="8" t="s">
        <v>38</v>
      </c>
      <c r="C10" s="18">
        <f t="shared" ca="1" si="0"/>
        <v>0.36437847340908081</v>
      </c>
      <c r="D10" s="18">
        <f t="shared" ca="1" si="1"/>
        <v>0.96457662462278759</v>
      </c>
      <c r="E10" s="18"/>
      <c r="H10" s="18">
        <f t="shared" ca="1" si="2"/>
        <v>1.7859384720310359E-3</v>
      </c>
      <c r="I10" s="18">
        <f t="shared" ca="1" si="3"/>
        <v>0.88724660989300974</v>
      </c>
      <c r="J10" s="18">
        <f t="shared" ca="1" si="4"/>
        <v>4.718704327486957E-2</v>
      </c>
    </row>
    <row r="11" spans="2:10" x14ac:dyDescent="0.25">
      <c r="B11" s="8" t="s">
        <v>38</v>
      </c>
      <c r="C11" s="18">
        <f t="shared" ca="1" si="0"/>
        <v>0.63582662051700933</v>
      </c>
      <c r="D11" s="18">
        <f t="shared" ca="1" si="1"/>
        <v>0.92054712697955077</v>
      </c>
      <c r="E11" s="18"/>
      <c r="H11" s="18">
        <f t="shared" ca="1" si="2"/>
        <v>5.5483144754046712E-2</v>
      </c>
      <c r="I11" s="18">
        <f t="shared" ca="1" si="3"/>
        <v>0.66758450919587142</v>
      </c>
      <c r="J11" s="18">
        <f t="shared" ca="1" si="4"/>
        <v>1.0544443120487709E-2</v>
      </c>
    </row>
    <row r="12" spans="2:10" x14ac:dyDescent="0.25">
      <c r="B12" s="8" t="s">
        <v>38</v>
      </c>
      <c r="C12" s="18">
        <f t="shared" ca="1" si="0"/>
        <v>0.64884660199463562</v>
      </c>
      <c r="D12" s="18">
        <f t="shared" ca="1" si="1"/>
        <v>0.95809586851362194</v>
      </c>
      <c r="E12" s="18"/>
      <c r="H12" s="18">
        <f t="shared" ca="1" si="2"/>
        <v>6.1377359504760337E-2</v>
      </c>
      <c r="I12" s="18">
        <f t="shared" ca="1" si="3"/>
        <v>0.72617972835514455</v>
      </c>
      <c r="J12" s="18">
        <f t="shared" ca="1" si="4"/>
        <v>1.8911414526387216E-2</v>
      </c>
    </row>
    <row r="13" spans="2:10" x14ac:dyDescent="0.25">
      <c r="B13" s="8" t="s">
        <v>37</v>
      </c>
      <c r="C13" s="18">
        <f t="shared" ca="1" si="0"/>
        <v>0.74637542907860943</v>
      </c>
      <c r="D13" s="18"/>
      <c r="E13" s="18">
        <f t="shared" ref="E13:E22" ca="1" si="5">RAND()*C13</f>
        <v>0.50538754148684184</v>
      </c>
      <c r="H13" s="18">
        <f t="shared" ref="H13:H22" ca="1" si="6">SUMSQ(C13-$C$24,E13-$F$24)</f>
        <v>0.31163783656602789</v>
      </c>
      <c r="I13" s="18">
        <f t="shared" ref="I13:I22" ca="1" si="7">SUMSQ($C13-$C$25,$E13-$F$25)</f>
        <v>0.15325303419847455</v>
      </c>
      <c r="J13" s="18">
        <f t="shared" ref="J13:J22" ca="1" si="8">SUMSQ($C13-$C$26,$E13-$F$26)</f>
        <v>0.16174200182990031</v>
      </c>
    </row>
    <row r="14" spans="2:10" x14ac:dyDescent="0.25">
      <c r="B14" s="8" t="s">
        <v>37</v>
      </c>
      <c r="C14" s="18">
        <f t="shared" ca="1" si="0"/>
        <v>4.9198061659890158E-2</v>
      </c>
      <c r="D14" s="18"/>
      <c r="E14" s="18">
        <f t="shared" ca="1" si="5"/>
        <v>3.8955502830892064E-3</v>
      </c>
      <c r="H14" s="18">
        <f t="shared" ca="1" si="6"/>
        <v>1.0085586989492679</v>
      </c>
      <c r="I14" s="18">
        <f t="shared" ca="1" si="7"/>
        <v>0.53243541323810595</v>
      </c>
      <c r="J14" s="18">
        <f t="shared" ca="1" si="8"/>
        <v>0.98522499305104494</v>
      </c>
    </row>
    <row r="15" spans="2:10" x14ac:dyDescent="0.25">
      <c r="B15" s="8" t="s">
        <v>37</v>
      </c>
      <c r="C15" s="18">
        <f t="shared" ca="1" si="0"/>
        <v>6.4910538285116393E-2</v>
      </c>
      <c r="D15" s="18"/>
      <c r="E15" s="18">
        <f t="shared" ca="1" si="5"/>
        <v>1.8028055121414123E-2</v>
      </c>
      <c r="H15" s="18">
        <f t="shared" ca="1" si="6"/>
        <v>0.9713528099879668</v>
      </c>
      <c r="I15" s="18">
        <f t="shared" ca="1" si="7"/>
        <v>0.50708697660809954</v>
      </c>
      <c r="J15" s="18">
        <f t="shared" ca="1" si="8"/>
        <v>0.94565241816254919</v>
      </c>
    </row>
    <row r="16" spans="2:10" x14ac:dyDescent="0.25">
      <c r="B16" s="8" t="s">
        <v>37</v>
      </c>
      <c r="C16" s="18">
        <f t="shared" ca="1" si="0"/>
        <v>0.50682280489739573</v>
      </c>
      <c r="D16" s="18"/>
      <c r="E16" s="18">
        <f t="shared" ca="1" si="5"/>
        <v>0.24855721863312583</v>
      </c>
      <c r="H16" s="18">
        <f t="shared" ca="1" si="6"/>
        <v>0.4952231341862211</v>
      </c>
      <c r="I16" s="18">
        <f t="shared" ca="1" si="7"/>
        <v>8.7416940824060818E-2</v>
      </c>
      <c r="J16" s="18">
        <f t="shared" ca="1" si="8"/>
        <v>0.37431128305655648</v>
      </c>
    </row>
    <row r="17" spans="2:27" x14ac:dyDescent="0.25">
      <c r="B17" s="8" t="s">
        <v>37</v>
      </c>
      <c r="C17" s="18">
        <f t="shared" ca="1" si="0"/>
        <v>5.5552573213457079E-2</v>
      </c>
      <c r="D17" s="18"/>
      <c r="E17" s="18">
        <f t="shared" ca="1" si="5"/>
        <v>4.6371403873040028E-3</v>
      </c>
      <c r="H17" s="18">
        <f t="shared" ca="1" si="6"/>
        <v>1.0027275595514011</v>
      </c>
      <c r="I17" s="18">
        <f t="shared" ca="1" si="7"/>
        <v>0.5231459800778181</v>
      </c>
      <c r="J17" s="18">
        <f t="shared" ca="1" si="8"/>
        <v>0.97758316235111598</v>
      </c>
    </row>
    <row r="18" spans="2:27" x14ac:dyDescent="0.25">
      <c r="B18" s="8" t="s">
        <v>37</v>
      </c>
      <c r="C18" s="18">
        <f t="shared" ca="1" si="0"/>
        <v>0.2590786798020871</v>
      </c>
      <c r="D18" s="18"/>
      <c r="E18" s="18">
        <f t="shared" ca="1" si="5"/>
        <v>0.21462934152408764</v>
      </c>
      <c r="H18" s="18">
        <f t="shared" ca="1" si="6"/>
        <v>0.55277061372824199</v>
      </c>
      <c r="I18" s="18">
        <f t="shared" ca="1" si="7"/>
        <v>0.27147079110720457</v>
      </c>
      <c r="J18" s="18">
        <f t="shared" ca="1" si="8"/>
        <v>0.50159174573781529</v>
      </c>
    </row>
    <row r="19" spans="2:27" x14ac:dyDescent="0.25">
      <c r="B19" s="8" t="s">
        <v>37</v>
      </c>
      <c r="C19" s="18">
        <f t="shared" ca="1" si="0"/>
        <v>2.807279360439896E-3</v>
      </c>
      <c r="D19" s="18"/>
      <c r="E19" s="18">
        <f t="shared" ca="1" si="5"/>
        <v>2.5596854320079549E-3</v>
      </c>
      <c r="H19" s="18">
        <f t="shared" ca="1" si="6"/>
        <v>1.0459108413644838</v>
      </c>
      <c r="I19" s="18">
        <f t="shared" ca="1" si="7"/>
        <v>0.60180179124052369</v>
      </c>
      <c r="J19" s="18">
        <f t="shared" ca="1" si="8"/>
        <v>1.0364958050717195</v>
      </c>
    </row>
    <row r="20" spans="2:27" x14ac:dyDescent="0.25">
      <c r="B20" s="8" t="s">
        <v>37</v>
      </c>
      <c r="C20" s="18">
        <f t="shared" ca="1" si="0"/>
        <v>0.21887091459061303</v>
      </c>
      <c r="D20" s="18"/>
      <c r="E20" s="18">
        <f t="shared" ca="1" si="5"/>
        <v>6.6229696566646699E-3</v>
      </c>
      <c r="H20" s="18">
        <f t="shared" ca="1" si="6"/>
        <v>0.9126783649146557</v>
      </c>
      <c r="I20" s="18">
        <f t="shared" ca="1" si="7"/>
        <v>0.31588225374421641</v>
      </c>
      <c r="J20" s="18">
        <f t="shared" ca="1" si="8"/>
        <v>0.83806715503497553</v>
      </c>
    </row>
    <row r="21" spans="2:27" x14ac:dyDescent="0.25">
      <c r="B21" s="8" t="s">
        <v>37</v>
      </c>
      <c r="C21" s="18">
        <f t="shared" ca="1" si="0"/>
        <v>0.23232382440176813</v>
      </c>
      <c r="D21" s="18"/>
      <c r="E21" s="18">
        <f t="shared" ca="1" si="5"/>
        <v>0.14984646257381265</v>
      </c>
      <c r="H21" s="18">
        <f t="shared" ca="1" si="6"/>
        <v>0.65985004722414187</v>
      </c>
      <c r="I21" s="18">
        <f t="shared" ca="1" si="7"/>
        <v>0.29079173395196473</v>
      </c>
      <c r="J21" s="18">
        <f t="shared" ca="1" si="8"/>
        <v>0.60571370953982573</v>
      </c>
    </row>
    <row r="22" spans="2:27" x14ac:dyDescent="0.25">
      <c r="B22" s="8" t="s">
        <v>37</v>
      </c>
      <c r="C22" s="18">
        <f t="shared" ca="1" si="0"/>
        <v>0.98488641300882263</v>
      </c>
      <c r="D22" s="18"/>
      <c r="E22" s="18">
        <f t="shared" ca="1" si="5"/>
        <v>0.14133580587717678</v>
      </c>
      <c r="H22" s="18">
        <f t="shared" ca="1" si="6"/>
        <v>0.98518959377647608</v>
      </c>
      <c r="I22" s="18">
        <f t="shared" ca="1" si="7"/>
        <v>4.6705679751628697E-2</v>
      </c>
      <c r="J22" s="18">
        <f t="shared" ca="1" si="8"/>
        <v>0.70008197412190742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0.40148372051827774</v>
      </c>
      <c r="F24" s="18">
        <f ca="1">RAND()</f>
        <v>0.94434943725042986</v>
      </c>
      <c r="G24" s="20" t="s">
        <v>49</v>
      </c>
      <c r="H24" s="17" t="str">
        <f t="shared" ref="H24:AA24" ca="1" si="9">OFFSET($B$2,MATCH(SMALL($H$3:$H$22,H$27),$H$3:$H$22,0),0)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Blue</v>
      </c>
      <c r="M24" s="17" t="str">
        <f t="shared" ca="1" si="9"/>
        <v>Blue</v>
      </c>
      <c r="N24" s="17" t="str">
        <f t="shared" ca="1" si="9"/>
        <v>Blue</v>
      </c>
      <c r="O24" s="17" t="str">
        <f t="shared" ca="1" si="9"/>
        <v>Blue</v>
      </c>
      <c r="P24" s="17" t="str">
        <f t="shared" ca="1" si="9"/>
        <v>Blue</v>
      </c>
      <c r="Q24" s="17" t="str">
        <f t="shared" ca="1" si="9"/>
        <v>Blue</v>
      </c>
      <c r="R24" s="17" t="str">
        <f t="shared" ca="1" si="9"/>
        <v>Orange</v>
      </c>
      <c r="S24" s="17" t="str">
        <f t="shared" ca="1" si="9"/>
        <v>Orange</v>
      </c>
      <c r="T24" s="17" t="str">
        <f t="shared" ca="1" si="9"/>
        <v>Orange</v>
      </c>
      <c r="U24" s="17" t="str">
        <f t="shared" ca="1" si="9"/>
        <v>Orange</v>
      </c>
      <c r="V24" s="17" t="str">
        <f t="shared" ca="1" si="9"/>
        <v>Orange</v>
      </c>
      <c r="W24" s="17" t="str">
        <f t="shared" ca="1" si="9"/>
        <v>Orange</v>
      </c>
      <c r="X24" s="17" t="str">
        <f t="shared" ca="1" si="9"/>
        <v>Orange</v>
      </c>
      <c r="Y24" s="17" t="str">
        <f t="shared" ca="1" si="9"/>
        <v>Orange</v>
      </c>
      <c r="Z24" s="17" t="str">
        <f t="shared" ca="1" si="9"/>
        <v>Orange</v>
      </c>
      <c r="AA24" s="17" t="str">
        <f t="shared" ca="1" si="9"/>
        <v>Orange</v>
      </c>
    </row>
    <row r="25" spans="2:27" x14ac:dyDescent="0.25">
      <c r="B25" s="8" t="s">
        <v>44</v>
      </c>
      <c r="C25" s="18">
        <f ca="1">RAND()</f>
        <v>0.77042516190536425</v>
      </c>
      <c r="F25" s="18">
        <f ca="1">RAND()</f>
        <v>0.11465151224275449</v>
      </c>
      <c r="G25" s="19" t="s">
        <v>48</v>
      </c>
      <c r="H25" s="17" t="str">
        <f t="shared" ref="H25:Q25" ca="1" si="10">OFFSET($B$2,MATCH(SMALL($I$3:$I$22,H$27),$I$3:$I$22,0),0)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Orange</v>
      </c>
      <c r="M25" s="17" t="str">
        <f t="shared" ca="1" si="10"/>
        <v>Blue</v>
      </c>
      <c r="N25" s="17" t="str">
        <f t="shared" ca="1" si="10"/>
        <v>Orange</v>
      </c>
      <c r="O25" s="17" t="str">
        <f t="shared" ca="1" si="10"/>
        <v>Blue</v>
      </c>
      <c r="P25" s="17" t="str">
        <f t="shared" ca="1" si="10"/>
        <v>Blue</v>
      </c>
      <c r="Q25" s="17" t="str">
        <f t="shared" ca="1" si="10"/>
        <v>Orange</v>
      </c>
      <c r="R25" s="17" t="str">
        <f t="shared" ref="R25:AA25" ca="1" si="11">OFFSET($B$2,MATCH(SMALL($I$3:$I$22,R$27),$I$3:$I$22,0),0)</f>
        <v>Orange</v>
      </c>
      <c r="S25" s="17" t="str">
        <f t="shared" ca="1" si="11"/>
        <v>Orange</v>
      </c>
      <c r="T25" s="17" t="str">
        <f t="shared" ca="1" si="11"/>
        <v>Blue</v>
      </c>
      <c r="U25" s="17" t="str">
        <f t="shared" ca="1" si="11"/>
        <v>Orange</v>
      </c>
      <c r="V25" s="17" t="str">
        <f t="shared" ca="1" si="11"/>
        <v>Blue</v>
      </c>
      <c r="W25" s="17" t="str">
        <f t="shared" ca="1" si="11"/>
        <v>Blue</v>
      </c>
      <c r="X25" s="17" t="str">
        <f t="shared" ca="1" si="11"/>
        <v>Blue</v>
      </c>
      <c r="Y25" s="17" t="str">
        <f t="shared" ca="1" si="11"/>
        <v>Blue</v>
      </c>
      <c r="Z25" s="17" t="str">
        <f t="shared" ca="1" si="11"/>
        <v>Blue</v>
      </c>
      <c r="AA25" s="17" t="str">
        <f t="shared" ca="1" si="11"/>
        <v>Blue</v>
      </c>
    </row>
    <row r="26" spans="2:27" x14ac:dyDescent="0.25">
      <c r="B26" s="8" t="s">
        <v>43</v>
      </c>
      <c r="C26" s="18">
        <f ca="1">RAND()</f>
        <v>0.55396992419819269</v>
      </c>
      <c r="F26" s="18">
        <f ca="1">RAND()</f>
        <v>0.85854773675467244</v>
      </c>
      <c r="G26" s="16" t="s">
        <v>47</v>
      </c>
      <c r="H26" s="17" t="str">
        <f ca="1">OFFSET($B$2,MATCH(SMALL($J$3:$J$22,H$27),$J$3:$J$22,0),0)</f>
        <v>Blue</v>
      </c>
      <c r="I26" s="17" t="str">
        <f t="shared" ref="I26:AA26" ca="1" si="12">OFFSET($B$2,MATCH(SMALL($J$3:$J$22,I$27),$J$3:$J$22,0),0)</f>
        <v>Blue</v>
      </c>
      <c r="J26" s="17" t="str">
        <f t="shared" ca="1" si="12"/>
        <v>Blue</v>
      </c>
      <c r="K26" s="17" t="str">
        <f t="shared" ca="1" si="12"/>
        <v>Blue</v>
      </c>
      <c r="L26" s="17" t="str">
        <f t="shared" ca="1" si="12"/>
        <v>Blue</v>
      </c>
      <c r="M26" s="17" t="str">
        <f t="shared" ca="1" si="12"/>
        <v>Blue</v>
      </c>
      <c r="N26" s="17" t="str">
        <f t="shared" ca="1" si="12"/>
        <v>Blue</v>
      </c>
      <c r="O26" s="17" t="str">
        <f t="shared" ca="1" si="12"/>
        <v>Blue</v>
      </c>
      <c r="P26" s="17" t="str">
        <f t="shared" ca="1" si="12"/>
        <v>Orange</v>
      </c>
      <c r="Q26" s="17" t="str">
        <f t="shared" ca="1" si="12"/>
        <v>Blue</v>
      </c>
      <c r="R26" s="17" t="str">
        <f t="shared" ca="1" si="12"/>
        <v>Blue</v>
      </c>
      <c r="S26" s="17" t="str">
        <f t="shared" ca="1" si="12"/>
        <v>Orange</v>
      </c>
      <c r="T26" s="17" t="str">
        <f t="shared" ca="1" si="12"/>
        <v>Orange</v>
      </c>
      <c r="U26" s="17" t="str">
        <f t="shared" ca="1" si="12"/>
        <v>Orange</v>
      </c>
      <c r="V26" s="17" t="str">
        <f t="shared" ca="1" si="12"/>
        <v>Orange</v>
      </c>
      <c r="W26" s="17" t="str">
        <f t="shared" ca="1" si="12"/>
        <v>Orange</v>
      </c>
      <c r="X26" s="17" t="str">
        <f t="shared" ca="1" si="12"/>
        <v>Orange</v>
      </c>
      <c r="Y26" s="17" t="str">
        <f t="shared" ca="1" si="12"/>
        <v>Orange</v>
      </c>
      <c r="Z26" s="17" t="str">
        <f t="shared" ca="1" si="12"/>
        <v>Orange</v>
      </c>
      <c r="AA26" s="17" t="str">
        <f t="shared" ca="1" si="12"/>
        <v>Orange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C0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28" x14ac:dyDescent="0.25">
      <c r="B3" s="8" t="s">
        <v>38</v>
      </c>
      <c r="C3" s="18">
        <f t="shared" ref="C3:C22" ca="1" si="0">RAND()</f>
        <v>0.42967386144216668</v>
      </c>
      <c r="D3" s="18">
        <f t="shared" ref="D3:D12" ca="1" si="1">C3+RAND()*(1-C3)</f>
        <v>0.4319008916465451</v>
      </c>
      <c r="E3" s="18"/>
      <c r="H3" s="18">
        <f t="shared" ref="H3:H12" ca="1" si="2">SUMSQ($C3-$C$24,$D3-$F$24)</f>
        <v>0.13112698857641392</v>
      </c>
      <c r="I3" s="18">
        <f t="shared" ref="I3:I12" ca="1" si="3">SUMSQ($C3-$C$25,$D3-$F$25)</f>
        <v>9.2911878159696287E-2</v>
      </c>
      <c r="J3" s="18">
        <f t="shared" ref="J3:J12" ca="1" si="4">SUMSQ($C3-$C$26,$D3-$F$26)</f>
        <v>0.16843681627506257</v>
      </c>
      <c r="AB3" s="19" t="s">
        <v>50</v>
      </c>
    </row>
    <row r="4" spans="2:28" x14ac:dyDescent="0.25">
      <c r="B4" s="8" t="s">
        <v>38</v>
      </c>
      <c r="C4" s="18">
        <f t="shared" ca="1" si="0"/>
        <v>0.19275706073523502</v>
      </c>
      <c r="D4" s="18">
        <f t="shared" ca="1" si="1"/>
        <v>0.97672908821146276</v>
      </c>
      <c r="E4" s="18"/>
      <c r="H4" s="18">
        <f t="shared" ca="1" si="2"/>
        <v>5.4317909773287765E-2</v>
      </c>
      <c r="I4" s="18">
        <f t="shared" ca="1" si="3"/>
        <v>0.80583693978646498</v>
      </c>
      <c r="J4" s="18">
        <f t="shared" ca="1" si="4"/>
        <v>0.17927285761001679</v>
      </c>
      <c r="AB4" s="23">
        <v>6</v>
      </c>
    </row>
    <row r="5" spans="2:28" x14ac:dyDescent="0.25">
      <c r="B5" s="8" t="s">
        <v>38</v>
      </c>
      <c r="C5" s="18">
        <f t="shared" ca="1" si="0"/>
        <v>0.64143260923510503</v>
      </c>
      <c r="D5" s="18">
        <f t="shared" ca="1" si="1"/>
        <v>0.8101630227474691</v>
      </c>
      <c r="E5" s="18"/>
      <c r="H5" s="18">
        <f t="shared" ca="1" si="2"/>
        <v>0.11721045052837364</v>
      </c>
      <c r="I5" s="18">
        <f t="shared" ca="1" si="3"/>
        <v>0.46314432437128722</v>
      </c>
      <c r="J5" s="18">
        <f t="shared" ca="1" si="4"/>
        <v>0.40704301051724867</v>
      </c>
    </row>
    <row r="6" spans="2:28" x14ac:dyDescent="0.25">
      <c r="B6" s="8" t="s">
        <v>38</v>
      </c>
      <c r="C6" s="18">
        <f t="shared" ca="1" si="0"/>
        <v>0.88553504413455253</v>
      </c>
      <c r="D6" s="18">
        <f t="shared" ca="1" si="1"/>
        <v>0.95271915158228937</v>
      </c>
      <c r="E6" s="18"/>
      <c r="H6" s="18">
        <f t="shared" ca="1" si="2"/>
        <v>0.37443781659126268</v>
      </c>
      <c r="I6" s="18">
        <f t="shared" ca="1" si="3"/>
        <v>0.79346801674089917</v>
      </c>
      <c r="J6" s="18">
        <f t="shared" ca="1" si="4"/>
        <v>0.84313756986466903</v>
      </c>
    </row>
    <row r="7" spans="2:28" x14ac:dyDescent="0.25">
      <c r="B7" s="8" t="s">
        <v>38</v>
      </c>
      <c r="C7" s="18">
        <f t="shared" ca="1" si="0"/>
        <v>0.14686743992571583</v>
      </c>
      <c r="D7" s="18">
        <f t="shared" ca="1" si="1"/>
        <v>0.96026484632771392</v>
      </c>
      <c r="E7" s="18"/>
      <c r="H7" s="18">
        <f t="shared" ca="1" si="2"/>
        <v>5.9873711028284954E-2</v>
      </c>
      <c r="I7" s="18">
        <f t="shared" ca="1" si="3"/>
        <v>0.81067158025296471</v>
      </c>
      <c r="J7" s="18">
        <f t="shared" ca="1" si="4"/>
        <v>0.15515500426809919</v>
      </c>
    </row>
    <row r="8" spans="2:28" x14ac:dyDescent="0.25">
      <c r="B8" s="8" t="s">
        <v>38</v>
      </c>
      <c r="C8" s="18">
        <f t="shared" ca="1" si="0"/>
        <v>0.31882042080443196</v>
      </c>
      <c r="D8" s="18">
        <f t="shared" ca="1" si="1"/>
        <v>0.40000587852789904</v>
      </c>
      <c r="E8" s="18"/>
      <c r="H8" s="18">
        <f t="shared" ca="1" si="2"/>
        <v>0.13758883698212873</v>
      </c>
      <c r="I8" s="18">
        <f t="shared" ca="1" si="3"/>
        <v>0.10755495012784944</v>
      </c>
      <c r="J8" s="18">
        <f t="shared" ca="1" si="4"/>
        <v>0.10622946438711216</v>
      </c>
    </row>
    <row r="9" spans="2:28" x14ac:dyDescent="0.25">
      <c r="B9" s="8" t="s">
        <v>38</v>
      </c>
      <c r="C9" s="18">
        <f t="shared" ca="1" si="0"/>
        <v>0.76504948189540611</v>
      </c>
      <c r="D9" s="18">
        <f t="shared" ca="1" si="1"/>
        <v>0.78874258679073717</v>
      </c>
      <c r="E9" s="18"/>
      <c r="H9" s="18">
        <f t="shared" ca="1" si="2"/>
        <v>0.21532604880291265</v>
      </c>
      <c r="I9" s="18">
        <f t="shared" ca="1" si="3"/>
        <v>0.48034364879776115</v>
      </c>
      <c r="J9" s="18">
        <f t="shared" ca="1" si="4"/>
        <v>0.5599424494046451</v>
      </c>
    </row>
    <row r="10" spans="2:28" x14ac:dyDescent="0.25">
      <c r="B10" s="8" t="s">
        <v>38</v>
      </c>
      <c r="C10" s="18">
        <f t="shared" ca="1" si="0"/>
        <v>0.17128061680499895</v>
      </c>
      <c r="D10" s="18">
        <f t="shared" ca="1" si="1"/>
        <v>0.68751730418280466</v>
      </c>
      <c r="E10" s="18"/>
      <c r="H10" s="18">
        <f t="shared" ca="1" si="2"/>
        <v>2.3814800520127331E-2</v>
      </c>
      <c r="I10" s="18">
        <f t="shared" ca="1" si="3"/>
        <v>0.42035503227945564</v>
      </c>
      <c r="J10" s="18">
        <f t="shared" ca="1" si="4"/>
        <v>2.7236001802052958E-2</v>
      </c>
    </row>
    <row r="11" spans="2:28" x14ac:dyDescent="0.25">
      <c r="B11" s="8" t="s">
        <v>38</v>
      </c>
      <c r="C11" s="18">
        <f t="shared" ca="1" si="0"/>
        <v>0.55818128703118142</v>
      </c>
      <c r="D11" s="18">
        <f t="shared" ca="1" si="1"/>
        <v>0.99120905965460637</v>
      </c>
      <c r="E11" s="18"/>
      <c r="H11" s="18">
        <f t="shared" ca="1" si="2"/>
        <v>0.1146509631051737</v>
      </c>
      <c r="I11" s="18">
        <f t="shared" ca="1" si="3"/>
        <v>0.72498666961898861</v>
      </c>
      <c r="J11" s="18">
        <f t="shared" ca="1" si="4"/>
        <v>0.43130323194094822</v>
      </c>
    </row>
    <row r="12" spans="2:28" x14ac:dyDescent="0.25">
      <c r="B12" s="8" t="s">
        <v>38</v>
      </c>
      <c r="C12" s="18">
        <f t="shared" ca="1" si="0"/>
        <v>8.8601840504400897E-2</v>
      </c>
      <c r="D12" s="18">
        <f t="shared" ca="1" si="1"/>
        <v>0.95354468627949895</v>
      </c>
      <c r="E12" s="18"/>
      <c r="H12" s="18">
        <f t="shared" ca="1" si="2"/>
        <v>7.8768521429779276E-2</v>
      </c>
      <c r="I12" s="18">
        <f t="shared" ca="1" si="3"/>
        <v>0.84652012449217906</v>
      </c>
      <c r="J12" s="18">
        <f t="shared" ca="1" si="4"/>
        <v>0.14179746985713876</v>
      </c>
    </row>
    <row r="13" spans="2:28" x14ac:dyDescent="0.25">
      <c r="B13" s="8" t="s">
        <v>37</v>
      </c>
      <c r="C13" s="18">
        <f t="shared" ca="1" si="0"/>
        <v>0.26551606773799119</v>
      </c>
      <c r="D13" s="18"/>
      <c r="E13" s="18">
        <f t="shared" ref="E13:E22" ca="1" si="5">RAND()*C13</f>
        <v>6.6188491598164298E-2</v>
      </c>
      <c r="H13" s="18">
        <f t="shared" ref="H13:H22" ca="1" si="6">SUMSQ(C13-$C$24,E13-$F$24)</f>
        <v>0.49737590064846066</v>
      </c>
      <c r="I13" s="18">
        <f t="shared" ref="I13:I22" ca="1" si="7">SUMSQ($C13-$C$25,$E13-$F$25)</f>
        <v>7.0054863428260436E-2</v>
      </c>
      <c r="J13" s="18">
        <f t="shared" ref="J13:J22" ca="1" si="8">SUMSQ($C13-$C$26,$E13-$F$26)</f>
        <v>0.31121157973522351</v>
      </c>
    </row>
    <row r="14" spans="2:28" x14ac:dyDescent="0.25">
      <c r="B14" s="8" t="s">
        <v>37</v>
      </c>
      <c r="C14" s="18">
        <f t="shared" ca="1" si="0"/>
        <v>0.94299893426662029</v>
      </c>
      <c r="D14" s="18"/>
      <c r="E14" s="18">
        <f t="shared" ca="1" si="5"/>
        <v>0.70626972329454085</v>
      </c>
      <c r="H14" s="18">
        <f t="shared" ca="1" si="6"/>
        <v>0.41581022848208921</v>
      </c>
      <c r="I14" s="18">
        <f t="shared" ca="1" si="7"/>
        <v>0.49929392796914207</v>
      </c>
      <c r="J14" s="18">
        <f t="shared" ca="1" si="8"/>
        <v>0.81954335671346379</v>
      </c>
    </row>
    <row r="15" spans="2:28" x14ac:dyDescent="0.25">
      <c r="B15" s="8" t="s">
        <v>37</v>
      </c>
      <c r="C15" s="18">
        <f t="shared" ca="1" si="0"/>
        <v>0.6601570285657018</v>
      </c>
      <c r="D15" s="18"/>
      <c r="E15" s="18">
        <f t="shared" ca="1" si="5"/>
        <v>1.7937209741005114E-2</v>
      </c>
      <c r="H15" s="18">
        <f t="shared" ca="1" si="6"/>
        <v>0.69511318042275172</v>
      </c>
      <c r="I15" s="18">
        <f t="shared" ca="1" si="7"/>
        <v>3.4833607034711805E-2</v>
      </c>
      <c r="J15" s="18">
        <f t="shared" ca="1" si="8"/>
        <v>0.69154217814008256</v>
      </c>
    </row>
    <row r="16" spans="2:28" x14ac:dyDescent="0.25">
      <c r="B16" s="8" t="s">
        <v>37</v>
      </c>
      <c r="C16" s="18">
        <f t="shared" ca="1" si="0"/>
        <v>0.51165900763545102</v>
      </c>
      <c r="D16" s="18"/>
      <c r="E16" s="18">
        <f t="shared" ca="1" si="5"/>
        <v>0.50882861800979096</v>
      </c>
      <c r="H16" s="18">
        <f t="shared" ca="1" si="6"/>
        <v>0.11270447569795687</v>
      </c>
      <c r="I16" s="18">
        <f t="shared" ca="1" si="7"/>
        <v>0.13563475424093852</v>
      </c>
      <c r="J16" s="18">
        <f t="shared" ca="1" si="8"/>
        <v>0.22119719715901942</v>
      </c>
    </row>
    <row r="17" spans="2:27" x14ac:dyDescent="0.25">
      <c r="B17" s="8" t="s">
        <v>37</v>
      </c>
      <c r="C17" s="18">
        <f t="shared" ca="1" si="0"/>
        <v>0.68233846152038147</v>
      </c>
      <c r="D17" s="18"/>
      <c r="E17" s="18">
        <f t="shared" ca="1" si="5"/>
        <v>0.22695173129233914</v>
      </c>
      <c r="H17" s="18">
        <f t="shared" ca="1" si="6"/>
        <v>0.44060527969354002</v>
      </c>
      <c r="I17" s="18">
        <f t="shared" ca="1" si="7"/>
        <v>3.3964588058348566E-2</v>
      </c>
      <c r="J17" s="18">
        <f t="shared" ca="1" si="8"/>
        <v>0.52826021286209324</v>
      </c>
    </row>
    <row r="18" spans="2:27" x14ac:dyDescent="0.25">
      <c r="B18" s="8" t="s">
        <v>37</v>
      </c>
      <c r="C18" s="18">
        <f t="shared" ca="1" si="0"/>
        <v>0.38173493165425187</v>
      </c>
      <c r="D18" s="18"/>
      <c r="E18" s="18">
        <f t="shared" ca="1" si="5"/>
        <v>0.24249040854392825</v>
      </c>
      <c r="H18" s="18">
        <f t="shared" ca="1" si="6"/>
        <v>0.28527837267427614</v>
      </c>
      <c r="I18" s="18">
        <f t="shared" ca="1" si="7"/>
        <v>2.9358839555004512E-2</v>
      </c>
      <c r="J18" s="18">
        <f t="shared" ca="1" si="8"/>
        <v>0.22573693621595883</v>
      </c>
    </row>
    <row r="19" spans="2:27" x14ac:dyDescent="0.25">
      <c r="B19" s="8" t="s">
        <v>37</v>
      </c>
      <c r="C19" s="18">
        <f t="shared" ca="1" si="0"/>
        <v>0.68240231769628501</v>
      </c>
      <c r="D19" s="18"/>
      <c r="E19" s="18">
        <f t="shared" ca="1" si="5"/>
        <v>0.57999875801021883</v>
      </c>
      <c r="H19" s="18">
        <f t="shared" ca="1" si="6"/>
        <v>0.18148222185256224</v>
      </c>
      <c r="I19" s="18">
        <f t="shared" ca="1" si="7"/>
        <v>0.21958159683087783</v>
      </c>
      <c r="J19" s="18">
        <f t="shared" ca="1" si="8"/>
        <v>0.40417277646666866</v>
      </c>
    </row>
    <row r="20" spans="2:27" x14ac:dyDescent="0.25">
      <c r="B20" s="8" t="s">
        <v>37</v>
      </c>
      <c r="C20" s="18">
        <f t="shared" ca="1" si="0"/>
        <v>1.8109839241862047E-2</v>
      </c>
      <c r="D20" s="18"/>
      <c r="E20" s="18">
        <f t="shared" ca="1" si="5"/>
        <v>1.2826806899280254E-2</v>
      </c>
      <c r="H20" s="18">
        <f t="shared" ca="1" si="6"/>
        <v>0.65434575546337648</v>
      </c>
      <c r="I20" s="18">
        <f t="shared" ca="1" si="7"/>
        <v>0.26773673095777994</v>
      </c>
      <c r="J20" s="18">
        <f t="shared" ca="1" si="8"/>
        <v>0.32173859664262999</v>
      </c>
    </row>
    <row r="21" spans="2:27" x14ac:dyDescent="0.25">
      <c r="B21" s="8" t="s">
        <v>37</v>
      </c>
      <c r="C21" s="18">
        <f t="shared" ca="1" si="0"/>
        <v>0.54699183610816626</v>
      </c>
      <c r="D21" s="18"/>
      <c r="E21" s="18">
        <f t="shared" ca="1" si="5"/>
        <v>8.8998226510258807E-2</v>
      </c>
      <c r="H21" s="18">
        <f t="shared" ca="1" si="6"/>
        <v>0.52480657843459333</v>
      </c>
      <c r="I21" s="18">
        <f t="shared" ca="1" si="7"/>
        <v>3.4205831077810675E-3</v>
      </c>
      <c r="J21" s="18">
        <f t="shared" ca="1" si="8"/>
        <v>0.49075846189434019</v>
      </c>
    </row>
    <row r="22" spans="2:27" x14ac:dyDescent="0.25">
      <c r="B22" s="8" t="s">
        <v>37</v>
      </c>
      <c r="C22" s="18">
        <f t="shared" ca="1" si="0"/>
        <v>0.91322089940272877</v>
      </c>
      <c r="D22" s="18"/>
      <c r="E22" s="18">
        <f t="shared" ca="1" si="5"/>
        <v>0.66796394589378716</v>
      </c>
      <c r="H22" s="18">
        <f t="shared" ca="1" si="6"/>
        <v>0.38487438706832156</v>
      </c>
      <c r="I22" s="18">
        <f t="shared" ca="1" si="7"/>
        <v>0.43309193452290345</v>
      </c>
      <c r="J22" s="18">
        <f t="shared" ca="1" si="8"/>
        <v>0.75878960927746586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45</v>
      </c>
      <c r="C24" s="18">
        <f ca="1">RAND()</f>
        <v>0.30137484193128994</v>
      </c>
      <c r="F24" s="18">
        <f ca="1">RAND()</f>
        <v>0.77052509363004418</v>
      </c>
      <c r="G24" s="20" t="s">
        <v>49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>Orange</v>
      </c>
      <c r="M24" s="17" t="str">
        <f t="shared" ca="1" si="9"/>
        <v>Blue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44</v>
      </c>
      <c r="C25" s="18">
        <f ca="1">RAND()</f>
        <v>0.51951194200339079</v>
      </c>
      <c r="F25" s="18">
        <f ca="1">RAND()</f>
        <v>0.14062611168650241</v>
      </c>
      <c r="G25" s="19" t="s">
        <v>48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>Orange</v>
      </c>
      <c r="M25" s="17" t="str">
        <f t="shared" ca="1" si="10"/>
        <v>Blue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43</v>
      </c>
      <c r="C26" s="18">
        <f ca="1">RAND()</f>
        <v>4.665682882009603E-2</v>
      </c>
      <c r="F26" s="18">
        <f ca="1">RAND()</f>
        <v>0.57932805670253551</v>
      </c>
      <c r="G26" s="16" t="s">
        <v>47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C0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42</v>
      </c>
      <c r="C2" s="21" t="s">
        <v>41</v>
      </c>
      <c r="D2" s="21" t="s">
        <v>40</v>
      </c>
      <c r="E2" s="21" t="s">
        <v>39</v>
      </c>
      <c r="F2" s="8" t="s">
        <v>46</v>
      </c>
      <c r="H2" s="16" t="s">
        <v>49</v>
      </c>
      <c r="I2" s="16" t="s">
        <v>48</v>
      </c>
      <c r="J2" s="15" t="s">
        <v>47</v>
      </c>
    </row>
    <row r="3" spans="2:28" x14ac:dyDescent="0.25">
      <c r="B3" s="8" t="s">
        <v>38</v>
      </c>
      <c r="C3" s="18">
        <f t="shared" ref="C3:C22" ca="1" si="0">RAND()</f>
        <v>0.85595475534564269</v>
      </c>
      <c r="D3" s="18">
        <f t="shared" ref="D3:D12" ca="1" si="1">C3+RAND()*(1-C3)</f>
        <v>0.89188226917962743</v>
      </c>
      <c r="E3" s="18"/>
      <c r="H3" s="18">
        <f t="shared" ref="H3:H12" ca="1" si="2">SUMSQ($C3-$C$24,$D3-$F$24)</f>
        <v>0.94205179354297619</v>
      </c>
      <c r="I3" s="18">
        <f t="shared" ref="I3:I12" ca="1" si="3">SUMSQ($C3-$C$25,$D3-$F$25)</f>
        <v>0.70595465219302711</v>
      </c>
      <c r="J3" s="18">
        <f t="shared" ref="J3:J12" ca="1" si="4">SUMSQ($C3-$C$26,$D3-$F$26)</f>
        <v>8.5583834718632214E-3</v>
      </c>
      <c r="AB3" s="19" t="s">
        <v>50</v>
      </c>
    </row>
    <row r="4" spans="2:28" x14ac:dyDescent="0.25">
      <c r="B4" s="8" t="s">
        <v>38</v>
      </c>
      <c r="C4" s="18">
        <f t="shared" ca="1" si="0"/>
        <v>0.59826733704699087</v>
      </c>
      <c r="D4" s="18">
        <f t="shared" ca="1" si="1"/>
        <v>0.80065308426981607</v>
      </c>
      <c r="E4" s="18"/>
      <c r="H4" s="18">
        <f t="shared" ca="1" si="2"/>
        <v>0.61864337064812513</v>
      </c>
      <c r="I4" s="18">
        <f t="shared" ca="1" si="3"/>
        <v>0.32833031873966667</v>
      </c>
      <c r="J4" s="18">
        <f t="shared" ca="1" si="4"/>
        <v>8.5065915091614125E-2</v>
      </c>
      <c r="AB4" s="23">
        <v>4</v>
      </c>
    </row>
    <row r="5" spans="2:28" x14ac:dyDescent="0.25">
      <c r="B5" s="8" t="s">
        <v>38</v>
      </c>
      <c r="C5" s="18">
        <f t="shared" ca="1" si="0"/>
        <v>0.1607088939275868</v>
      </c>
      <c r="D5" s="18">
        <f t="shared" ca="1" si="1"/>
        <v>0.897016099250879</v>
      </c>
      <c r="E5" s="18"/>
      <c r="H5" s="18">
        <f t="shared" ca="1" si="2"/>
        <v>0.77738614498473346</v>
      </c>
      <c r="I5" s="18">
        <f t="shared" ca="1" si="3"/>
        <v>3.8393400118479748E-2</v>
      </c>
      <c r="J5" s="18">
        <f t="shared" ca="1" si="4"/>
        <v>0.45241420624273082</v>
      </c>
    </row>
    <row r="6" spans="2:28" x14ac:dyDescent="0.25">
      <c r="B6" s="8" t="s">
        <v>38</v>
      </c>
      <c r="C6" s="18">
        <f t="shared" ca="1" si="0"/>
        <v>0.91291744520474638</v>
      </c>
      <c r="D6" s="18">
        <f t="shared" ca="1" si="1"/>
        <v>0.99579907161015258</v>
      </c>
      <c r="E6" s="18"/>
      <c r="H6" s="18">
        <f t="shared" ca="1" si="2"/>
        <v>1.1861304057747364</v>
      </c>
      <c r="I6" s="18">
        <f t="shared" ca="1" si="3"/>
        <v>0.84315457171006436</v>
      </c>
      <c r="J6" s="18">
        <f t="shared" ca="1" si="4"/>
        <v>7.4274671383230857E-3</v>
      </c>
    </row>
    <row r="7" spans="2:28" x14ac:dyDescent="0.25">
      <c r="B7" s="8" t="s">
        <v>38</v>
      </c>
      <c r="C7" s="18">
        <f t="shared" ca="1" si="0"/>
        <v>0.74839952740641291</v>
      </c>
      <c r="D7" s="18">
        <f t="shared" ca="1" si="1"/>
        <v>0.83003992879388688</v>
      </c>
      <c r="E7" s="18"/>
      <c r="H7" s="18">
        <f t="shared" ca="1" si="2"/>
        <v>0.75096808135926829</v>
      </c>
      <c r="I7" s="18">
        <f t="shared" ca="1" si="3"/>
        <v>0.52596995311296946</v>
      </c>
      <c r="J7" s="18">
        <f t="shared" ca="1" si="4"/>
        <v>2.8888773538774788E-2</v>
      </c>
    </row>
    <row r="8" spans="2:28" x14ac:dyDescent="0.25">
      <c r="B8" s="8" t="s">
        <v>38</v>
      </c>
      <c r="C8" s="18">
        <f t="shared" ca="1" si="0"/>
        <v>0.9634025691733975</v>
      </c>
      <c r="D8" s="18">
        <f t="shared" ca="1" si="1"/>
        <v>0.96812891258566813</v>
      </c>
      <c r="E8" s="18"/>
      <c r="H8" s="18">
        <f t="shared" ca="1" si="2"/>
        <v>1.1902124786013482</v>
      </c>
      <c r="I8" s="18">
        <f t="shared" ca="1" si="3"/>
        <v>0.92249632173568796</v>
      </c>
      <c r="J8" s="18">
        <f t="shared" ca="1" si="4"/>
        <v>1.843110314644434E-2</v>
      </c>
    </row>
    <row r="9" spans="2:28" x14ac:dyDescent="0.25">
      <c r="B9" s="8" t="s">
        <v>38</v>
      </c>
      <c r="C9" s="18">
        <f t="shared" ca="1" si="0"/>
        <v>0.94922957864701862</v>
      </c>
      <c r="D9" s="18">
        <f t="shared" ca="1" si="1"/>
        <v>0.95719337318916131</v>
      </c>
      <c r="E9" s="18"/>
      <c r="H9" s="18">
        <f t="shared" ca="1" si="2"/>
        <v>1.1538862729078587</v>
      </c>
      <c r="I9" s="18">
        <f t="shared" ca="1" si="3"/>
        <v>0.89158719022723398</v>
      </c>
      <c r="J9" s="18">
        <f t="shared" ca="1" si="4"/>
        <v>1.5180662311162076E-2</v>
      </c>
    </row>
    <row r="10" spans="2:28" x14ac:dyDescent="0.25">
      <c r="B10" s="8" t="s">
        <v>38</v>
      </c>
      <c r="C10" s="18">
        <f t="shared" ca="1" si="0"/>
        <v>0.9624467828231974</v>
      </c>
      <c r="D10" s="18">
        <f t="shared" ca="1" si="1"/>
        <v>0.99203140923041977</v>
      </c>
      <c r="E10" s="18"/>
      <c r="H10" s="18">
        <f t="shared" ca="1" si="2"/>
        <v>1.2338559953047257</v>
      </c>
      <c r="I10" s="18">
        <f t="shared" ca="1" si="3"/>
        <v>0.93153467626154873</v>
      </c>
      <c r="J10" s="18">
        <f t="shared" ca="1" si="4"/>
        <v>1.8171441660422772E-2</v>
      </c>
    </row>
    <row r="11" spans="2:28" x14ac:dyDescent="0.25">
      <c r="B11" s="8" t="s">
        <v>38</v>
      </c>
      <c r="C11" s="18">
        <f t="shared" ca="1" si="0"/>
        <v>0.69917891517821429</v>
      </c>
      <c r="D11" s="18">
        <f t="shared" ca="1" si="1"/>
        <v>0.76611420087365545</v>
      </c>
      <c r="E11" s="18"/>
      <c r="H11" s="18">
        <f t="shared" ca="1" si="2"/>
        <v>0.62106823540642042</v>
      </c>
      <c r="I11" s="18">
        <f t="shared" ca="1" si="3"/>
        <v>0.45171009865509559</v>
      </c>
      <c r="J11" s="18">
        <f t="shared" ca="1" si="4"/>
        <v>6.2439272574411127E-2</v>
      </c>
    </row>
    <row r="12" spans="2:28" x14ac:dyDescent="0.25">
      <c r="B12" s="8" t="s">
        <v>38</v>
      </c>
      <c r="C12" s="18">
        <f t="shared" ca="1" si="0"/>
        <v>0.63708595681348512</v>
      </c>
      <c r="D12" s="18">
        <f t="shared" ca="1" si="1"/>
        <v>0.99359326027231565</v>
      </c>
      <c r="E12" s="18"/>
      <c r="H12" s="18">
        <f t="shared" ca="1" si="2"/>
        <v>0.96603037186113494</v>
      </c>
      <c r="I12" s="18">
        <f t="shared" ca="1" si="3"/>
        <v>0.42955734570633708</v>
      </c>
      <c r="J12" s="18">
        <f t="shared" ca="1" si="4"/>
        <v>3.6695414747200339E-2</v>
      </c>
    </row>
    <row r="13" spans="2:28" x14ac:dyDescent="0.25">
      <c r="B13" s="8" t="s">
        <v>37</v>
      </c>
      <c r="C13" s="18">
        <f t="shared" ca="1" si="0"/>
        <v>7.6952598289588447E-2</v>
      </c>
      <c r="D13" s="18"/>
      <c r="E13" s="18">
        <f t="shared" ref="E13:E22" ca="1" si="5">RAND()*C13</f>
        <v>4.3854763010396744E-2</v>
      </c>
      <c r="H13" s="18">
        <f t="shared" ref="H13:H22" ca="1" si="6">SUMSQ(C13-$C$24,E13-$F$24)</f>
        <v>9.4050487568388866E-2</v>
      </c>
      <c r="I13" s="18">
        <f t="shared" ref="I13:I22" ca="1" si="7">SUMSQ($C13-$C$25,$E13-$F$25)</f>
        <v>0.5062082741073034</v>
      </c>
      <c r="J13" s="18">
        <f t="shared" ref="J13:J22" ca="1" si="8">SUMSQ($C13-$C$26,$E13-$F$26)</f>
        <v>1.4409301746492025</v>
      </c>
    </row>
    <row r="14" spans="2:28" x14ac:dyDescent="0.25">
      <c r="B14" s="8" t="s">
        <v>37</v>
      </c>
      <c r="C14" s="18">
        <f t="shared" ca="1" si="0"/>
        <v>2.1097972260745834E-2</v>
      </c>
      <c r="D14" s="18"/>
      <c r="E14" s="18">
        <f t="shared" ca="1" si="5"/>
        <v>3.080250576075496E-3</v>
      </c>
      <c r="H14" s="18">
        <f t="shared" ca="1" si="6"/>
        <v>0.13310054461723436</v>
      </c>
      <c r="I14" s="18">
        <f t="shared" ca="1" si="7"/>
        <v>0.56331167089415202</v>
      </c>
      <c r="J14" s="18">
        <f t="shared" ca="1" si="8"/>
        <v>1.6059824665053908</v>
      </c>
    </row>
    <row r="15" spans="2:28" x14ac:dyDescent="0.25">
      <c r="B15" s="8" t="s">
        <v>37</v>
      </c>
      <c r="C15" s="18">
        <f t="shared" ca="1" si="0"/>
        <v>0.39606510687113616</v>
      </c>
      <c r="D15" s="18"/>
      <c r="E15" s="18">
        <f t="shared" ca="1" si="5"/>
        <v>0.35211469328633943</v>
      </c>
      <c r="H15" s="18">
        <f t="shared" ca="1" si="6"/>
        <v>9.5109641574085746E-2</v>
      </c>
      <c r="I15" s="18">
        <f t="shared" ca="1" si="7"/>
        <v>0.29724774704007006</v>
      </c>
      <c r="J15" s="18">
        <f t="shared" ca="1" si="8"/>
        <v>0.58111168235195998</v>
      </c>
    </row>
    <row r="16" spans="2:28" x14ac:dyDescent="0.25">
      <c r="B16" s="8" t="s">
        <v>37</v>
      </c>
      <c r="C16" s="18">
        <f t="shared" ca="1" si="0"/>
        <v>0.90218078535324098</v>
      </c>
      <c r="D16" s="18"/>
      <c r="E16" s="18">
        <f t="shared" ca="1" si="5"/>
        <v>0.38277300500755052</v>
      </c>
      <c r="H16" s="18">
        <f t="shared" ca="1" si="6"/>
        <v>0.38368534734760573</v>
      </c>
      <c r="I16" s="18">
        <f t="shared" ca="1" si="7"/>
        <v>0.9030983847640115</v>
      </c>
      <c r="J16" s="18">
        <f t="shared" ca="1" si="8"/>
        <v>0.36230488980151793</v>
      </c>
    </row>
    <row r="17" spans="2:28" x14ac:dyDescent="0.25">
      <c r="B17" s="8" t="s">
        <v>37</v>
      </c>
      <c r="C17" s="18">
        <f t="shared" ca="1" si="0"/>
        <v>0.70832647699749751</v>
      </c>
      <c r="D17" s="18"/>
      <c r="E17" s="18">
        <f t="shared" ca="1" si="5"/>
        <v>0.65318024399922792</v>
      </c>
      <c r="H17" s="18">
        <f t="shared" ca="1" si="6"/>
        <v>0.47656913816191115</v>
      </c>
      <c r="I17" s="18">
        <f t="shared" ca="1" si="7"/>
        <v>0.47401438088096459</v>
      </c>
      <c r="J17" s="18">
        <f t="shared" ca="1" si="8"/>
        <v>0.12125491660584055</v>
      </c>
    </row>
    <row r="18" spans="2:28" x14ac:dyDescent="0.25">
      <c r="B18" s="8" t="s">
        <v>37</v>
      </c>
      <c r="C18" s="18">
        <f t="shared" ca="1" si="0"/>
        <v>0.18707979930150909</v>
      </c>
      <c r="D18" s="18"/>
      <c r="E18" s="18">
        <f t="shared" ca="1" si="5"/>
        <v>2.7809713096682374E-2</v>
      </c>
      <c r="H18" s="18">
        <f t="shared" ca="1" si="6"/>
        <v>3.8892685128381226E-2</v>
      </c>
      <c r="I18" s="18">
        <f t="shared" ca="1" si="7"/>
        <v>0.5523272548608924</v>
      </c>
      <c r="J18" s="18">
        <f t="shared" ca="1" si="8"/>
        <v>1.3179011358554011</v>
      </c>
    </row>
    <row r="19" spans="2:28" x14ac:dyDescent="0.25">
      <c r="B19" s="8" t="s">
        <v>37</v>
      </c>
      <c r="C19" s="18">
        <f t="shared" ca="1" si="0"/>
        <v>0.71177960498904314</v>
      </c>
      <c r="D19" s="18"/>
      <c r="E19" s="18">
        <f t="shared" ca="1" si="5"/>
        <v>0.20085692206117092</v>
      </c>
      <c r="H19" s="18">
        <f t="shared" ca="1" si="6"/>
        <v>0.13229719648038252</v>
      </c>
      <c r="I19" s="18">
        <f t="shared" ca="1" si="7"/>
        <v>0.77416780809660701</v>
      </c>
      <c r="J19" s="18">
        <f t="shared" ca="1" si="8"/>
        <v>0.62080367406193604</v>
      </c>
    </row>
    <row r="20" spans="2:28" x14ac:dyDescent="0.25">
      <c r="B20" s="8" t="s">
        <v>37</v>
      </c>
      <c r="C20" s="18">
        <f t="shared" ca="1" si="0"/>
        <v>0.76306189106277966</v>
      </c>
      <c r="D20" s="18"/>
      <c r="E20" s="18">
        <f t="shared" ca="1" si="5"/>
        <v>0.13669953632709206</v>
      </c>
      <c r="H20" s="18">
        <f t="shared" ca="1" si="6"/>
        <v>0.15256856426901386</v>
      </c>
      <c r="I20" s="18">
        <f t="shared" ca="1" si="7"/>
        <v>0.92205192627913268</v>
      </c>
      <c r="J20" s="18">
        <f t="shared" ca="1" si="8"/>
        <v>0.71560336735935981</v>
      </c>
    </row>
    <row r="21" spans="2:28" x14ac:dyDescent="0.25">
      <c r="B21" s="8" t="s">
        <v>37</v>
      </c>
      <c r="C21" s="18">
        <f t="shared" ca="1" si="0"/>
        <v>0.69963877698268517</v>
      </c>
      <c r="D21" s="18"/>
      <c r="E21" s="18">
        <f t="shared" ca="1" si="5"/>
        <v>0.52938438148233402</v>
      </c>
      <c r="H21" s="18">
        <f t="shared" ca="1" si="6"/>
        <v>0.33549213049161608</v>
      </c>
      <c r="I21" s="18">
        <f t="shared" ca="1" si="7"/>
        <v>0.50244265373070929</v>
      </c>
      <c r="J21" s="18">
        <f t="shared" ca="1" si="8"/>
        <v>0.21968662508015871</v>
      </c>
    </row>
    <row r="22" spans="2:28" x14ac:dyDescent="0.25">
      <c r="B22" s="8" t="s">
        <v>37</v>
      </c>
      <c r="C22" s="18">
        <f t="shared" ca="1" si="0"/>
        <v>0.10002023231000312</v>
      </c>
      <c r="D22" s="18"/>
      <c r="E22" s="18">
        <f t="shared" ca="1" si="5"/>
        <v>9.9653825224560066E-2</v>
      </c>
      <c r="H22" s="18">
        <f t="shared" ca="1" si="6"/>
        <v>8.3535008266338293E-2</v>
      </c>
      <c r="I22" s="18">
        <f t="shared" ca="1" si="7"/>
        <v>0.43294336710788917</v>
      </c>
      <c r="J22" s="18">
        <f t="shared" ca="1" si="8"/>
        <v>1.3054322681070247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45</v>
      </c>
      <c r="C24" s="18">
        <f ca="1">RAND()</f>
        <v>0.38362909717119187</v>
      </c>
      <c r="F24" s="18">
        <f ca="1">RAND()</f>
        <v>4.3967022133645783E-2</v>
      </c>
      <c r="G24" s="20" t="s">
        <v>49</v>
      </c>
      <c r="H24" s="17" t="str">
        <f ca="1">IF(H27&lt;=k,OFFSET($B$2,MATCH(SMALL($H$3:$H$22,H$27),$H$3:$H$22,0),0),"")</f>
        <v>Orange</v>
      </c>
      <c r="I24" s="17" t="str">
        <f t="shared" ref="I24:AA24" ca="1" si="9">IF(I27&lt;=k,OFFSET($B$2,MATCH(SMALL($H$3:$H$22,I$27),$H$3:$H$22,0),0),"")</f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Orange</v>
      </c>
    </row>
    <row r="25" spans="2:28" x14ac:dyDescent="0.25">
      <c r="B25" s="8" t="s">
        <v>44</v>
      </c>
      <c r="C25" s="18">
        <f ca="1">RAND()</f>
        <v>2.7201681883258333E-2</v>
      </c>
      <c r="F25" s="18">
        <f ca="1">RAND()</f>
        <v>0.75359635008560377</v>
      </c>
      <c r="G25" s="19" t="s">
        <v>48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Orange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Blue</v>
      </c>
    </row>
    <row r="26" spans="2:28" x14ac:dyDescent="0.25">
      <c r="B26" s="8" t="s">
        <v>43</v>
      </c>
      <c r="C26" s="18">
        <f ca="1">RAND()</f>
        <v>0.82817227414352135</v>
      </c>
      <c r="F26" s="18">
        <f ca="1">RAND()</f>
        <v>0.98012351356181526</v>
      </c>
      <c r="G26" s="16" t="s">
        <v>47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Blue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C0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237</v>
      </c>
    </row>
    <row r="3" spans="2:11" x14ac:dyDescent="0.25">
      <c r="B3" s="9" t="s">
        <v>239</v>
      </c>
      <c r="C3" s="9"/>
    </row>
    <row r="4" spans="2:11" x14ac:dyDescent="0.25">
      <c r="B4" s="8" t="s">
        <v>240</v>
      </c>
    </row>
    <row r="5" spans="2:11" x14ac:dyDescent="0.25">
      <c r="B5" s="8" t="s">
        <v>241</v>
      </c>
    </row>
    <row r="7" spans="2:11" x14ac:dyDescent="0.25">
      <c r="B7" s="10" t="s">
        <v>17</v>
      </c>
      <c r="C7" s="10" t="s">
        <v>18</v>
      </c>
      <c r="E7" s="10" t="s">
        <v>237</v>
      </c>
    </row>
    <row r="8" spans="2:11" x14ac:dyDescent="0.25">
      <c r="B8" s="8" t="s">
        <v>19</v>
      </c>
      <c r="C8" s="8" t="s">
        <v>19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20</v>
      </c>
      <c r="C9" s="8" t="s">
        <v>19</v>
      </c>
    </row>
    <row r="10" spans="2:11" x14ac:dyDescent="0.25">
      <c r="B10" s="8" t="s">
        <v>19</v>
      </c>
      <c r="C10" s="8" t="s">
        <v>19</v>
      </c>
    </row>
    <row r="11" spans="2:11" x14ac:dyDescent="0.25">
      <c r="B11" s="8" t="s">
        <v>20</v>
      </c>
      <c r="C11" s="8" t="s">
        <v>20</v>
      </c>
      <c r="K11" s="8" t="s">
        <v>254</v>
      </c>
    </row>
    <row r="12" spans="2:11" x14ac:dyDescent="0.25">
      <c r="B12" s="8" t="s">
        <v>19</v>
      </c>
      <c r="C12" s="8" t="s">
        <v>20</v>
      </c>
    </row>
    <row r="13" spans="2:11" x14ac:dyDescent="0.25">
      <c r="B13" s="8" t="s">
        <v>20</v>
      </c>
      <c r="C13" s="8" t="s">
        <v>20</v>
      </c>
    </row>
    <row r="14" spans="2:11" x14ac:dyDescent="0.25">
      <c r="B14" s="8" t="s">
        <v>19</v>
      </c>
      <c r="C14" s="8" t="s">
        <v>19</v>
      </c>
    </row>
    <row r="15" spans="2:11" x14ac:dyDescent="0.25">
      <c r="B15" s="8" t="s">
        <v>20</v>
      </c>
      <c r="C15" s="8" t="s">
        <v>20</v>
      </c>
    </row>
    <row r="16" spans="2:11" x14ac:dyDescent="0.25">
      <c r="B16" s="8" t="s">
        <v>19</v>
      </c>
      <c r="C16" s="8" t="s">
        <v>19</v>
      </c>
    </row>
    <row r="17" spans="2:3" x14ac:dyDescent="0.25">
      <c r="B17" s="8" t="s">
        <v>20</v>
      </c>
      <c r="C17" s="8" t="s">
        <v>19</v>
      </c>
    </row>
    <row r="18" spans="2:3" x14ac:dyDescent="0.25">
      <c r="B18" s="8" t="s">
        <v>19</v>
      </c>
      <c r="C18" s="8" t="s">
        <v>19</v>
      </c>
    </row>
    <row r="19" spans="2:3" x14ac:dyDescent="0.25">
      <c r="B19" s="8" t="s">
        <v>19</v>
      </c>
      <c r="C19" s="8" t="s">
        <v>19</v>
      </c>
    </row>
    <row r="20" spans="2:3" x14ac:dyDescent="0.25">
      <c r="B20" s="8" t="s">
        <v>19</v>
      </c>
      <c r="C20" s="8" t="s">
        <v>20</v>
      </c>
    </row>
    <row r="21" spans="2:3" x14ac:dyDescent="0.25">
      <c r="B21" s="8" t="s">
        <v>20</v>
      </c>
      <c r="C21" s="8" t="s">
        <v>20</v>
      </c>
    </row>
    <row r="22" spans="2:3" x14ac:dyDescent="0.25">
      <c r="B22" s="8" t="s">
        <v>20</v>
      </c>
      <c r="C22" s="8" t="s">
        <v>19</v>
      </c>
    </row>
    <row r="23" spans="2:3" x14ac:dyDescent="0.25">
      <c r="B23" s="8" t="s">
        <v>19</v>
      </c>
      <c r="C23" s="8" t="s">
        <v>19</v>
      </c>
    </row>
    <row r="24" spans="2:3" x14ac:dyDescent="0.25">
      <c r="B24" s="8" t="s">
        <v>20</v>
      </c>
      <c r="C24" s="8" t="s">
        <v>20</v>
      </c>
    </row>
    <row r="25" spans="2:3" x14ac:dyDescent="0.25">
      <c r="B25" s="8" t="s">
        <v>20</v>
      </c>
      <c r="C25" s="8" t="s">
        <v>20</v>
      </c>
    </row>
    <row r="26" spans="2:3" x14ac:dyDescent="0.25">
      <c r="B26" s="8" t="s">
        <v>19</v>
      </c>
      <c r="C26" s="8" t="s">
        <v>19</v>
      </c>
    </row>
    <row r="27" spans="2:3" x14ac:dyDescent="0.25">
      <c r="B27" s="8" t="s">
        <v>20</v>
      </c>
      <c r="C27" s="8" t="s">
        <v>20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35</v>
      </c>
    </row>
    <row r="2" spans="1:1" x14ac:dyDescent="0.3">
      <c r="A2" s="1" t="s">
        <v>36</v>
      </c>
    </row>
    <row r="3" spans="1:1" x14ac:dyDescent="0.3">
      <c r="A3" s="1" t="s">
        <v>29</v>
      </c>
    </row>
    <row r="4" spans="1:1" x14ac:dyDescent="0.3">
      <c r="A4" s="1" t="s">
        <v>28</v>
      </c>
    </row>
    <row r="5" spans="1:1" x14ac:dyDescent="0.3">
      <c r="A5" s="1" t="s">
        <v>27</v>
      </c>
    </row>
    <row r="6" spans="1:1" x14ac:dyDescent="0.3">
      <c r="A6" s="1" t="s">
        <v>26</v>
      </c>
    </row>
    <row r="7" spans="1:1" x14ac:dyDescent="0.3">
      <c r="A7" s="1" t="s">
        <v>255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30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29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256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257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259</v>
      </c>
    </row>
    <row r="2" spans="1:1" x14ac:dyDescent="0.3">
      <c r="A2" s="9" t="s">
        <v>260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258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158</v>
      </c>
    </row>
    <row r="2" spans="1:1" x14ac:dyDescent="0.3">
      <c r="A2" s="1" t="s">
        <v>159</v>
      </c>
    </row>
    <row r="3" spans="1:1" x14ac:dyDescent="0.3">
      <c r="A3" s="1" t="s">
        <v>160</v>
      </c>
    </row>
    <row r="4" spans="1:1" x14ac:dyDescent="0.3">
      <c r="A4" s="1" t="s">
        <v>161</v>
      </c>
    </row>
  </sheetData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5"/>
    <col min="2" max="2" width="20.83203125" style="25" bestFit="1" customWidth="1"/>
    <col min="3" max="16384" width="14.5" style="25"/>
  </cols>
  <sheetData>
    <row r="1" spans="1:11" x14ac:dyDescent="0.2">
      <c r="A1" s="24" t="s">
        <v>57</v>
      </c>
      <c r="B1" s="24" t="s">
        <v>58</v>
      </c>
      <c r="C1" s="24" t="s">
        <v>59</v>
      </c>
      <c r="D1" s="24" t="s">
        <v>60</v>
      </c>
      <c r="E1" s="24" t="s">
        <v>61</v>
      </c>
      <c r="F1" s="24" t="s">
        <v>62</v>
      </c>
      <c r="G1" s="24" t="s">
        <v>63</v>
      </c>
      <c r="H1" s="24" t="s">
        <v>64</v>
      </c>
      <c r="I1" s="24" t="s">
        <v>65</v>
      </c>
      <c r="J1" s="24" t="s">
        <v>66</v>
      </c>
      <c r="K1" s="24" t="s">
        <v>67</v>
      </c>
    </row>
    <row r="2" spans="1:11" x14ac:dyDescent="0.2">
      <c r="A2" s="24" t="s">
        <v>68</v>
      </c>
      <c r="B2" s="24" t="s">
        <v>69</v>
      </c>
      <c r="C2" s="24">
        <v>1.8</v>
      </c>
      <c r="D2" s="24">
        <v>1999</v>
      </c>
      <c r="E2" s="24">
        <v>4</v>
      </c>
      <c r="F2" s="24" t="s">
        <v>70</v>
      </c>
      <c r="G2" s="24" t="s">
        <v>71</v>
      </c>
      <c r="H2" s="24">
        <v>18</v>
      </c>
      <c r="I2" s="24">
        <v>29</v>
      </c>
      <c r="J2" s="24" t="s">
        <v>5</v>
      </c>
      <c r="K2" s="24" t="s">
        <v>72</v>
      </c>
    </row>
    <row r="3" spans="1:11" x14ac:dyDescent="0.2">
      <c r="A3" s="24" t="s">
        <v>68</v>
      </c>
      <c r="B3" s="24" t="s">
        <v>69</v>
      </c>
      <c r="C3" s="24">
        <v>1.8</v>
      </c>
      <c r="D3" s="24">
        <v>1999</v>
      </c>
      <c r="E3" s="24">
        <v>4</v>
      </c>
      <c r="F3" s="24" t="s">
        <v>73</v>
      </c>
      <c r="G3" s="24" t="s">
        <v>71</v>
      </c>
      <c r="H3" s="24">
        <v>21</v>
      </c>
      <c r="I3" s="24">
        <v>29</v>
      </c>
      <c r="J3" s="24" t="s">
        <v>5</v>
      </c>
      <c r="K3" s="24" t="s">
        <v>72</v>
      </c>
    </row>
    <row r="4" spans="1:11" x14ac:dyDescent="0.2">
      <c r="A4" s="24" t="s">
        <v>68</v>
      </c>
      <c r="B4" s="24" t="s">
        <v>69</v>
      </c>
      <c r="C4" s="24">
        <v>2</v>
      </c>
      <c r="D4" s="24">
        <v>2008</v>
      </c>
      <c r="E4" s="24">
        <v>4</v>
      </c>
      <c r="F4" s="24" t="s">
        <v>74</v>
      </c>
      <c r="G4" s="24" t="s">
        <v>71</v>
      </c>
      <c r="H4" s="24">
        <v>20</v>
      </c>
      <c r="I4" s="24">
        <v>31</v>
      </c>
      <c r="J4" s="24" t="s">
        <v>5</v>
      </c>
      <c r="K4" s="24" t="s">
        <v>72</v>
      </c>
    </row>
    <row r="5" spans="1:11" x14ac:dyDescent="0.2">
      <c r="A5" s="24" t="s">
        <v>68</v>
      </c>
      <c r="B5" s="24" t="s">
        <v>69</v>
      </c>
      <c r="C5" s="24">
        <v>2</v>
      </c>
      <c r="D5" s="24">
        <v>2008</v>
      </c>
      <c r="E5" s="24">
        <v>4</v>
      </c>
      <c r="F5" s="24" t="s">
        <v>75</v>
      </c>
      <c r="G5" s="24" t="s">
        <v>71</v>
      </c>
      <c r="H5" s="24">
        <v>21</v>
      </c>
      <c r="I5" s="24">
        <v>30</v>
      </c>
      <c r="J5" s="24" t="s">
        <v>5</v>
      </c>
      <c r="K5" s="24" t="s">
        <v>72</v>
      </c>
    </row>
    <row r="6" spans="1:11" x14ac:dyDescent="0.2">
      <c r="A6" s="24" t="s">
        <v>68</v>
      </c>
      <c r="B6" s="24" t="s">
        <v>69</v>
      </c>
      <c r="C6" s="24">
        <v>2.8</v>
      </c>
      <c r="D6" s="24">
        <v>1999</v>
      </c>
      <c r="E6" s="24">
        <v>6</v>
      </c>
      <c r="F6" s="24" t="s">
        <v>70</v>
      </c>
      <c r="G6" s="24" t="s">
        <v>71</v>
      </c>
      <c r="H6" s="24">
        <v>16</v>
      </c>
      <c r="I6" s="24">
        <v>26</v>
      </c>
      <c r="J6" s="24" t="s">
        <v>5</v>
      </c>
      <c r="K6" s="24" t="s">
        <v>72</v>
      </c>
    </row>
    <row r="7" spans="1:11" x14ac:dyDescent="0.2">
      <c r="A7" s="24" t="s">
        <v>68</v>
      </c>
      <c r="B7" s="24" t="s">
        <v>69</v>
      </c>
      <c r="C7" s="24">
        <v>2.8</v>
      </c>
      <c r="D7" s="24">
        <v>1999</v>
      </c>
      <c r="E7" s="24">
        <v>6</v>
      </c>
      <c r="F7" s="24" t="s">
        <v>73</v>
      </c>
      <c r="G7" s="24" t="s">
        <v>71</v>
      </c>
      <c r="H7" s="24">
        <v>18</v>
      </c>
      <c r="I7" s="24">
        <v>26</v>
      </c>
      <c r="J7" s="24" t="s">
        <v>5</v>
      </c>
      <c r="K7" s="24" t="s">
        <v>72</v>
      </c>
    </row>
    <row r="8" spans="1:11" x14ac:dyDescent="0.2">
      <c r="A8" s="24" t="s">
        <v>68</v>
      </c>
      <c r="B8" s="24" t="s">
        <v>69</v>
      </c>
      <c r="C8" s="24">
        <v>3.1</v>
      </c>
      <c r="D8" s="24">
        <v>2008</v>
      </c>
      <c r="E8" s="24">
        <v>6</v>
      </c>
      <c r="F8" s="24" t="s">
        <v>75</v>
      </c>
      <c r="G8" s="24" t="s">
        <v>71</v>
      </c>
      <c r="H8" s="24">
        <v>18</v>
      </c>
      <c r="I8" s="24">
        <v>27</v>
      </c>
      <c r="J8" s="24" t="s">
        <v>5</v>
      </c>
      <c r="K8" s="24" t="s">
        <v>72</v>
      </c>
    </row>
    <row r="9" spans="1:11" x14ac:dyDescent="0.2">
      <c r="A9" s="24" t="s">
        <v>68</v>
      </c>
      <c r="B9" s="24" t="s">
        <v>76</v>
      </c>
      <c r="C9" s="24">
        <v>1.8</v>
      </c>
      <c r="D9" s="24">
        <v>1999</v>
      </c>
      <c r="E9" s="24">
        <v>4</v>
      </c>
      <c r="F9" s="24" t="s">
        <v>73</v>
      </c>
      <c r="G9" s="24">
        <v>4</v>
      </c>
      <c r="H9" s="24">
        <v>18</v>
      </c>
      <c r="I9" s="24">
        <v>26</v>
      </c>
      <c r="J9" s="24" t="s">
        <v>5</v>
      </c>
      <c r="K9" s="24" t="s">
        <v>72</v>
      </c>
    </row>
    <row r="10" spans="1:11" x14ac:dyDescent="0.2">
      <c r="A10" s="24" t="s">
        <v>68</v>
      </c>
      <c r="B10" s="24" t="s">
        <v>76</v>
      </c>
      <c r="C10" s="24">
        <v>1.8</v>
      </c>
      <c r="D10" s="24">
        <v>1999</v>
      </c>
      <c r="E10" s="24">
        <v>4</v>
      </c>
      <c r="F10" s="24" t="s">
        <v>70</v>
      </c>
      <c r="G10" s="24">
        <v>4</v>
      </c>
      <c r="H10" s="24">
        <v>16</v>
      </c>
      <c r="I10" s="24">
        <v>25</v>
      </c>
      <c r="J10" s="24" t="s">
        <v>5</v>
      </c>
      <c r="K10" s="24" t="s">
        <v>72</v>
      </c>
    </row>
    <row r="11" spans="1:11" x14ac:dyDescent="0.2">
      <c r="A11" s="24" t="s">
        <v>68</v>
      </c>
      <c r="B11" s="24" t="s">
        <v>76</v>
      </c>
      <c r="C11" s="24">
        <v>2</v>
      </c>
      <c r="D11" s="24">
        <v>2008</v>
      </c>
      <c r="E11" s="24">
        <v>4</v>
      </c>
      <c r="F11" s="24" t="s">
        <v>74</v>
      </c>
      <c r="G11" s="24">
        <v>4</v>
      </c>
      <c r="H11" s="24">
        <v>20</v>
      </c>
      <c r="I11" s="24">
        <v>28</v>
      </c>
      <c r="J11" s="24" t="s">
        <v>5</v>
      </c>
      <c r="K11" s="24" t="s">
        <v>72</v>
      </c>
    </row>
    <row r="12" spans="1:11" x14ac:dyDescent="0.2">
      <c r="A12" s="24" t="s">
        <v>68</v>
      </c>
      <c r="B12" s="24" t="s">
        <v>76</v>
      </c>
      <c r="C12" s="24">
        <v>2</v>
      </c>
      <c r="D12" s="24">
        <v>2008</v>
      </c>
      <c r="E12" s="24">
        <v>4</v>
      </c>
      <c r="F12" s="24" t="s">
        <v>77</v>
      </c>
      <c r="G12" s="24">
        <v>4</v>
      </c>
      <c r="H12" s="24">
        <v>19</v>
      </c>
      <c r="I12" s="24">
        <v>27</v>
      </c>
      <c r="J12" s="24" t="s">
        <v>5</v>
      </c>
      <c r="K12" s="24" t="s">
        <v>72</v>
      </c>
    </row>
    <row r="13" spans="1:11" x14ac:dyDescent="0.2">
      <c r="A13" s="24" t="s">
        <v>68</v>
      </c>
      <c r="B13" s="24" t="s">
        <v>76</v>
      </c>
      <c r="C13" s="24">
        <v>2.8</v>
      </c>
      <c r="D13" s="24">
        <v>1999</v>
      </c>
      <c r="E13" s="24">
        <v>6</v>
      </c>
      <c r="F13" s="24" t="s">
        <v>70</v>
      </c>
      <c r="G13" s="24">
        <v>4</v>
      </c>
      <c r="H13" s="24">
        <v>15</v>
      </c>
      <c r="I13" s="24">
        <v>25</v>
      </c>
      <c r="J13" s="24" t="s">
        <v>5</v>
      </c>
      <c r="K13" s="24" t="s">
        <v>72</v>
      </c>
    </row>
    <row r="14" spans="1:11" x14ac:dyDescent="0.2">
      <c r="A14" s="24" t="s">
        <v>68</v>
      </c>
      <c r="B14" s="24" t="s">
        <v>76</v>
      </c>
      <c r="C14" s="24">
        <v>2.8</v>
      </c>
      <c r="D14" s="24">
        <v>1999</v>
      </c>
      <c r="E14" s="24">
        <v>6</v>
      </c>
      <c r="F14" s="24" t="s">
        <v>73</v>
      </c>
      <c r="G14" s="24">
        <v>4</v>
      </c>
      <c r="H14" s="24">
        <v>17</v>
      </c>
      <c r="I14" s="24">
        <v>25</v>
      </c>
      <c r="J14" s="24" t="s">
        <v>5</v>
      </c>
      <c r="K14" s="24" t="s">
        <v>72</v>
      </c>
    </row>
    <row r="15" spans="1:11" x14ac:dyDescent="0.2">
      <c r="A15" s="24" t="s">
        <v>68</v>
      </c>
      <c r="B15" s="24" t="s">
        <v>76</v>
      </c>
      <c r="C15" s="24">
        <v>3.1</v>
      </c>
      <c r="D15" s="24">
        <v>2008</v>
      </c>
      <c r="E15" s="24">
        <v>6</v>
      </c>
      <c r="F15" s="24" t="s">
        <v>77</v>
      </c>
      <c r="G15" s="24">
        <v>4</v>
      </c>
      <c r="H15" s="24">
        <v>17</v>
      </c>
      <c r="I15" s="24">
        <v>25</v>
      </c>
      <c r="J15" s="24" t="s">
        <v>5</v>
      </c>
      <c r="K15" s="24" t="s">
        <v>72</v>
      </c>
    </row>
    <row r="16" spans="1:11" x14ac:dyDescent="0.2">
      <c r="A16" s="24" t="s">
        <v>68</v>
      </c>
      <c r="B16" s="24" t="s">
        <v>76</v>
      </c>
      <c r="C16" s="24">
        <v>3.1</v>
      </c>
      <c r="D16" s="24">
        <v>2008</v>
      </c>
      <c r="E16" s="24">
        <v>6</v>
      </c>
      <c r="F16" s="24" t="s">
        <v>74</v>
      </c>
      <c r="G16" s="24">
        <v>4</v>
      </c>
      <c r="H16" s="24">
        <v>15</v>
      </c>
      <c r="I16" s="24">
        <v>25</v>
      </c>
      <c r="J16" s="24" t="s">
        <v>5</v>
      </c>
      <c r="K16" s="24" t="s">
        <v>72</v>
      </c>
    </row>
    <row r="17" spans="1:11" x14ac:dyDescent="0.2">
      <c r="A17" s="24" t="s">
        <v>68</v>
      </c>
      <c r="B17" s="24" t="s">
        <v>78</v>
      </c>
      <c r="C17" s="24">
        <v>2.8</v>
      </c>
      <c r="D17" s="24">
        <v>1999</v>
      </c>
      <c r="E17" s="24">
        <v>6</v>
      </c>
      <c r="F17" s="24" t="s">
        <v>70</v>
      </c>
      <c r="G17" s="24">
        <v>4</v>
      </c>
      <c r="H17" s="24">
        <v>15</v>
      </c>
      <c r="I17" s="24">
        <v>24</v>
      </c>
      <c r="J17" s="24" t="s">
        <v>5</v>
      </c>
      <c r="K17" s="24" t="s">
        <v>79</v>
      </c>
    </row>
    <row r="18" spans="1:11" x14ac:dyDescent="0.2">
      <c r="A18" s="24" t="s">
        <v>68</v>
      </c>
      <c r="B18" s="24" t="s">
        <v>78</v>
      </c>
      <c r="C18" s="24">
        <v>3.1</v>
      </c>
      <c r="D18" s="24">
        <v>2008</v>
      </c>
      <c r="E18" s="24">
        <v>6</v>
      </c>
      <c r="F18" s="24" t="s">
        <v>77</v>
      </c>
      <c r="G18" s="24">
        <v>4</v>
      </c>
      <c r="H18" s="24">
        <v>17</v>
      </c>
      <c r="I18" s="24">
        <v>25</v>
      </c>
      <c r="J18" s="24" t="s">
        <v>5</v>
      </c>
      <c r="K18" s="24" t="s">
        <v>79</v>
      </c>
    </row>
    <row r="19" spans="1:11" x14ac:dyDescent="0.2">
      <c r="A19" s="24" t="s">
        <v>68</v>
      </c>
      <c r="B19" s="24" t="s">
        <v>78</v>
      </c>
      <c r="C19" s="24">
        <v>4.2</v>
      </c>
      <c r="D19" s="24">
        <v>2008</v>
      </c>
      <c r="E19" s="24">
        <v>8</v>
      </c>
      <c r="F19" s="24" t="s">
        <v>77</v>
      </c>
      <c r="G19" s="24">
        <v>4</v>
      </c>
      <c r="H19" s="24">
        <v>16</v>
      </c>
      <c r="I19" s="24">
        <v>23</v>
      </c>
      <c r="J19" s="24" t="s">
        <v>5</v>
      </c>
      <c r="K19" s="24" t="s">
        <v>79</v>
      </c>
    </row>
    <row r="20" spans="1:11" x14ac:dyDescent="0.2">
      <c r="A20" s="24" t="s">
        <v>80</v>
      </c>
      <c r="B20" s="24" t="s">
        <v>81</v>
      </c>
      <c r="C20" s="24">
        <v>5.3</v>
      </c>
      <c r="D20" s="24">
        <v>2008</v>
      </c>
      <c r="E20" s="24">
        <v>8</v>
      </c>
      <c r="F20" s="24" t="s">
        <v>82</v>
      </c>
      <c r="G20" s="24" t="s">
        <v>83</v>
      </c>
      <c r="H20" s="24">
        <v>14</v>
      </c>
      <c r="I20" s="24">
        <v>20</v>
      </c>
      <c r="J20" s="24" t="s">
        <v>83</v>
      </c>
      <c r="K20" s="24" t="s">
        <v>84</v>
      </c>
    </row>
    <row r="21" spans="1:11" x14ac:dyDescent="0.2">
      <c r="A21" s="24" t="s">
        <v>80</v>
      </c>
      <c r="B21" s="24" t="s">
        <v>81</v>
      </c>
      <c r="C21" s="24">
        <v>5.3</v>
      </c>
      <c r="D21" s="24">
        <v>2008</v>
      </c>
      <c r="E21" s="24">
        <v>8</v>
      </c>
      <c r="F21" s="24" t="s">
        <v>82</v>
      </c>
      <c r="G21" s="24" t="s">
        <v>83</v>
      </c>
      <c r="H21" s="24">
        <v>11</v>
      </c>
      <c r="I21" s="24">
        <v>15</v>
      </c>
      <c r="J21" s="24" t="s">
        <v>85</v>
      </c>
      <c r="K21" s="24" t="s">
        <v>84</v>
      </c>
    </row>
    <row r="22" spans="1:11" x14ac:dyDescent="0.2">
      <c r="A22" s="24" t="s">
        <v>80</v>
      </c>
      <c r="B22" s="24" t="s">
        <v>81</v>
      </c>
      <c r="C22" s="24">
        <v>5.3</v>
      </c>
      <c r="D22" s="24">
        <v>2008</v>
      </c>
      <c r="E22" s="24">
        <v>8</v>
      </c>
      <c r="F22" s="24" t="s">
        <v>82</v>
      </c>
      <c r="G22" s="24" t="s">
        <v>83</v>
      </c>
      <c r="H22" s="24">
        <v>14</v>
      </c>
      <c r="I22" s="24">
        <v>20</v>
      </c>
      <c r="J22" s="24" t="s">
        <v>83</v>
      </c>
      <c r="K22" s="24" t="s">
        <v>84</v>
      </c>
    </row>
    <row r="23" spans="1:11" x14ac:dyDescent="0.2">
      <c r="A23" s="24" t="s">
        <v>80</v>
      </c>
      <c r="B23" s="24" t="s">
        <v>81</v>
      </c>
      <c r="C23" s="24">
        <v>5.7</v>
      </c>
      <c r="D23" s="24">
        <v>1999</v>
      </c>
      <c r="E23" s="24">
        <v>8</v>
      </c>
      <c r="F23" s="24" t="s">
        <v>82</v>
      </c>
      <c r="G23" s="24" t="s">
        <v>83</v>
      </c>
      <c r="H23" s="24">
        <v>13</v>
      </c>
      <c r="I23" s="24">
        <v>17</v>
      </c>
      <c r="J23" s="24" t="s">
        <v>83</v>
      </c>
      <c r="K23" s="24" t="s">
        <v>84</v>
      </c>
    </row>
    <row r="24" spans="1:11" x14ac:dyDescent="0.2">
      <c r="A24" s="24" t="s">
        <v>80</v>
      </c>
      <c r="B24" s="24" t="s">
        <v>81</v>
      </c>
      <c r="C24" s="24">
        <v>6</v>
      </c>
      <c r="D24" s="24">
        <v>2008</v>
      </c>
      <c r="E24" s="24">
        <v>8</v>
      </c>
      <c r="F24" s="24" t="s">
        <v>82</v>
      </c>
      <c r="G24" s="24" t="s">
        <v>83</v>
      </c>
      <c r="H24" s="24">
        <v>12</v>
      </c>
      <c r="I24" s="24">
        <v>17</v>
      </c>
      <c r="J24" s="24" t="s">
        <v>83</v>
      </c>
      <c r="K24" s="24" t="s">
        <v>84</v>
      </c>
    </row>
    <row r="25" spans="1:11" x14ac:dyDescent="0.2">
      <c r="A25" s="24" t="s">
        <v>80</v>
      </c>
      <c r="B25" s="24" t="s">
        <v>86</v>
      </c>
      <c r="C25" s="24">
        <v>5.7</v>
      </c>
      <c r="D25" s="24">
        <v>1999</v>
      </c>
      <c r="E25" s="24">
        <v>8</v>
      </c>
      <c r="F25" s="24" t="s">
        <v>74</v>
      </c>
      <c r="G25" s="24" t="s">
        <v>83</v>
      </c>
      <c r="H25" s="24">
        <v>16</v>
      </c>
      <c r="I25" s="24">
        <v>26</v>
      </c>
      <c r="J25" s="24" t="s">
        <v>5</v>
      </c>
      <c r="K25" s="24" t="s">
        <v>87</v>
      </c>
    </row>
    <row r="26" spans="1:11" x14ac:dyDescent="0.2">
      <c r="A26" s="24" t="s">
        <v>80</v>
      </c>
      <c r="B26" s="24" t="s">
        <v>86</v>
      </c>
      <c r="C26" s="24">
        <v>5.7</v>
      </c>
      <c r="D26" s="24">
        <v>1999</v>
      </c>
      <c r="E26" s="24">
        <v>8</v>
      </c>
      <c r="F26" s="24" t="s">
        <v>82</v>
      </c>
      <c r="G26" s="24" t="s">
        <v>83</v>
      </c>
      <c r="H26" s="24">
        <v>15</v>
      </c>
      <c r="I26" s="24">
        <v>23</v>
      </c>
      <c r="J26" s="24" t="s">
        <v>5</v>
      </c>
      <c r="K26" s="24" t="s">
        <v>87</v>
      </c>
    </row>
    <row r="27" spans="1:11" x14ac:dyDescent="0.2">
      <c r="A27" s="24" t="s">
        <v>80</v>
      </c>
      <c r="B27" s="24" t="s">
        <v>86</v>
      </c>
      <c r="C27" s="24">
        <v>6.2</v>
      </c>
      <c r="D27" s="24">
        <v>2008</v>
      </c>
      <c r="E27" s="24">
        <v>8</v>
      </c>
      <c r="F27" s="24" t="s">
        <v>74</v>
      </c>
      <c r="G27" s="24" t="s">
        <v>83</v>
      </c>
      <c r="H27" s="24">
        <v>16</v>
      </c>
      <c r="I27" s="24">
        <v>26</v>
      </c>
      <c r="J27" s="24" t="s">
        <v>5</v>
      </c>
      <c r="K27" s="24" t="s">
        <v>87</v>
      </c>
    </row>
    <row r="28" spans="1:11" x14ac:dyDescent="0.2">
      <c r="A28" s="24" t="s">
        <v>80</v>
      </c>
      <c r="B28" s="24" t="s">
        <v>86</v>
      </c>
      <c r="C28" s="24">
        <v>6.2</v>
      </c>
      <c r="D28" s="24">
        <v>2008</v>
      </c>
      <c r="E28" s="24">
        <v>8</v>
      </c>
      <c r="F28" s="24" t="s">
        <v>77</v>
      </c>
      <c r="G28" s="24" t="s">
        <v>83</v>
      </c>
      <c r="H28" s="24">
        <v>15</v>
      </c>
      <c r="I28" s="24">
        <v>25</v>
      </c>
      <c r="J28" s="24" t="s">
        <v>5</v>
      </c>
      <c r="K28" s="24" t="s">
        <v>87</v>
      </c>
    </row>
    <row r="29" spans="1:11" x14ac:dyDescent="0.2">
      <c r="A29" s="24" t="s">
        <v>80</v>
      </c>
      <c r="B29" s="24" t="s">
        <v>86</v>
      </c>
      <c r="C29" s="24">
        <v>7</v>
      </c>
      <c r="D29" s="24">
        <v>2008</v>
      </c>
      <c r="E29" s="24">
        <v>8</v>
      </c>
      <c r="F29" s="24" t="s">
        <v>74</v>
      </c>
      <c r="G29" s="24" t="s">
        <v>83</v>
      </c>
      <c r="H29" s="24">
        <v>15</v>
      </c>
      <c r="I29" s="24">
        <v>24</v>
      </c>
      <c r="J29" s="24" t="s">
        <v>5</v>
      </c>
      <c r="K29" s="24" t="s">
        <v>87</v>
      </c>
    </row>
    <row r="30" spans="1:11" x14ac:dyDescent="0.2">
      <c r="A30" s="24" t="s">
        <v>80</v>
      </c>
      <c r="B30" s="24" t="s">
        <v>88</v>
      </c>
      <c r="C30" s="24">
        <v>5.3</v>
      </c>
      <c r="D30" s="24">
        <v>2008</v>
      </c>
      <c r="E30" s="24">
        <v>8</v>
      </c>
      <c r="F30" s="24" t="s">
        <v>82</v>
      </c>
      <c r="G30" s="24">
        <v>4</v>
      </c>
      <c r="H30" s="24">
        <v>14</v>
      </c>
      <c r="I30" s="24">
        <v>19</v>
      </c>
      <c r="J30" s="24" t="s">
        <v>83</v>
      </c>
      <c r="K30" s="24" t="s">
        <v>84</v>
      </c>
    </row>
    <row r="31" spans="1:11" x14ac:dyDescent="0.2">
      <c r="A31" s="24" t="s">
        <v>80</v>
      </c>
      <c r="B31" s="24" t="s">
        <v>88</v>
      </c>
      <c r="C31" s="24">
        <v>5.3</v>
      </c>
      <c r="D31" s="24">
        <v>2008</v>
      </c>
      <c r="E31" s="24">
        <v>8</v>
      </c>
      <c r="F31" s="24" t="s">
        <v>82</v>
      </c>
      <c r="G31" s="24">
        <v>4</v>
      </c>
      <c r="H31" s="24">
        <v>11</v>
      </c>
      <c r="I31" s="24">
        <v>14</v>
      </c>
      <c r="J31" s="24" t="s">
        <v>85</v>
      </c>
      <c r="K31" s="24" t="s">
        <v>84</v>
      </c>
    </row>
    <row r="32" spans="1:11" x14ac:dyDescent="0.2">
      <c r="A32" s="24" t="s">
        <v>80</v>
      </c>
      <c r="B32" s="24" t="s">
        <v>88</v>
      </c>
      <c r="C32" s="24">
        <v>5.7</v>
      </c>
      <c r="D32" s="24">
        <v>1999</v>
      </c>
      <c r="E32" s="24">
        <v>8</v>
      </c>
      <c r="F32" s="24" t="s">
        <v>82</v>
      </c>
      <c r="G32" s="24">
        <v>4</v>
      </c>
      <c r="H32" s="24">
        <v>11</v>
      </c>
      <c r="I32" s="24">
        <v>15</v>
      </c>
      <c r="J32" s="24" t="s">
        <v>83</v>
      </c>
      <c r="K32" s="24" t="s">
        <v>84</v>
      </c>
    </row>
    <row r="33" spans="1:11" x14ac:dyDescent="0.2">
      <c r="A33" s="24" t="s">
        <v>80</v>
      </c>
      <c r="B33" s="24" t="s">
        <v>88</v>
      </c>
      <c r="C33" s="24">
        <v>6.5</v>
      </c>
      <c r="D33" s="24">
        <v>1999</v>
      </c>
      <c r="E33" s="24">
        <v>8</v>
      </c>
      <c r="F33" s="24" t="s">
        <v>82</v>
      </c>
      <c r="G33" s="24">
        <v>4</v>
      </c>
      <c r="H33" s="24">
        <v>14</v>
      </c>
      <c r="I33" s="24">
        <v>17</v>
      </c>
      <c r="J33" s="24" t="s">
        <v>89</v>
      </c>
      <c r="K33" s="24" t="s">
        <v>84</v>
      </c>
    </row>
    <row r="34" spans="1:11" x14ac:dyDescent="0.2">
      <c r="A34" s="24" t="s">
        <v>80</v>
      </c>
      <c r="B34" s="24" t="s">
        <v>90</v>
      </c>
      <c r="C34" s="24">
        <v>2.4</v>
      </c>
      <c r="D34" s="24">
        <v>1999</v>
      </c>
      <c r="E34" s="24">
        <v>4</v>
      </c>
      <c r="F34" s="24" t="s">
        <v>82</v>
      </c>
      <c r="G34" s="24" t="s">
        <v>71</v>
      </c>
      <c r="H34" s="24">
        <v>19</v>
      </c>
      <c r="I34" s="24">
        <v>27</v>
      </c>
      <c r="J34" s="24" t="s">
        <v>83</v>
      </c>
      <c r="K34" s="24" t="s">
        <v>79</v>
      </c>
    </row>
    <row r="35" spans="1:11" x14ac:dyDescent="0.2">
      <c r="A35" s="24" t="s">
        <v>80</v>
      </c>
      <c r="B35" s="24" t="s">
        <v>90</v>
      </c>
      <c r="C35" s="24">
        <v>2.4</v>
      </c>
      <c r="D35" s="24">
        <v>2008</v>
      </c>
      <c r="E35" s="24">
        <v>4</v>
      </c>
      <c r="F35" s="24" t="s">
        <v>82</v>
      </c>
      <c r="G35" s="24" t="s">
        <v>71</v>
      </c>
      <c r="H35" s="24">
        <v>22</v>
      </c>
      <c r="I35" s="24">
        <v>30</v>
      </c>
      <c r="J35" s="24" t="s">
        <v>83</v>
      </c>
      <c r="K35" s="24" t="s">
        <v>79</v>
      </c>
    </row>
    <row r="36" spans="1:11" x14ac:dyDescent="0.2">
      <c r="A36" s="24" t="s">
        <v>80</v>
      </c>
      <c r="B36" s="24" t="s">
        <v>90</v>
      </c>
      <c r="C36" s="24">
        <v>3.1</v>
      </c>
      <c r="D36" s="24">
        <v>1999</v>
      </c>
      <c r="E36" s="24">
        <v>6</v>
      </c>
      <c r="F36" s="24" t="s">
        <v>82</v>
      </c>
      <c r="G36" s="24" t="s">
        <v>71</v>
      </c>
      <c r="H36" s="24">
        <v>18</v>
      </c>
      <c r="I36" s="24">
        <v>26</v>
      </c>
      <c r="J36" s="24" t="s">
        <v>83</v>
      </c>
      <c r="K36" s="24" t="s">
        <v>79</v>
      </c>
    </row>
    <row r="37" spans="1:11" x14ac:dyDescent="0.2">
      <c r="A37" s="24" t="s">
        <v>80</v>
      </c>
      <c r="B37" s="24" t="s">
        <v>90</v>
      </c>
      <c r="C37" s="24">
        <v>3.5</v>
      </c>
      <c r="D37" s="24">
        <v>2008</v>
      </c>
      <c r="E37" s="24">
        <v>6</v>
      </c>
      <c r="F37" s="24" t="s">
        <v>82</v>
      </c>
      <c r="G37" s="24" t="s">
        <v>71</v>
      </c>
      <c r="H37" s="24">
        <v>18</v>
      </c>
      <c r="I37" s="24">
        <v>29</v>
      </c>
      <c r="J37" s="24" t="s">
        <v>83</v>
      </c>
      <c r="K37" s="24" t="s">
        <v>79</v>
      </c>
    </row>
    <row r="38" spans="1:11" x14ac:dyDescent="0.2">
      <c r="A38" s="24" t="s">
        <v>80</v>
      </c>
      <c r="B38" s="24" t="s">
        <v>90</v>
      </c>
      <c r="C38" s="24">
        <v>3.6</v>
      </c>
      <c r="D38" s="24">
        <v>2008</v>
      </c>
      <c r="E38" s="24">
        <v>6</v>
      </c>
      <c r="F38" s="24" t="s">
        <v>77</v>
      </c>
      <c r="G38" s="24" t="s">
        <v>71</v>
      </c>
      <c r="H38" s="24">
        <v>17</v>
      </c>
      <c r="I38" s="24">
        <v>26</v>
      </c>
      <c r="J38" s="24" t="s">
        <v>83</v>
      </c>
      <c r="K38" s="24" t="s">
        <v>79</v>
      </c>
    </row>
    <row r="39" spans="1:11" x14ac:dyDescent="0.2">
      <c r="A39" s="24" t="s">
        <v>91</v>
      </c>
      <c r="B39" s="24" t="s">
        <v>92</v>
      </c>
      <c r="C39" s="24">
        <v>2.4</v>
      </c>
      <c r="D39" s="24">
        <v>1999</v>
      </c>
      <c r="E39" s="24">
        <v>4</v>
      </c>
      <c r="F39" s="24" t="s">
        <v>93</v>
      </c>
      <c r="G39" s="24" t="s">
        <v>71</v>
      </c>
      <c r="H39" s="24">
        <v>18</v>
      </c>
      <c r="I39" s="24">
        <v>24</v>
      </c>
      <c r="J39" s="24" t="s">
        <v>83</v>
      </c>
      <c r="K39" s="24" t="s">
        <v>94</v>
      </c>
    </row>
    <row r="40" spans="1:11" x14ac:dyDescent="0.2">
      <c r="A40" s="24" t="s">
        <v>91</v>
      </c>
      <c r="B40" s="24" t="s">
        <v>92</v>
      </c>
      <c r="C40" s="24">
        <v>3</v>
      </c>
      <c r="D40" s="24">
        <v>1999</v>
      </c>
      <c r="E40" s="24">
        <v>6</v>
      </c>
      <c r="F40" s="24" t="s">
        <v>82</v>
      </c>
      <c r="G40" s="24" t="s">
        <v>71</v>
      </c>
      <c r="H40" s="24">
        <v>17</v>
      </c>
      <c r="I40" s="24">
        <v>24</v>
      </c>
      <c r="J40" s="24" t="s">
        <v>83</v>
      </c>
      <c r="K40" s="24" t="s">
        <v>94</v>
      </c>
    </row>
    <row r="41" spans="1:11" x14ac:dyDescent="0.2">
      <c r="A41" s="24" t="s">
        <v>91</v>
      </c>
      <c r="B41" s="24" t="s">
        <v>92</v>
      </c>
      <c r="C41" s="24">
        <v>3.3</v>
      </c>
      <c r="D41" s="24">
        <v>1999</v>
      </c>
      <c r="E41" s="24">
        <v>6</v>
      </c>
      <c r="F41" s="24" t="s">
        <v>82</v>
      </c>
      <c r="G41" s="24" t="s">
        <v>71</v>
      </c>
      <c r="H41" s="24">
        <v>16</v>
      </c>
      <c r="I41" s="24">
        <v>22</v>
      </c>
      <c r="J41" s="24" t="s">
        <v>83</v>
      </c>
      <c r="K41" s="24" t="s">
        <v>94</v>
      </c>
    </row>
    <row r="42" spans="1:11" x14ac:dyDescent="0.2">
      <c r="A42" s="24" t="s">
        <v>91</v>
      </c>
      <c r="B42" s="24" t="s">
        <v>92</v>
      </c>
      <c r="C42" s="24">
        <v>3.3</v>
      </c>
      <c r="D42" s="24">
        <v>1999</v>
      </c>
      <c r="E42" s="24">
        <v>6</v>
      </c>
      <c r="F42" s="24" t="s">
        <v>82</v>
      </c>
      <c r="G42" s="24" t="s">
        <v>71</v>
      </c>
      <c r="H42" s="24">
        <v>16</v>
      </c>
      <c r="I42" s="24">
        <v>22</v>
      </c>
      <c r="J42" s="24" t="s">
        <v>83</v>
      </c>
      <c r="K42" s="24" t="s">
        <v>94</v>
      </c>
    </row>
    <row r="43" spans="1:11" x14ac:dyDescent="0.2">
      <c r="A43" s="24" t="s">
        <v>91</v>
      </c>
      <c r="B43" s="24" t="s">
        <v>92</v>
      </c>
      <c r="C43" s="24">
        <v>3.3</v>
      </c>
      <c r="D43" s="24">
        <v>2008</v>
      </c>
      <c r="E43" s="24">
        <v>6</v>
      </c>
      <c r="F43" s="24" t="s">
        <v>82</v>
      </c>
      <c r="G43" s="24" t="s">
        <v>71</v>
      </c>
      <c r="H43" s="24">
        <v>17</v>
      </c>
      <c r="I43" s="24">
        <v>24</v>
      </c>
      <c r="J43" s="24" t="s">
        <v>83</v>
      </c>
      <c r="K43" s="24" t="s">
        <v>94</v>
      </c>
    </row>
    <row r="44" spans="1:11" x14ac:dyDescent="0.2">
      <c r="A44" s="24" t="s">
        <v>91</v>
      </c>
      <c r="B44" s="24" t="s">
        <v>92</v>
      </c>
      <c r="C44" s="24">
        <v>3.3</v>
      </c>
      <c r="D44" s="24">
        <v>2008</v>
      </c>
      <c r="E44" s="24">
        <v>6</v>
      </c>
      <c r="F44" s="24" t="s">
        <v>82</v>
      </c>
      <c r="G44" s="24" t="s">
        <v>71</v>
      </c>
      <c r="H44" s="24">
        <v>17</v>
      </c>
      <c r="I44" s="24">
        <v>24</v>
      </c>
      <c r="J44" s="24" t="s">
        <v>83</v>
      </c>
      <c r="K44" s="24" t="s">
        <v>94</v>
      </c>
    </row>
    <row r="45" spans="1:11" x14ac:dyDescent="0.2">
      <c r="A45" s="24" t="s">
        <v>91</v>
      </c>
      <c r="B45" s="24" t="s">
        <v>92</v>
      </c>
      <c r="C45" s="24">
        <v>3.3</v>
      </c>
      <c r="D45" s="24">
        <v>2008</v>
      </c>
      <c r="E45" s="24">
        <v>6</v>
      </c>
      <c r="F45" s="24" t="s">
        <v>82</v>
      </c>
      <c r="G45" s="24" t="s">
        <v>71</v>
      </c>
      <c r="H45" s="24">
        <v>11</v>
      </c>
      <c r="I45" s="24">
        <v>17</v>
      </c>
      <c r="J45" s="24" t="s">
        <v>85</v>
      </c>
      <c r="K45" s="24" t="s">
        <v>94</v>
      </c>
    </row>
    <row r="46" spans="1:11" x14ac:dyDescent="0.2">
      <c r="A46" s="24" t="s">
        <v>91</v>
      </c>
      <c r="B46" s="24" t="s">
        <v>92</v>
      </c>
      <c r="C46" s="24">
        <v>3.8</v>
      </c>
      <c r="D46" s="24">
        <v>1999</v>
      </c>
      <c r="E46" s="24">
        <v>6</v>
      </c>
      <c r="F46" s="24" t="s">
        <v>82</v>
      </c>
      <c r="G46" s="24" t="s">
        <v>71</v>
      </c>
      <c r="H46" s="24">
        <v>15</v>
      </c>
      <c r="I46" s="24">
        <v>22</v>
      </c>
      <c r="J46" s="24" t="s">
        <v>83</v>
      </c>
      <c r="K46" s="24" t="s">
        <v>94</v>
      </c>
    </row>
    <row r="47" spans="1:11" x14ac:dyDescent="0.2">
      <c r="A47" s="24" t="s">
        <v>91</v>
      </c>
      <c r="B47" s="24" t="s">
        <v>92</v>
      </c>
      <c r="C47" s="24">
        <v>3.8</v>
      </c>
      <c r="D47" s="24">
        <v>1999</v>
      </c>
      <c r="E47" s="24">
        <v>6</v>
      </c>
      <c r="F47" s="24" t="s">
        <v>82</v>
      </c>
      <c r="G47" s="24" t="s">
        <v>71</v>
      </c>
      <c r="H47" s="24">
        <v>15</v>
      </c>
      <c r="I47" s="24">
        <v>21</v>
      </c>
      <c r="J47" s="24" t="s">
        <v>83</v>
      </c>
      <c r="K47" s="24" t="s">
        <v>94</v>
      </c>
    </row>
    <row r="48" spans="1:11" x14ac:dyDescent="0.2">
      <c r="A48" s="24" t="s">
        <v>91</v>
      </c>
      <c r="B48" s="24" t="s">
        <v>92</v>
      </c>
      <c r="C48" s="24">
        <v>3.8</v>
      </c>
      <c r="D48" s="24">
        <v>2008</v>
      </c>
      <c r="E48" s="24">
        <v>6</v>
      </c>
      <c r="F48" s="24" t="s">
        <v>95</v>
      </c>
      <c r="G48" s="24" t="s">
        <v>71</v>
      </c>
      <c r="H48" s="24">
        <v>16</v>
      </c>
      <c r="I48" s="24">
        <v>23</v>
      </c>
      <c r="J48" s="24" t="s">
        <v>83</v>
      </c>
      <c r="K48" s="24" t="s">
        <v>94</v>
      </c>
    </row>
    <row r="49" spans="1:11" x14ac:dyDescent="0.2">
      <c r="A49" s="24" t="s">
        <v>91</v>
      </c>
      <c r="B49" s="24" t="s">
        <v>92</v>
      </c>
      <c r="C49" s="24">
        <v>4</v>
      </c>
      <c r="D49" s="24">
        <v>2008</v>
      </c>
      <c r="E49" s="24">
        <v>6</v>
      </c>
      <c r="F49" s="24" t="s">
        <v>95</v>
      </c>
      <c r="G49" s="24" t="s">
        <v>71</v>
      </c>
      <c r="H49" s="24">
        <v>16</v>
      </c>
      <c r="I49" s="24">
        <v>23</v>
      </c>
      <c r="J49" s="24" t="s">
        <v>83</v>
      </c>
      <c r="K49" s="24" t="s">
        <v>94</v>
      </c>
    </row>
    <row r="50" spans="1:11" x14ac:dyDescent="0.2">
      <c r="A50" s="24" t="s">
        <v>91</v>
      </c>
      <c r="B50" s="24" t="s">
        <v>96</v>
      </c>
      <c r="C50" s="24">
        <v>3.7</v>
      </c>
      <c r="D50" s="24">
        <v>2008</v>
      </c>
      <c r="E50" s="24">
        <v>6</v>
      </c>
      <c r="F50" s="24" t="s">
        <v>74</v>
      </c>
      <c r="G50" s="24">
        <v>4</v>
      </c>
      <c r="H50" s="24">
        <v>15</v>
      </c>
      <c r="I50" s="24">
        <v>19</v>
      </c>
      <c r="J50" s="24" t="s">
        <v>83</v>
      </c>
      <c r="K50" s="24" t="s">
        <v>97</v>
      </c>
    </row>
    <row r="51" spans="1:11" x14ac:dyDescent="0.2">
      <c r="A51" s="24" t="s">
        <v>91</v>
      </c>
      <c r="B51" s="24" t="s">
        <v>96</v>
      </c>
      <c r="C51" s="24">
        <v>3.7</v>
      </c>
      <c r="D51" s="24">
        <v>2008</v>
      </c>
      <c r="E51" s="24">
        <v>6</v>
      </c>
      <c r="F51" s="24" t="s">
        <v>82</v>
      </c>
      <c r="G51" s="24">
        <v>4</v>
      </c>
      <c r="H51" s="24">
        <v>14</v>
      </c>
      <c r="I51" s="24">
        <v>18</v>
      </c>
      <c r="J51" s="24" t="s">
        <v>83</v>
      </c>
      <c r="K51" s="24" t="s">
        <v>97</v>
      </c>
    </row>
    <row r="52" spans="1:11" x14ac:dyDescent="0.2">
      <c r="A52" s="24" t="s">
        <v>91</v>
      </c>
      <c r="B52" s="24" t="s">
        <v>96</v>
      </c>
      <c r="C52" s="24">
        <v>3.9</v>
      </c>
      <c r="D52" s="24">
        <v>1999</v>
      </c>
      <c r="E52" s="24">
        <v>6</v>
      </c>
      <c r="F52" s="24" t="s">
        <v>82</v>
      </c>
      <c r="G52" s="24">
        <v>4</v>
      </c>
      <c r="H52" s="24">
        <v>13</v>
      </c>
      <c r="I52" s="24">
        <v>17</v>
      </c>
      <c r="J52" s="24" t="s">
        <v>83</v>
      </c>
      <c r="K52" s="24" t="s">
        <v>97</v>
      </c>
    </row>
    <row r="53" spans="1:11" x14ac:dyDescent="0.2">
      <c r="A53" s="24" t="s">
        <v>91</v>
      </c>
      <c r="B53" s="24" t="s">
        <v>96</v>
      </c>
      <c r="C53" s="24">
        <v>3.9</v>
      </c>
      <c r="D53" s="24">
        <v>1999</v>
      </c>
      <c r="E53" s="24">
        <v>6</v>
      </c>
      <c r="F53" s="24" t="s">
        <v>73</v>
      </c>
      <c r="G53" s="24">
        <v>4</v>
      </c>
      <c r="H53" s="24">
        <v>14</v>
      </c>
      <c r="I53" s="24">
        <v>17</v>
      </c>
      <c r="J53" s="24" t="s">
        <v>83</v>
      </c>
      <c r="K53" s="24" t="s">
        <v>97</v>
      </c>
    </row>
    <row r="54" spans="1:11" x14ac:dyDescent="0.2">
      <c r="A54" s="24" t="s">
        <v>91</v>
      </c>
      <c r="B54" s="24" t="s">
        <v>96</v>
      </c>
      <c r="C54" s="24">
        <v>4.7</v>
      </c>
      <c r="D54" s="24">
        <v>2008</v>
      </c>
      <c r="E54" s="24">
        <v>8</v>
      </c>
      <c r="F54" s="24" t="s">
        <v>70</v>
      </c>
      <c r="G54" s="24">
        <v>4</v>
      </c>
      <c r="H54" s="24">
        <v>14</v>
      </c>
      <c r="I54" s="24">
        <v>19</v>
      </c>
      <c r="J54" s="24" t="s">
        <v>83</v>
      </c>
      <c r="K54" s="24" t="s">
        <v>97</v>
      </c>
    </row>
    <row r="55" spans="1:11" x14ac:dyDescent="0.2">
      <c r="A55" s="24" t="s">
        <v>91</v>
      </c>
      <c r="B55" s="24" t="s">
        <v>96</v>
      </c>
      <c r="C55" s="24">
        <v>4.7</v>
      </c>
      <c r="D55" s="24">
        <v>2008</v>
      </c>
      <c r="E55" s="24">
        <v>8</v>
      </c>
      <c r="F55" s="24" t="s">
        <v>70</v>
      </c>
      <c r="G55" s="24">
        <v>4</v>
      </c>
      <c r="H55" s="24">
        <v>14</v>
      </c>
      <c r="I55" s="24">
        <v>19</v>
      </c>
      <c r="J55" s="24" t="s">
        <v>83</v>
      </c>
      <c r="K55" s="24" t="s">
        <v>97</v>
      </c>
    </row>
    <row r="56" spans="1:11" x14ac:dyDescent="0.2">
      <c r="A56" s="24" t="s">
        <v>91</v>
      </c>
      <c r="B56" s="24" t="s">
        <v>96</v>
      </c>
      <c r="C56" s="24">
        <v>4.7</v>
      </c>
      <c r="D56" s="24">
        <v>2008</v>
      </c>
      <c r="E56" s="24">
        <v>8</v>
      </c>
      <c r="F56" s="24" t="s">
        <v>70</v>
      </c>
      <c r="G56" s="24">
        <v>4</v>
      </c>
      <c r="H56" s="24">
        <v>9</v>
      </c>
      <c r="I56" s="24">
        <v>12</v>
      </c>
      <c r="J56" s="24" t="s">
        <v>85</v>
      </c>
      <c r="K56" s="24" t="s">
        <v>97</v>
      </c>
    </row>
    <row r="57" spans="1:11" x14ac:dyDescent="0.2">
      <c r="A57" s="24" t="s">
        <v>91</v>
      </c>
      <c r="B57" s="24" t="s">
        <v>96</v>
      </c>
      <c r="C57" s="24">
        <v>5.2</v>
      </c>
      <c r="D57" s="24">
        <v>1999</v>
      </c>
      <c r="E57" s="24">
        <v>8</v>
      </c>
      <c r="F57" s="24" t="s">
        <v>73</v>
      </c>
      <c r="G57" s="24">
        <v>4</v>
      </c>
      <c r="H57" s="24">
        <v>11</v>
      </c>
      <c r="I57" s="24">
        <v>17</v>
      </c>
      <c r="J57" s="24" t="s">
        <v>83</v>
      </c>
      <c r="K57" s="24" t="s">
        <v>97</v>
      </c>
    </row>
    <row r="58" spans="1:11" x14ac:dyDescent="0.2">
      <c r="A58" s="24" t="s">
        <v>91</v>
      </c>
      <c r="B58" s="24" t="s">
        <v>96</v>
      </c>
      <c r="C58" s="24">
        <v>5.2</v>
      </c>
      <c r="D58" s="24">
        <v>1999</v>
      </c>
      <c r="E58" s="24">
        <v>8</v>
      </c>
      <c r="F58" s="24" t="s">
        <v>82</v>
      </c>
      <c r="G58" s="24">
        <v>4</v>
      </c>
      <c r="H58" s="24">
        <v>11</v>
      </c>
      <c r="I58" s="24">
        <v>15</v>
      </c>
      <c r="J58" s="24" t="s">
        <v>83</v>
      </c>
      <c r="K58" s="24" t="s">
        <v>97</v>
      </c>
    </row>
    <row r="59" spans="1:11" x14ac:dyDescent="0.2">
      <c r="A59" s="24" t="s">
        <v>91</v>
      </c>
      <c r="B59" s="24" t="s">
        <v>98</v>
      </c>
      <c r="C59" s="24">
        <v>3.9</v>
      </c>
      <c r="D59" s="24">
        <v>1999</v>
      </c>
      <c r="E59" s="24">
        <v>6</v>
      </c>
      <c r="F59" s="24" t="s">
        <v>82</v>
      </c>
      <c r="G59" s="24">
        <v>4</v>
      </c>
      <c r="H59" s="24">
        <v>13</v>
      </c>
      <c r="I59" s="24">
        <v>17</v>
      </c>
      <c r="J59" s="24" t="s">
        <v>83</v>
      </c>
      <c r="K59" s="24" t="s">
        <v>84</v>
      </c>
    </row>
    <row r="60" spans="1:11" x14ac:dyDescent="0.2">
      <c r="A60" s="24" t="s">
        <v>91</v>
      </c>
      <c r="B60" s="24" t="s">
        <v>98</v>
      </c>
      <c r="C60" s="24">
        <v>4.7</v>
      </c>
      <c r="D60" s="24">
        <v>2008</v>
      </c>
      <c r="E60" s="24">
        <v>8</v>
      </c>
      <c r="F60" s="24" t="s">
        <v>70</v>
      </c>
      <c r="G60" s="24">
        <v>4</v>
      </c>
      <c r="H60" s="24">
        <v>13</v>
      </c>
      <c r="I60" s="24">
        <v>17</v>
      </c>
      <c r="J60" s="24" t="s">
        <v>83</v>
      </c>
      <c r="K60" s="24" t="s">
        <v>84</v>
      </c>
    </row>
    <row r="61" spans="1:11" x14ac:dyDescent="0.2">
      <c r="A61" s="24" t="s">
        <v>91</v>
      </c>
      <c r="B61" s="24" t="s">
        <v>98</v>
      </c>
      <c r="C61" s="24">
        <v>4.7</v>
      </c>
      <c r="D61" s="24">
        <v>2008</v>
      </c>
      <c r="E61" s="24">
        <v>8</v>
      </c>
      <c r="F61" s="24" t="s">
        <v>70</v>
      </c>
      <c r="G61" s="24">
        <v>4</v>
      </c>
      <c r="H61" s="24">
        <v>9</v>
      </c>
      <c r="I61" s="24">
        <v>12</v>
      </c>
      <c r="J61" s="24" t="s">
        <v>85</v>
      </c>
      <c r="K61" s="24" t="s">
        <v>84</v>
      </c>
    </row>
    <row r="62" spans="1:11" x14ac:dyDescent="0.2">
      <c r="A62" s="24" t="s">
        <v>91</v>
      </c>
      <c r="B62" s="24" t="s">
        <v>98</v>
      </c>
      <c r="C62" s="24">
        <v>4.7</v>
      </c>
      <c r="D62" s="24">
        <v>2008</v>
      </c>
      <c r="E62" s="24">
        <v>8</v>
      </c>
      <c r="F62" s="24" t="s">
        <v>70</v>
      </c>
      <c r="G62" s="24">
        <v>4</v>
      </c>
      <c r="H62" s="24">
        <v>13</v>
      </c>
      <c r="I62" s="24">
        <v>17</v>
      </c>
      <c r="J62" s="24" t="s">
        <v>83</v>
      </c>
      <c r="K62" s="24" t="s">
        <v>84</v>
      </c>
    </row>
    <row r="63" spans="1:11" x14ac:dyDescent="0.2">
      <c r="A63" s="24" t="s">
        <v>91</v>
      </c>
      <c r="B63" s="24" t="s">
        <v>98</v>
      </c>
      <c r="C63" s="24">
        <v>5.2</v>
      </c>
      <c r="D63" s="24">
        <v>1999</v>
      </c>
      <c r="E63" s="24">
        <v>8</v>
      </c>
      <c r="F63" s="24" t="s">
        <v>82</v>
      </c>
      <c r="G63" s="24">
        <v>4</v>
      </c>
      <c r="H63" s="24">
        <v>11</v>
      </c>
      <c r="I63" s="24">
        <v>16</v>
      </c>
      <c r="J63" s="24" t="s">
        <v>83</v>
      </c>
      <c r="K63" s="24" t="s">
        <v>84</v>
      </c>
    </row>
    <row r="64" spans="1:11" x14ac:dyDescent="0.2">
      <c r="A64" s="24" t="s">
        <v>91</v>
      </c>
      <c r="B64" s="24" t="s">
        <v>98</v>
      </c>
      <c r="C64" s="24">
        <v>5.7</v>
      </c>
      <c r="D64" s="24">
        <v>2008</v>
      </c>
      <c r="E64" s="24">
        <v>8</v>
      </c>
      <c r="F64" s="24" t="s">
        <v>70</v>
      </c>
      <c r="G64" s="24">
        <v>4</v>
      </c>
      <c r="H64" s="24">
        <v>13</v>
      </c>
      <c r="I64" s="24">
        <v>18</v>
      </c>
      <c r="J64" s="24" t="s">
        <v>83</v>
      </c>
      <c r="K64" s="24" t="s">
        <v>84</v>
      </c>
    </row>
    <row r="65" spans="1:11" x14ac:dyDescent="0.2">
      <c r="A65" s="24" t="s">
        <v>91</v>
      </c>
      <c r="B65" s="24" t="s">
        <v>98</v>
      </c>
      <c r="C65" s="24">
        <v>5.9</v>
      </c>
      <c r="D65" s="24">
        <v>1999</v>
      </c>
      <c r="E65" s="24">
        <v>8</v>
      </c>
      <c r="F65" s="24" t="s">
        <v>82</v>
      </c>
      <c r="G65" s="24">
        <v>4</v>
      </c>
      <c r="H65" s="24">
        <v>11</v>
      </c>
      <c r="I65" s="24">
        <v>15</v>
      </c>
      <c r="J65" s="24" t="s">
        <v>83</v>
      </c>
      <c r="K65" s="24" t="s">
        <v>84</v>
      </c>
    </row>
    <row r="66" spans="1:11" x14ac:dyDescent="0.2">
      <c r="A66" s="24" t="s">
        <v>91</v>
      </c>
      <c r="B66" s="24" t="s">
        <v>99</v>
      </c>
      <c r="C66" s="24">
        <v>4.7</v>
      </c>
      <c r="D66" s="24">
        <v>2008</v>
      </c>
      <c r="E66" s="24">
        <v>8</v>
      </c>
      <c r="F66" s="24" t="s">
        <v>74</v>
      </c>
      <c r="G66" s="24">
        <v>4</v>
      </c>
      <c r="H66" s="24">
        <v>12</v>
      </c>
      <c r="I66" s="24">
        <v>16</v>
      </c>
      <c r="J66" s="24" t="s">
        <v>83</v>
      </c>
      <c r="K66" s="24" t="s">
        <v>97</v>
      </c>
    </row>
    <row r="67" spans="1:11" x14ac:dyDescent="0.2">
      <c r="A67" s="24" t="s">
        <v>91</v>
      </c>
      <c r="B67" s="24" t="s">
        <v>99</v>
      </c>
      <c r="C67" s="24">
        <v>4.7</v>
      </c>
      <c r="D67" s="24">
        <v>2008</v>
      </c>
      <c r="E67" s="24">
        <v>8</v>
      </c>
      <c r="F67" s="24" t="s">
        <v>70</v>
      </c>
      <c r="G67" s="24">
        <v>4</v>
      </c>
      <c r="H67" s="24">
        <v>9</v>
      </c>
      <c r="I67" s="24">
        <v>12</v>
      </c>
      <c r="J67" s="24" t="s">
        <v>85</v>
      </c>
      <c r="K67" s="24" t="s">
        <v>97</v>
      </c>
    </row>
    <row r="68" spans="1:11" x14ac:dyDescent="0.2">
      <c r="A68" s="24" t="s">
        <v>91</v>
      </c>
      <c r="B68" s="24" t="s">
        <v>99</v>
      </c>
      <c r="C68" s="24">
        <v>4.7</v>
      </c>
      <c r="D68" s="24">
        <v>2008</v>
      </c>
      <c r="E68" s="24">
        <v>8</v>
      </c>
      <c r="F68" s="24" t="s">
        <v>70</v>
      </c>
      <c r="G68" s="24">
        <v>4</v>
      </c>
      <c r="H68" s="24">
        <v>13</v>
      </c>
      <c r="I68" s="24">
        <v>17</v>
      </c>
      <c r="J68" s="24" t="s">
        <v>83</v>
      </c>
      <c r="K68" s="24" t="s">
        <v>97</v>
      </c>
    </row>
    <row r="69" spans="1:11" x14ac:dyDescent="0.2">
      <c r="A69" s="24" t="s">
        <v>91</v>
      </c>
      <c r="B69" s="24" t="s">
        <v>99</v>
      </c>
      <c r="C69" s="24">
        <v>4.7</v>
      </c>
      <c r="D69" s="24">
        <v>2008</v>
      </c>
      <c r="E69" s="24">
        <v>8</v>
      </c>
      <c r="F69" s="24" t="s">
        <v>70</v>
      </c>
      <c r="G69" s="24">
        <v>4</v>
      </c>
      <c r="H69" s="24">
        <v>13</v>
      </c>
      <c r="I69" s="24">
        <v>17</v>
      </c>
      <c r="J69" s="24" t="s">
        <v>83</v>
      </c>
      <c r="K69" s="24" t="s">
        <v>97</v>
      </c>
    </row>
    <row r="70" spans="1:11" x14ac:dyDescent="0.2">
      <c r="A70" s="24" t="s">
        <v>91</v>
      </c>
      <c r="B70" s="24" t="s">
        <v>99</v>
      </c>
      <c r="C70" s="24">
        <v>4.7</v>
      </c>
      <c r="D70" s="24">
        <v>2008</v>
      </c>
      <c r="E70" s="24">
        <v>8</v>
      </c>
      <c r="F70" s="24" t="s">
        <v>74</v>
      </c>
      <c r="G70" s="24">
        <v>4</v>
      </c>
      <c r="H70" s="24">
        <v>12</v>
      </c>
      <c r="I70" s="24">
        <v>16</v>
      </c>
      <c r="J70" s="24" t="s">
        <v>83</v>
      </c>
      <c r="K70" s="24" t="s">
        <v>97</v>
      </c>
    </row>
    <row r="71" spans="1:11" x14ac:dyDescent="0.2">
      <c r="A71" s="24" t="s">
        <v>91</v>
      </c>
      <c r="B71" s="24" t="s">
        <v>99</v>
      </c>
      <c r="C71" s="24">
        <v>4.7</v>
      </c>
      <c r="D71" s="24">
        <v>2008</v>
      </c>
      <c r="E71" s="24">
        <v>8</v>
      </c>
      <c r="F71" s="24" t="s">
        <v>74</v>
      </c>
      <c r="G71" s="24">
        <v>4</v>
      </c>
      <c r="H71" s="24">
        <v>9</v>
      </c>
      <c r="I71" s="24">
        <v>12</v>
      </c>
      <c r="J71" s="24" t="s">
        <v>85</v>
      </c>
      <c r="K71" s="24" t="s">
        <v>97</v>
      </c>
    </row>
    <row r="72" spans="1:11" x14ac:dyDescent="0.2">
      <c r="A72" s="24" t="s">
        <v>91</v>
      </c>
      <c r="B72" s="24" t="s">
        <v>99</v>
      </c>
      <c r="C72" s="24">
        <v>5.2</v>
      </c>
      <c r="D72" s="24">
        <v>1999</v>
      </c>
      <c r="E72" s="24">
        <v>8</v>
      </c>
      <c r="F72" s="24" t="s">
        <v>82</v>
      </c>
      <c r="G72" s="24">
        <v>4</v>
      </c>
      <c r="H72" s="24">
        <v>11</v>
      </c>
      <c r="I72" s="24">
        <v>15</v>
      </c>
      <c r="J72" s="24" t="s">
        <v>83</v>
      </c>
      <c r="K72" s="24" t="s">
        <v>97</v>
      </c>
    </row>
    <row r="73" spans="1:11" x14ac:dyDescent="0.2">
      <c r="A73" s="24" t="s">
        <v>91</v>
      </c>
      <c r="B73" s="24" t="s">
        <v>99</v>
      </c>
      <c r="C73" s="24">
        <v>5.2</v>
      </c>
      <c r="D73" s="24">
        <v>1999</v>
      </c>
      <c r="E73" s="24">
        <v>8</v>
      </c>
      <c r="F73" s="24" t="s">
        <v>73</v>
      </c>
      <c r="G73" s="24">
        <v>4</v>
      </c>
      <c r="H73" s="24">
        <v>11</v>
      </c>
      <c r="I73" s="24">
        <v>16</v>
      </c>
      <c r="J73" s="24" t="s">
        <v>83</v>
      </c>
      <c r="K73" s="24" t="s">
        <v>97</v>
      </c>
    </row>
    <row r="74" spans="1:11" x14ac:dyDescent="0.2">
      <c r="A74" s="24" t="s">
        <v>91</v>
      </c>
      <c r="B74" s="24" t="s">
        <v>99</v>
      </c>
      <c r="C74" s="24">
        <v>5.7</v>
      </c>
      <c r="D74" s="24">
        <v>2008</v>
      </c>
      <c r="E74" s="24">
        <v>8</v>
      </c>
      <c r="F74" s="24" t="s">
        <v>70</v>
      </c>
      <c r="G74" s="24">
        <v>4</v>
      </c>
      <c r="H74" s="24">
        <v>13</v>
      </c>
      <c r="I74" s="24">
        <v>17</v>
      </c>
      <c r="J74" s="24" t="s">
        <v>83</v>
      </c>
      <c r="K74" s="24" t="s">
        <v>97</v>
      </c>
    </row>
    <row r="75" spans="1:11" x14ac:dyDescent="0.2">
      <c r="A75" s="24" t="s">
        <v>91</v>
      </c>
      <c r="B75" s="24" t="s">
        <v>99</v>
      </c>
      <c r="C75" s="24">
        <v>5.9</v>
      </c>
      <c r="D75" s="24">
        <v>1999</v>
      </c>
      <c r="E75" s="24">
        <v>8</v>
      </c>
      <c r="F75" s="24" t="s">
        <v>82</v>
      </c>
      <c r="G75" s="24">
        <v>4</v>
      </c>
      <c r="H75" s="24">
        <v>11</v>
      </c>
      <c r="I75" s="24">
        <v>15</v>
      </c>
      <c r="J75" s="24" t="s">
        <v>83</v>
      </c>
      <c r="K75" s="24" t="s">
        <v>97</v>
      </c>
    </row>
    <row r="76" spans="1:11" x14ac:dyDescent="0.2">
      <c r="A76" s="24" t="s">
        <v>100</v>
      </c>
      <c r="B76" s="24" t="s">
        <v>101</v>
      </c>
      <c r="C76" s="24">
        <v>4.5999999999999996</v>
      </c>
      <c r="D76" s="24">
        <v>1999</v>
      </c>
      <c r="E76" s="24">
        <v>8</v>
      </c>
      <c r="F76" s="24" t="s">
        <v>82</v>
      </c>
      <c r="G76" s="24" t="s">
        <v>83</v>
      </c>
      <c r="H76" s="24">
        <v>11</v>
      </c>
      <c r="I76" s="24">
        <v>17</v>
      </c>
      <c r="J76" s="24" t="s">
        <v>83</v>
      </c>
      <c r="K76" s="24" t="s">
        <v>84</v>
      </c>
    </row>
    <row r="77" spans="1:11" x14ac:dyDescent="0.2">
      <c r="A77" s="24" t="s">
        <v>100</v>
      </c>
      <c r="B77" s="24" t="s">
        <v>101</v>
      </c>
      <c r="C77" s="24">
        <v>5.4</v>
      </c>
      <c r="D77" s="24">
        <v>1999</v>
      </c>
      <c r="E77" s="24">
        <v>8</v>
      </c>
      <c r="F77" s="24" t="s">
        <v>82</v>
      </c>
      <c r="G77" s="24" t="s">
        <v>83</v>
      </c>
      <c r="H77" s="24">
        <v>11</v>
      </c>
      <c r="I77" s="24">
        <v>17</v>
      </c>
      <c r="J77" s="24" t="s">
        <v>83</v>
      </c>
      <c r="K77" s="24" t="s">
        <v>84</v>
      </c>
    </row>
    <row r="78" spans="1:11" x14ac:dyDescent="0.2">
      <c r="A78" s="24" t="s">
        <v>100</v>
      </c>
      <c r="B78" s="24" t="s">
        <v>101</v>
      </c>
      <c r="C78" s="24">
        <v>5.4</v>
      </c>
      <c r="D78" s="24">
        <v>2008</v>
      </c>
      <c r="E78" s="24">
        <v>8</v>
      </c>
      <c r="F78" s="24" t="s">
        <v>95</v>
      </c>
      <c r="G78" s="24" t="s">
        <v>83</v>
      </c>
      <c r="H78" s="24">
        <v>12</v>
      </c>
      <c r="I78" s="24">
        <v>18</v>
      </c>
      <c r="J78" s="24" t="s">
        <v>83</v>
      </c>
      <c r="K78" s="24" t="s">
        <v>84</v>
      </c>
    </row>
    <row r="79" spans="1:11" x14ac:dyDescent="0.2">
      <c r="A79" s="24" t="s">
        <v>100</v>
      </c>
      <c r="B79" s="24" t="s">
        <v>102</v>
      </c>
      <c r="C79" s="24">
        <v>4</v>
      </c>
      <c r="D79" s="24">
        <v>1999</v>
      </c>
      <c r="E79" s="24">
        <v>6</v>
      </c>
      <c r="F79" s="24" t="s">
        <v>70</v>
      </c>
      <c r="G79" s="24">
        <v>4</v>
      </c>
      <c r="H79" s="24">
        <v>14</v>
      </c>
      <c r="I79" s="24">
        <v>17</v>
      </c>
      <c r="J79" s="24" t="s">
        <v>83</v>
      </c>
      <c r="K79" s="24" t="s">
        <v>84</v>
      </c>
    </row>
    <row r="80" spans="1:11" x14ac:dyDescent="0.2">
      <c r="A80" s="24" t="s">
        <v>100</v>
      </c>
      <c r="B80" s="24" t="s">
        <v>102</v>
      </c>
      <c r="C80" s="24">
        <v>4</v>
      </c>
      <c r="D80" s="24">
        <v>1999</v>
      </c>
      <c r="E80" s="24">
        <v>6</v>
      </c>
      <c r="F80" s="24" t="s">
        <v>73</v>
      </c>
      <c r="G80" s="24">
        <v>4</v>
      </c>
      <c r="H80" s="24">
        <v>15</v>
      </c>
      <c r="I80" s="24">
        <v>19</v>
      </c>
      <c r="J80" s="24" t="s">
        <v>83</v>
      </c>
      <c r="K80" s="24" t="s">
        <v>84</v>
      </c>
    </row>
    <row r="81" spans="1:11" x14ac:dyDescent="0.2">
      <c r="A81" s="24" t="s">
        <v>100</v>
      </c>
      <c r="B81" s="24" t="s">
        <v>102</v>
      </c>
      <c r="C81" s="24">
        <v>4</v>
      </c>
      <c r="D81" s="24">
        <v>1999</v>
      </c>
      <c r="E81" s="24">
        <v>6</v>
      </c>
      <c r="F81" s="24" t="s">
        <v>70</v>
      </c>
      <c r="G81" s="24">
        <v>4</v>
      </c>
      <c r="H81" s="24">
        <v>14</v>
      </c>
      <c r="I81" s="24">
        <v>17</v>
      </c>
      <c r="J81" s="24" t="s">
        <v>83</v>
      </c>
      <c r="K81" s="24" t="s">
        <v>84</v>
      </c>
    </row>
    <row r="82" spans="1:11" x14ac:dyDescent="0.2">
      <c r="A82" s="24" t="s">
        <v>100</v>
      </c>
      <c r="B82" s="24" t="s">
        <v>102</v>
      </c>
      <c r="C82" s="24">
        <v>4</v>
      </c>
      <c r="D82" s="24">
        <v>2008</v>
      </c>
      <c r="E82" s="24">
        <v>6</v>
      </c>
      <c r="F82" s="24" t="s">
        <v>70</v>
      </c>
      <c r="G82" s="24">
        <v>4</v>
      </c>
      <c r="H82" s="24">
        <v>13</v>
      </c>
      <c r="I82" s="24">
        <v>19</v>
      </c>
      <c r="J82" s="24" t="s">
        <v>83</v>
      </c>
      <c r="K82" s="24" t="s">
        <v>84</v>
      </c>
    </row>
    <row r="83" spans="1:11" x14ac:dyDescent="0.2">
      <c r="A83" s="24" t="s">
        <v>100</v>
      </c>
      <c r="B83" s="24" t="s">
        <v>102</v>
      </c>
      <c r="C83" s="24">
        <v>4.5999999999999996</v>
      </c>
      <c r="D83" s="24">
        <v>2008</v>
      </c>
      <c r="E83" s="24">
        <v>8</v>
      </c>
      <c r="F83" s="24" t="s">
        <v>95</v>
      </c>
      <c r="G83" s="24">
        <v>4</v>
      </c>
      <c r="H83" s="24">
        <v>13</v>
      </c>
      <c r="I83" s="24">
        <v>19</v>
      </c>
      <c r="J83" s="24" t="s">
        <v>83</v>
      </c>
      <c r="K83" s="24" t="s">
        <v>84</v>
      </c>
    </row>
    <row r="84" spans="1:11" x14ac:dyDescent="0.2">
      <c r="A84" s="24" t="s">
        <v>100</v>
      </c>
      <c r="B84" s="24" t="s">
        <v>102</v>
      </c>
      <c r="C84" s="24">
        <v>5</v>
      </c>
      <c r="D84" s="24">
        <v>1999</v>
      </c>
      <c r="E84" s="24">
        <v>8</v>
      </c>
      <c r="F84" s="24" t="s">
        <v>82</v>
      </c>
      <c r="G84" s="24">
        <v>4</v>
      </c>
      <c r="H84" s="24">
        <v>13</v>
      </c>
      <c r="I84" s="24">
        <v>17</v>
      </c>
      <c r="J84" s="24" t="s">
        <v>83</v>
      </c>
      <c r="K84" s="24" t="s">
        <v>84</v>
      </c>
    </row>
    <row r="85" spans="1:11" x14ac:dyDescent="0.2">
      <c r="A85" s="24" t="s">
        <v>100</v>
      </c>
      <c r="B85" s="24" t="s">
        <v>103</v>
      </c>
      <c r="C85" s="24">
        <v>4.2</v>
      </c>
      <c r="D85" s="24">
        <v>1999</v>
      </c>
      <c r="E85" s="24">
        <v>6</v>
      </c>
      <c r="F85" s="24" t="s">
        <v>82</v>
      </c>
      <c r="G85" s="24">
        <v>4</v>
      </c>
      <c r="H85" s="24">
        <v>14</v>
      </c>
      <c r="I85" s="24">
        <v>17</v>
      </c>
      <c r="J85" s="24" t="s">
        <v>83</v>
      </c>
      <c r="K85" s="24" t="s">
        <v>97</v>
      </c>
    </row>
    <row r="86" spans="1:11" x14ac:dyDescent="0.2">
      <c r="A86" s="24" t="s">
        <v>100</v>
      </c>
      <c r="B86" s="24" t="s">
        <v>103</v>
      </c>
      <c r="C86" s="24">
        <v>4.2</v>
      </c>
      <c r="D86" s="24">
        <v>1999</v>
      </c>
      <c r="E86" s="24">
        <v>6</v>
      </c>
      <c r="F86" s="24" t="s">
        <v>73</v>
      </c>
      <c r="G86" s="24">
        <v>4</v>
      </c>
      <c r="H86" s="24">
        <v>14</v>
      </c>
      <c r="I86" s="24">
        <v>17</v>
      </c>
      <c r="J86" s="24" t="s">
        <v>83</v>
      </c>
      <c r="K86" s="24" t="s">
        <v>97</v>
      </c>
    </row>
    <row r="87" spans="1:11" x14ac:dyDescent="0.2">
      <c r="A87" s="24" t="s">
        <v>100</v>
      </c>
      <c r="B87" s="24" t="s">
        <v>103</v>
      </c>
      <c r="C87" s="24">
        <v>4.5999999999999996</v>
      </c>
      <c r="D87" s="24">
        <v>1999</v>
      </c>
      <c r="E87" s="24">
        <v>8</v>
      </c>
      <c r="F87" s="24" t="s">
        <v>73</v>
      </c>
      <c r="G87" s="24">
        <v>4</v>
      </c>
      <c r="H87" s="24">
        <v>13</v>
      </c>
      <c r="I87" s="24">
        <v>16</v>
      </c>
      <c r="J87" s="24" t="s">
        <v>83</v>
      </c>
      <c r="K87" s="24" t="s">
        <v>97</v>
      </c>
    </row>
    <row r="88" spans="1:11" x14ac:dyDescent="0.2">
      <c r="A88" s="24" t="s">
        <v>100</v>
      </c>
      <c r="B88" s="24" t="s">
        <v>103</v>
      </c>
      <c r="C88" s="24">
        <v>4.5999999999999996</v>
      </c>
      <c r="D88" s="24">
        <v>1999</v>
      </c>
      <c r="E88" s="24">
        <v>8</v>
      </c>
      <c r="F88" s="24" t="s">
        <v>82</v>
      </c>
      <c r="G88" s="24">
        <v>4</v>
      </c>
      <c r="H88" s="24">
        <v>13</v>
      </c>
      <c r="I88" s="24">
        <v>16</v>
      </c>
      <c r="J88" s="24" t="s">
        <v>83</v>
      </c>
      <c r="K88" s="24" t="s">
        <v>97</v>
      </c>
    </row>
    <row r="89" spans="1:11" x14ac:dyDescent="0.2">
      <c r="A89" s="24" t="s">
        <v>100</v>
      </c>
      <c r="B89" s="24" t="s">
        <v>103</v>
      </c>
      <c r="C89" s="24">
        <v>4.5999999999999996</v>
      </c>
      <c r="D89" s="24">
        <v>2008</v>
      </c>
      <c r="E89" s="24">
        <v>8</v>
      </c>
      <c r="F89" s="24" t="s">
        <v>82</v>
      </c>
      <c r="G89" s="24">
        <v>4</v>
      </c>
      <c r="H89" s="24">
        <v>13</v>
      </c>
      <c r="I89" s="24">
        <v>17</v>
      </c>
      <c r="J89" s="24" t="s">
        <v>83</v>
      </c>
      <c r="K89" s="24" t="s">
        <v>97</v>
      </c>
    </row>
    <row r="90" spans="1:11" x14ac:dyDescent="0.2">
      <c r="A90" s="24" t="s">
        <v>100</v>
      </c>
      <c r="B90" s="24" t="s">
        <v>103</v>
      </c>
      <c r="C90" s="24">
        <v>5.4</v>
      </c>
      <c r="D90" s="24">
        <v>1999</v>
      </c>
      <c r="E90" s="24">
        <v>8</v>
      </c>
      <c r="F90" s="24" t="s">
        <v>82</v>
      </c>
      <c r="G90" s="24">
        <v>4</v>
      </c>
      <c r="H90" s="24">
        <v>11</v>
      </c>
      <c r="I90" s="24">
        <v>15</v>
      </c>
      <c r="J90" s="24" t="s">
        <v>83</v>
      </c>
      <c r="K90" s="24" t="s">
        <v>97</v>
      </c>
    </row>
    <row r="91" spans="1:11" x14ac:dyDescent="0.2">
      <c r="A91" s="24" t="s">
        <v>100</v>
      </c>
      <c r="B91" s="24" t="s">
        <v>103</v>
      </c>
      <c r="C91" s="24">
        <v>5.4</v>
      </c>
      <c r="D91" s="24">
        <v>2008</v>
      </c>
      <c r="E91" s="24">
        <v>8</v>
      </c>
      <c r="F91" s="24" t="s">
        <v>82</v>
      </c>
      <c r="G91" s="24">
        <v>4</v>
      </c>
      <c r="H91" s="24">
        <v>13</v>
      </c>
      <c r="I91" s="24">
        <v>17</v>
      </c>
      <c r="J91" s="24" t="s">
        <v>83</v>
      </c>
      <c r="K91" s="24" t="s">
        <v>97</v>
      </c>
    </row>
    <row r="92" spans="1:11" x14ac:dyDescent="0.2">
      <c r="A92" s="24" t="s">
        <v>100</v>
      </c>
      <c r="B92" s="24" t="s">
        <v>104</v>
      </c>
      <c r="C92" s="24">
        <v>3.8</v>
      </c>
      <c r="D92" s="24">
        <v>1999</v>
      </c>
      <c r="E92" s="24">
        <v>6</v>
      </c>
      <c r="F92" s="24" t="s">
        <v>73</v>
      </c>
      <c r="G92" s="24" t="s">
        <v>83</v>
      </c>
      <c r="H92" s="24">
        <v>18</v>
      </c>
      <c r="I92" s="24">
        <v>26</v>
      </c>
      <c r="J92" s="24" t="s">
        <v>83</v>
      </c>
      <c r="K92" s="24" t="s">
        <v>105</v>
      </c>
    </row>
    <row r="93" spans="1:11" x14ac:dyDescent="0.2">
      <c r="A93" s="24" t="s">
        <v>100</v>
      </c>
      <c r="B93" s="24" t="s">
        <v>104</v>
      </c>
      <c r="C93" s="24">
        <v>3.8</v>
      </c>
      <c r="D93" s="24">
        <v>1999</v>
      </c>
      <c r="E93" s="24">
        <v>6</v>
      </c>
      <c r="F93" s="24" t="s">
        <v>82</v>
      </c>
      <c r="G93" s="24" t="s">
        <v>83</v>
      </c>
      <c r="H93" s="24">
        <v>18</v>
      </c>
      <c r="I93" s="24">
        <v>25</v>
      </c>
      <c r="J93" s="24" t="s">
        <v>83</v>
      </c>
      <c r="K93" s="24" t="s">
        <v>105</v>
      </c>
    </row>
    <row r="94" spans="1:11" x14ac:dyDescent="0.2">
      <c r="A94" s="24" t="s">
        <v>100</v>
      </c>
      <c r="B94" s="24" t="s">
        <v>104</v>
      </c>
      <c r="C94" s="24">
        <v>4</v>
      </c>
      <c r="D94" s="24">
        <v>2008</v>
      </c>
      <c r="E94" s="24">
        <v>6</v>
      </c>
      <c r="F94" s="24" t="s">
        <v>73</v>
      </c>
      <c r="G94" s="24" t="s">
        <v>83</v>
      </c>
      <c r="H94" s="24">
        <v>17</v>
      </c>
      <c r="I94" s="24">
        <v>26</v>
      </c>
      <c r="J94" s="24" t="s">
        <v>83</v>
      </c>
      <c r="K94" s="24" t="s">
        <v>105</v>
      </c>
    </row>
    <row r="95" spans="1:11" x14ac:dyDescent="0.2">
      <c r="A95" s="24" t="s">
        <v>100</v>
      </c>
      <c r="B95" s="24" t="s">
        <v>104</v>
      </c>
      <c r="C95" s="24">
        <v>4</v>
      </c>
      <c r="D95" s="24">
        <v>2008</v>
      </c>
      <c r="E95" s="24">
        <v>6</v>
      </c>
      <c r="F95" s="24" t="s">
        <v>70</v>
      </c>
      <c r="G95" s="24" t="s">
        <v>83</v>
      </c>
      <c r="H95" s="24">
        <v>16</v>
      </c>
      <c r="I95" s="24">
        <v>24</v>
      </c>
      <c r="J95" s="24" t="s">
        <v>83</v>
      </c>
      <c r="K95" s="24" t="s">
        <v>105</v>
      </c>
    </row>
    <row r="96" spans="1:11" x14ac:dyDescent="0.2">
      <c r="A96" s="24" t="s">
        <v>100</v>
      </c>
      <c r="B96" s="24" t="s">
        <v>104</v>
      </c>
      <c r="C96" s="24">
        <v>4.5999999999999996</v>
      </c>
      <c r="D96" s="24">
        <v>1999</v>
      </c>
      <c r="E96" s="24">
        <v>8</v>
      </c>
      <c r="F96" s="24" t="s">
        <v>82</v>
      </c>
      <c r="G96" s="24" t="s">
        <v>83</v>
      </c>
      <c r="H96" s="24">
        <v>15</v>
      </c>
      <c r="I96" s="24">
        <v>21</v>
      </c>
      <c r="J96" s="24" t="s">
        <v>83</v>
      </c>
      <c r="K96" s="24" t="s">
        <v>105</v>
      </c>
    </row>
    <row r="97" spans="1:11" x14ac:dyDescent="0.2">
      <c r="A97" s="24" t="s">
        <v>100</v>
      </c>
      <c r="B97" s="24" t="s">
        <v>104</v>
      </c>
      <c r="C97" s="24">
        <v>4.5999999999999996</v>
      </c>
      <c r="D97" s="24">
        <v>1999</v>
      </c>
      <c r="E97" s="24">
        <v>8</v>
      </c>
      <c r="F97" s="24" t="s">
        <v>73</v>
      </c>
      <c r="G97" s="24" t="s">
        <v>83</v>
      </c>
      <c r="H97" s="24">
        <v>15</v>
      </c>
      <c r="I97" s="24">
        <v>22</v>
      </c>
      <c r="J97" s="24" t="s">
        <v>83</v>
      </c>
      <c r="K97" s="24" t="s">
        <v>105</v>
      </c>
    </row>
    <row r="98" spans="1:11" x14ac:dyDescent="0.2">
      <c r="A98" s="24" t="s">
        <v>100</v>
      </c>
      <c r="B98" s="24" t="s">
        <v>104</v>
      </c>
      <c r="C98" s="24">
        <v>4.5999999999999996</v>
      </c>
      <c r="D98" s="24">
        <v>2008</v>
      </c>
      <c r="E98" s="24">
        <v>8</v>
      </c>
      <c r="F98" s="24" t="s">
        <v>73</v>
      </c>
      <c r="G98" s="24" t="s">
        <v>83</v>
      </c>
      <c r="H98" s="24">
        <v>15</v>
      </c>
      <c r="I98" s="24">
        <v>23</v>
      </c>
      <c r="J98" s="24" t="s">
        <v>83</v>
      </c>
      <c r="K98" s="24" t="s">
        <v>105</v>
      </c>
    </row>
    <row r="99" spans="1:11" x14ac:dyDescent="0.2">
      <c r="A99" s="24" t="s">
        <v>100</v>
      </c>
      <c r="B99" s="24" t="s">
        <v>104</v>
      </c>
      <c r="C99" s="24">
        <v>4.5999999999999996</v>
      </c>
      <c r="D99" s="24">
        <v>2008</v>
      </c>
      <c r="E99" s="24">
        <v>8</v>
      </c>
      <c r="F99" s="24" t="s">
        <v>70</v>
      </c>
      <c r="G99" s="24" t="s">
        <v>83</v>
      </c>
      <c r="H99" s="24">
        <v>15</v>
      </c>
      <c r="I99" s="24">
        <v>22</v>
      </c>
      <c r="J99" s="24" t="s">
        <v>83</v>
      </c>
      <c r="K99" s="24" t="s">
        <v>105</v>
      </c>
    </row>
    <row r="100" spans="1:11" x14ac:dyDescent="0.2">
      <c r="A100" s="24" t="s">
        <v>100</v>
      </c>
      <c r="B100" s="24" t="s">
        <v>104</v>
      </c>
      <c r="C100" s="24">
        <v>5.4</v>
      </c>
      <c r="D100" s="24">
        <v>2008</v>
      </c>
      <c r="E100" s="24">
        <v>8</v>
      </c>
      <c r="F100" s="24" t="s">
        <v>74</v>
      </c>
      <c r="G100" s="24" t="s">
        <v>83</v>
      </c>
      <c r="H100" s="24">
        <v>14</v>
      </c>
      <c r="I100" s="24">
        <v>20</v>
      </c>
      <c r="J100" s="24" t="s">
        <v>5</v>
      </c>
      <c r="K100" s="24" t="s">
        <v>105</v>
      </c>
    </row>
    <row r="101" spans="1:11" x14ac:dyDescent="0.2">
      <c r="A101" s="24" t="s">
        <v>106</v>
      </c>
      <c r="B101" s="24" t="s">
        <v>107</v>
      </c>
      <c r="C101" s="24">
        <v>1.6</v>
      </c>
      <c r="D101" s="24">
        <v>1999</v>
      </c>
      <c r="E101" s="24">
        <v>4</v>
      </c>
      <c r="F101" s="24" t="s">
        <v>73</v>
      </c>
      <c r="G101" s="24" t="s">
        <v>71</v>
      </c>
      <c r="H101" s="24">
        <v>28</v>
      </c>
      <c r="I101" s="24">
        <v>33</v>
      </c>
      <c r="J101" s="24" t="s">
        <v>83</v>
      </c>
      <c r="K101" s="24" t="s">
        <v>105</v>
      </c>
    </row>
    <row r="102" spans="1:11" x14ac:dyDescent="0.2">
      <c r="A102" s="24" t="s">
        <v>106</v>
      </c>
      <c r="B102" s="24" t="s">
        <v>107</v>
      </c>
      <c r="C102" s="24">
        <v>1.6</v>
      </c>
      <c r="D102" s="24">
        <v>1999</v>
      </c>
      <c r="E102" s="24">
        <v>4</v>
      </c>
      <c r="F102" s="24" t="s">
        <v>82</v>
      </c>
      <c r="G102" s="24" t="s">
        <v>71</v>
      </c>
      <c r="H102" s="24">
        <v>24</v>
      </c>
      <c r="I102" s="24">
        <v>32</v>
      </c>
      <c r="J102" s="24" t="s">
        <v>83</v>
      </c>
      <c r="K102" s="24" t="s">
        <v>105</v>
      </c>
    </row>
    <row r="103" spans="1:11" x14ac:dyDescent="0.2">
      <c r="A103" s="24" t="s">
        <v>106</v>
      </c>
      <c r="B103" s="24" t="s">
        <v>107</v>
      </c>
      <c r="C103" s="24">
        <v>1.6</v>
      </c>
      <c r="D103" s="24">
        <v>1999</v>
      </c>
      <c r="E103" s="24">
        <v>4</v>
      </c>
      <c r="F103" s="24" t="s">
        <v>73</v>
      </c>
      <c r="G103" s="24" t="s">
        <v>71</v>
      </c>
      <c r="H103" s="24">
        <v>25</v>
      </c>
      <c r="I103" s="24">
        <v>32</v>
      </c>
      <c r="J103" s="24" t="s">
        <v>83</v>
      </c>
      <c r="K103" s="24" t="s">
        <v>105</v>
      </c>
    </row>
    <row r="104" spans="1:11" x14ac:dyDescent="0.2">
      <c r="A104" s="24" t="s">
        <v>106</v>
      </c>
      <c r="B104" s="24" t="s">
        <v>107</v>
      </c>
      <c r="C104" s="24">
        <v>1.6</v>
      </c>
      <c r="D104" s="24">
        <v>1999</v>
      </c>
      <c r="E104" s="24">
        <v>4</v>
      </c>
      <c r="F104" s="24" t="s">
        <v>73</v>
      </c>
      <c r="G104" s="24" t="s">
        <v>71</v>
      </c>
      <c r="H104" s="24">
        <v>23</v>
      </c>
      <c r="I104" s="24">
        <v>29</v>
      </c>
      <c r="J104" s="24" t="s">
        <v>5</v>
      </c>
      <c r="K104" s="24" t="s">
        <v>105</v>
      </c>
    </row>
    <row r="105" spans="1:11" x14ac:dyDescent="0.2">
      <c r="A105" s="24" t="s">
        <v>106</v>
      </c>
      <c r="B105" s="24" t="s">
        <v>107</v>
      </c>
      <c r="C105" s="24">
        <v>1.6</v>
      </c>
      <c r="D105" s="24">
        <v>1999</v>
      </c>
      <c r="E105" s="24">
        <v>4</v>
      </c>
      <c r="F105" s="24" t="s">
        <v>82</v>
      </c>
      <c r="G105" s="24" t="s">
        <v>71</v>
      </c>
      <c r="H105" s="24">
        <v>24</v>
      </c>
      <c r="I105" s="24">
        <v>32</v>
      </c>
      <c r="J105" s="24" t="s">
        <v>83</v>
      </c>
      <c r="K105" s="24" t="s">
        <v>105</v>
      </c>
    </row>
    <row r="106" spans="1:11" x14ac:dyDescent="0.2">
      <c r="A106" s="24" t="s">
        <v>106</v>
      </c>
      <c r="B106" s="24" t="s">
        <v>107</v>
      </c>
      <c r="C106" s="24">
        <v>1.8</v>
      </c>
      <c r="D106" s="24">
        <v>2008</v>
      </c>
      <c r="E106" s="24">
        <v>4</v>
      </c>
      <c r="F106" s="24" t="s">
        <v>73</v>
      </c>
      <c r="G106" s="24" t="s">
        <v>71</v>
      </c>
      <c r="H106" s="24">
        <v>26</v>
      </c>
      <c r="I106" s="24">
        <v>34</v>
      </c>
      <c r="J106" s="24" t="s">
        <v>83</v>
      </c>
      <c r="K106" s="24" t="s">
        <v>105</v>
      </c>
    </row>
    <row r="107" spans="1:11" x14ac:dyDescent="0.2">
      <c r="A107" s="24" t="s">
        <v>106</v>
      </c>
      <c r="B107" s="24" t="s">
        <v>107</v>
      </c>
      <c r="C107" s="24">
        <v>1.8</v>
      </c>
      <c r="D107" s="24">
        <v>2008</v>
      </c>
      <c r="E107" s="24">
        <v>4</v>
      </c>
      <c r="F107" s="24" t="s">
        <v>70</v>
      </c>
      <c r="G107" s="24" t="s">
        <v>71</v>
      </c>
      <c r="H107" s="24">
        <v>25</v>
      </c>
      <c r="I107" s="24">
        <v>36</v>
      </c>
      <c r="J107" s="24" t="s">
        <v>83</v>
      </c>
      <c r="K107" s="24" t="s">
        <v>105</v>
      </c>
    </row>
    <row r="108" spans="1:11" x14ac:dyDescent="0.2">
      <c r="A108" s="24" t="s">
        <v>106</v>
      </c>
      <c r="B108" s="24" t="s">
        <v>107</v>
      </c>
      <c r="C108" s="24">
        <v>1.8</v>
      </c>
      <c r="D108" s="24">
        <v>2008</v>
      </c>
      <c r="E108" s="24">
        <v>4</v>
      </c>
      <c r="F108" s="24" t="s">
        <v>70</v>
      </c>
      <c r="G108" s="24" t="s">
        <v>71</v>
      </c>
      <c r="H108" s="24">
        <v>24</v>
      </c>
      <c r="I108" s="24">
        <v>36</v>
      </c>
      <c r="J108" s="24" t="s">
        <v>108</v>
      </c>
      <c r="K108" s="24" t="s">
        <v>105</v>
      </c>
    </row>
    <row r="109" spans="1:11" x14ac:dyDescent="0.2">
      <c r="A109" s="24" t="s">
        <v>106</v>
      </c>
      <c r="B109" s="24" t="s">
        <v>107</v>
      </c>
      <c r="C109" s="24">
        <v>2</v>
      </c>
      <c r="D109" s="24">
        <v>2008</v>
      </c>
      <c r="E109" s="24">
        <v>4</v>
      </c>
      <c r="F109" s="24" t="s">
        <v>74</v>
      </c>
      <c r="G109" s="24" t="s">
        <v>71</v>
      </c>
      <c r="H109" s="24">
        <v>21</v>
      </c>
      <c r="I109" s="24">
        <v>29</v>
      </c>
      <c r="J109" s="24" t="s">
        <v>5</v>
      </c>
      <c r="K109" s="24" t="s">
        <v>105</v>
      </c>
    </row>
    <row r="110" spans="1:11" x14ac:dyDescent="0.2">
      <c r="A110" s="24" t="s">
        <v>109</v>
      </c>
      <c r="B110" s="24" t="s">
        <v>110</v>
      </c>
      <c r="C110" s="24">
        <v>2.4</v>
      </c>
      <c r="D110" s="24">
        <v>1999</v>
      </c>
      <c r="E110" s="24">
        <v>4</v>
      </c>
      <c r="F110" s="24" t="s">
        <v>82</v>
      </c>
      <c r="G110" s="24" t="s">
        <v>71</v>
      </c>
      <c r="H110" s="24">
        <v>18</v>
      </c>
      <c r="I110" s="24">
        <v>26</v>
      </c>
      <c r="J110" s="24" t="s">
        <v>83</v>
      </c>
      <c r="K110" s="24" t="s">
        <v>79</v>
      </c>
    </row>
    <row r="111" spans="1:11" x14ac:dyDescent="0.2">
      <c r="A111" s="24" t="s">
        <v>109</v>
      </c>
      <c r="B111" s="24" t="s">
        <v>110</v>
      </c>
      <c r="C111" s="24">
        <v>2.4</v>
      </c>
      <c r="D111" s="24">
        <v>1999</v>
      </c>
      <c r="E111" s="24">
        <v>4</v>
      </c>
      <c r="F111" s="24" t="s">
        <v>73</v>
      </c>
      <c r="G111" s="24" t="s">
        <v>71</v>
      </c>
      <c r="H111" s="24">
        <v>18</v>
      </c>
      <c r="I111" s="24">
        <v>27</v>
      </c>
      <c r="J111" s="24" t="s">
        <v>83</v>
      </c>
      <c r="K111" s="24" t="s">
        <v>79</v>
      </c>
    </row>
    <row r="112" spans="1:11" x14ac:dyDescent="0.2">
      <c r="A112" s="24" t="s">
        <v>109</v>
      </c>
      <c r="B112" s="24" t="s">
        <v>110</v>
      </c>
      <c r="C112" s="24">
        <v>2.4</v>
      </c>
      <c r="D112" s="24">
        <v>2008</v>
      </c>
      <c r="E112" s="24">
        <v>4</v>
      </c>
      <c r="F112" s="24" t="s">
        <v>82</v>
      </c>
      <c r="G112" s="24" t="s">
        <v>71</v>
      </c>
      <c r="H112" s="24">
        <v>21</v>
      </c>
      <c r="I112" s="24">
        <v>30</v>
      </c>
      <c r="J112" s="24" t="s">
        <v>83</v>
      </c>
      <c r="K112" s="24" t="s">
        <v>79</v>
      </c>
    </row>
    <row r="113" spans="1:11" x14ac:dyDescent="0.2">
      <c r="A113" s="24" t="s">
        <v>109</v>
      </c>
      <c r="B113" s="24" t="s">
        <v>110</v>
      </c>
      <c r="C113" s="24">
        <v>2.4</v>
      </c>
      <c r="D113" s="24">
        <v>2008</v>
      </c>
      <c r="E113" s="24">
        <v>4</v>
      </c>
      <c r="F113" s="24" t="s">
        <v>73</v>
      </c>
      <c r="G113" s="24" t="s">
        <v>71</v>
      </c>
      <c r="H113" s="24">
        <v>21</v>
      </c>
      <c r="I113" s="24">
        <v>31</v>
      </c>
      <c r="J113" s="24" t="s">
        <v>83</v>
      </c>
      <c r="K113" s="24" t="s">
        <v>79</v>
      </c>
    </row>
    <row r="114" spans="1:11" x14ac:dyDescent="0.2">
      <c r="A114" s="24" t="s">
        <v>109</v>
      </c>
      <c r="B114" s="24" t="s">
        <v>110</v>
      </c>
      <c r="C114" s="24">
        <v>2.5</v>
      </c>
      <c r="D114" s="24">
        <v>1999</v>
      </c>
      <c r="E114" s="24">
        <v>6</v>
      </c>
      <c r="F114" s="24" t="s">
        <v>82</v>
      </c>
      <c r="G114" s="24" t="s">
        <v>71</v>
      </c>
      <c r="H114" s="24">
        <v>18</v>
      </c>
      <c r="I114" s="24">
        <v>26</v>
      </c>
      <c r="J114" s="24" t="s">
        <v>83</v>
      </c>
      <c r="K114" s="24" t="s">
        <v>79</v>
      </c>
    </row>
    <row r="115" spans="1:11" x14ac:dyDescent="0.2">
      <c r="A115" s="24" t="s">
        <v>109</v>
      </c>
      <c r="B115" s="24" t="s">
        <v>110</v>
      </c>
      <c r="C115" s="24">
        <v>2.5</v>
      </c>
      <c r="D115" s="24">
        <v>1999</v>
      </c>
      <c r="E115" s="24">
        <v>6</v>
      </c>
      <c r="F115" s="24" t="s">
        <v>73</v>
      </c>
      <c r="G115" s="24" t="s">
        <v>71</v>
      </c>
      <c r="H115" s="24">
        <v>18</v>
      </c>
      <c r="I115" s="24">
        <v>26</v>
      </c>
      <c r="J115" s="24" t="s">
        <v>83</v>
      </c>
      <c r="K115" s="24" t="s">
        <v>79</v>
      </c>
    </row>
    <row r="116" spans="1:11" x14ac:dyDescent="0.2">
      <c r="A116" s="24" t="s">
        <v>109</v>
      </c>
      <c r="B116" s="24" t="s">
        <v>110</v>
      </c>
      <c r="C116" s="24">
        <v>3.3</v>
      </c>
      <c r="D116" s="24">
        <v>2008</v>
      </c>
      <c r="E116" s="24">
        <v>6</v>
      </c>
      <c r="F116" s="24" t="s">
        <v>70</v>
      </c>
      <c r="G116" s="24" t="s">
        <v>71</v>
      </c>
      <c r="H116" s="24">
        <v>19</v>
      </c>
      <c r="I116" s="24">
        <v>28</v>
      </c>
      <c r="J116" s="24" t="s">
        <v>83</v>
      </c>
      <c r="K116" s="24" t="s">
        <v>79</v>
      </c>
    </row>
    <row r="117" spans="1:11" x14ac:dyDescent="0.2">
      <c r="A117" s="24" t="s">
        <v>109</v>
      </c>
      <c r="B117" s="24" t="s">
        <v>111</v>
      </c>
      <c r="C117" s="24">
        <v>2</v>
      </c>
      <c r="D117" s="24">
        <v>1999</v>
      </c>
      <c r="E117" s="24">
        <v>4</v>
      </c>
      <c r="F117" s="24" t="s">
        <v>82</v>
      </c>
      <c r="G117" s="24" t="s">
        <v>71</v>
      </c>
      <c r="H117" s="24">
        <v>19</v>
      </c>
      <c r="I117" s="24">
        <v>26</v>
      </c>
      <c r="J117" s="24" t="s">
        <v>83</v>
      </c>
      <c r="K117" s="24" t="s">
        <v>105</v>
      </c>
    </row>
    <row r="118" spans="1:11" x14ac:dyDescent="0.2">
      <c r="A118" s="24" t="s">
        <v>109</v>
      </c>
      <c r="B118" s="24" t="s">
        <v>111</v>
      </c>
      <c r="C118" s="24">
        <v>2</v>
      </c>
      <c r="D118" s="24">
        <v>1999</v>
      </c>
      <c r="E118" s="24">
        <v>4</v>
      </c>
      <c r="F118" s="24" t="s">
        <v>73</v>
      </c>
      <c r="G118" s="24" t="s">
        <v>71</v>
      </c>
      <c r="H118" s="24">
        <v>19</v>
      </c>
      <c r="I118" s="24">
        <v>29</v>
      </c>
      <c r="J118" s="24" t="s">
        <v>83</v>
      </c>
      <c r="K118" s="24" t="s">
        <v>105</v>
      </c>
    </row>
    <row r="119" spans="1:11" x14ac:dyDescent="0.2">
      <c r="A119" s="24" t="s">
        <v>109</v>
      </c>
      <c r="B119" s="24" t="s">
        <v>111</v>
      </c>
      <c r="C119" s="24">
        <v>2</v>
      </c>
      <c r="D119" s="24">
        <v>2008</v>
      </c>
      <c r="E119" s="24">
        <v>4</v>
      </c>
      <c r="F119" s="24" t="s">
        <v>73</v>
      </c>
      <c r="G119" s="24" t="s">
        <v>71</v>
      </c>
      <c r="H119" s="24">
        <v>20</v>
      </c>
      <c r="I119" s="24">
        <v>28</v>
      </c>
      <c r="J119" s="24" t="s">
        <v>83</v>
      </c>
      <c r="K119" s="24" t="s">
        <v>105</v>
      </c>
    </row>
    <row r="120" spans="1:11" x14ac:dyDescent="0.2">
      <c r="A120" s="24" t="s">
        <v>109</v>
      </c>
      <c r="B120" s="24" t="s">
        <v>111</v>
      </c>
      <c r="C120" s="24">
        <v>2</v>
      </c>
      <c r="D120" s="24">
        <v>2008</v>
      </c>
      <c r="E120" s="24">
        <v>4</v>
      </c>
      <c r="F120" s="24" t="s">
        <v>82</v>
      </c>
      <c r="G120" s="24" t="s">
        <v>71</v>
      </c>
      <c r="H120" s="24">
        <v>20</v>
      </c>
      <c r="I120" s="24">
        <v>27</v>
      </c>
      <c r="J120" s="24" t="s">
        <v>83</v>
      </c>
      <c r="K120" s="24" t="s">
        <v>105</v>
      </c>
    </row>
    <row r="121" spans="1:11" x14ac:dyDescent="0.2">
      <c r="A121" s="24" t="s">
        <v>109</v>
      </c>
      <c r="B121" s="24" t="s">
        <v>111</v>
      </c>
      <c r="C121" s="24">
        <v>2.7</v>
      </c>
      <c r="D121" s="24">
        <v>2008</v>
      </c>
      <c r="E121" s="24">
        <v>6</v>
      </c>
      <c r="F121" s="24" t="s">
        <v>82</v>
      </c>
      <c r="G121" s="24" t="s">
        <v>71</v>
      </c>
      <c r="H121" s="24">
        <v>17</v>
      </c>
      <c r="I121" s="24">
        <v>24</v>
      </c>
      <c r="J121" s="24" t="s">
        <v>83</v>
      </c>
      <c r="K121" s="24" t="s">
        <v>105</v>
      </c>
    </row>
    <row r="122" spans="1:11" x14ac:dyDescent="0.2">
      <c r="A122" s="24" t="s">
        <v>109</v>
      </c>
      <c r="B122" s="24" t="s">
        <v>111</v>
      </c>
      <c r="C122" s="24">
        <v>2.7</v>
      </c>
      <c r="D122" s="24">
        <v>2008</v>
      </c>
      <c r="E122" s="24">
        <v>6</v>
      </c>
      <c r="F122" s="24" t="s">
        <v>74</v>
      </c>
      <c r="G122" s="24" t="s">
        <v>71</v>
      </c>
      <c r="H122" s="24">
        <v>16</v>
      </c>
      <c r="I122" s="24">
        <v>24</v>
      </c>
      <c r="J122" s="24" t="s">
        <v>83</v>
      </c>
      <c r="K122" s="24" t="s">
        <v>105</v>
      </c>
    </row>
    <row r="123" spans="1:11" x14ac:dyDescent="0.2">
      <c r="A123" s="24" t="s">
        <v>109</v>
      </c>
      <c r="B123" s="24" t="s">
        <v>111</v>
      </c>
      <c r="C123" s="24">
        <v>2.7</v>
      </c>
      <c r="D123" s="24">
        <v>2008</v>
      </c>
      <c r="E123" s="24">
        <v>6</v>
      </c>
      <c r="F123" s="24" t="s">
        <v>73</v>
      </c>
      <c r="G123" s="24" t="s">
        <v>71</v>
      </c>
      <c r="H123" s="24">
        <v>17</v>
      </c>
      <c r="I123" s="24">
        <v>24</v>
      </c>
      <c r="J123" s="24" t="s">
        <v>83</v>
      </c>
      <c r="K123" s="24" t="s">
        <v>105</v>
      </c>
    </row>
    <row r="124" spans="1:11" x14ac:dyDescent="0.2">
      <c r="A124" s="24" t="s">
        <v>112</v>
      </c>
      <c r="B124" s="24" t="s">
        <v>113</v>
      </c>
      <c r="C124" s="24">
        <v>3</v>
      </c>
      <c r="D124" s="24">
        <v>2008</v>
      </c>
      <c r="E124" s="24">
        <v>6</v>
      </c>
      <c r="F124" s="24" t="s">
        <v>70</v>
      </c>
      <c r="G124" s="24">
        <v>4</v>
      </c>
      <c r="H124" s="24">
        <v>17</v>
      </c>
      <c r="I124" s="24">
        <v>22</v>
      </c>
      <c r="J124" s="24" t="s">
        <v>89</v>
      </c>
      <c r="K124" s="24" t="s">
        <v>84</v>
      </c>
    </row>
    <row r="125" spans="1:11" x14ac:dyDescent="0.2">
      <c r="A125" s="24" t="s">
        <v>112</v>
      </c>
      <c r="B125" s="24" t="s">
        <v>113</v>
      </c>
      <c r="C125" s="24">
        <v>3.7</v>
      </c>
      <c r="D125" s="24">
        <v>2008</v>
      </c>
      <c r="E125" s="24">
        <v>6</v>
      </c>
      <c r="F125" s="24" t="s">
        <v>70</v>
      </c>
      <c r="G125" s="24">
        <v>4</v>
      </c>
      <c r="H125" s="24">
        <v>15</v>
      </c>
      <c r="I125" s="24">
        <v>19</v>
      </c>
      <c r="J125" s="24" t="s">
        <v>83</v>
      </c>
      <c r="K125" s="24" t="s">
        <v>84</v>
      </c>
    </row>
    <row r="126" spans="1:11" x14ac:dyDescent="0.2">
      <c r="A126" s="24" t="s">
        <v>112</v>
      </c>
      <c r="B126" s="24" t="s">
        <v>113</v>
      </c>
      <c r="C126" s="24">
        <v>4</v>
      </c>
      <c r="D126" s="24">
        <v>1999</v>
      </c>
      <c r="E126" s="24">
        <v>6</v>
      </c>
      <c r="F126" s="24" t="s">
        <v>82</v>
      </c>
      <c r="G126" s="24">
        <v>4</v>
      </c>
      <c r="H126" s="24">
        <v>15</v>
      </c>
      <c r="I126" s="24">
        <v>20</v>
      </c>
      <c r="J126" s="24" t="s">
        <v>83</v>
      </c>
      <c r="K126" s="24" t="s">
        <v>84</v>
      </c>
    </row>
    <row r="127" spans="1:11" x14ac:dyDescent="0.2">
      <c r="A127" s="24" t="s">
        <v>112</v>
      </c>
      <c r="B127" s="24" t="s">
        <v>113</v>
      </c>
      <c r="C127" s="24">
        <v>4.7</v>
      </c>
      <c r="D127" s="24">
        <v>1999</v>
      </c>
      <c r="E127" s="24">
        <v>8</v>
      </c>
      <c r="F127" s="24" t="s">
        <v>82</v>
      </c>
      <c r="G127" s="24">
        <v>4</v>
      </c>
      <c r="H127" s="24">
        <v>14</v>
      </c>
      <c r="I127" s="24">
        <v>17</v>
      </c>
      <c r="J127" s="24" t="s">
        <v>83</v>
      </c>
      <c r="K127" s="24" t="s">
        <v>84</v>
      </c>
    </row>
    <row r="128" spans="1:11" x14ac:dyDescent="0.2">
      <c r="A128" s="24" t="s">
        <v>112</v>
      </c>
      <c r="B128" s="24" t="s">
        <v>113</v>
      </c>
      <c r="C128" s="24">
        <v>4.7</v>
      </c>
      <c r="D128" s="24">
        <v>2008</v>
      </c>
      <c r="E128" s="24">
        <v>8</v>
      </c>
      <c r="F128" s="24" t="s">
        <v>70</v>
      </c>
      <c r="G128" s="24">
        <v>4</v>
      </c>
      <c r="H128" s="24">
        <v>9</v>
      </c>
      <c r="I128" s="24">
        <v>12</v>
      </c>
      <c r="J128" s="24" t="s">
        <v>85</v>
      </c>
      <c r="K128" s="24" t="s">
        <v>84</v>
      </c>
    </row>
    <row r="129" spans="1:11" x14ac:dyDescent="0.2">
      <c r="A129" s="24" t="s">
        <v>112</v>
      </c>
      <c r="B129" s="24" t="s">
        <v>113</v>
      </c>
      <c r="C129" s="24">
        <v>4.7</v>
      </c>
      <c r="D129" s="24">
        <v>2008</v>
      </c>
      <c r="E129" s="24">
        <v>8</v>
      </c>
      <c r="F129" s="24" t="s">
        <v>70</v>
      </c>
      <c r="G129" s="24">
        <v>4</v>
      </c>
      <c r="H129" s="24">
        <v>14</v>
      </c>
      <c r="I129" s="24">
        <v>19</v>
      </c>
      <c r="J129" s="24" t="s">
        <v>83</v>
      </c>
      <c r="K129" s="24" t="s">
        <v>84</v>
      </c>
    </row>
    <row r="130" spans="1:11" x14ac:dyDescent="0.2">
      <c r="A130" s="24" t="s">
        <v>112</v>
      </c>
      <c r="B130" s="24" t="s">
        <v>113</v>
      </c>
      <c r="C130" s="24">
        <v>5.7</v>
      </c>
      <c r="D130" s="24">
        <v>2008</v>
      </c>
      <c r="E130" s="24">
        <v>8</v>
      </c>
      <c r="F130" s="24" t="s">
        <v>70</v>
      </c>
      <c r="G130" s="24">
        <v>4</v>
      </c>
      <c r="H130" s="24">
        <v>13</v>
      </c>
      <c r="I130" s="24">
        <v>18</v>
      </c>
      <c r="J130" s="24" t="s">
        <v>83</v>
      </c>
      <c r="K130" s="24" t="s">
        <v>84</v>
      </c>
    </row>
    <row r="131" spans="1:11" x14ac:dyDescent="0.2">
      <c r="A131" s="24" t="s">
        <v>112</v>
      </c>
      <c r="B131" s="24" t="s">
        <v>113</v>
      </c>
      <c r="C131" s="24">
        <v>6.1</v>
      </c>
      <c r="D131" s="24">
        <v>2008</v>
      </c>
      <c r="E131" s="24">
        <v>8</v>
      </c>
      <c r="F131" s="24" t="s">
        <v>70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84</v>
      </c>
    </row>
    <row r="132" spans="1:11" x14ac:dyDescent="0.2">
      <c r="A132" s="24" t="s">
        <v>114</v>
      </c>
      <c r="B132" s="24" t="s">
        <v>115</v>
      </c>
      <c r="C132" s="24">
        <v>4</v>
      </c>
      <c r="D132" s="24">
        <v>1999</v>
      </c>
      <c r="E132" s="24">
        <v>8</v>
      </c>
      <c r="F132" s="24" t="s">
        <v>82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84</v>
      </c>
    </row>
    <row r="133" spans="1:11" x14ac:dyDescent="0.2">
      <c r="A133" s="24" t="s">
        <v>114</v>
      </c>
      <c r="B133" s="24" t="s">
        <v>115</v>
      </c>
      <c r="C133" s="24">
        <v>4.2</v>
      </c>
      <c r="D133" s="24">
        <v>2008</v>
      </c>
      <c r="E133" s="24">
        <v>8</v>
      </c>
      <c r="F133" s="24" t="s">
        <v>77</v>
      </c>
      <c r="G133" s="24">
        <v>4</v>
      </c>
      <c r="H133" s="24">
        <v>12</v>
      </c>
      <c r="I133" s="24">
        <v>18</v>
      </c>
      <c r="J133" s="24" t="s">
        <v>83</v>
      </c>
      <c r="K133" s="24" t="s">
        <v>84</v>
      </c>
    </row>
    <row r="134" spans="1:11" x14ac:dyDescent="0.2">
      <c r="A134" s="24" t="s">
        <v>114</v>
      </c>
      <c r="B134" s="24" t="s">
        <v>115</v>
      </c>
      <c r="C134" s="24">
        <v>4.4000000000000004</v>
      </c>
      <c r="D134" s="24">
        <v>2008</v>
      </c>
      <c r="E134" s="24">
        <v>8</v>
      </c>
      <c r="F134" s="24" t="s">
        <v>77</v>
      </c>
      <c r="G134" s="24">
        <v>4</v>
      </c>
      <c r="H134" s="24">
        <v>12</v>
      </c>
      <c r="I134" s="24">
        <v>18</v>
      </c>
      <c r="J134" s="24" t="s">
        <v>83</v>
      </c>
      <c r="K134" s="24" t="s">
        <v>84</v>
      </c>
    </row>
    <row r="135" spans="1:11" x14ac:dyDescent="0.2">
      <c r="A135" s="24" t="s">
        <v>114</v>
      </c>
      <c r="B135" s="24" t="s">
        <v>115</v>
      </c>
      <c r="C135" s="24">
        <v>4.5999999999999996</v>
      </c>
      <c r="D135" s="24">
        <v>1999</v>
      </c>
      <c r="E135" s="24">
        <v>8</v>
      </c>
      <c r="F135" s="24" t="s">
        <v>82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84</v>
      </c>
    </row>
    <row r="136" spans="1:11" x14ac:dyDescent="0.2">
      <c r="A136" s="24" t="s">
        <v>116</v>
      </c>
      <c r="B136" s="24" t="s">
        <v>117</v>
      </c>
      <c r="C136" s="24">
        <v>5.4</v>
      </c>
      <c r="D136" s="24">
        <v>1999</v>
      </c>
      <c r="E136" s="24">
        <v>8</v>
      </c>
      <c r="F136" s="24" t="s">
        <v>82</v>
      </c>
      <c r="G136" s="24" t="s">
        <v>83</v>
      </c>
      <c r="H136" s="24">
        <v>11</v>
      </c>
      <c r="I136" s="24">
        <v>17</v>
      </c>
      <c r="J136" s="24" t="s">
        <v>83</v>
      </c>
      <c r="K136" s="24" t="s">
        <v>84</v>
      </c>
    </row>
    <row r="137" spans="1:11" x14ac:dyDescent="0.2">
      <c r="A137" s="24" t="s">
        <v>116</v>
      </c>
      <c r="B137" s="24" t="s">
        <v>117</v>
      </c>
      <c r="C137" s="24">
        <v>5.4</v>
      </c>
      <c r="D137" s="24">
        <v>1999</v>
      </c>
      <c r="E137" s="24">
        <v>8</v>
      </c>
      <c r="F137" s="24" t="s">
        <v>82</v>
      </c>
      <c r="G137" s="24" t="s">
        <v>83</v>
      </c>
      <c r="H137" s="24">
        <v>11</v>
      </c>
      <c r="I137" s="24">
        <v>16</v>
      </c>
      <c r="J137" s="24" t="s">
        <v>5</v>
      </c>
      <c r="K137" s="24" t="s">
        <v>84</v>
      </c>
    </row>
    <row r="138" spans="1:11" x14ac:dyDescent="0.2">
      <c r="A138" s="24" t="s">
        <v>116</v>
      </c>
      <c r="B138" s="24" t="s">
        <v>117</v>
      </c>
      <c r="C138" s="24">
        <v>5.4</v>
      </c>
      <c r="D138" s="24">
        <v>2008</v>
      </c>
      <c r="E138" s="24">
        <v>8</v>
      </c>
      <c r="F138" s="24" t="s">
        <v>95</v>
      </c>
      <c r="G138" s="24" t="s">
        <v>83</v>
      </c>
      <c r="H138" s="24">
        <v>12</v>
      </c>
      <c r="I138" s="24">
        <v>18</v>
      </c>
      <c r="J138" s="24" t="s">
        <v>83</v>
      </c>
      <c r="K138" s="24" t="s">
        <v>84</v>
      </c>
    </row>
    <row r="139" spans="1:11" x14ac:dyDescent="0.2">
      <c r="A139" s="24" t="s">
        <v>118</v>
      </c>
      <c r="B139" s="24" t="s">
        <v>119</v>
      </c>
      <c r="C139" s="24">
        <v>4</v>
      </c>
      <c r="D139" s="24">
        <v>1999</v>
      </c>
      <c r="E139" s="24">
        <v>6</v>
      </c>
      <c r="F139" s="24" t="s">
        <v>70</v>
      </c>
      <c r="G139" s="24">
        <v>4</v>
      </c>
      <c r="H139" s="24">
        <v>14</v>
      </c>
      <c r="I139" s="24">
        <v>17</v>
      </c>
      <c r="J139" s="24" t="s">
        <v>83</v>
      </c>
      <c r="K139" s="24" t="s">
        <v>84</v>
      </c>
    </row>
    <row r="140" spans="1:11" x14ac:dyDescent="0.2">
      <c r="A140" s="24" t="s">
        <v>118</v>
      </c>
      <c r="B140" s="24" t="s">
        <v>119</v>
      </c>
      <c r="C140" s="24">
        <v>4</v>
      </c>
      <c r="D140" s="24">
        <v>2008</v>
      </c>
      <c r="E140" s="24">
        <v>6</v>
      </c>
      <c r="F140" s="24" t="s">
        <v>70</v>
      </c>
      <c r="G140" s="24">
        <v>4</v>
      </c>
      <c r="H140" s="24">
        <v>13</v>
      </c>
      <c r="I140" s="24">
        <v>19</v>
      </c>
      <c r="J140" s="24" t="s">
        <v>83</v>
      </c>
      <c r="K140" s="24" t="s">
        <v>84</v>
      </c>
    </row>
    <row r="141" spans="1:11" x14ac:dyDescent="0.2">
      <c r="A141" s="24" t="s">
        <v>118</v>
      </c>
      <c r="B141" s="24" t="s">
        <v>119</v>
      </c>
      <c r="C141" s="24">
        <v>4.5999999999999996</v>
      </c>
      <c r="D141" s="24">
        <v>2008</v>
      </c>
      <c r="E141" s="24">
        <v>8</v>
      </c>
      <c r="F141" s="24" t="s">
        <v>95</v>
      </c>
      <c r="G141" s="24">
        <v>4</v>
      </c>
      <c r="H141" s="24">
        <v>13</v>
      </c>
      <c r="I141" s="24">
        <v>19</v>
      </c>
      <c r="J141" s="24" t="s">
        <v>83</v>
      </c>
      <c r="K141" s="24" t="s">
        <v>84</v>
      </c>
    </row>
    <row r="142" spans="1:11" x14ac:dyDescent="0.2">
      <c r="A142" s="24" t="s">
        <v>118</v>
      </c>
      <c r="B142" s="24" t="s">
        <v>119</v>
      </c>
      <c r="C142" s="24">
        <v>5</v>
      </c>
      <c r="D142" s="24">
        <v>1999</v>
      </c>
      <c r="E142" s="24">
        <v>8</v>
      </c>
      <c r="F142" s="24" t="s">
        <v>82</v>
      </c>
      <c r="G142" s="24">
        <v>4</v>
      </c>
      <c r="H142" s="24">
        <v>13</v>
      </c>
      <c r="I142" s="24">
        <v>17</v>
      </c>
      <c r="J142" s="24" t="s">
        <v>83</v>
      </c>
      <c r="K142" s="24" t="s">
        <v>84</v>
      </c>
    </row>
    <row r="143" spans="1:11" x14ac:dyDescent="0.2">
      <c r="A143" s="24" t="s">
        <v>120</v>
      </c>
      <c r="B143" s="24" t="s">
        <v>121</v>
      </c>
      <c r="C143" s="24">
        <v>2.4</v>
      </c>
      <c r="D143" s="24">
        <v>1999</v>
      </c>
      <c r="E143" s="24">
        <v>4</v>
      </c>
      <c r="F143" s="24" t="s">
        <v>73</v>
      </c>
      <c r="G143" s="24" t="s">
        <v>71</v>
      </c>
      <c r="H143" s="24">
        <v>21</v>
      </c>
      <c r="I143" s="24">
        <v>29</v>
      </c>
      <c r="J143" s="24" t="s">
        <v>83</v>
      </c>
      <c r="K143" s="24" t="s">
        <v>72</v>
      </c>
    </row>
    <row r="144" spans="1:11" x14ac:dyDescent="0.2">
      <c r="A144" s="24" t="s">
        <v>120</v>
      </c>
      <c r="B144" s="24" t="s">
        <v>121</v>
      </c>
      <c r="C144" s="24">
        <v>2.4</v>
      </c>
      <c r="D144" s="24">
        <v>1999</v>
      </c>
      <c r="E144" s="24">
        <v>4</v>
      </c>
      <c r="F144" s="24" t="s">
        <v>82</v>
      </c>
      <c r="G144" s="24" t="s">
        <v>71</v>
      </c>
      <c r="H144" s="24">
        <v>19</v>
      </c>
      <c r="I144" s="24">
        <v>27</v>
      </c>
      <c r="J144" s="24" t="s">
        <v>83</v>
      </c>
      <c r="K144" s="24" t="s">
        <v>72</v>
      </c>
    </row>
    <row r="145" spans="1:11" x14ac:dyDescent="0.2">
      <c r="A145" s="24" t="s">
        <v>120</v>
      </c>
      <c r="B145" s="24" t="s">
        <v>121</v>
      </c>
      <c r="C145" s="24">
        <v>2.5</v>
      </c>
      <c r="D145" s="24">
        <v>2008</v>
      </c>
      <c r="E145" s="24">
        <v>4</v>
      </c>
      <c r="F145" s="24" t="s">
        <v>75</v>
      </c>
      <c r="G145" s="24" t="s">
        <v>71</v>
      </c>
      <c r="H145" s="24">
        <v>23</v>
      </c>
      <c r="I145" s="24">
        <v>31</v>
      </c>
      <c r="J145" s="24" t="s">
        <v>83</v>
      </c>
      <c r="K145" s="24" t="s">
        <v>79</v>
      </c>
    </row>
    <row r="146" spans="1:11" x14ac:dyDescent="0.2">
      <c r="A146" s="24" t="s">
        <v>120</v>
      </c>
      <c r="B146" s="24" t="s">
        <v>121</v>
      </c>
      <c r="C146" s="24">
        <v>2.5</v>
      </c>
      <c r="D146" s="24">
        <v>2008</v>
      </c>
      <c r="E146" s="24">
        <v>4</v>
      </c>
      <c r="F146" s="24" t="s">
        <v>74</v>
      </c>
      <c r="G146" s="24" t="s">
        <v>71</v>
      </c>
      <c r="H146" s="24">
        <v>23</v>
      </c>
      <c r="I146" s="24">
        <v>32</v>
      </c>
      <c r="J146" s="24" t="s">
        <v>83</v>
      </c>
      <c r="K146" s="24" t="s">
        <v>79</v>
      </c>
    </row>
    <row r="147" spans="1:11" x14ac:dyDescent="0.2">
      <c r="A147" s="24" t="s">
        <v>120</v>
      </c>
      <c r="B147" s="24" t="s">
        <v>121</v>
      </c>
      <c r="C147" s="24">
        <v>3.5</v>
      </c>
      <c r="D147" s="24">
        <v>2008</v>
      </c>
      <c r="E147" s="24">
        <v>6</v>
      </c>
      <c r="F147" s="24" t="s">
        <v>74</v>
      </c>
      <c r="G147" s="24" t="s">
        <v>71</v>
      </c>
      <c r="H147" s="24">
        <v>19</v>
      </c>
      <c r="I147" s="24">
        <v>27</v>
      </c>
      <c r="J147" s="24" t="s">
        <v>5</v>
      </c>
      <c r="K147" s="24" t="s">
        <v>79</v>
      </c>
    </row>
    <row r="148" spans="1:11" x14ac:dyDescent="0.2">
      <c r="A148" s="24" t="s">
        <v>120</v>
      </c>
      <c r="B148" s="24" t="s">
        <v>121</v>
      </c>
      <c r="C148" s="24">
        <v>3.5</v>
      </c>
      <c r="D148" s="24">
        <v>2008</v>
      </c>
      <c r="E148" s="24">
        <v>6</v>
      </c>
      <c r="F148" s="24" t="s">
        <v>75</v>
      </c>
      <c r="G148" s="24" t="s">
        <v>71</v>
      </c>
      <c r="H148" s="24">
        <v>19</v>
      </c>
      <c r="I148" s="24">
        <v>26</v>
      </c>
      <c r="J148" s="24" t="s">
        <v>5</v>
      </c>
      <c r="K148" s="24" t="s">
        <v>79</v>
      </c>
    </row>
    <row r="149" spans="1:11" x14ac:dyDescent="0.2">
      <c r="A149" s="24" t="s">
        <v>120</v>
      </c>
      <c r="B149" s="24" t="s">
        <v>122</v>
      </c>
      <c r="C149" s="24">
        <v>3</v>
      </c>
      <c r="D149" s="24">
        <v>1999</v>
      </c>
      <c r="E149" s="24">
        <v>6</v>
      </c>
      <c r="F149" s="24" t="s">
        <v>82</v>
      </c>
      <c r="G149" s="24" t="s">
        <v>71</v>
      </c>
      <c r="H149" s="24">
        <v>18</v>
      </c>
      <c r="I149" s="24">
        <v>26</v>
      </c>
      <c r="J149" s="24" t="s">
        <v>83</v>
      </c>
      <c r="K149" s="24" t="s">
        <v>79</v>
      </c>
    </row>
    <row r="150" spans="1:11" x14ac:dyDescent="0.2">
      <c r="A150" s="24" t="s">
        <v>120</v>
      </c>
      <c r="B150" s="24" t="s">
        <v>122</v>
      </c>
      <c r="C150" s="24">
        <v>3</v>
      </c>
      <c r="D150" s="24">
        <v>1999</v>
      </c>
      <c r="E150" s="24">
        <v>6</v>
      </c>
      <c r="F150" s="24" t="s">
        <v>73</v>
      </c>
      <c r="G150" s="24" t="s">
        <v>71</v>
      </c>
      <c r="H150" s="24">
        <v>19</v>
      </c>
      <c r="I150" s="24">
        <v>25</v>
      </c>
      <c r="J150" s="24" t="s">
        <v>83</v>
      </c>
      <c r="K150" s="24" t="s">
        <v>79</v>
      </c>
    </row>
    <row r="151" spans="1:11" x14ac:dyDescent="0.2">
      <c r="A151" s="24" t="s">
        <v>120</v>
      </c>
      <c r="B151" s="24" t="s">
        <v>122</v>
      </c>
      <c r="C151" s="24">
        <v>3.5</v>
      </c>
      <c r="D151" s="24">
        <v>2008</v>
      </c>
      <c r="E151" s="24">
        <v>6</v>
      </c>
      <c r="F151" s="24" t="s">
        <v>75</v>
      </c>
      <c r="G151" s="24" t="s">
        <v>71</v>
      </c>
      <c r="H151" s="24">
        <v>19</v>
      </c>
      <c r="I151" s="24">
        <v>25</v>
      </c>
      <c r="J151" s="24" t="s">
        <v>5</v>
      </c>
      <c r="K151" s="24" t="s">
        <v>79</v>
      </c>
    </row>
    <row r="152" spans="1:11" x14ac:dyDescent="0.2">
      <c r="A152" s="24" t="s">
        <v>120</v>
      </c>
      <c r="B152" s="24" t="s">
        <v>123</v>
      </c>
      <c r="C152" s="24">
        <v>3.3</v>
      </c>
      <c r="D152" s="24">
        <v>1999</v>
      </c>
      <c r="E152" s="24">
        <v>6</v>
      </c>
      <c r="F152" s="24" t="s">
        <v>82</v>
      </c>
      <c r="G152" s="24">
        <v>4</v>
      </c>
      <c r="H152" s="24">
        <v>14</v>
      </c>
      <c r="I152" s="24">
        <v>17</v>
      </c>
      <c r="J152" s="24" t="s">
        <v>83</v>
      </c>
      <c r="K152" s="24" t="s">
        <v>84</v>
      </c>
    </row>
    <row r="153" spans="1:11" x14ac:dyDescent="0.2">
      <c r="A153" s="24" t="s">
        <v>120</v>
      </c>
      <c r="B153" s="24" t="s">
        <v>123</v>
      </c>
      <c r="C153" s="24">
        <v>3.3</v>
      </c>
      <c r="D153" s="24">
        <v>1999</v>
      </c>
      <c r="E153" s="24">
        <v>6</v>
      </c>
      <c r="F153" s="24" t="s">
        <v>73</v>
      </c>
      <c r="G153" s="24">
        <v>4</v>
      </c>
      <c r="H153" s="24">
        <v>15</v>
      </c>
      <c r="I153" s="24">
        <v>17</v>
      </c>
      <c r="J153" s="24" t="s">
        <v>83</v>
      </c>
      <c r="K153" s="24" t="s">
        <v>84</v>
      </c>
    </row>
    <row r="154" spans="1:11" x14ac:dyDescent="0.2">
      <c r="A154" s="24" t="s">
        <v>120</v>
      </c>
      <c r="B154" s="24" t="s">
        <v>123</v>
      </c>
      <c r="C154" s="24">
        <v>4</v>
      </c>
      <c r="D154" s="24">
        <v>2008</v>
      </c>
      <c r="E154" s="24">
        <v>6</v>
      </c>
      <c r="F154" s="24" t="s">
        <v>70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84</v>
      </c>
    </row>
    <row r="155" spans="1:11" x14ac:dyDescent="0.2">
      <c r="A155" s="24" t="s">
        <v>120</v>
      </c>
      <c r="B155" s="24" t="s">
        <v>123</v>
      </c>
      <c r="C155" s="24">
        <v>5.6</v>
      </c>
      <c r="D155" s="24">
        <v>2008</v>
      </c>
      <c r="E155" s="24">
        <v>8</v>
      </c>
      <c r="F155" s="24" t="s">
        <v>124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84</v>
      </c>
    </row>
    <row r="156" spans="1:11" x14ac:dyDescent="0.2">
      <c r="A156" s="24" t="s">
        <v>125</v>
      </c>
      <c r="B156" s="24" t="s">
        <v>126</v>
      </c>
      <c r="C156" s="24">
        <v>3.1</v>
      </c>
      <c r="D156" s="24">
        <v>1999</v>
      </c>
      <c r="E156" s="24">
        <v>6</v>
      </c>
      <c r="F156" s="24" t="s">
        <v>82</v>
      </c>
      <c r="G156" s="24" t="s">
        <v>71</v>
      </c>
      <c r="H156" s="24">
        <v>18</v>
      </c>
      <c r="I156" s="24">
        <v>26</v>
      </c>
      <c r="J156" s="24" t="s">
        <v>83</v>
      </c>
      <c r="K156" s="24" t="s">
        <v>79</v>
      </c>
    </row>
    <row r="157" spans="1:11" x14ac:dyDescent="0.2">
      <c r="A157" s="24" t="s">
        <v>125</v>
      </c>
      <c r="B157" s="24" t="s">
        <v>126</v>
      </c>
      <c r="C157" s="24">
        <v>3.8</v>
      </c>
      <c r="D157" s="24">
        <v>1999</v>
      </c>
      <c r="E157" s="24">
        <v>6</v>
      </c>
      <c r="F157" s="24" t="s">
        <v>82</v>
      </c>
      <c r="G157" s="24" t="s">
        <v>71</v>
      </c>
      <c r="H157" s="24">
        <v>16</v>
      </c>
      <c r="I157" s="24">
        <v>26</v>
      </c>
      <c r="J157" s="24" t="s">
        <v>5</v>
      </c>
      <c r="K157" s="24" t="s">
        <v>79</v>
      </c>
    </row>
    <row r="158" spans="1:11" x14ac:dyDescent="0.2">
      <c r="A158" s="24" t="s">
        <v>125</v>
      </c>
      <c r="B158" s="24" t="s">
        <v>126</v>
      </c>
      <c r="C158" s="24">
        <v>3.8</v>
      </c>
      <c r="D158" s="24">
        <v>1999</v>
      </c>
      <c r="E158" s="24">
        <v>6</v>
      </c>
      <c r="F158" s="24" t="s">
        <v>82</v>
      </c>
      <c r="G158" s="24" t="s">
        <v>71</v>
      </c>
      <c r="H158" s="24">
        <v>17</v>
      </c>
      <c r="I158" s="24">
        <v>27</v>
      </c>
      <c r="J158" s="24" t="s">
        <v>83</v>
      </c>
      <c r="K158" s="24" t="s">
        <v>79</v>
      </c>
    </row>
    <row r="159" spans="1:11" x14ac:dyDescent="0.2">
      <c r="A159" s="24" t="s">
        <v>125</v>
      </c>
      <c r="B159" s="24" t="s">
        <v>126</v>
      </c>
      <c r="C159" s="24">
        <v>3.8</v>
      </c>
      <c r="D159" s="24">
        <v>2008</v>
      </c>
      <c r="E159" s="24">
        <v>6</v>
      </c>
      <c r="F159" s="24" t="s">
        <v>82</v>
      </c>
      <c r="G159" s="24" t="s">
        <v>71</v>
      </c>
      <c r="H159" s="24">
        <v>18</v>
      </c>
      <c r="I159" s="24">
        <v>28</v>
      </c>
      <c r="J159" s="24" t="s">
        <v>83</v>
      </c>
      <c r="K159" s="24" t="s">
        <v>79</v>
      </c>
    </row>
    <row r="160" spans="1:11" x14ac:dyDescent="0.2">
      <c r="A160" s="24" t="s">
        <v>125</v>
      </c>
      <c r="B160" s="24" t="s">
        <v>126</v>
      </c>
      <c r="C160" s="24">
        <v>5.3</v>
      </c>
      <c r="D160" s="24">
        <v>2008</v>
      </c>
      <c r="E160" s="24">
        <v>8</v>
      </c>
      <c r="F160" s="24" t="s">
        <v>127</v>
      </c>
      <c r="G160" s="24" t="s">
        <v>71</v>
      </c>
      <c r="H160" s="24">
        <v>16</v>
      </c>
      <c r="I160" s="24">
        <v>25</v>
      </c>
      <c r="J160" s="24" t="s">
        <v>5</v>
      </c>
      <c r="K160" s="24" t="s">
        <v>79</v>
      </c>
    </row>
    <row r="161" spans="1:11" x14ac:dyDescent="0.2">
      <c r="A161" s="24" t="s">
        <v>128</v>
      </c>
      <c r="B161" s="24" t="s">
        <v>129</v>
      </c>
      <c r="C161" s="24">
        <v>2.5</v>
      </c>
      <c r="D161" s="24">
        <v>1999</v>
      </c>
      <c r="E161" s="24">
        <v>4</v>
      </c>
      <c r="F161" s="24" t="s">
        <v>73</v>
      </c>
      <c r="G161" s="24">
        <v>4</v>
      </c>
      <c r="H161" s="24">
        <v>18</v>
      </c>
      <c r="I161" s="24">
        <v>25</v>
      </c>
      <c r="J161" s="24" t="s">
        <v>83</v>
      </c>
      <c r="K161" s="24" t="s">
        <v>84</v>
      </c>
    </row>
    <row r="162" spans="1:11" x14ac:dyDescent="0.2">
      <c r="A162" s="24" t="s">
        <v>128</v>
      </c>
      <c r="B162" s="24" t="s">
        <v>129</v>
      </c>
      <c r="C162" s="24">
        <v>2.5</v>
      </c>
      <c r="D162" s="24">
        <v>1999</v>
      </c>
      <c r="E162" s="24">
        <v>4</v>
      </c>
      <c r="F162" s="24" t="s">
        <v>82</v>
      </c>
      <c r="G162" s="24">
        <v>4</v>
      </c>
      <c r="H162" s="24">
        <v>18</v>
      </c>
      <c r="I162" s="24">
        <v>24</v>
      </c>
      <c r="J162" s="24" t="s">
        <v>83</v>
      </c>
      <c r="K162" s="24" t="s">
        <v>84</v>
      </c>
    </row>
    <row r="163" spans="1:11" x14ac:dyDescent="0.2">
      <c r="A163" s="24" t="s">
        <v>128</v>
      </c>
      <c r="B163" s="24" t="s">
        <v>129</v>
      </c>
      <c r="C163" s="24">
        <v>2.5</v>
      </c>
      <c r="D163" s="24">
        <v>2008</v>
      </c>
      <c r="E163" s="24">
        <v>4</v>
      </c>
      <c r="F163" s="24" t="s">
        <v>73</v>
      </c>
      <c r="G163" s="24">
        <v>4</v>
      </c>
      <c r="H163" s="24">
        <v>20</v>
      </c>
      <c r="I163" s="24">
        <v>27</v>
      </c>
      <c r="J163" s="24" t="s">
        <v>83</v>
      </c>
      <c r="K163" s="24" t="s">
        <v>84</v>
      </c>
    </row>
    <row r="164" spans="1:11" x14ac:dyDescent="0.2">
      <c r="A164" s="24" t="s">
        <v>128</v>
      </c>
      <c r="B164" s="24" t="s">
        <v>129</v>
      </c>
      <c r="C164" s="24">
        <v>2.5</v>
      </c>
      <c r="D164" s="24">
        <v>2008</v>
      </c>
      <c r="E164" s="24">
        <v>4</v>
      </c>
      <c r="F164" s="24" t="s">
        <v>73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84</v>
      </c>
    </row>
    <row r="165" spans="1:11" x14ac:dyDescent="0.2">
      <c r="A165" s="24" t="s">
        <v>128</v>
      </c>
      <c r="B165" s="24" t="s">
        <v>129</v>
      </c>
      <c r="C165" s="24">
        <v>2.5</v>
      </c>
      <c r="D165" s="24">
        <v>2008</v>
      </c>
      <c r="E165" s="24">
        <v>4</v>
      </c>
      <c r="F165" s="24" t="s">
        <v>82</v>
      </c>
      <c r="G165" s="24">
        <v>4</v>
      </c>
      <c r="H165" s="24">
        <v>20</v>
      </c>
      <c r="I165" s="24">
        <v>26</v>
      </c>
      <c r="J165" s="24" t="s">
        <v>83</v>
      </c>
      <c r="K165" s="24" t="s">
        <v>84</v>
      </c>
    </row>
    <row r="166" spans="1:11" x14ac:dyDescent="0.2">
      <c r="A166" s="24" t="s">
        <v>128</v>
      </c>
      <c r="B166" s="24" t="s">
        <v>129</v>
      </c>
      <c r="C166" s="24">
        <v>2.5</v>
      </c>
      <c r="D166" s="24">
        <v>2008</v>
      </c>
      <c r="E166" s="24">
        <v>4</v>
      </c>
      <c r="F166" s="24" t="s">
        <v>82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84</v>
      </c>
    </row>
    <row r="167" spans="1:11" x14ac:dyDescent="0.2">
      <c r="A167" s="24" t="s">
        <v>128</v>
      </c>
      <c r="B167" s="24" t="s">
        <v>130</v>
      </c>
      <c r="C167" s="24">
        <v>2.2000000000000002</v>
      </c>
      <c r="D167" s="24">
        <v>1999</v>
      </c>
      <c r="E167" s="24">
        <v>4</v>
      </c>
      <c r="F167" s="24" t="s">
        <v>82</v>
      </c>
      <c r="G167" s="24">
        <v>4</v>
      </c>
      <c r="H167" s="24">
        <v>21</v>
      </c>
      <c r="I167" s="24">
        <v>26</v>
      </c>
      <c r="J167" s="24" t="s">
        <v>83</v>
      </c>
      <c r="K167" s="24" t="s">
        <v>105</v>
      </c>
    </row>
    <row r="168" spans="1:11" x14ac:dyDescent="0.2">
      <c r="A168" s="24" t="s">
        <v>128</v>
      </c>
      <c r="B168" s="24" t="s">
        <v>130</v>
      </c>
      <c r="C168" s="24">
        <v>2.2000000000000002</v>
      </c>
      <c r="D168" s="24">
        <v>1999</v>
      </c>
      <c r="E168" s="24">
        <v>4</v>
      </c>
      <c r="F168" s="24" t="s">
        <v>73</v>
      </c>
      <c r="G168" s="24">
        <v>4</v>
      </c>
      <c r="H168" s="24">
        <v>19</v>
      </c>
      <c r="I168" s="24">
        <v>26</v>
      </c>
      <c r="J168" s="24" t="s">
        <v>83</v>
      </c>
      <c r="K168" s="24" t="s">
        <v>105</v>
      </c>
    </row>
    <row r="169" spans="1:11" x14ac:dyDescent="0.2">
      <c r="A169" s="24" t="s">
        <v>128</v>
      </c>
      <c r="B169" s="24" t="s">
        <v>130</v>
      </c>
      <c r="C169" s="24">
        <v>2.5</v>
      </c>
      <c r="D169" s="24">
        <v>1999</v>
      </c>
      <c r="E169" s="24">
        <v>4</v>
      </c>
      <c r="F169" s="24" t="s">
        <v>73</v>
      </c>
      <c r="G169" s="24">
        <v>4</v>
      </c>
      <c r="H169" s="24">
        <v>19</v>
      </c>
      <c r="I169" s="24">
        <v>26</v>
      </c>
      <c r="J169" s="24" t="s">
        <v>83</v>
      </c>
      <c r="K169" s="24" t="s">
        <v>105</v>
      </c>
    </row>
    <row r="170" spans="1:11" x14ac:dyDescent="0.2">
      <c r="A170" s="24" t="s">
        <v>128</v>
      </c>
      <c r="B170" s="24" t="s">
        <v>130</v>
      </c>
      <c r="C170" s="24">
        <v>2.5</v>
      </c>
      <c r="D170" s="24">
        <v>1999</v>
      </c>
      <c r="E170" s="24">
        <v>4</v>
      </c>
      <c r="F170" s="24" t="s">
        <v>82</v>
      </c>
      <c r="G170" s="24">
        <v>4</v>
      </c>
      <c r="H170" s="24">
        <v>19</v>
      </c>
      <c r="I170" s="24">
        <v>26</v>
      </c>
      <c r="J170" s="24" t="s">
        <v>83</v>
      </c>
      <c r="K170" s="24" t="s">
        <v>105</v>
      </c>
    </row>
    <row r="171" spans="1:11" x14ac:dyDescent="0.2">
      <c r="A171" s="24" t="s">
        <v>128</v>
      </c>
      <c r="B171" s="24" t="s">
        <v>130</v>
      </c>
      <c r="C171" s="24">
        <v>2.5</v>
      </c>
      <c r="D171" s="24">
        <v>2008</v>
      </c>
      <c r="E171" s="24">
        <v>4</v>
      </c>
      <c r="F171" s="24" t="s">
        <v>127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72</v>
      </c>
    </row>
    <row r="172" spans="1:11" x14ac:dyDescent="0.2">
      <c r="A172" s="24" t="s">
        <v>128</v>
      </c>
      <c r="B172" s="24" t="s">
        <v>130</v>
      </c>
      <c r="C172" s="24">
        <v>2.5</v>
      </c>
      <c r="D172" s="24">
        <v>2008</v>
      </c>
      <c r="E172" s="24">
        <v>4</v>
      </c>
      <c r="F172" s="24" t="s">
        <v>127</v>
      </c>
      <c r="G172" s="24">
        <v>4</v>
      </c>
      <c r="H172" s="24">
        <v>20</v>
      </c>
      <c r="I172" s="24">
        <v>27</v>
      </c>
      <c r="J172" s="24" t="s">
        <v>83</v>
      </c>
      <c r="K172" s="24" t="s">
        <v>72</v>
      </c>
    </row>
    <row r="173" spans="1:11" x14ac:dyDescent="0.2">
      <c r="A173" s="24" t="s">
        <v>128</v>
      </c>
      <c r="B173" s="24" t="s">
        <v>130</v>
      </c>
      <c r="C173" s="24">
        <v>2.5</v>
      </c>
      <c r="D173" s="24">
        <v>2008</v>
      </c>
      <c r="E173" s="24">
        <v>4</v>
      </c>
      <c r="F173" s="24" t="s">
        <v>73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72</v>
      </c>
    </row>
    <row r="174" spans="1:11" x14ac:dyDescent="0.2">
      <c r="A174" s="24" t="s">
        <v>128</v>
      </c>
      <c r="B174" s="24" t="s">
        <v>130</v>
      </c>
      <c r="C174" s="24">
        <v>2.5</v>
      </c>
      <c r="D174" s="24">
        <v>2008</v>
      </c>
      <c r="E174" s="24">
        <v>4</v>
      </c>
      <c r="F174" s="24" t="s">
        <v>73</v>
      </c>
      <c r="G174" s="24">
        <v>4</v>
      </c>
      <c r="H174" s="24">
        <v>20</v>
      </c>
      <c r="I174" s="24">
        <v>27</v>
      </c>
      <c r="J174" s="24" t="s">
        <v>83</v>
      </c>
      <c r="K174" s="24" t="s">
        <v>72</v>
      </c>
    </row>
    <row r="175" spans="1:11" x14ac:dyDescent="0.2">
      <c r="A175" s="24" t="s">
        <v>131</v>
      </c>
      <c r="B175" s="24" t="s">
        <v>132</v>
      </c>
      <c r="C175" s="24">
        <v>2.7</v>
      </c>
      <c r="D175" s="24">
        <v>1999</v>
      </c>
      <c r="E175" s="24">
        <v>4</v>
      </c>
      <c r="F175" s="24" t="s">
        <v>73</v>
      </c>
      <c r="G175" s="24">
        <v>4</v>
      </c>
      <c r="H175" s="24">
        <v>15</v>
      </c>
      <c r="I175" s="24">
        <v>20</v>
      </c>
      <c r="J175" s="24" t="s">
        <v>83</v>
      </c>
      <c r="K175" s="24" t="s">
        <v>84</v>
      </c>
    </row>
    <row r="176" spans="1:11" x14ac:dyDescent="0.2">
      <c r="A176" s="24" t="s">
        <v>131</v>
      </c>
      <c r="B176" s="24" t="s">
        <v>132</v>
      </c>
      <c r="C176" s="24">
        <v>2.7</v>
      </c>
      <c r="D176" s="24">
        <v>1999</v>
      </c>
      <c r="E176" s="24">
        <v>4</v>
      </c>
      <c r="F176" s="24" t="s">
        <v>82</v>
      </c>
      <c r="G176" s="24">
        <v>4</v>
      </c>
      <c r="H176" s="24">
        <v>16</v>
      </c>
      <c r="I176" s="24">
        <v>20</v>
      </c>
      <c r="J176" s="24" t="s">
        <v>83</v>
      </c>
      <c r="K176" s="24" t="s">
        <v>84</v>
      </c>
    </row>
    <row r="177" spans="1:11" x14ac:dyDescent="0.2">
      <c r="A177" s="24" t="s">
        <v>131</v>
      </c>
      <c r="B177" s="24" t="s">
        <v>132</v>
      </c>
      <c r="C177" s="24">
        <v>3.4</v>
      </c>
      <c r="D177" s="24">
        <v>1999</v>
      </c>
      <c r="E177" s="24">
        <v>6</v>
      </c>
      <c r="F177" s="24" t="s">
        <v>82</v>
      </c>
      <c r="G177" s="24">
        <v>4</v>
      </c>
      <c r="H177" s="24">
        <v>15</v>
      </c>
      <c r="I177" s="24">
        <v>19</v>
      </c>
      <c r="J177" s="24" t="s">
        <v>83</v>
      </c>
      <c r="K177" s="24" t="s">
        <v>84</v>
      </c>
    </row>
    <row r="178" spans="1:11" x14ac:dyDescent="0.2">
      <c r="A178" s="24" t="s">
        <v>131</v>
      </c>
      <c r="B178" s="24" t="s">
        <v>132</v>
      </c>
      <c r="C178" s="24">
        <v>3.4</v>
      </c>
      <c r="D178" s="24">
        <v>1999</v>
      </c>
      <c r="E178" s="24">
        <v>6</v>
      </c>
      <c r="F178" s="24" t="s">
        <v>73</v>
      </c>
      <c r="G178" s="24">
        <v>4</v>
      </c>
      <c r="H178" s="24">
        <v>15</v>
      </c>
      <c r="I178" s="24">
        <v>17</v>
      </c>
      <c r="J178" s="24" t="s">
        <v>83</v>
      </c>
      <c r="K178" s="24" t="s">
        <v>84</v>
      </c>
    </row>
    <row r="179" spans="1:11" x14ac:dyDescent="0.2">
      <c r="A179" s="24" t="s">
        <v>131</v>
      </c>
      <c r="B179" s="24" t="s">
        <v>132</v>
      </c>
      <c r="C179" s="24">
        <v>4</v>
      </c>
      <c r="D179" s="24">
        <v>2008</v>
      </c>
      <c r="E179" s="24">
        <v>6</v>
      </c>
      <c r="F179" s="24" t="s">
        <v>70</v>
      </c>
      <c r="G179" s="24">
        <v>4</v>
      </c>
      <c r="H179" s="24">
        <v>16</v>
      </c>
      <c r="I179" s="24">
        <v>20</v>
      </c>
      <c r="J179" s="24" t="s">
        <v>83</v>
      </c>
      <c r="K179" s="24" t="s">
        <v>84</v>
      </c>
    </row>
    <row r="180" spans="1:11" x14ac:dyDescent="0.2">
      <c r="A180" s="24" t="s">
        <v>131</v>
      </c>
      <c r="B180" s="24" t="s">
        <v>132</v>
      </c>
      <c r="C180" s="24">
        <v>4.7</v>
      </c>
      <c r="D180" s="24">
        <v>2008</v>
      </c>
      <c r="E180" s="24">
        <v>8</v>
      </c>
      <c r="F180" s="24" t="s">
        <v>70</v>
      </c>
      <c r="G180" s="24">
        <v>4</v>
      </c>
      <c r="H180" s="24">
        <v>14</v>
      </c>
      <c r="I180" s="24">
        <v>17</v>
      </c>
      <c r="J180" s="24" t="s">
        <v>83</v>
      </c>
      <c r="K180" s="24" t="s">
        <v>84</v>
      </c>
    </row>
    <row r="181" spans="1:11" x14ac:dyDescent="0.2">
      <c r="A181" s="24" t="s">
        <v>131</v>
      </c>
      <c r="B181" s="24" t="s">
        <v>133</v>
      </c>
      <c r="C181" s="24">
        <v>2.2000000000000002</v>
      </c>
      <c r="D181" s="24">
        <v>1999</v>
      </c>
      <c r="E181" s="24">
        <v>4</v>
      </c>
      <c r="F181" s="24" t="s">
        <v>73</v>
      </c>
      <c r="G181" s="24" t="s">
        <v>71</v>
      </c>
      <c r="H181" s="24">
        <v>21</v>
      </c>
      <c r="I181" s="24">
        <v>29</v>
      </c>
      <c r="J181" s="24" t="s">
        <v>83</v>
      </c>
      <c r="K181" s="24" t="s">
        <v>79</v>
      </c>
    </row>
    <row r="182" spans="1:11" x14ac:dyDescent="0.2">
      <c r="A182" s="24" t="s">
        <v>131</v>
      </c>
      <c r="B182" s="24" t="s">
        <v>133</v>
      </c>
      <c r="C182" s="24">
        <v>2.2000000000000002</v>
      </c>
      <c r="D182" s="24">
        <v>1999</v>
      </c>
      <c r="E182" s="24">
        <v>4</v>
      </c>
      <c r="F182" s="24" t="s">
        <v>82</v>
      </c>
      <c r="G182" s="24" t="s">
        <v>71</v>
      </c>
      <c r="H182" s="24">
        <v>21</v>
      </c>
      <c r="I182" s="24">
        <v>27</v>
      </c>
      <c r="J182" s="24" t="s">
        <v>83</v>
      </c>
      <c r="K182" s="24" t="s">
        <v>79</v>
      </c>
    </row>
    <row r="183" spans="1:11" x14ac:dyDescent="0.2">
      <c r="A183" s="24" t="s">
        <v>131</v>
      </c>
      <c r="B183" s="24" t="s">
        <v>133</v>
      </c>
      <c r="C183" s="24">
        <v>2.4</v>
      </c>
      <c r="D183" s="24">
        <v>2008</v>
      </c>
      <c r="E183" s="24">
        <v>4</v>
      </c>
      <c r="F183" s="24" t="s">
        <v>73</v>
      </c>
      <c r="G183" s="24" t="s">
        <v>71</v>
      </c>
      <c r="H183" s="24">
        <v>21</v>
      </c>
      <c r="I183" s="24">
        <v>31</v>
      </c>
      <c r="J183" s="24" t="s">
        <v>83</v>
      </c>
      <c r="K183" s="24" t="s">
        <v>79</v>
      </c>
    </row>
    <row r="184" spans="1:11" x14ac:dyDescent="0.2">
      <c r="A184" s="24" t="s">
        <v>131</v>
      </c>
      <c r="B184" s="24" t="s">
        <v>133</v>
      </c>
      <c r="C184" s="24">
        <v>2.4</v>
      </c>
      <c r="D184" s="24">
        <v>2008</v>
      </c>
      <c r="E184" s="24">
        <v>4</v>
      </c>
      <c r="F184" s="24" t="s">
        <v>70</v>
      </c>
      <c r="G184" s="24" t="s">
        <v>71</v>
      </c>
      <c r="H184" s="24">
        <v>21</v>
      </c>
      <c r="I184" s="24">
        <v>31</v>
      </c>
      <c r="J184" s="24" t="s">
        <v>83</v>
      </c>
      <c r="K184" s="24" t="s">
        <v>79</v>
      </c>
    </row>
    <row r="185" spans="1:11" x14ac:dyDescent="0.2">
      <c r="A185" s="24" t="s">
        <v>131</v>
      </c>
      <c r="B185" s="24" t="s">
        <v>133</v>
      </c>
      <c r="C185" s="24">
        <v>3</v>
      </c>
      <c r="D185" s="24">
        <v>1999</v>
      </c>
      <c r="E185" s="24">
        <v>6</v>
      </c>
      <c r="F185" s="24" t="s">
        <v>82</v>
      </c>
      <c r="G185" s="24" t="s">
        <v>71</v>
      </c>
      <c r="H185" s="24">
        <v>18</v>
      </c>
      <c r="I185" s="24">
        <v>26</v>
      </c>
      <c r="J185" s="24" t="s">
        <v>83</v>
      </c>
      <c r="K185" s="24" t="s">
        <v>79</v>
      </c>
    </row>
    <row r="186" spans="1:11" x14ac:dyDescent="0.2">
      <c r="A186" s="24" t="s">
        <v>131</v>
      </c>
      <c r="B186" s="24" t="s">
        <v>133</v>
      </c>
      <c r="C186" s="24">
        <v>3</v>
      </c>
      <c r="D186" s="24">
        <v>1999</v>
      </c>
      <c r="E186" s="24">
        <v>6</v>
      </c>
      <c r="F186" s="24" t="s">
        <v>73</v>
      </c>
      <c r="G186" s="24" t="s">
        <v>71</v>
      </c>
      <c r="H186" s="24">
        <v>18</v>
      </c>
      <c r="I186" s="24">
        <v>26</v>
      </c>
      <c r="J186" s="24" t="s">
        <v>83</v>
      </c>
      <c r="K186" s="24" t="s">
        <v>79</v>
      </c>
    </row>
    <row r="187" spans="1:11" x14ac:dyDescent="0.2">
      <c r="A187" s="24" t="s">
        <v>131</v>
      </c>
      <c r="B187" s="24" t="s">
        <v>133</v>
      </c>
      <c r="C187" s="24">
        <v>3.5</v>
      </c>
      <c r="D187" s="24">
        <v>2008</v>
      </c>
      <c r="E187" s="24">
        <v>6</v>
      </c>
      <c r="F187" s="24" t="s">
        <v>77</v>
      </c>
      <c r="G187" s="24" t="s">
        <v>71</v>
      </c>
      <c r="H187" s="24">
        <v>19</v>
      </c>
      <c r="I187" s="24">
        <v>28</v>
      </c>
      <c r="J187" s="24" t="s">
        <v>83</v>
      </c>
      <c r="K187" s="24" t="s">
        <v>79</v>
      </c>
    </row>
    <row r="188" spans="1:11" x14ac:dyDescent="0.2">
      <c r="A188" s="24" t="s">
        <v>131</v>
      </c>
      <c r="B188" s="24" t="s">
        <v>134</v>
      </c>
      <c r="C188" s="24">
        <v>2.2000000000000002</v>
      </c>
      <c r="D188" s="24">
        <v>1999</v>
      </c>
      <c r="E188" s="24">
        <v>4</v>
      </c>
      <c r="F188" s="24" t="s">
        <v>82</v>
      </c>
      <c r="G188" s="24" t="s">
        <v>71</v>
      </c>
      <c r="H188" s="24">
        <v>21</v>
      </c>
      <c r="I188" s="24">
        <v>27</v>
      </c>
      <c r="J188" s="24" t="s">
        <v>83</v>
      </c>
      <c r="K188" s="24" t="s">
        <v>72</v>
      </c>
    </row>
    <row r="189" spans="1:11" x14ac:dyDescent="0.2">
      <c r="A189" s="24" t="s">
        <v>131</v>
      </c>
      <c r="B189" s="24" t="s">
        <v>134</v>
      </c>
      <c r="C189" s="24">
        <v>2.2000000000000002</v>
      </c>
      <c r="D189" s="24">
        <v>1999</v>
      </c>
      <c r="E189" s="24">
        <v>4</v>
      </c>
      <c r="F189" s="24" t="s">
        <v>73</v>
      </c>
      <c r="G189" s="24" t="s">
        <v>71</v>
      </c>
      <c r="H189" s="24">
        <v>21</v>
      </c>
      <c r="I189" s="24">
        <v>29</v>
      </c>
      <c r="J189" s="24" t="s">
        <v>83</v>
      </c>
      <c r="K189" s="24" t="s">
        <v>72</v>
      </c>
    </row>
    <row r="190" spans="1:11" x14ac:dyDescent="0.2">
      <c r="A190" s="24" t="s">
        <v>131</v>
      </c>
      <c r="B190" s="24" t="s">
        <v>134</v>
      </c>
      <c r="C190" s="24">
        <v>2.4</v>
      </c>
      <c r="D190" s="24">
        <v>2008</v>
      </c>
      <c r="E190" s="24">
        <v>4</v>
      </c>
      <c r="F190" s="24" t="s">
        <v>73</v>
      </c>
      <c r="G190" s="24" t="s">
        <v>71</v>
      </c>
      <c r="H190" s="24">
        <v>21</v>
      </c>
      <c r="I190" s="24">
        <v>31</v>
      </c>
      <c r="J190" s="24" t="s">
        <v>83</v>
      </c>
      <c r="K190" s="24" t="s">
        <v>72</v>
      </c>
    </row>
    <row r="191" spans="1:11" x14ac:dyDescent="0.2">
      <c r="A191" s="24" t="s">
        <v>131</v>
      </c>
      <c r="B191" s="24" t="s">
        <v>134</v>
      </c>
      <c r="C191" s="24">
        <v>2.4</v>
      </c>
      <c r="D191" s="24">
        <v>2008</v>
      </c>
      <c r="E191" s="24">
        <v>4</v>
      </c>
      <c r="F191" s="24" t="s">
        <v>124</v>
      </c>
      <c r="G191" s="24" t="s">
        <v>71</v>
      </c>
      <c r="H191" s="24">
        <v>22</v>
      </c>
      <c r="I191" s="24">
        <v>31</v>
      </c>
      <c r="J191" s="24" t="s">
        <v>83</v>
      </c>
      <c r="K191" s="24" t="s">
        <v>72</v>
      </c>
    </row>
    <row r="192" spans="1:11" x14ac:dyDescent="0.2">
      <c r="A192" s="24" t="s">
        <v>131</v>
      </c>
      <c r="B192" s="24" t="s">
        <v>134</v>
      </c>
      <c r="C192" s="24">
        <v>3</v>
      </c>
      <c r="D192" s="24">
        <v>1999</v>
      </c>
      <c r="E192" s="24">
        <v>6</v>
      </c>
      <c r="F192" s="24" t="s">
        <v>82</v>
      </c>
      <c r="G192" s="24" t="s">
        <v>71</v>
      </c>
      <c r="H192" s="24">
        <v>18</v>
      </c>
      <c r="I192" s="24">
        <v>26</v>
      </c>
      <c r="J192" s="24" t="s">
        <v>83</v>
      </c>
      <c r="K192" s="24" t="s">
        <v>72</v>
      </c>
    </row>
    <row r="193" spans="1:11" x14ac:dyDescent="0.2">
      <c r="A193" s="24" t="s">
        <v>131</v>
      </c>
      <c r="B193" s="24" t="s">
        <v>134</v>
      </c>
      <c r="C193" s="24">
        <v>3</v>
      </c>
      <c r="D193" s="24">
        <v>1999</v>
      </c>
      <c r="E193" s="24">
        <v>6</v>
      </c>
      <c r="F193" s="24" t="s">
        <v>73</v>
      </c>
      <c r="G193" s="24" t="s">
        <v>71</v>
      </c>
      <c r="H193" s="24">
        <v>18</v>
      </c>
      <c r="I193" s="24">
        <v>26</v>
      </c>
      <c r="J193" s="24" t="s">
        <v>83</v>
      </c>
      <c r="K193" s="24" t="s">
        <v>72</v>
      </c>
    </row>
    <row r="194" spans="1:11" x14ac:dyDescent="0.2">
      <c r="A194" s="24" t="s">
        <v>131</v>
      </c>
      <c r="B194" s="24" t="s">
        <v>134</v>
      </c>
      <c r="C194" s="24">
        <v>3.3</v>
      </c>
      <c r="D194" s="24">
        <v>2008</v>
      </c>
      <c r="E194" s="24">
        <v>6</v>
      </c>
      <c r="F194" s="24" t="s">
        <v>124</v>
      </c>
      <c r="G194" s="24" t="s">
        <v>71</v>
      </c>
      <c r="H194" s="24">
        <v>18</v>
      </c>
      <c r="I194" s="24">
        <v>27</v>
      </c>
      <c r="J194" s="24" t="s">
        <v>83</v>
      </c>
      <c r="K194" s="24" t="s">
        <v>72</v>
      </c>
    </row>
    <row r="195" spans="1:11" x14ac:dyDescent="0.2">
      <c r="A195" s="24" t="s">
        <v>131</v>
      </c>
      <c r="B195" s="24" t="s">
        <v>135</v>
      </c>
      <c r="C195" s="24">
        <v>1.8</v>
      </c>
      <c r="D195" s="24">
        <v>1999</v>
      </c>
      <c r="E195" s="24">
        <v>4</v>
      </c>
      <c r="F195" s="24" t="s">
        <v>93</v>
      </c>
      <c r="G195" s="24" t="s">
        <v>71</v>
      </c>
      <c r="H195" s="24">
        <v>24</v>
      </c>
      <c r="I195" s="24">
        <v>30</v>
      </c>
      <c r="J195" s="24" t="s">
        <v>83</v>
      </c>
      <c r="K195" s="24" t="s">
        <v>72</v>
      </c>
    </row>
    <row r="196" spans="1:11" x14ac:dyDescent="0.2">
      <c r="A196" s="24" t="s">
        <v>131</v>
      </c>
      <c r="B196" s="24" t="s">
        <v>135</v>
      </c>
      <c r="C196" s="24">
        <v>1.8</v>
      </c>
      <c r="D196" s="24">
        <v>1999</v>
      </c>
      <c r="E196" s="24">
        <v>4</v>
      </c>
      <c r="F196" s="24" t="s">
        <v>82</v>
      </c>
      <c r="G196" s="24" t="s">
        <v>71</v>
      </c>
      <c r="H196" s="24">
        <v>24</v>
      </c>
      <c r="I196" s="24">
        <v>33</v>
      </c>
      <c r="J196" s="24" t="s">
        <v>83</v>
      </c>
      <c r="K196" s="24" t="s">
        <v>72</v>
      </c>
    </row>
    <row r="197" spans="1:11" x14ac:dyDescent="0.2">
      <c r="A197" s="24" t="s">
        <v>131</v>
      </c>
      <c r="B197" s="24" t="s">
        <v>135</v>
      </c>
      <c r="C197" s="24">
        <v>1.8</v>
      </c>
      <c r="D197" s="24">
        <v>1999</v>
      </c>
      <c r="E197" s="24">
        <v>4</v>
      </c>
      <c r="F197" s="24" t="s">
        <v>73</v>
      </c>
      <c r="G197" s="24" t="s">
        <v>71</v>
      </c>
      <c r="H197" s="24">
        <v>26</v>
      </c>
      <c r="I197" s="24">
        <v>35</v>
      </c>
      <c r="J197" s="24" t="s">
        <v>83</v>
      </c>
      <c r="K197" s="24" t="s">
        <v>72</v>
      </c>
    </row>
    <row r="198" spans="1:11" x14ac:dyDescent="0.2">
      <c r="A198" s="24" t="s">
        <v>131</v>
      </c>
      <c r="B198" s="24" t="s">
        <v>135</v>
      </c>
      <c r="C198" s="24">
        <v>1.8</v>
      </c>
      <c r="D198" s="24">
        <v>2008</v>
      </c>
      <c r="E198" s="24">
        <v>4</v>
      </c>
      <c r="F198" s="24" t="s">
        <v>73</v>
      </c>
      <c r="G198" s="24" t="s">
        <v>71</v>
      </c>
      <c r="H198" s="24">
        <v>28</v>
      </c>
      <c r="I198" s="24">
        <v>37</v>
      </c>
      <c r="J198" s="24" t="s">
        <v>83</v>
      </c>
      <c r="K198" s="24" t="s">
        <v>72</v>
      </c>
    </row>
    <row r="199" spans="1:11" x14ac:dyDescent="0.2">
      <c r="A199" s="24" t="s">
        <v>131</v>
      </c>
      <c r="B199" s="24" t="s">
        <v>135</v>
      </c>
      <c r="C199" s="24">
        <v>1.8</v>
      </c>
      <c r="D199" s="24">
        <v>2008</v>
      </c>
      <c r="E199" s="24">
        <v>4</v>
      </c>
      <c r="F199" s="24" t="s">
        <v>82</v>
      </c>
      <c r="G199" s="24" t="s">
        <v>71</v>
      </c>
      <c r="H199" s="24">
        <v>26</v>
      </c>
      <c r="I199" s="24">
        <v>35</v>
      </c>
      <c r="J199" s="24" t="s">
        <v>83</v>
      </c>
      <c r="K199" s="24" t="s">
        <v>72</v>
      </c>
    </row>
    <row r="200" spans="1:11" x14ac:dyDescent="0.2">
      <c r="A200" s="24" t="s">
        <v>131</v>
      </c>
      <c r="B200" s="24" t="s">
        <v>136</v>
      </c>
      <c r="C200" s="24">
        <v>4.7</v>
      </c>
      <c r="D200" s="24">
        <v>1999</v>
      </c>
      <c r="E200" s="24">
        <v>8</v>
      </c>
      <c r="F200" s="24" t="s">
        <v>82</v>
      </c>
      <c r="G200" s="24">
        <v>4</v>
      </c>
      <c r="H200" s="24">
        <v>11</v>
      </c>
      <c r="I200" s="24">
        <v>15</v>
      </c>
      <c r="J200" s="24" t="s">
        <v>83</v>
      </c>
      <c r="K200" s="24" t="s">
        <v>84</v>
      </c>
    </row>
    <row r="201" spans="1:11" x14ac:dyDescent="0.2">
      <c r="A201" s="24" t="s">
        <v>131</v>
      </c>
      <c r="B201" s="24" t="s">
        <v>136</v>
      </c>
      <c r="C201" s="24">
        <v>5.7</v>
      </c>
      <c r="D201" s="24">
        <v>2008</v>
      </c>
      <c r="E201" s="24">
        <v>8</v>
      </c>
      <c r="F201" s="24" t="s">
        <v>77</v>
      </c>
      <c r="G201" s="24">
        <v>4</v>
      </c>
      <c r="H201" s="24">
        <v>13</v>
      </c>
      <c r="I201" s="24">
        <v>18</v>
      </c>
      <c r="J201" s="24" t="s">
        <v>83</v>
      </c>
      <c r="K201" s="24" t="s">
        <v>84</v>
      </c>
    </row>
    <row r="202" spans="1:11" x14ac:dyDescent="0.2">
      <c r="A202" s="24" t="s">
        <v>131</v>
      </c>
      <c r="B202" s="24" t="s">
        <v>137</v>
      </c>
      <c r="C202" s="24">
        <v>2.7</v>
      </c>
      <c r="D202" s="24">
        <v>1999</v>
      </c>
      <c r="E202" s="24">
        <v>4</v>
      </c>
      <c r="F202" s="24" t="s">
        <v>73</v>
      </c>
      <c r="G202" s="24">
        <v>4</v>
      </c>
      <c r="H202" s="24">
        <v>15</v>
      </c>
      <c r="I202" s="24">
        <v>20</v>
      </c>
      <c r="J202" s="24" t="s">
        <v>83</v>
      </c>
      <c r="K202" s="24" t="s">
        <v>97</v>
      </c>
    </row>
    <row r="203" spans="1:11" x14ac:dyDescent="0.2">
      <c r="A203" s="24" t="s">
        <v>131</v>
      </c>
      <c r="B203" s="24" t="s">
        <v>137</v>
      </c>
      <c r="C203" s="24">
        <v>2.7</v>
      </c>
      <c r="D203" s="24">
        <v>1999</v>
      </c>
      <c r="E203" s="24">
        <v>4</v>
      </c>
      <c r="F203" s="24" t="s">
        <v>82</v>
      </c>
      <c r="G203" s="24">
        <v>4</v>
      </c>
      <c r="H203" s="24">
        <v>16</v>
      </c>
      <c r="I203" s="24">
        <v>20</v>
      </c>
      <c r="J203" s="24" t="s">
        <v>83</v>
      </c>
      <c r="K203" s="24" t="s">
        <v>97</v>
      </c>
    </row>
    <row r="204" spans="1:11" x14ac:dyDescent="0.2">
      <c r="A204" s="24" t="s">
        <v>131</v>
      </c>
      <c r="B204" s="24" t="s">
        <v>137</v>
      </c>
      <c r="C204" s="24">
        <v>2.7</v>
      </c>
      <c r="D204" s="24">
        <v>2008</v>
      </c>
      <c r="E204" s="24">
        <v>4</v>
      </c>
      <c r="F204" s="24" t="s">
        <v>73</v>
      </c>
      <c r="G204" s="24">
        <v>4</v>
      </c>
      <c r="H204" s="24">
        <v>17</v>
      </c>
      <c r="I204" s="24">
        <v>22</v>
      </c>
      <c r="J204" s="24" t="s">
        <v>83</v>
      </c>
      <c r="K204" s="24" t="s">
        <v>97</v>
      </c>
    </row>
    <row r="205" spans="1:11" x14ac:dyDescent="0.2">
      <c r="A205" s="24" t="s">
        <v>131</v>
      </c>
      <c r="B205" s="24" t="s">
        <v>137</v>
      </c>
      <c r="C205" s="24">
        <v>3.4</v>
      </c>
      <c r="D205" s="24">
        <v>1999</v>
      </c>
      <c r="E205" s="24">
        <v>6</v>
      </c>
      <c r="F205" s="24" t="s">
        <v>73</v>
      </c>
      <c r="G205" s="24">
        <v>4</v>
      </c>
      <c r="H205" s="24">
        <v>15</v>
      </c>
      <c r="I205" s="24">
        <v>17</v>
      </c>
      <c r="J205" s="24" t="s">
        <v>83</v>
      </c>
      <c r="K205" s="24" t="s">
        <v>97</v>
      </c>
    </row>
    <row r="206" spans="1:11" x14ac:dyDescent="0.2">
      <c r="A206" s="24" t="s">
        <v>131</v>
      </c>
      <c r="B206" s="24" t="s">
        <v>137</v>
      </c>
      <c r="C206" s="24">
        <v>3.4</v>
      </c>
      <c r="D206" s="24">
        <v>1999</v>
      </c>
      <c r="E206" s="24">
        <v>6</v>
      </c>
      <c r="F206" s="24" t="s">
        <v>82</v>
      </c>
      <c r="G206" s="24">
        <v>4</v>
      </c>
      <c r="H206" s="24">
        <v>15</v>
      </c>
      <c r="I206" s="24">
        <v>19</v>
      </c>
      <c r="J206" s="24" t="s">
        <v>83</v>
      </c>
      <c r="K206" s="24" t="s">
        <v>97</v>
      </c>
    </row>
    <row r="207" spans="1:11" x14ac:dyDescent="0.2">
      <c r="A207" s="24" t="s">
        <v>131</v>
      </c>
      <c r="B207" s="24" t="s">
        <v>137</v>
      </c>
      <c r="C207" s="24">
        <v>4</v>
      </c>
      <c r="D207" s="24">
        <v>2008</v>
      </c>
      <c r="E207" s="24">
        <v>6</v>
      </c>
      <c r="F207" s="24" t="s">
        <v>74</v>
      </c>
      <c r="G207" s="24">
        <v>4</v>
      </c>
      <c r="H207" s="24">
        <v>15</v>
      </c>
      <c r="I207" s="24">
        <v>18</v>
      </c>
      <c r="J207" s="24" t="s">
        <v>83</v>
      </c>
      <c r="K207" s="24" t="s">
        <v>97</v>
      </c>
    </row>
    <row r="208" spans="1:11" x14ac:dyDescent="0.2">
      <c r="A208" s="24" t="s">
        <v>131</v>
      </c>
      <c r="B208" s="24" t="s">
        <v>137</v>
      </c>
      <c r="C208" s="24">
        <v>4</v>
      </c>
      <c r="D208" s="24">
        <v>2008</v>
      </c>
      <c r="E208" s="24">
        <v>6</v>
      </c>
      <c r="F208" s="24" t="s">
        <v>70</v>
      </c>
      <c r="G208" s="24">
        <v>4</v>
      </c>
      <c r="H208" s="24">
        <v>16</v>
      </c>
      <c r="I208" s="24">
        <v>20</v>
      </c>
      <c r="J208" s="24" t="s">
        <v>83</v>
      </c>
      <c r="K208" s="24" t="s">
        <v>97</v>
      </c>
    </row>
    <row r="209" spans="1:11" x14ac:dyDescent="0.2">
      <c r="A209" s="24" t="s">
        <v>138</v>
      </c>
      <c r="B209" s="24" t="s">
        <v>139</v>
      </c>
      <c r="C209" s="24">
        <v>2</v>
      </c>
      <c r="D209" s="24">
        <v>1999</v>
      </c>
      <c r="E209" s="24">
        <v>4</v>
      </c>
      <c r="F209" s="24" t="s">
        <v>73</v>
      </c>
      <c r="G209" s="24" t="s">
        <v>71</v>
      </c>
      <c r="H209" s="24">
        <v>21</v>
      </c>
      <c r="I209" s="24">
        <v>29</v>
      </c>
      <c r="J209" s="24" t="s">
        <v>83</v>
      </c>
      <c r="K209" s="24" t="s">
        <v>72</v>
      </c>
    </row>
    <row r="210" spans="1:11" x14ac:dyDescent="0.2">
      <c r="A210" s="24" t="s">
        <v>138</v>
      </c>
      <c r="B210" s="24" t="s">
        <v>139</v>
      </c>
      <c r="C210" s="24">
        <v>2</v>
      </c>
      <c r="D210" s="24">
        <v>1999</v>
      </c>
      <c r="E210" s="24">
        <v>4</v>
      </c>
      <c r="F210" s="24" t="s">
        <v>82</v>
      </c>
      <c r="G210" s="24" t="s">
        <v>71</v>
      </c>
      <c r="H210" s="24">
        <v>19</v>
      </c>
      <c r="I210" s="24">
        <v>26</v>
      </c>
      <c r="J210" s="24" t="s">
        <v>83</v>
      </c>
      <c r="K210" s="24" t="s">
        <v>72</v>
      </c>
    </row>
    <row r="211" spans="1:11" x14ac:dyDescent="0.2">
      <c r="A211" s="24" t="s">
        <v>138</v>
      </c>
      <c r="B211" s="24" t="s">
        <v>139</v>
      </c>
      <c r="C211" s="24">
        <v>2</v>
      </c>
      <c r="D211" s="24">
        <v>2008</v>
      </c>
      <c r="E211" s="24">
        <v>4</v>
      </c>
      <c r="F211" s="24" t="s">
        <v>74</v>
      </c>
      <c r="G211" s="24" t="s">
        <v>71</v>
      </c>
      <c r="H211" s="24">
        <v>21</v>
      </c>
      <c r="I211" s="24">
        <v>29</v>
      </c>
      <c r="J211" s="24" t="s">
        <v>5</v>
      </c>
      <c r="K211" s="24" t="s">
        <v>72</v>
      </c>
    </row>
    <row r="212" spans="1:11" x14ac:dyDescent="0.2">
      <c r="A212" s="24" t="s">
        <v>138</v>
      </c>
      <c r="B212" s="24" t="s">
        <v>139</v>
      </c>
      <c r="C212" s="24">
        <v>2</v>
      </c>
      <c r="D212" s="24">
        <v>2008</v>
      </c>
      <c r="E212" s="24">
        <v>4</v>
      </c>
      <c r="F212" s="24" t="s">
        <v>77</v>
      </c>
      <c r="G212" s="24" t="s">
        <v>71</v>
      </c>
      <c r="H212" s="24">
        <v>22</v>
      </c>
      <c r="I212" s="24">
        <v>29</v>
      </c>
      <c r="J212" s="24" t="s">
        <v>5</v>
      </c>
      <c r="K212" s="24" t="s">
        <v>72</v>
      </c>
    </row>
    <row r="213" spans="1:11" x14ac:dyDescent="0.2">
      <c r="A213" s="24" t="s">
        <v>138</v>
      </c>
      <c r="B213" s="24" t="s">
        <v>139</v>
      </c>
      <c r="C213" s="24">
        <v>2.8</v>
      </c>
      <c r="D213" s="24">
        <v>1999</v>
      </c>
      <c r="E213" s="24">
        <v>6</v>
      </c>
      <c r="F213" s="24" t="s">
        <v>73</v>
      </c>
      <c r="G213" s="24" t="s">
        <v>71</v>
      </c>
      <c r="H213" s="24">
        <v>17</v>
      </c>
      <c r="I213" s="24">
        <v>24</v>
      </c>
      <c r="J213" s="24" t="s">
        <v>83</v>
      </c>
      <c r="K213" s="24" t="s">
        <v>72</v>
      </c>
    </row>
    <row r="214" spans="1:11" x14ac:dyDescent="0.2">
      <c r="A214" s="24" t="s">
        <v>138</v>
      </c>
      <c r="B214" s="24" t="s">
        <v>140</v>
      </c>
      <c r="C214" s="24">
        <v>1.9</v>
      </c>
      <c r="D214" s="24">
        <v>1999</v>
      </c>
      <c r="E214" s="24">
        <v>4</v>
      </c>
      <c r="F214" s="24" t="s">
        <v>73</v>
      </c>
      <c r="G214" s="24" t="s">
        <v>71</v>
      </c>
      <c r="H214" s="24">
        <v>33</v>
      </c>
      <c r="I214" s="24">
        <v>44</v>
      </c>
      <c r="J214" s="24" t="s">
        <v>89</v>
      </c>
      <c r="K214" s="24" t="s">
        <v>72</v>
      </c>
    </row>
    <row r="215" spans="1:11" x14ac:dyDescent="0.2">
      <c r="A215" s="24" t="s">
        <v>138</v>
      </c>
      <c r="B215" s="24" t="s">
        <v>140</v>
      </c>
      <c r="C215" s="24">
        <v>2</v>
      </c>
      <c r="D215" s="24">
        <v>1999</v>
      </c>
      <c r="E215" s="24">
        <v>4</v>
      </c>
      <c r="F215" s="24" t="s">
        <v>73</v>
      </c>
      <c r="G215" s="24" t="s">
        <v>71</v>
      </c>
      <c r="H215" s="24">
        <v>21</v>
      </c>
      <c r="I215" s="24">
        <v>29</v>
      </c>
      <c r="J215" s="24" t="s">
        <v>83</v>
      </c>
      <c r="K215" s="24" t="s">
        <v>72</v>
      </c>
    </row>
    <row r="216" spans="1:11" x14ac:dyDescent="0.2">
      <c r="A216" s="24" t="s">
        <v>138</v>
      </c>
      <c r="B216" s="24" t="s">
        <v>140</v>
      </c>
      <c r="C216" s="24">
        <v>2</v>
      </c>
      <c r="D216" s="24">
        <v>1999</v>
      </c>
      <c r="E216" s="24">
        <v>4</v>
      </c>
      <c r="F216" s="24" t="s">
        <v>82</v>
      </c>
      <c r="G216" s="24" t="s">
        <v>71</v>
      </c>
      <c r="H216" s="24">
        <v>19</v>
      </c>
      <c r="I216" s="24">
        <v>26</v>
      </c>
      <c r="J216" s="24" t="s">
        <v>83</v>
      </c>
      <c r="K216" s="24" t="s">
        <v>72</v>
      </c>
    </row>
    <row r="217" spans="1:11" x14ac:dyDescent="0.2">
      <c r="A217" s="24" t="s">
        <v>138</v>
      </c>
      <c r="B217" s="24" t="s">
        <v>140</v>
      </c>
      <c r="C217" s="24">
        <v>2</v>
      </c>
      <c r="D217" s="24">
        <v>2008</v>
      </c>
      <c r="E217" s="24">
        <v>4</v>
      </c>
      <c r="F217" s="24" t="s">
        <v>77</v>
      </c>
      <c r="G217" s="24" t="s">
        <v>71</v>
      </c>
      <c r="H217" s="24">
        <v>22</v>
      </c>
      <c r="I217" s="24">
        <v>29</v>
      </c>
      <c r="J217" s="24" t="s">
        <v>5</v>
      </c>
      <c r="K217" s="24" t="s">
        <v>72</v>
      </c>
    </row>
    <row r="218" spans="1:11" x14ac:dyDescent="0.2">
      <c r="A218" s="24" t="s">
        <v>138</v>
      </c>
      <c r="B218" s="24" t="s">
        <v>140</v>
      </c>
      <c r="C218" s="24">
        <v>2</v>
      </c>
      <c r="D218" s="24">
        <v>2008</v>
      </c>
      <c r="E218" s="24">
        <v>4</v>
      </c>
      <c r="F218" s="24" t="s">
        <v>74</v>
      </c>
      <c r="G218" s="24" t="s">
        <v>71</v>
      </c>
      <c r="H218" s="24">
        <v>21</v>
      </c>
      <c r="I218" s="24">
        <v>29</v>
      </c>
      <c r="J218" s="24" t="s">
        <v>5</v>
      </c>
      <c r="K218" s="24" t="s">
        <v>72</v>
      </c>
    </row>
    <row r="219" spans="1:11" x14ac:dyDescent="0.2">
      <c r="A219" s="24" t="s">
        <v>138</v>
      </c>
      <c r="B219" s="24" t="s">
        <v>140</v>
      </c>
      <c r="C219" s="24">
        <v>2.5</v>
      </c>
      <c r="D219" s="24">
        <v>2008</v>
      </c>
      <c r="E219" s="24">
        <v>5</v>
      </c>
      <c r="F219" s="24" t="s">
        <v>77</v>
      </c>
      <c r="G219" s="24" t="s">
        <v>71</v>
      </c>
      <c r="H219" s="24">
        <v>21</v>
      </c>
      <c r="I219" s="24">
        <v>29</v>
      </c>
      <c r="J219" s="24" t="s">
        <v>83</v>
      </c>
      <c r="K219" s="24" t="s">
        <v>72</v>
      </c>
    </row>
    <row r="220" spans="1:11" x14ac:dyDescent="0.2">
      <c r="A220" s="24" t="s">
        <v>138</v>
      </c>
      <c r="B220" s="24" t="s">
        <v>140</v>
      </c>
      <c r="C220" s="24">
        <v>2.5</v>
      </c>
      <c r="D220" s="24">
        <v>2008</v>
      </c>
      <c r="E220" s="24">
        <v>5</v>
      </c>
      <c r="F220" s="24" t="s">
        <v>73</v>
      </c>
      <c r="G220" s="24" t="s">
        <v>71</v>
      </c>
      <c r="H220" s="24">
        <v>21</v>
      </c>
      <c r="I220" s="24">
        <v>29</v>
      </c>
      <c r="J220" s="24" t="s">
        <v>83</v>
      </c>
      <c r="K220" s="24" t="s">
        <v>72</v>
      </c>
    </row>
    <row r="221" spans="1:11" x14ac:dyDescent="0.2">
      <c r="A221" s="24" t="s">
        <v>138</v>
      </c>
      <c r="B221" s="24" t="s">
        <v>140</v>
      </c>
      <c r="C221" s="24">
        <v>2.8</v>
      </c>
      <c r="D221" s="24">
        <v>1999</v>
      </c>
      <c r="E221" s="24">
        <v>6</v>
      </c>
      <c r="F221" s="24" t="s">
        <v>82</v>
      </c>
      <c r="G221" s="24" t="s">
        <v>71</v>
      </c>
      <c r="H221" s="24">
        <v>16</v>
      </c>
      <c r="I221" s="24">
        <v>23</v>
      </c>
      <c r="J221" s="24" t="s">
        <v>83</v>
      </c>
      <c r="K221" s="24" t="s">
        <v>72</v>
      </c>
    </row>
    <row r="222" spans="1:11" x14ac:dyDescent="0.2">
      <c r="A222" s="24" t="s">
        <v>138</v>
      </c>
      <c r="B222" s="24" t="s">
        <v>140</v>
      </c>
      <c r="C222" s="24">
        <v>2.8</v>
      </c>
      <c r="D222" s="24">
        <v>1999</v>
      </c>
      <c r="E222" s="24">
        <v>6</v>
      </c>
      <c r="F222" s="24" t="s">
        <v>73</v>
      </c>
      <c r="G222" s="24" t="s">
        <v>71</v>
      </c>
      <c r="H222" s="24">
        <v>17</v>
      </c>
      <c r="I222" s="24">
        <v>24</v>
      </c>
      <c r="J222" s="24" t="s">
        <v>83</v>
      </c>
      <c r="K222" s="24" t="s">
        <v>72</v>
      </c>
    </row>
    <row r="223" spans="1:11" x14ac:dyDescent="0.2">
      <c r="A223" s="24" t="s">
        <v>138</v>
      </c>
      <c r="B223" s="24" t="s">
        <v>141</v>
      </c>
      <c r="C223" s="24">
        <v>1.9</v>
      </c>
      <c r="D223" s="24">
        <v>1999</v>
      </c>
      <c r="E223" s="24">
        <v>4</v>
      </c>
      <c r="F223" s="24" t="s">
        <v>73</v>
      </c>
      <c r="G223" s="24" t="s">
        <v>71</v>
      </c>
      <c r="H223" s="24">
        <v>35</v>
      </c>
      <c r="I223" s="24">
        <v>44</v>
      </c>
      <c r="J223" s="24" t="s">
        <v>89</v>
      </c>
      <c r="K223" s="24" t="s">
        <v>105</v>
      </c>
    </row>
    <row r="224" spans="1:11" x14ac:dyDescent="0.2">
      <c r="A224" s="24" t="s">
        <v>138</v>
      </c>
      <c r="B224" s="24" t="s">
        <v>141</v>
      </c>
      <c r="C224" s="24">
        <v>1.9</v>
      </c>
      <c r="D224" s="24">
        <v>1999</v>
      </c>
      <c r="E224" s="24">
        <v>4</v>
      </c>
      <c r="F224" s="24" t="s">
        <v>82</v>
      </c>
      <c r="G224" s="24" t="s">
        <v>71</v>
      </c>
      <c r="H224" s="24">
        <v>29</v>
      </c>
      <c r="I224" s="24">
        <v>41</v>
      </c>
      <c r="J224" s="24" t="s">
        <v>89</v>
      </c>
      <c r="K224" s="24" t="s">
        <v>105</v>
      </c>
    </row>
    <row r="225" spans="1:11" x14ac:dyDescent="0.2">
      <c r="A225" s="24" t="s">
        <v>138</v>
      </c>
      <c r="B225" s="24" t="s">
        <v>141</v>
      </c>
      <c r="C225" s="24">
        <v>2</v>
      </c>
      <c r="D225" s="24">
        <v>1999</v>
      </c>
      <c r="E225" s="24">
        <v>4</v>
      </c>
      <c r="F225" s="24" t="s">
        <v>73</v>
      </c>
      <c r="G225" s="24" t="s">
        <v>71</v>
      </c>
      <c r="H225" s="24">
        <v>21</v>
      </c>
      <c r="I225" s="24">
        <v>29</v>
      </c>
      <c r="J225" s="24" t="s">
        <v>83</v>
      </c>
      <c r="K225" s="24" t="s">
        <v>105</v>
      </c>
    </row>
    <row r="226" spans="1:11" x14ac:dyDescent="0.2">
      <c r="A226" s="24" t="s">
        <v>138</v>
      </c>
      <c r="B226" s="24" t="s">
        <v>141</v>
      </c>
      <c r="C226" s="24">
        <v>2</v>
      </c>
      <c r="D226" s="24">
        <v>1999</v>
      </c>
      <c r="E226" s="24">
        <v>4</v>
      </c>
      <c r="F226" s="24" t="s">
        <v>82</v>
      </c>
      <c r="G226" s="24" t="s">
        <v>71</v>
      </c>
      <c r="H226" s="24">
        <v>19</v>
      </c>
      <c r="I226" s="24">
        <v>26</v>
      </c>
      <c r="J226" s="24" t="s">
        <v>83</v>
      </c>
      <c r="K226" s="24" t="s">
        <v>105</v>
      </c>
    </row>
    <row r="227" spans="1:11" x14ac:dyDescent="0.2">
      <c r="A227" s="24" t="s">
        <v>138</v>
      </c>
      <c r="B227" s="24" t="s">
        <v>141</v>
      </c>
      <c r="C227" s="24">
        <v>2.5</v>
      </c>
      <c r="D227" s="24">
        <v>2008</v>
      </c>
      <c r="E227" s="24">
        <v>5</v>
      </c>
      <c r="F227" s="24" t="s">
        <v>73</v>
      </c>
      <c r="G227" s="24" t="s">
        <v>71</v>
      </c>
      <c r="H227" s="24">
        <v>20</v>
      </c>
      <c r="I227" s="24">
        <v>28</v>
      </c>
      <c r="J227" s="24" t="s">
        <v>83</v>
      </c>
      <c r="K227" s="24" t="s">
        <v>105</v>
      </c>
    </row>
    <row r="228" spans="1:11" x14ac:dyDescent="0.2">
      <c r="A228" s="24" t="s">
        <v>138</v>
      </c>
      <c r="B228" s="24" t="s">
        <v>141</v>
      </c>
      <c r="C228" s="24">
        <v>2.5</v>
      </c>
      <c r="D228" s="24">
        <v>2008</v>
      </c>
      <c r="E228" s="24">
        <v>5</v>
      </c>
      <c r="F228" s="24" t="s">
        <v>77</v>
      </c>
      <c r="G228" s="24" t="s">
        <v>71</v>
      </c>
      <c r="H228" s="24">
        <v>20</v>
      </c>
      <c r="I228" s="24">
        <v>29</v>
      </c>
      <c r="J228" s="24" t="s">
        <v>83</v>
      </c>
      <c r="K228" s="24" t="s">
        <v>105</v>
      </c>
    </row>
    <row r="229" spans="1:11" x14ac:dyDescent="0.2">
      <c r="A229" s="24" t="s">
        <v>138</v>
      </c>
      <c r="B229" s="24" t="s">
        <v>142</v>
      </c>
      <c r="C229" s="24">
        <v>1.8</v>
      </c>
      <c r="D229" s="24">
        <v>1999</v>
      </c>
      <c r="E229" s="24">
        <v>4</v>
      </c>
      <c r="F229" s="24" t="s">
        <v>73</v>
      </c>
      <c r="G229" s="24" t="s">
        <v>71</v>
      </c>
      <c r="H229" s="24">
        <v>21</v>
      </c>
      <c r="I229" s="24">
        <v>29</v>
      </c>
      <c r="J229" s="24" t="s">
        <v>5</v>
      </c>
      <c r="K229" s="24" t="s">
        <v>79</v>
      </c>
    </row>
    <row r="230" spans="1:11" x14ac:dyDescent="0.2">
      <c r="A230" s="24" t="s">
        <v>138</v>
      </c>
      <c r="B230" s="24" t="s">
        <v>142</v>
      </c>
      <c r="C230" s="24">
        <v>1.8</v>
      </c>
      <c r="D230" s="24">
        <v>1999</v>
      </c>
      <c r="E230" s="24">
        <v>4</v>
      </c>
      <c r="F230" s="24" t="s">
        <v>70</v>
      </c>
      <c r="G230" s="24" t="s">
        <v>71</v>
      </c>
      <c r="H230" s="24">
        <v>18</v>
      </c>
      <c r="I230" s="24">
        <v>29</v>
      </c>
      <c r="J230" s="24" t="s">
        <v>5</v>
      </c>
      <c r="K230" s="24" t="s">
        <v>79</v>
      </c>
    </row>
    <row r="231" spans="1:11" x14ac:dyDescent="0.2">
      <c r="A231" s="24" t="s">
        <v>138</v>
      </c>
      <c r="B231" s="24" t="s">
        <v>142</v>
      </c>
      <c r="C231" s="24">
        <v>2</v>
      </c>
      <c r="D231" s="24">
        <v>2008</v>
      </c>
      <c r="E231" s="24">
        <v>4</v>
      </c>
      <c r="F231" s="24" t="s">
        <v>77</v>
      </c>
      <c r="G231" s="24" t="s">
        <v>71</v>
      </c>
      <c r="H231" s="24">
        <v>19</v>
      </c>
      <c r="I231" s="24">
        <v>28</v>
      </c>
      <c r="J231" s="24" t="s">
        <v>5</v>
      </c>
      <c r="K231" s="24" t="s">
        <v>79</v>
      </c>
    </row>
    <row r="232" spans="1:11" x14ac:dyDescent="0.2">
      <c r="A232" s="24" t="s">
        <v>138</v>
      </c>
      <c r="B232" s="24" t="s">
        <v>142</v>
      </c>
      <c r="C232" s="24">
        <v>2</v>
      </c>
      <c r="D232" s="24">
        <v>2008</v>
      </c>
      <c r="E232" s="24">
        <v>4</v>
      </c>
      <c r="F232" s="24" t="s">
        <v>74</v>
      </c>
      <c r="G232" s="24" t="s">
        <v>71</v>
      </c>
      <c r="H232" s="24">
        <v>21</v>
      </c>
      <c r="I232" s="24">
        <v>29</v>
      </c>
      <c r="J232" s="24" t="s">
        <v>5</v>
      </c>
      <c r="K232" s="24" t="s">
        <v>79</v>
      </c>
    </row>
    <row r="233" spans="1:11" x14ac:dyDescent="0.2">
      <c r="A233" s="24" t="s">
        <v>138</v>
      </c>
      <c r="B233" s="24" t="s">
        <v>142</v>
      </c>
      <c r="C233" s="24">
        <v>2.8</v>
      </c>
      <c r="D233" s="24">
        <v>1999</v>
      </c>
      <c r="E233" s="24">
        <v>6</v>
      </c>
      <c r="F233" s="24" t="s">
        <v>70</v>
      </c>
      <c r="G233" s="24" t="s">
        <v>71</v>
      </c>
      <c r="H233" s="24">
        <v>16</v>
      </c>
      <c r="I233" s="24">
        <v>26</v>
      </c>
      <c r="J233" s="24" t="s">
        <v>5</v>
      </c>
      <c r="K233" s="24" t="s">
        <v>79</v>
      </c>
    </row>
    <row r="234" spans="1:11" x14ac:dyDescent="0.2">
      <c r="A234" s="24" t="s">
        <v>138</v>
      </c>
      <c r="B234" s="24" t="s">
        <v>142</v>
      </c>
      <c r="C234" s="24">
        <v>2.8</v>
      </c>
      <c r="D234" s="24">
        <v>1999</v>
      </c>
      <c r="E234" s="24">
        <v>6</v>
      </c>
      <c r="F234" s="24" t="s">
        <v>73</v>
      </c>
      <c r="G234" s="24" t="s">
        <v>71</v>
      </c>
      <c r="H234" s="24">
        <v>18</v>
      </c>
      <c r="I234" s="24">
        <v>26</v>
      </c>
      <c r="J234" s="24" t="s">
        <v>5</v>
      </c>
      <c r="K234" s="24" t="s">
        <v>79</v>
      </c>
    </row>
    <row r="235" spans="1:11" x14ac:dyDescent="0.2">
      <c r="A235" s="24" t="s">
        <v>138</v>
      </c>
      <c r="B235" s="24" t="s">
        <v>142</v>
      </c>
      <c r="C235" s="24">
        <v>3.6</v>
      </c>
      <c r="D235" s="24">
        <v>2008</v>
      </c>
      <c r="E235" s="24">
        <v>6</v>
      </c>
      <c r="F235" s="24" t="s">
        <v>77</v>
      </c>
      <c r="G235" s="24" t="s">
        <v>71</v>
      </c>
      <c r="H235" s="24">
        <v>17</v>
      </c>
      <c r="I235" s="24">
        <v>26</v>
      </c>
      <c r="J235" s="24" t="s">
        <v>5</v>
      </c>
      <c r="K235" s="24" t="s">
        <v>79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>
      <selection activeCell="D3" sqref="D3"/>
    </sheetView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2" x14ac:dyDescent="0.2">
      <c r="A1" s="24" t="s">
        <v>64</v>
      </c>
      <c r="B1" s="24" t="s">
        <v>143</v>
      </c>
      <c r="C1" s="24"/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</row>
    <row r="2" spans="1:12" x14ac:dyDescent="0.2">
      <c r="A2" s="24">
        <v>18</v>
      </c>
      <c r="B2" s="24">
        <v>1</v>
      </c>
      <c r="C2" s="24"/>
      <c r="D2" s="25" cm="1">
        <f t="array" ref="D2:D235">TREND(A2:A235,B2:B235,B2:B235,FALSE)</f>
        <v>16.858974358974358</v>
      </c>
      <c r="E2" s="25">
        <f>D2-A2</f>
        <v>-1.1410256410256423</v>
      </c>
      <c r="F2" s="25">
        <f>STDEV(E2:E235)</f>
        <v>4.2559456788893932</v>
      </c>
      <c r="G2" s="25">
        <f>_xlfn.NORM.DIST(E2,0,$F$2,FALSE)</f>
        <v>9.0428595220514676E-2</v>
      </c>
      <c r="H2" s="25" cm="1">
        <f t="array" ref="H2">SUM(LN(G2:G235))</f>
        <v>-670.43779208802937</v>
      </c>
      <c r="I2" s="25">
        <f>COUNT(A2:A235)</f>
        <v>234</v>
      </c>
      <c r="J2" s="25">
        <v>1</v>
      </c>
      <c r="K2" s="25">
        <f>-2*H2+2*J2</f>
        <v>1342.8755841760587</v>
      </c>
      <c r="L2" s="25"/>
    </row>
    <row r="3" spans="1:12" x14ac:dyDescent="0.2">
      <c r="A3" s="24">
        <v>21</v>
      </c>
      <c r="B3" s="24">
        <v>1</v>
      </c>
      <c r="C3" s="24"/>
      <c r="D3" s="25">
        <v>16.858974358974358</v>
      </c>
      <c r="E3" s="25">
        <f t="shared" ref="E3:E66" si="0">D3-A3</f>
        <v>-4.1410256410256423</v>
      </c>
      <c r="G3" s="25">
        <f t="shared" ref="G3:G66" si="1">_xlfn.NORM.DIST(E3,0,$F$2,FALSE)</f>
        <v>5.8389578885814829E-2</v>
      </c>
      <c r="L3" s="25"/>
    </row>
    <row r="4" spans="1:12" x14ac:dyDescent="0.2">
      <c r="A4" s="24">
        <v>20</v>
      </c>
      <c r="B4" s="24">
        <v>1</v>
      </c>
      <c r="C4" s="24"/>
      <c r="D4" s="25">
        <v>16.858974358974358</v>
      </c>
      <c r="E4" s="25">
        <f t="shared" si="0"/>
        <v>-3.1410256410256423</v>
      </c>
      <c r="G4" s="25">
        <f t="shared" si="1"/>
        <v>7.138971945227178E-2</v>
      </c>
      <c r="H4" s="25" t="s">
        <v>151</v>
      </c>
      <c r="I4" s="25" t="s">
        <v>152</v>
      </c>
      <c r="L4" s="25"/>
    </row>
    <row r="5" spans="1:12" x14ac:dyDescent="0.2">
      <c r="A5" s="24">
        <v>21</v>
      </c>
      <c r="B5" s="24">
        <v>1</v>
      </c>
      <c r="C5" s="24"/>
      <c r="D5" s="25">
        <v>16.858974358974358</v>
      </c>
      <c r="E5" s="25">
        <f t="shared" si="0"/>
        <v>-4.1410256410256423</v>
      </c>
      <c r="G5" s="25">
        <f t="shared" si="1"/>
        <v>5.8389578885814829E-2</v>
      </c>
      <c r="H5" s="25">
        <f>SUMSQ(E2:E235)</f>
        <v>4220.3461538461506</v>
      </c>
      <c r="I5" s="25">
        <f>H5/I2</f>
        <v>18.035667324128848</v>
      </c>
      <c r="L5" s="25"/>
    </row>
    <row r="6" spans="1:12" x14ac:dyDescent="0.2">
      <c r="A6" s="24">
        <v>16</v>
      </c>
      <c r="B6" s="24">
        <v>1</v>
      </c>
      <c r="C6" s="24"/>
      <c r="D6" s="25">
        <v>16.858974358974358</v>
      </c>
      <c r="E6" s="25">
        <f t="shared" si="0"/>
        <v>0.8589743589743577</v>
      </c>
      <c r="G6" s="25">
        <f t="shared" si="1"/>
        <v>9.1847742433773194E-2</v>
      </c>
      <c r="L6" s="25"/>
    </row>
    <row r="7" spans="1:12" x14ac:dyDescent="0.2">
      <c r="A7" s="24">
        <v>18</v>
      </c>
      <c r="B7" s="24">
        <v>1</v>
      </c>
      <c r="C7" s="24"/>
      <c r="D7" s="25">
        <v>16.858974358974358</v>
      </c>
      <c r="E7" s="25">
        <f t="shared" si="0"/>
        <v>-1.1410256410256423</v>
      </c>
      <c r="G7" s="25">
        <f t="shared" si="1"/>
        <v>9.0428595220514676E-2</v>
      </c>
      <c r="H7" s="25" t="s">
        <v>154</v>
      </c>
      <c r="K7" s="25" t="s">
        <v>156</v>
      </c>
      <c r="L7" s="25"/>
    </row>
    <row r="8" spans="1:12" x14ac:dyDescent="0.2">
      <c r="A8" s="24">
        <v>18</v>
      </c>
      <c r="B8" s="24">
        <v>1</v>
      </c>
      <c r="C8" s="24"/>
      <c r="D8" s="25">
        <v>16.858974358974358</v>
      </c>
      <c r="E8" s="25">
        <f t="shared" si="0"/>
        <v>-1.1410256410256423</v>
      </c>
      <c r="G8" s="25">
        <f t="shared" si="1"/>
        <v>9.0428595220514676E-2</v>
      </c>
      <c r="H8" s="25">
        <f>I2*LN(I5)</f>
        <v>676.81020777694471</v>
      </c>
      <c r="K8" s="25">
        <f>H8+2*J2</f>
        <v>678.81020777694471</v>
      </c>
      <c r="L8" s="25"/>
    </row>
    <row r="9" spans="1:12" x14ac:dyDescent="0.2">
      <c r="A9" s="24">
        <v>18</v>
      </c>
      <c r="B9" s="24">
        <v>1</v>
      </c>
      <c r="C9" s="24"/>
      <c r="D9" s="25">
        <v>16.858974358974358</v>
      </c>
      <c r="E9" s="25">
        <f t="shared" si="0"/>
        <v>-1.1410256410256423</v>
      </c>
      <c r="G9" s="25">
        <f t="shared" si="1"/>
        <v>9.0428595220514676E-2</v>
      </c>
      <c r="L9" s="25"/>
    </row>
    <row r="10" spans="1:12" x14ac:dyDescent="0.2">
      <c r="A10" s="24">
        <v>16</v>
      </c>
      <c r="B10" s="24">
        <v>1</v>
      </c>
      <c r="C10" s="24"/>
      <c r="D10" s="25">
        <v>16.858974358974358</v>
      </c>
      <c r="E10" s="25">
        <f t="shared" si="0"/>
        <v>0.8589743589743577</v>
      </c>
      <c r="G10" s="25">
        <f t="shared" si="1"/>
        <v>9.1847742433773194E-2</v>
      </c>
      <c r="H10" s="25" t="s">
        <v>155</v>
      </c>
      <c r="L10" s="25"/>
    </row>
    <row r="11" spans="1:12" x14ac:dyDescent="0.2">
      <c r="A11" s="24">
        <v>20</v>
      </c>
      <c r="B11" s="24">
        <v>1</v>
      </c>
      <c r="C11" s="24"/>
      <c r="D11" s="25">
        <v>16.858974358974358</v>
      </c>
      <c r="E11" s="25">
        <f t="shared" si="0"/>
        <v>-3.1410256410256423</v>
      </c>
      <c r="G11" s="25">
        <f t="shared" si="1"/>
        <v>7.138971945227178E-2</v>
      </c>
      <c r="H11" s="25">
        <f>I2*LN(2*PI())</f>
        <v>430.06323353978684</v>
      </c>
      <c r="L11" s="25"/>
    </row>
    <row r="12" spans="1:12" x14ac:dyDescent="0.2">
      <c r="A12" s="24">
        <v>19</v>
      </c>
      <c r="B12" s="24">
        <v>1</v>
      </c>
      <c r="C12" s="24"/>
      <c r="D12" s="25">
        <v>16.858974358974358</v>
      </c>
      <c r="E12" s="25">
        <f t="shared" si="0"/>
        <v>-2.1410256410256423</v>
      </c>
      <c r="G12" s="25">
        <f t="shared" si="1"/>
        <v>8.2596026638649928E-2</v>
      </c>
      <c r="L12" s="25"/>
    </row>
    <row r="13" spans="1:12" x14ac:dyDescent="0.2">
      <c r="A13" s="24">
        <v>15</v>
      </c>
      <c r="B13" s="24">
        <v>1</v>
      </c>
      <c r="C13" s="24"/>
      <c r="D13" s="25">
        <v>16.858974358974358</v>
      </c>
      <c r="E13" s="25">
        <f t="shared" si="0"/>
        <v>1.8589743589743577</v>
      </c>
      <c r="G13" s="25">
        <f t="shared" si="1"/>
        <v>8.5208821600122359E-2</v>
      </c>
      <c r="H13" s="25" t="s">
        <v>153</v>
      </c>
      <c r="K13" s="25" t="s">
        <v>149</v>
      </c>
      <c r="L13" s="25"/>
    </row>
    <row r="14" spans="1:12" x14ac:dyDescent="0.2">
      <c r="A14" s="24">
        <v>17</v>
      </c>
      <c r="B14" s="24">
        <v>1</v>
      </c>
      <c r="C14" s="24"/>
      <c r="D14" s="25">
        <v>16.858974358974358</v>
      </c>
      <c r="E14" s="25">
        <f t="shared" si="0"/>
        <v>-0.1410256410256423</v>
      </c>
      <c r="G14" s="25">
        <f t="shared" si="1"/>
        <v>9.3686186441259228E-2</v>
      </c>
      <c r="H14" s="25">
        <f>H8+H11+I2</f>
        <v>1340.8734413167315</v>
      </c>
      <c r="K14" s="25">
        <f>H14+2*J2</f>
        <v>1342.8734413167315</v>
      </c>
      <c r="L14" s="25"/>
    </row>
    <row r="15" spans="1:12" x14ac:dyDescent="0.2">
      <c r="A15" s="24">
        <v>17</v>
      </c>
      <c r="B15" s="24">
        <v>1</v>
      </c>
      <c r="C15" s="24"/>
      <c r="D15" s="25">
        <v>16.858974358974358</v>
      </c>
      <c r="E15" s="25">
        <f t="shared" si="0"/>
        <v>-0.1410256410256423</v>
      </c>
      <c r="G15" s="25">
        <f t="shared" si="1"/>
        <v>9.3686186441259228E-2</v>
      </c>
      <c r="L15" s="25"/>
    </row>
    <row r="16" spans="1:12" x14ac:dyDescent="0.2">
      <c r="A16" s="24">
        <v>15</v>
      </c>
      <c r="B16" s="24">
        <v>1</v>
      </c>
      <c r="C16" s="24"/>
      <c r="D16" s="25">
        <v>16.858974358974358</v>
      </c>
      <c r="E16" s="25">
        <f t="shared" si="0"/>
        <v>1.8589743589743577</v>
      </c>
      <c r="G16" s="25">
        <f t="shared" si="1"/>
        <v>8.5208821600122359E-2</v>
      </c>
      <c r="L16" s="25"/>
    </row>
    <row r="17" spans="1:12" x14ac:dyDescent="0.2">
      <c r="A17" s="24">
        <v>15</v>
      </c>
      <c r="B17" s="24">
        <v>1</v>
      </c>
      <c r="C17" s="24"/>
      <c r="D17" s="25">
        <v>16.858974358974358</v>
      </c>
      <c r="E17" s="25">
        <f t="shared" si="0"/>
        <v>1.8589743589743577</v>
      </c>
      <c r="G17" s="25">
        <f t="shared" si="1"/>
        <v>8.5208821600122359E-2</v>
      </c>
      <c r="L17" s="25"/>
    </row>
    <row r="18" spans="1:12" x14ac:dyDescent="0.2">
      <c r="A18" s="24">
        <v>17</v>
      </c>
      <c r="B18" s="24">
        <v>1</v>
      </c>
      <c r="C18" s="24"/>
      <c r="D18" s="25">
        <v>16.858974358974358</v>
      </c>
      <c r="E18" s="25">
        <f t="shared" si="0"/>
        <v>-0.1410256410256423</v>
      </c>
      <c r="G18" s="25">
        <f t="shared" si="1"/>
        <v>9.3686186441259228E-2</v>
      </c>
      <c r="L18" s="25"/>
    </row>
    <row r="19" spans="1:12" x14ac:dyDescent="0.2">
      <c r="A19" s="24">
        <v>16</v>
      </c>
      <c r="B19" s="24">
        <v>1</v>
      </c>
      <c r="C19" s="24"/>
      <c r="D19" s="25">
        <v>16.858974358974358</v>
      </c>
      <c r="E19" s="25">
        <f t="shared" si="0"/>
        <v>0.8589743589743577</v>
      </c>
      <c r="G19" s="25">
        <f t="shared" si="1"/>
        <v>9.1847742433773194E-2</v>
      </c>
      <c r="L19" s="25"/>
    </row>
    <row r="20" spans="1:12" x14ac:dyDescent="0.2">
      <c r="A20" s="24">
        <v>14</v>
      </c>
      <c r="B20" s="24">
        <v>1</v>
      </c>
      <c r="C20" s="24"/>
      <c r="D20" s="25">
        <v>16.858974358974358</v>
      </c>
      <c r="E20" s="25">
        <f t="shared" si="0"/>
        <v>2.8589743589743577</v>
      </c>
      <c r="G20" s="25">
        <f t="shared" si="1"/>
        <v>7.4803820711623142E-2</v>
      </c>
      <c r="L20" s="25"/>
    </row>
    <row r="21" spans="1:12" x14ac:dyDescent="0.2">
      <c r="A21" s="24">
        <v>11</v>
      </c>
      <c r="B21" s="24">
        <v>1</v>
      </c>
      <c r="C21" s="24"/>
      <c r="D21" s="25">
        <v>16.858974358974358</v>
      </c>
      <c r="E21" s="25">
        <f t="shared" si="0"/>
        <v>5.8589743589743577</v>
      </c>
      <c r="G21" s="25">
        <f t="shared" si="1"/>
        <v>3.6339616015446226E-2</v>
      </c>
      <c r="L21" s="25"/>
    </row>
    <row r="22" spans="1:12" x14ac:dyDescent="0.2">
      <c r="A22" s="24">
        <v>14</v>
      </c>
      <c r="B22" s="24">
        <v>1</v>
      </c>
      <c r="C22" s="24"/>
      <c r="D22" s="25">
        <v>16.858974358974358</v>
      </c>
      <c r="E22" s="25">
        <f t="shared" si="0"/>
        <v>2.8589743589743577</v>
      </c>
      <c r="G22" s="25">
        <f t="shared" si="1"/>
        <v>7.4803820711623142E-2</v>
      </c>
      <c r="L22" s="25"/>
    </row>
    <row r="23" spans="1:12" x14ac:dyDescent="0.2">
      <c r="A23" s="24">
        <v>13</v>
      </c>
      <c r="B23" s="24">
        <v>1</v>
      </c>
      <c r="C23" s="24"/>
      <c r="D23" s="25">
        <v>16.858974358974358</v>
      </c>
      <c r="E23" s="25">
        <f t="shared" si="0"/>
        <v>3.8589743589743577</v>
      </c>
      <c r="G23" s="25">
        <f t="shared" si="1"/>
        <v>6.2142132155231941E-2</v>
      </c>
      <c r="L23" s="25"/>
    </row>
    <row r="24" spans="1:12" x14ac:dyDescent="0.2">
      <c r="A24" s="24">
        <v>12</v>
      </c>
      <c r="B24" s="24">
        <v>1</v>
      </c>
      <c r="C24" s="24"/>
      <c r="D24" s="25">
        <v>16.858974358974358</v>
      </c>
      <c r="E24" s="25">
        <f t="shared" si="0"/>
        <v>4.8589743589743577</v>
      </c>
      <c r="G24" s="25">
        <f t="shared" si="1"/>
        <v>4.8850798619149906E-2</v>
      </c>
      <c r="L24" s="25"/>
    </row>
    <row r="25" spans="1:12" x14ac:dyDescent="0.2">
      <c r="A25" s="24">
        <v>16</v>
      </c>
      <c r="B25" s="24">
        <v>1</v>
      </c>
      <c r="C25" s="24"/>
      <c r="D25" s="25">
        <v>16.858974358974358</v>
      </c>
      <c r="E25" s="25">
        <f t="shared" si="0"/>
        <v>0.8589743589743577</v>
      </c>
      <c r="G25" s="25">
        <f t="shared" si="1"/>
        <v>9.1847742433773194E-2</v>
      </c>
      <c r="L25" s="25"/>
    </row>
    <row r="26" spans="1:12" x14ac:dyDescent="0.2">
      <c r="A26" s="24">
        <v>15</v>
      </c>
      <c r="B26" s="24">
        <v>1</v>
      </c>
      <c r="C26" s="24"/>
      <c r="D26" s="25">
        <v>16.858974358974358</v>
      </c>
      <c r="E26" s="25">
        <f t="shared" si="0"/>
        <v>1.8589743589743577</v>
      </c>
      <c r="G26" s="25">
        <f t="shared" si="1"/>
        <v>8.5208821600122359E-2</v>
      </c>
      <c r="L26" s="25"/>
    </row>
    <row r="27" spans="1:12" x14ac:dyDescent="0.2">
      <c r="A27" s="24">
        <v>16</v>
      </c>
      <c r="B27" s="24">
        <v>1</v>
      </c>
      <c r="C27" s="24"/>
      <c r="D27" s="25">
        <v>16.858974358974358</v>
      </c>
      <c r="E27" s="25">
        <f t="shared" si="0"/>
        <v>0.8589743589743577</v>
      </c>
      <c r="G27" s="25">
        <f t="shared" si="1"/>
        <v>9.1847742433773194E-2</v>
      </c>
      <c r="L27" s="25"/>
    </row>
    <row r="28" spans="1:12" x14ac:dyDescent="0.2">
      <c r="A28" s="24">
        <v>15</v>
      </c>
      <c r="B28" s="24">
        <v>1</v>
      </c>
      <c r="C28" s="24"/>
      <c r="D28" s="25">
        <v>16.858974358974358</v>
      </c>
      <c r="E28" s="25">
        <f t="shared" si="0"/>
        <v>1.8589743589743577</v>
      </c>
      <c r="G28" s="25">
        <f t="shared" si="1"/>
        <v>8.5208821600122359E-2</v>
      </c>
      <c r="L28" s="25"/>
    </row>
    <row r="29" spans="1:12" x14ac:dyDescent="0.2">
      <c r="A29" s="24">
        <v>15</v>
      </c>
      <c r="B29" s="24">
        <v>1</v>
      </c>
      <c r="C29" s="24"/>
      <c r="D29" s="25">
        <v>16.858974358974358</v>
      </c>
      <c r="E29" s="25">
        <f t="shared" si="0"/>
        <v>1.8589743589743577</v>
      </c>
      <c r="G29" s="25">
        <f t="shared" si="1"/>
        <v>8.5208821600122359E-2</v>
      </c>
      <c r="L29" s="25"/>
    </row>
    <row r="30" spans="1:12" x14ac:dyDescent="0.2">
      <c r="A30" s="24">
        <v>14</v>
      </c>
      <c r="B30" s="24">
        <v>1</v>
      </c>
      <c r="C30" s="24"/>
      <c r="D30" s="25">
        <v>16.858974358974358</v>
      </c>
      <c r="E30" s="25">
        <f t="shared" si="0"/>
        <v>2.8589743589743577</v>
      </c>
      <c r="G30" s="25">
        <f t="shared" si="1"/>
        <v>7.4803820711623142E-2</v>
      </c>
      <c r="L30" s="25"/>
    </row>
    <row r="31" spans="1:12" x14ac:dyDescent="0.2">
      <c r="A31" s="24">
        <v>11</v>
      </c>
      <c r="B31" s="24">
        <v>1</v>
      </c>
      <c r="C31" s="24"/>
      <c r="D31" s="25">
        <v>16.858974358974358</v>
      </c>
      <c r="E31" s="25">
        <f t="shared" si="0"/>
        <v>5.8589743589743577</v>
      </c>
      <c r="G31" s="25">
        <f t="shared" si="1"/>
        <v>3.6339616015446226E-2</v>
      </c>
      <c r="L31" s="25"/>
    </row>
    <row r="32" spans="1:12" x14ac:dyDescent="0.2">
      <c r="A32" s="24">
        <v>11</v>
      </c>
      <c r="B32" s="24">
        <v>1</v>
      </c>
      <c r="C32" s="24"/>
      <c r="D32" s="25">
        <v>16.858974358974358</v>
      </c>
      <c r="E32" s="25">
        <f t="shared" si="0"/>
        <v>5.8589743589743577</v>
      </c>
      <c r="G32" s="25">
        <f t="shared" si="1"/>
        <v>3.6339616015446226E-2</v>
      </c>
      <c r="L32" s="25"/>
    </row>
    <row r="33" spans="1:12" x14ac:dyDescent="0.2">
      <c r="A33" s="24">
        <v>14</v>
      </c>
      <c r="B33" s="24">
        <v>1</v>
      </c>
      <c r="C33" s="24"/>
      <c r="D33" s="25">
        <v>16.858974358974358</v>
      </c>
      <c r="E33" s="25">
        <f t="shared" si="0"/>
        <v>2.8589743589743577</v>
      </c>
      <c r="G33" s="25">
        <f t="shared" si="1"/>
        <v>7.4803820711623142E-2</v>
      </c>
      <c r="L33" s="25"/>
    </row>
    <row r="34" spans="1:12" x14ac:dyDescent="0.2">
      <c r="A34" s="24">
        <v>19</v>
      </c>
      <c r="B34" s="24">
        <v>1</v>
      </c>
      <c r="C34" s="24"/>
      <c r="D34" s="25">
        <v>16.858974358974358</v>
      </c>
      <c r="E34" s="25">
        <f t="shared" si="0"/>
        <v>-2.1410256410256423</v>
      </c>
      <c r="G34" s="25">
        <f t="shared" si="1"/>
        <v>8.2596026638649928E-2</v>
      </c>
      <c r="L34" s="25"/>
    </row>
    <row r="35" spans="1:12" x14ac:dyDescent="0.2">
      <c r="A35" s="24">
        <v>22</v>
      </c>
      <c r="B35" s="24">
        <v>1</v>
      </c>
      <c r="C35" s="24"/>
      <c r="D35" s="25">
        <v>16.858974358974358</v>
      </c>
      <c r="E35" s="25">
        <f t="shared" si="0"/>
        <v>-5.1410256410256423</v>
      </c>
      <c r="G35" s="25">
        <f t="shared" si="1"/>
        <v>4.5191645925457373E-2</v>
      </c>
      <c r="L35" s="25"/>
    </row>
    <row r="36" spans="1:12" x14ac:dyDescent="0.2">
      <c r="A36" s="24">
        <v>18</v>
      </c>
      <c r="B36" s="24">
        <v>1</v>
      </c>
      <c r="C36" s="24"/>
      <c r="D36" s="25">
        <v>16.858974358974358</v>
      </c>
      <c r="E36" s="25">
        <f t="shared" si="0"/>
        <v>-1.1410256410256423</v>
      </c>
      <c r="G36" s="25">
        <f t="shared" si="1"/>
        <v>9.0428595220514676E-2</v>
      </c>
      <c r="L36" s="25"/>
    </row>
    <row r="37" spans="1:12" x14ac:dyDescent="0.2">
      <c r="A37" s="24">
        <v>18</v>
      </c>
      <c r="B37" s="24">
        <v>1</v>
      </c>
      <c r="C37" s="24"/>
      <c r="D37" s="25">
        <v>16.858974358974358</v>
      </c>
      <c r="E37" s="25">
        <f t="shared" si="0"/>
        <v>-1.1410256410256423</v>
      </c>
      <c r="G37" s="25">
        <f t="shared" si="1"/>
        <v>9.0428595220514676E-2</v>
      </c>
      <c r="L37" s="25"/>
    </row>
    <row r="38" spans="1:12" x14ac:dyDescent="0.2">
      <c r="A38" s="24">
        <v>17</v>
      </c>
      <c r="B38" s="24">
        <v>1</v>
      </c>
      <c r="C38" s="24"/>
      <c r="D38" s="25">
        <v>16.858974358974358</v>
      </c>
      <c r="E38" s="25">
        <f t="shared" si="0"/>
        <v>-0.1410256410256423</v>
      </c>
      <c r="G38" s="25">
        <f t="shared" si="1"/>
        <v>9.3686186441259228E-2</v>
      </c>
      <c r="L38" s="25"/>
    </row>
    <row r="39" spans="1:12" x14ac:dyDescent="0.2">
      <c r="A39" s="24">
        <v>18</v>
      </c>
      <c r="B39" s="24">
        <v>1</v>
      </c>
      <c r="C39" s="24"/>
      <c r="D39" s="25">
        <v>16.858974358974358</v>
      </c>
      <c r="E39" s="25">
        <f t="shared" si="0"/>
        <v>-1.1410256410256423</v>
      </c>
      <c r="G39" s="25">
        <f t="shared" si="1"/>
        <v>9.0428595220514676E-2</v>
      </c>
      <c r="L39" s="25"/>
    </row>
    <row r="40" spans="1:12" x14ac:dyDescent="0.2">
      <c r="A40" s="24">
        <v>17</v>
      </c>
      <c r="B40" s="24">
        <v>1</v>
      </c>
      <c r="C40" s="24"/>
      <c r="D40" s="25">
        <v>16.858974358974358</v>
      </c>
      <c r="E40" s="25">
        <f t="shared" si="0"/>
        <v>-0.1410256410256423</v>
      </c>
      <c r="G40" s="25">
        <f t="shared" si="1"/>
        <v>9.3686186441259228E-2</v>
      </c>
      <c r="L40" s="25"/>
    </row>
    <row r="41" spans="1:12" x14ac:dyDescent="0.2">
      <c r="A41" s="24">
        <v>16</v>
      </c>
      <c r="B41" s="24">
        <v>1</v>
      </c>
      <c r="C41" s="24"/>
      <c r="D41" s="25">
        <v>16.858974358974358</v>
      </c>
      <c r="E41" s="25">
        <f t="shared" si="0"/>
        <v>0.8589743589743577</v>
      </c>
      <c r="G41" s="25">
        <f t="shared" si="1"/>
        <v>9.1847742433773194E-2</v>
      </c>
      <c r="L41" s="25"/>
    </row>
    <row r="42" spans="1:12" x14ac:dyDescent="0.2">
      <c r="A42" s="24">
        <v>16</v>
      </c>
      <c r="B42" s="24">
        <v>1</v>
      </c>
      <c r="C42" s="24"/>
      <c r="D42" s="25">
        <v>16.858974358974358</v>
      </c>
      <c r="E42" s="25">
        <f t="shared" si="0"/>
        <v>0.8589743589743577</v>
      </c>
      <c r="G42" s="25">
        <f t="shared" si="1"/>
        <v>9.1847742433773194E-2</v>
      </c>
      <c r="L42" s="25"/>
    </row>
    <row r="43" spans="1:12" x14ac:dyDescent="0.2">
      <c r="A43" s="24">
        <v>17</v>
      </c>
      <c r="B43" s="24">
        <v>1</v>
      </c>
      <c r="C43" s="24"/>
      <c r="D43" s="25">
        <v>16.858974358974358</v>
      </c>
      <c r="E43" s="25">
        <f t="shared" si="0"/>
        <v>-0.1410256410256423</v>
      </c>
      <c r="G43" s="25">
        <f t="shared" si="1"/>
        <v>9.3686186441259228E-2</v>
      </c>
      <c r="L43" s="25"/>
    </row>
    <row r="44" spans="1:12" x14ac:dyDescent="0.2">
      <c r="A44" s="24">
        <v>17</v>
      </c>
      <c r="B44" s="24">
        <v>1</v>
      </c>
      <c r="C44" s="24"/>
      <c r="D44" s="25">
        <v>16.858974358974358</v>
      </c>
      <c r="E44" s="25">
        <f t="shared" si="0"/>
        <v>-0.1410256410256423</v>
      </c>
      <c r="G44" s="25">
        <f t="shared" si="1"/>
        <v>9.3686186441259228E-2</v>
      </c>
      <c r="L44" s="25"/>
    </row>
    <row r="45" spans="1:12" x14ac:dyDescent="0.2">
      <c r="A45" s="24">
        <v>11</v>
      </c>
      <c r="B45" s="24">
        <v>1</v>
      </c>
      <c r="C45" s="24"/>
      <c r="D45" s="25">
        <v>16.858974358974358</v>
      </c>
      <c r="E45" s="25">
        <f t="shared" si="0"/>
        <v>5.8589743589743577</v>
      </c>
      <c r="G45" s="25">
        <f t="shared" si="1"/>
        <v>3.6339616015446226E-2</v>
      </c>
      <c r="L45" s="25"/>
    </row>
    <row r="46" spans="1:12" x14ac:dyDescent="0.2">
      <c r="A46" s="24">
        <v>15</v>
      </c>
      <c r="B46" s="24">
        <v>1</v>
      </c>
      <c r="C46" s="24"/>
      <c r="D46" s="25">
        <v>16.858974358974358</v>
      </c>
      <c r="E46" s="25">
        <f t="shared" si="0"/>
        <v>1.8589743589743577</v>
      </c>
      <c r="G46" s="25">
        <f t="shared" si="1"/>
        <v>8.5208821600122359E-2</v>
      </c>
      <c r="L46" s="25"/>
    </row>
    <row r="47" spans="1:12" x14ac:dyDescent="0.2">
      <c r="A47" s="24">
        <v>15</v>
      </c>
      <c r="B47" s="24">
        <v>1</v>
      </c>
      <c r="C47" s="24"/>
      <c r="D47" s="25">
        <v>16.858974358974358</v>
      </c>
      <c r="E47" s="25">
        <f t="shared" si="0"/>
        <v>1.8589743589743577</v>
      </c>
      <c r="G47" s="25">
        <f t="shared" si="1"/>
        <v>8.5208821600122359E-2</v>
      </c>
      <c r="L47" s="25"/>
    </row>
    <row r="48" spans="1:12" x14ac:dyDescent="0.2">
      <c r="A48" s="24">
        <v>16</v>
      </c>
      <c r="B48" s="24">
        <v>1</v>
      </c>
      <c r="C48" s="24"/>
      <c r="D48" s="25">
        <v>16.858974358974358</v>
      </c>
      <c r="E48" s="25">
        <f t="shared" si="0"/>
        <v>0.8589743589743577</v>
      </c>
      <c r="G48" s="25">
        <f t="shared" si="1"/>
        <v>9.1847742433773194E-2</v>
      </c>
      <c r="L48" s="25"/>
    </row>
    <row r="49" spans="1:12" x14ac:dyDescent="0.2">
      <c r="A49" s="24">
        <v>16</v>
      </c>
      <c r="B49" s="24">
        <v>1</v>
      </c>
      <c r="C49" s="24"/>
      <c r="D49" s="25">
        <v>16.858974358974358</v>
      </c>
      <c r="E49" s="25">
        <f t="shared" si="0"/>
        <v>0.8589743589743577</v>
      </c>
      <c r="G49" s="25">
        <f t="shared" si="1"/>
        <v>9.1847742433773194E-2</v>
      </c>
      <c r="L49" s="25"/>
    </row>
    <row r="50" spans="1:12" x14ac:dyDescent="0.2">
      <c r="A50" s="24">
        <v>15</v>
      </c>
      <c r="B50" s="24">
        <v>1</v>
      </c>
      <c r="C50" s="24"/>
      <c r="D50" s="25">
        <v>16.858974358974358</v>
      </c>
      <c r="E50" s="25">
        <f t="shared" si="0"/>
        <v>1.8589743589743577</v>
      </c>
      <c r="G50" s="25">
        <f t="shared" si="1"/>
        <v>8.5208821600122359E-2</v>
      </c>
      <c r="L50" s="25"/>
    </row>
    <row r="51" spans="1:12" x14ac:dyDescent="0.2">
      <c r="A51" s="24">
        <v>14</v>
      </c>
      <c r="B51" s="24">
        <v>1</v>
      </c>
      <c r="C51" s="24"/>
      <c r="D51" s="25">
        <v>16.858974358974358</v>
      </c>
      <c r="E51" s="25">
        <f t="shared" si="0"/>
        <v>2.8589743589743577</v>
      </c>
      <c r="G51" s="25">
        <f t="shared" si="1"/>
        <v>7.4803820711623142E-2</v>
      </c>
      <c r="L51" s="25"/>
    </row>
    <row r="52" spans="1:12" x14ac:dyDescent="0.2">
      <c r="A52" s="24">
        <v>13</v>
      </c>
      <c r="B52" s="24">
        <v>1</v>
      </c>
      <c r="C52" s="24"/>
      <c r="D52" s="25">
        <v>16.858974358974358</v>
      </c>
      <c r="E52" s="25">
        <f t="shared" si="0"/>
        <v>3.8589743589743577</v>
      </c>
      <c r="G52" s="25">
        <f t="shared" si="1"/>
        <v>6.2142132155231941E-2</v>
      </c>
      <c r="L52" s="25"/>
    </row>
    <row r="53" spans="1:12" x14ac:dyDescent="0.2">
      <c r="A53" s="24">
        <v>14</v>
      </c>
      <c r="B53" s="24">
        <v>1</v>
      </c>
      <c r="C53" s="24"/>
      <c r="D53" s="25">
        <v>16.858974358974358</v>
      </c>
      <c r="E53" s="25">
        <f t="shared" si="0"/>
        <v>2.8589743589743577</v>
      </c>
      <c r="G53" s="25">
        <f t="shared" si="1"/>
        <v>7.4803820711623142E-2</v>
      </c>
      <c r="L53" s="25"/>
    </row>
    <row r="54" spans="1:12" x14ac:dyDescent="0.2">
      <c r="A54" s="24">
        <v>14</v>
      </c>
      <c r="B54" s="24">
        <v>1</v>
      </c>
      <c r="C54" s="24"/>
      <c r="D54" s="25">
        <v>16.858974358974358</v>
      </c>
      <c r="E54" s="25">
        <f t="shared" si="0"/>
        <v>2.8589743589743577</v>
      </c>
      <c r="G54" s="25">
        <f t="shared" si="1"/>
        <v>7.4803820711623142E-2</v>
      </c>
      <c r="L54" s="25"/>
    </row>
    <row r="55" spans="1:12" x14ac:dyDescent="0.2">
      <c r="A55" s="24">
        <v>14</v>
      </c>
      <c r="B55" s="24">
        <v>1</v>
      </c>
      <c r="C55" s="24"/>
      <c r="D55" s="25">
        <v>16.858974358974358</v>
      </c>
      <c r="E55" s="25">
        <f t="shared" si="0"/>
        <v>2.8589743589743577</v>
      </c>
      <c r="G55" s="25">
        <f t="shared" si="1"/>
        <v>7.4803820711623142E-2</v>
      </c>
      <c r="L55" s="25"/>
    </row>
    <row r="56" spans="1:12" x14ac:dyDescent="0.2">
      <c r="A56" s="24">
        <v>9</v>
      </c>
      <c r="B56" s="24">
        <v>1</v>
      </c>
      <c r="C56" s="24"/>
      <c r="D56" s="25">
        <v>16.858974358974358</v>
      </c>
      <c r="E56" s="25">
        <f t="shared" si="0"/>
        <v>7.8589743589743577</v>
      </c>
      <c r="G56" s="25">
        <f t="shared" si="1"/>
        <v>1.7039902700084295E-2</v>
      </c>
      <c r="L56" s="25"/>
    </row>
    <row r="57" spans="1:12" x14ac:dyDescent="0.2">
      <c r="A57" s="24">
        <v>11</v>
      </c>
      <c r="B57" s="24">
        <v>1</v>
      </c>
      <c r="C57" s="24"/>
      <c r="D57" s="25">
        <v>16.858974358974358</v>
      </c>
      <c r="E57" s="25">
        <f t="shared" si="0"/>
        <v>5.8589743589743577</v>
      </c>
      <c r="G57" s="25">
        <f t="shared" si="1"/>
        <v>3.6339616015446226E-2</v>
      </c>
      <c r="L57" s="25"/>
    </row>
    <row r="58" spans="1:12" x14ac:dyDescent="0.2">
      <c r="A58" s="24">
        <v>11</v>
      </c>
      <c r="B58" s="24">
        <v>1</v>
      </c>
      <c r="C58" s="24"/>
      <c r="D58" s="25">
        <v>16.858974358974358</v>
      </c>
      <c r="E58" s="25">
        <f t="shared" si="0"/>
        <v>5.8589743589743577</v>
      </c>
      <c r="G58" s="25">
        <f t="shared" si="1"/>
        <v>3.6339616015446226E-2</v>
      </c>
      <c r="L58" s="25"/>
    </row>
    <row r="59" spans="1:12" x14ac:dyDescent="0.2">
      <c r="A59" s="24">
        <v>13</v>
      </c>
      <c r="B59" s="24">
        <v>1</v>
      </c>
      <c r="C59" s="24"/>
      <c r="D59" s="25">
        <v>16.858974358974358</v>
      </c>
      <c r="E59" s="25">
        <f t="shared" si="0"/>
        <v>3.8589743589743577</v>
      </c>
      <c r="G59" s="25">
        <f t="shared" si="1"/>
        <v>6.2142132155231941E-2</v>
      </c>
      <c r="L59" s="25"/>
    </row>
    <row r="60" spans="1:12" x14ac:dyDescent="0.2">
      <c r="A60" s="24">
        <v>13</v>
      </c>
      <c r="B60" s="24">
        <v>1</v>
      </c>
      <c r="C60" s="24"/>
      <c r="D60" s="25">
        <v>16.858974358974358</v>
      </c>
      <c r="E60" s="25">
        <f t="shared" si="0"/>
        <v>3.8589743589743577</v>
      </c>
      <c r="G60" s="25">
        <f t="shared" si="1"/>
        <v>6.2142132155231941E-2</v>
      </c>
      <c r="L60" s="25"/>
    </row>
    <row r="61" spans="1:12" x14ac:dyDescent="0.2">
      <c r="A61" s="24">
        <v>9</v>
      </c>
      <c r="B61" s="24">
        <v>1</v>
      </c>
      <c r="C61" s="24"/>
      <c r="D61" s="25">
        <v>16.858974358974358</v>
      </c>
      <c r="E61" s="25">
        <f t="shared" si="0"/>
        <v>7.8589743589743577</v>
      </c>
      <c r="G61" s="25">
        <f t="shared" si="1"/>
        <v>1.7039902700084295E-2</v>
      </c>
      <c r="L61" s="25"/>
    </row>
    <row r="62" spans="1:12" x14ac:dyDescent="0.2">
      <c r="A62" s="24">
        <v>13</v>
      </c>
      <c r="B62" s="24">
        <v>1</v>
      </c>
      <c r="C62" s="24"/>
      <c r="D62" s="25">
        <v>16.858974358974358</v>
      </c>
      <c r="E62" s="25">
        <f t="shared" si="0"/>
        <v>3.8589743589743577</v>
      </c>
      <c r="G62" s="25">
        <f t="shared" si="1"/>
        <v>6.2142132155231941E-2</v>
      </c>
      <c r="L62" s="25"/>
    </row>
    <row r="63" spans="1:12" x14ac:dyDescent="0.2">
      <c r="A63" s="24">
        <v>11</v>
      </c>
      <c r="B63" s="24">
        <v>1</v>
      </c>
      <c r="C63" s="24"/>
      <c r="D63" s="25">
        <v>16.858974358974358</v>
      </c>
      <c r="E63" s="25">
        <f t="shared" si="0"/>
        <v>5.8589743589743577</v>
      </c>
      <c r="G63" s="25">
        <f t="shared" si="1"/>
        <v>3.6339616015446226E-2</v>
      </c>
      <c r="L63" s="25"/>
    </row>
    <row r="64" spans="1:12" x14ac:dyDescent="0.2">
      <c r="A64" s="24">
        <v>13</v>
      </c>
      <c r="B64" s="24">
        <v>1</v>
      </c>
      <c r="C64" s="24"/>
      <c r="D64" s="25">
        <v>16.858974358974358</v>
      </c>
      <c r="E64" s="25">
        <f t="shared" si="0"/>
        <v>3.8589743589743577</v>
      </c>
      <c r="G64" s="25">
        <f t="shared" si="1"/>
        <v>6.2142132155231941E-2</v>
      </c>
      <c r="L64" s="25"/>
    </row>
    <row r="65" spans="1:12" x14ac:dyDescent="0.2">
      <c r="A65" s="24">
        <v>11</v>
      </c>
      <c r="B65" s="24">
        <v>1</v>
      </c>
      <c r="C65" s="24"/>
      <c r="D65" s="25">
        <v>16.858974358974358</v>
      </c>
      <c r="E65" s="25">
        <f t="shared" si="0"/>
        <v>5.8589743589743577</v>
      </c>
      <c r="G65" s="25">
        <f t="shared" si="1"/>
        <v>3.6339616015446226E-2</v>
      </c>
      <c r="L65" s="25"/>
    </row>
    <row r="66" spans="1:12" x14ac:dyDescent="0.2">
      <c r="A66" s="24">
        <v>12</v>
      </c>
      <c r="B66" s="24">
        <v>1</v>
      </c>
      <c r="C66" s="24"/>
      <c r="D66" s="25">
        <v>16.858974358974358</v>
      </c>
      <c r="E66" s="25">
        <f t="shared" si="0"/>
        <v>4.8589743589743577</v>
      </c>
      <c r="G66" s="25">
        <f t="shared" si="1"/>
        <v>4.8850798619149906E-2</v>
      </c>
      <c r="L66" s="25"/>
    </row>
    <row r="67" spans="1:12" x14ac:dyDescent="0.2">
      <c r="A67" s="24">
        <v>9</v>
      </c>
      <c r="B67" s="24">
        <v>1</v>
      </c>
      <c r="C67" s="24"/>
      <c r="D67" s="25">
        <v>16.858974358974358</v>
      </c>
      <c r="E67" s="25">
        <f t="shared" ref="E67:E130" si="2">D67-A67</f>
        <v>7.8589743589743577</v>
      </c>
      <c r="G67" s="25">
        <f t="shared" ref="G67:G130" si="3">_xlfn.NORM.DIST(E67,0,$F$2,FALSE)</f>
        <v>1.7039902700084295E-2</v>
      </c>
      <c r="L67" s="25"/>
    </row>
    <row r="68" spans="1:12" x14ac:dyDescent="0.2">
      <c r="A68" s="24">
        <v>13</v>
      </c>
      <c r="B68" s="24">
        <v>1</v>
      </c>
      <c r="C68" s="24"/>
      <c r="D68" s="25">
        <v>16.858974358974358</v>
      </c>
      <c r="E68" s="25">
        <f t="shared" si="2"/>
        <v>3.8589743589743577</v>
      </c>
      <c r="G68" s="25">
        <f t="shared" si="3"/>
        <v>6.2142132155231941E-2</v>
      </c>
      <c r="L68" s="25"/>
    </row>
    <row r="69" spans="1:12" x14ac:dyDescent="0.2">
      <c r="A69" s="24">
        <v>13</v>
      </c>
      <c r="B69" s="24">
        <v>1</v>
      </c>
      <c r="C69" s="24"/>
      <c r="D69" s="25">
        <v>16.858974358974358</v>
      </c>
      <c r="E69" s="25">
        <f t="shared" si="2"/>
        <v>3.8589743589743577</v>
      </c>
      <c r="G69" s="25">
        <f t="shared" si="3"/>
        <v>6.2142132155231941E-2</v>
      </c>
      <c r="L69" s="25"/>
    </row>
    <row r="70" spans="1:12" x14ac:dyDescent="0.2">
      <c r="A70" s="24">
        <v>12</v>
      </c>
      <c r="B70" s="24">
        <v>1</v>
      </c>
      <c r="C70" s="24"/>
      <c r="D70" s="25">
        <v>16.858974358974358</v>
      </c>
      <c r="E70" s="25">
        <f t="shared" si="2"/>
        <v>4.8589743589743577</v>
      </c>
      <c r="G70" s="25">
        <f t="shared" si="3"/>
        <v>4.8850798619149906E-2</v>
      </c>
      <c r="L70" s="25"/>
    </row>
    <row r="71" spans="1:12" x14ac:dyDescent="0.2">
      <c r="A71" s="24">
        <v>9</v>
      </c>
      <c r="B71" s="24">
        <v>1</v>
      </c>
      <c r="C71" s="24"/>
      <c r="D71" s="25">
        <v>16.858974358974358</v>
      </c>
      <c r="E71" s="25">
        <f t="shared" si="2"/>
        <v>7.8589743589743577</v>
      </c>
      <c r="G71" s="25">
        <f t="shared" si="3"/>
        <v>1.7039902700084295E-2</v>
      </c>
      <c r="L71" s="25"/>
    </row>
    <row r="72" spans="1:12" x14ac:dyDescent="0.2">
      <c r="A72" s="24">
        <v>11</v>
      </c>
      <c r="B72" s="24">
        <v>1</v>
      </c>
      <c r="C72" s="24"/>
      <c r="D72" s="25">
        <v>16.858974358974358</v>
      </c>
      <c r="E72" s="25">
        <f t="shared" si="2"/>
        <v>5.8589743589743577</v>
      </c>
      <c r="G72" s="25">
        <f t="shared" si="3"/>
        <v>3.6339616015446226E-2</v>
      </c>
      <c r="L72" s="25"/>
    </row>
    <row r="73" spans="1:12" x14ac:dyDescent="0.2">
      <c r="A73" s="24">
        <v>11</v>
      </c>
      <c r="B73" s="24">
        <v>1</v>
      </c>
      <c r="C73" s="24"/>
      <c r="D73" s="25">
        <v>16.858974358974358</v>
      </c>
      <c r="E73" s="25">
        <f t="shared" si="2"/>
        <v>5.8589743589743577</v>
      </c>
      <c r="G73" s="25">
        <f t="shared" si="3"/>
        <v>3.6339616015446226E-2</v>
      </c>
      <c r="L73" s="25"/>
    </row>
    <row r="74" spans="1:12" x14ac:dyDescent="0.2">
      <c r="A74" s="24">
        <v>13</v>
      </c>
      <c r="B74" s="24">
        <v>1</v>
      </c>
      <c r="C74" s="24"/>
      <c r="D74" s="25">
        <v>16.858974358974358</v>
      </c>
      <c r="E74" s="25">
        <f t="shared" si="2"/>
        <v>3.8589743589743577</v>
      </c>
      <c r="G74" s="25">
        <f t="shared" si="3"/>
        <v>6.2142132155231941E-2</v>
      </c>
      <c r="L74" s="25"/>
    </row>
    <row r="75" spans="1:12" x14ac:dyDescent="0.2">
      <c r="A75" s="24">
        <v>11</v>
      </c>
      <c r="B75" s="24">
        <v>1</v>
      </c>
      <c r="C75" s="24"/>
      <c r="D75" s="25">
        <v>16.858974358974358</v>
      </c>
      <c r="E75" s="25">
        <f t="shared" si="2"/>
        <v>5.8589743589743577</v>
      </c>
      <c r="G75" s="25">
        <f t="shared" si="3"/>
        <v>3.6339616015446226E-2</v>
      </c>
      <c r="L75" s="25"/>
    </row>
    <row r="76" spans="1:12" x14ac:dyDescent="0.2">
      <c r="A76" s="24">
        <v>11</v>
      </c>
      <c r="B76" s="24">
        <v>1</v>
      </c>
      <c r="C76" s="24"/>
      <c r="D76" s="25">
        <v>16.858974358974358</v>
      </c>
      <c r="E76" s="25">
        <f t="shared" si="2"/>
        <v>5.8589743589743577</v>
      </c>
      <c r="G76" s="25">
        <f t="shared" si="3"/>
        <v>3.6339616015446226E-2</v>
      </c>
      <c r="L76" s="25"/>
    </row>
    <row r="77" spans="1:12" x14ac:dyDescent="0.2">
      <c r="A77" s="24">
        <v>11</v>
      </c>
      <c r="B77" s="24">
        <v>1</v>
      </c>
      <c r="C77" s="24"/>
      <c r="D77" s="25">
        <v>16.858974358974358</v>
      </c>
      <c r="E77" s="25">
        <f t="shared" si="2"/>
        <v>5.8589743589743577</v>
      </c>
      <c r="G77" s="25">
        <f t="shared" si="3"/>
        <v>3.6339616015446226E-2</v>
      </c>
      <c r="L77" s="25"/>
    </row>
    <row r="78" spans="1:12" x14ac:dyDescent="0.2">
      <c r="A78" s="24">
        <v>12</v>
      </c>
      <c r="B78" s="24">
        <v>1</v>
      </c>
      <c r="C78" s="24"/>
      <c r="D78" s="25">
        <v>16.858974358974358</v>
      </c>
      <c r="E78" s="25">
        <f t="shared" si="2"/>
        <v>4.8589743589743577</v>
      </c>
      <c r="G78" s="25">
        <f t="shared" si="3"/>
        <v>4.8850798619149906E-2</v>
      </c>
      <c r="L78" s="25"/>
    </row>
    <row r="79" spans="1:12" x14ac:dyDescent="0.2">
      <c r="A79" s="24">
        <v>14</v>
      </c>
      <c r="B79" s="24">
        <v>1</v>
      </c>
      <c r="C79" s="24"/>
      <c r="D79" s="25">
        <v>16.858974358974358</v>
      </c>
      <c r="E79" s="25">
        <f t="shared" si="2"/>
        <v>2.8589743589743577</v>
      </c>
      <c r="G79" s="25">
        <f t="shared" si="3"/>
        <v>7.4803820711623142E-2</v>
      </c>
      <c r="L79" s="25"/>
    </row>
    <row r="80" spans="1:12" x14ac:dyDescent="0.2">
      <c r="A80" s="24">
        <v>15</v>
      </c>
      <c r="B80" s="24">
        <v>1</v>
      </c>
      <c r="C80" s="24"/>
      <c r="D80" s="25">
        <v>16.858974358974358</v>
      </c>
      <c r="E80" s="25">
        <f t="shared" si="2"/>
        <v>1.8589743589743577</v>
      </c>
      <c r="G80" s="25">
        <f t="shared" si="3"/>
        <v>8.5208821600122359E-2</v>
      </c>
      <c r="L80" s="25"/>
    </row>
    <row r="81" spans="1:12" x14ac:dyDescent="0.2">
      <c r="A81" s="24">
        <v>14</v>
      </c>
      <c r="B81" s="24">
        <v>1</v>
      </c>
      <c r="C81" s="24"/>
      <c r="D81" s="25">
        <v>16.858974358974358</v>
      </c>
      <c r="E81" s="25">
        <f t="shared" si="2"/>
        <v>2.8589743589743577</v>
      </c>
      <c r="G81" s="25">
        <f t="shared" si="3"/>
        <v>7.4803820711623142E-2</v>
      </c>
      <c r="L81" s="25"/>
    </row>
    <row r="82" spans="1:12" x14ac:dyDescent="0.2">
      <c r="A82" s="24">
        <v>13</v>
      </c>
      <c r="B82" s="24">
        <v>1</v>
      </c>
      <c r="C82" s="24"/>
      <c r="D82" s="25">
        <v>16.858974358974358</v>
      </c>
      <c r="E82" s="25">
        <f t="shared" si="2"/>
        <v>3.8589743589743577</v>
      </c>
      <c r="G82" s="25">
        <f t="shared" si="3"/>
        <v>6.2142132155231941E-2</v>
      </c>
      <c r="L82" s="25"/>
    </row>
    <row r="83" spans="1:12" x14ac:dyDescent="0.2">
      <c r="A83" s="24">
        <v>13</v>
      </c>
      <c r="B83" s="24">
        <v>1</v>
      </c>
      <c r="C83" s="24"/>
      <c r="D83" s="25">
        <v>16.858974358974358</v>
      </c>
      <c r="E83" s="25">
        <f t="shared" si="2"/>
        <v>3.8589743589743577</v>
      </c>
      <c r="G83" s="25">
        <f t="shared" si="3"/>
        <v>6.2142132155231941E-2</v>
      </c>
      <c r="L83" s="25"/>
    </row>
    <row r="84" spans="1:12" x14ac:dyDescent="0.2">
      <c r="A84" s="24">
        <v>13</v>
      </c>
      <c r="B84" s="24">
        <v>1</v>
      </c>
      <c r="C84" s="24"/>
      <c r="D84" s="25">
        <v>16.858974358974358</v>
      </c>
      <c r="E84" s="25">
        <f t="shared" si="2"/>
        <v>3.8589743589743577</v>
      </c>
      <c r="G84" s="25">
        <f t="shared" si="3"/>
        <v>6.2142132155231941E-2</v>
      </c>
      <c r="L84" s="25"/>
    </row>
    <row r="85" spans="1:12" x14ac:dyDescent="0.2">
      <c r="A85" s="24">
        <v>14</v>
      </c>
      <c r="B85" s="24">
        <v>1</v>
      </c>
      <c r="C85" s="24"/>
      <c r="D85" s="25">
        <v>16.858974358974358</v>
      </c>
      <c r="E85" s="25">
        <f t="shared" si="2"/>
        <v>2.8589743589743577</v>
      </c>
      <c r="G85" s="25">
        <f t="shared" si="3"/>
        <v>7.4803820711623142E-2</v>
      </c>
      <c r="L85" s="25"/>
    </row>
    <row r="86" spans="1:12" x14ac:dyDescent="0.2">
      <c r="A86" s="24">
        <v>14</v>
      </c>
      <c r="B86" s="24">
        <v>1</v>
      </c>
      <c r="C86" s="24"/>
      <c r="D86" s="25">
        <v>16.858974358974358</v>
      </c>
      <c r="E86" s="25">
        <f t="shared" si="2"/>
        <v>2.8589743589743577</v>
      </c>
      <c r="G86" s="25">
        <f t="shared" si="3"/>
        <v>7.4803820711623142E-2</v>
      </c>
      <c r="L86" s="25"/>
    </row>
    <row r="87" spans="1:12" x14ac:dyDescent="0.2">
      <c r="A87" s="24">
        <v>13</v>
      </c>
      <c r="B87" s="24">
        <v>1</v>
      </c>
      <c r="C87" s="24"/>
      <c r="D87" s="25">
        <v>16.858974358974358</v>
      </c>
      <c r="E87" s="25">
        <f t="shared" si="2"/>
        <v>3.8589743589743577</v>
      </c>
      <c r="G87" s="25">
        <f t="shared" si="3"/>
        <v>6.2142132155231941E-2</v>
      </c>
      <c r="L87" s="25"/>
    </row>
    <row r="88" spans="1:12" x14ac:dyDescent="0.2">
      <c r="A88" s="24">
        <v>13</v>
      </c>
      <c r="B88" s="24">
        <v>1</v>
      </c>
      <c r="C88" s="24"/>
      <c r="D88" s="25">
        <v>16.858974358974358</v>
      </c>
      <c r="E88" s="25">
        <f t="shared" si="2"/>
        <v>3.8589743589743577</v>
      </c>
      <c r="G88" s="25">
        <f t="shared" si="3"/>
        <v>6.2142132155231941E-2</v>
      </c>
      <c r="L88" s="25"/>
    </row>
    <row r="89" spans="1:12" x14ac:dyDescent="0.2">
      <c r="A89" s="24">
        <v>13</v>
      </c>
      <c r="B89" s="24">
        <v>1</v>
      </c>
      <c r="C89" s="24"/>
      <c r="D89" s="25">
        <v>16.858974358974358</v>
      </c>
      <c r="E89" s="25">
        <f t="shared" si="2"/>
        <v>3.8589743589743577</v>
      </c>
      <c r="G89" s="25">
        <f t="shared" si="3"/>
        <v>6.2142132155231941E-2</v>
      </c>
      <c r="L89" s="25"/>
    </row>
    <row r="90" spans="1:12" x14ac:dyDescent="0.2">
      <c r="A90" s="24">
        <v>11</v>
      </c>
      <c r="B90" s="24">
        <v>1</v>
      </c>
      <c r="C90" s="24"/>
      <c r="D90" s="25">
        <v>16.858974358974358</v>
      </c>
      <c r="E90" s="25">
        <f t="shared" si="2"/>
        <v>5.8589743589743577</v>
      </c>
      <c r="G90" s="25">
        <f t="shared" si="3"/>
        <v>3.6339616015446226E-2</v>
      </c>
      <c r="L90" s="25"/>
    </row>
    <row r="91" spans="1:12" x14ac:dyDescent="0.2">
      <c r="A91" s="24">
        <v>13</v>
      </c>
      <c r="B91" s="24">
        <v>1</v>
      </c>
      <c r="C91" s="24"/>
      <c r="D91" s="25">
        <v>16.858974358974358</v>
      </c>
      <c r="E91" s="25">
        <f t="shared" si="2"/>
        <v>3.8589743589743577</v>
      </c>
      <c r="G91" s="25">
        <f t="shared" si="3"/>
        <v>6.2142132155231941E-2</v>
      </c>
      <c r="L91" s="25"/>
    </row>
    <row r="92" spans="1:12" x14ac:dyDescent="0.2">
      <c r="A92" s="24">
        <v>18</v>
      </c>
      <c r="B92" s="24">
        <v>1</v>
      </c>
      <c r="C92" s="24"/>
      <c r="D92" s="25">
        <v>16.858974358974358</v>
      </c>
      <c r="E92" s="25">
        <f t="shared" si="2"/>
        <v>-1.1410256410256423</v>
      </c>
      <c r="G92" s="25">
        <f t="shared" si="3"/>
        <v>9.0428595220514676E-2</v>
      </c>
      <c r="L92" s="25"/>
    </row>
    <row r="93" spans="1:12" x14ac:dyDescent="0.2">
      <c r="A93" s="24">
        <v>18</v>
      </c>
      <c r="B93" s="24">
        <v>1</v>
      </c>
      <c r="C93" s="24"/>
      <c r="D93" s="25">
        <v>16.858974358974358</v>
      </c>
      <c r="E93" s="25">
        <f t="shared" si="2"/>
        <v>-1.1410256410256423</v>
      </c>
      <c r="G93" s="25">
        <f t="shared" si="3"/>
        <v>9.0428595220514676E-2</v>
      </c>
      <c r="L93" s="25"/>
    </row>
    <row r="94" spans="1:12" x14ac:dyDescent="0.2">
      <c r="A94" s="24">
        <v>17</v>
      </c>
      <c r="B94" s="24">
        <v>1</v>
      </c>
      <c r="C94" s="24"/>
      <c r="D94" s="25">
        <v>16.858974358974358</v>
      </c>
      <c r="E94" s="25">
        <f t="shared" si="2"/>
        <v>-0.1410256410256423</v>
      </c>
      <c r="G94" s="25">
        <f t="shared" si="3"/>
        <v>9.3686186441259228E-2</v>
      </c>
      <c r="L94" s="25"/>
    </row>
    <row r="95" spans="1:12" x14ac:dyDescent="0.2">
      <c r="A95" s="24">
        <v>16</v>
      </c>
      <c r="B95" s="24">
        <v>1</v>
      </c>
      <c r="C95" s="24"/>
      <c r="D95" s="25">
        <v>16.858974358974358</v>
      </c>
      <c r="E95" s="25">
        <f t="shared" si="2"/>
        <v>0.8589743589743577</v>
      </c>
      <c r="G95" s="25">
        <f t="shared" si="3"/>
        <v>9.1847742433773194E-2</v>
      </c>
      <c r="L95" s="25"/>
    </row>
    <row r="96" spans="1:12" x14ac:dyDescent="0.2">
      <c r="A96" s="24">
        <v>15</v>
      </c>
      <c r="B96" s="24">
        <v>1</v>
      </c>
      <c r="C96" s="24"/>
      <c r="D96" s="25">
        <v>16.858974358974358</v>
      </c>
      <c r="E96" s="25">
        <f t="shared" si="2"/>
        <v>1.8589743589743577</v>
      </c>
      <c r="G96" s="25">
        <f t="shared" si="3"/>
        <v>8.5208821600122359E-2</v>
      </c>
      <c r="L96" s="25"/>
    </row>
    <row r="97" spans="1:12" x14ac:dyDescent="0.2">
      <c r="A97" s="24">
        <v>15</v>
      </c>
      <c r="B97" s="24">
        <v>1</v>
      </c>
      <c r="C97" s="24"/>
      <c r="D97" s="25">
        <v>16.858974358974358</v>
      </c>
      <c r="E97" s="25">
        <f t="shared" si="2"/>
        <v>1.8589743589743577</v>
      </c>
      <c r="G97" s="25">
        <f t="shared" si="3"/>
        <v>8.5208821600122359E-2</v>
      </c>
      <c r="L97" s="25"/>
    </row>
    <row r="98" spans="1:12" x14ac:dyDescent="0.2">
      <c r="A98" s="24">
        <v>15</v>
      </c>
      <c r="B98" s="24">
        <v>1</v>
      </c>
      <c r="C98" s="24"/>
      <c r="D98" s="25">
        <v>16.858974358974358</v>
      </c>
      <c r="E98" s="25">
        <f t="shared" si="2"/>
        <v>1.8589743589743577</v>
      </c>
      <c r="G98" s="25">
        <f t="shared" si="3"/>
        <v>8.5208821600122359E-2</v>
      </c>
      <c r="L98" s="25"/>
    </row>
    <row r="99" spans="1:12" x14ac:dyDescent="0.2">
      <c r="A99" s="24">
        <v>15</v>
      </c>
      <c r="B99" s="24">
        <v>1</v>
      </c>
      <c r="C99" s="24"/>
      <c r="D99" s="25">
        <v>16.858974358974358</v>
      </c>
      <c r="E99" s="25">
        <f t="shared" si="2"/>
        <v>1.8589743589743577</v>
      </c>
      <c r="G99" s="25">
        <f t="shared" si="3"/>
        <v>8.5208821600122359E-2</v>
      </c>
      <c r="L99" s="25"/>
    </row>
    <row r="100" spans="1:12" x14ac:dyDescent="0.2">
      <c r="A100" s="24">
        <v>14</v>
      </c>
      <c r="B100" s="24">
        <v>1</v>
      </c>
      <c r="C100" s="24"/>
      <c r="D100" s="25">
        <v>16.858974358974358</v>
      </c>
      <c r="E100" s="25">
        <f t="shared" si="2"/>
        <v>2.8589743589743577</v>
      </c>
      <c r="G100" s="25">
        <f t="shared" si="3"/>
        <v>7.4803820711623142E-2</v>
      </c>
      <c r="L100" s="25"/>
    </row>
    <row r="101" spans="1:12" x14ac:dyDescent="0.2">
      <c r="A101" s="24">
        <v>28</v>
      </c>
      <c r="B101" s="24">
        <v>1</v>
      </c>
      <c r="C101" s="24"/>
      <c r="D101" s="25">
        <v>16.858974358974358</v>
      </c>
      <c r="E101" s="25">
        <f t="shared" si="2"/>
        <v>-11.141025641025642</v>
      </c>
      <c r="G101" s="25">
        <f t="shared" si="3"/>
        <v>3.0470611306731058E-3</v>
      </c>
      <c r="L101" s="25"/>
    </row>
    <row r="102" spans="1:12" x14ac:dyDescent="0.2">
      <c r="A102" s="24">
        <v>24</v>
      </c>
      <c r="B102" s="24">
        <v>1</v>
      </c>
      <c r="C102" s="24"/>
      <c r="D102" s="25">
        <v>16.858974358974358</v>
      </c>
      <c r="E102" s="25">
        <f t="shared" si="2"/>
        <v>-7.1410256410256423</v>
      </c>
      <c r="G102" s="25">
        <f t="shared" si="3"/>
        <v>2.293893420103504E-2</v>
      </c>
      <c r="L102" s="25"/>
    </row>
    <row r="103" spans="1:12" x14ac:dyDescent="0.2">
      <c r="A103" s="24">
        <v>25</v>
      </c>
      <c r="B103" s="24">
        <v>1</v>
      </c>
      <c r="C103" s="24"/>
      <c r="D103" s="25">
        <v>16.858974358974358</v>
      </c>
      <c r="E103" s="25">
        <f t="shared" si="2"/>
        <v>-8.1410256410256423</v>
      </c>
      <c r="G103" s="25">
        <f t="shared" si="3"/>
        <v>1.5044075220828471E-2</v>
      </c>
      <c r="L103" s="25"/>
    </row>
    <row r="104" spans="1:12" x14ac:dyDescent="0.2">
      <c r="A104" s="24">
        <v>23</v>
      </c>
      <c r="B104" s="24">
        <v>1</v>
      </c>
      <c r="C104" s="24"/>
      <c r="D104" s="25">
        <v>16.858974358974358</v>
      </c>
      <c r="E104" s="25">
        <f t="shared" si="2"/>
        <v>-6.1410256410256423</v>
      </c>
      <c r="G104" s="25">
        <f t="shared" si="3"/>
        <v>3.3098180744967454E-2</v>
      </c>
      <c r="L104" s="25"/>
    </row>
    <row r="105" spans="1:12" x14ac:dyDescent="0.2">
      <c r="A105" s="24">
        <v>24</v>
      </c>
      <c r="B105" s="24">
        <v>1</v>
      </c>
      <c r="C105" s="24"/>
      <c r="D105" s="25">
        <v>16.858974358974358</v>
      </c>
      <c r="E105" s="25">
        <f t="shared" si="2"/>
        <v>-7.1410256410256423</v>
      </c>
      <c r="G105" s="25">
        <f t="shared" si="3"/>
        <v>2.293893420103504E-2</v>
      </c>
      <c r="L105" s="25"/>
    </row>
    <row r="106" spans="1:12" x14ac:dyDescent="0.2">
      <c r="A106" s="24">
        <v>26</v>
      </c>
      <c r="B106" s="24">
        <v>1</v>
      </c>
      <c r="C106" s="24"/>
      <c r="D106" s="25">
        <v>16.858974358974358</v>
      </c>
      <c r="E106" s="25">
        <f t="shared" si="2"/>
        <v>-9.1410256410256423</v>
      </c>
      <c r="G106" s="25">
        <f t="shared" si="3"/>
        <v>9.3364312813032559E-3</v>
      </c>
      <c r="L106" s="25"/>
    </row>
    <row r="107" spans="1:12" x14ac:dyDescent="0.2">
      <c r="A107" s="24">
        <v>25</v>
      </c>
      <c r="B107" s="24">
        <v>1</v>
      </c>
      <c r="C107" s="24"/>
      <c r="D107" s="25">
        <v>16.858974358974358</v>
      </c>
      <c r="E107" s="25">
        <f t="shared" si="2"/>
        <v>-8.1410256410256423</v>
      </c>
      <c r="G107" s="25">
        <f t="shared" si="3"/>
        <v>1.5044075220828471E-2</v>
      </c>
      <c r="L107" s="25"/>
    </row>
    <row r="108" spans="1:12" x14ac:dyDescent="0.2">
      <c r="A108" s="24">
        <v>24</v>
      </c>
      <c r="B108" s="24">
        <v>1</v>
      </c>
      <c r="C108" s="24"/>
      <c r="D108" s="25">
        <v>16.858974358974358</v>
      </c>
      <c r="E108" s="25">
        <f t="shared" si="2"/>
        <v>-7.1410256410256423</v>
      </c>
      <c r="G108" s="25">
        <f t="shared" si="3"/>
        <v>2.293893420103504E-2</v>
      </c>
      <c r="L108" s="25"/>
    </row>
    <row r="109" spans="1:12" x14ac:dyDescent="0.2">
      <c r="A109" s="24">
        <v>21</v>
      </c>
      <c r="B109" s="24">
        <v>1</v>
      </c>
      <c r="C109" s="24"/>
      <c r="D109" s="25">
        <v>16.858974358974358</v>
      </c>
      <c r="E109" s="25">
        <f t="shared" si="2"/>
        <v>-4.1410256410256423</v>
      </c>
      <c r="G109" s="25">
        <f t="shared" si="3"/>
        <v>5.8389578885814829E-2</v>
      </c>
      <c r="L109" s="25"/>
    </row>
    <row r="110" spans="1:12" x14ac:dyDescent="0.2">
      <c r="A110" s="24">
        <v>18</v>
      </c>
      <c r="B110" s="24">
        <v>1</v>
      </c>
      <c r="C110" s="24"/>
      <c r="D110" s="25">
        <v>16.858974358974358</v>
      </c>
      <c r="E110" s="25">
        <f t="shared" si="2"/>
        <v>-1.1410256410256423</v>
      </c>
      <c r="G110" s="25">
        <f t="shared" si="3"/>
        <v>9.0428595220514676E-2</v>
      </c>
      <c r="L110" s="25"/>
    </row>
    <row r="111" spans="1:12" x14ac:dyDescent="0.2">
      <c r="A111" s="24">
        <v>18</v>
      </c>
      <c r="B111" s="24">
        <v>1</v>
      </c>
      <c r="C111" s="24"/>
      <c r="D111" s="25">
        <v>16.858974358974358</v>
      </c>
      <c r="E111" s="25">
        <f t="shared" si="2"/>
        <v>-1.1410256410256423</v>
      </c>
      <c r="G111" s="25">
        <f t="shared" si="3"/>
        <v>9.0428595220514676E-2</v>
      </c>
      <c r="L111" s="25"/>
    </row>
    <row r="112" spans="1:12" x14ac:dyDescent="0.2">
      <c r="A112" s="24">
        <v>21</v>
      </c>
      <c r="B112" s="24">
        <v>1</v>
      </c>
      <c r="C112" s="24"/>
      <c r="D112" s="25">
        <v>16.858974358974358</v>
      </c>
      <c r="E112" s="25">
        <f t="shared" si="2"/>
        <v>-4.1410256410256423</v>
      </c>
      <c r="G112" s="25">
        <f t="shared" si="3"/>
        <v>5.8389578885814829E-2</v>
      </c>
      <c r="L112" s="25"/>
    </row>
    <row r="113" spans="1:12" x14ac:dyDescent="0.2">
      <c r="A113" s="24">
        <v>21</v>
      </c>
      <c r="B113" s="24">
        <v>1</v>
      </c>
      <c r="C113" s="24"/>
      <c r="D113" s="25">
        <v>16.858974358974358</v>
      </c>
      <c r="E113" s="25">
        <f t="shared" si="2"/>
        <v>-4.1410256410256423</v>
      </c>
      <c r="G113" s="25">
        <f t="shared" si="3"/>
        <v>5.8389578885814829E-2</v>
      </c>
      <c r="L113" s="25"/>
    </row>
    <row r="114" spans="1:12" x14ac:dyDescent="0.2">
      <c r="A114" s="24">
        <v>18</v>
      </c>
      <c r="B114" s="24">
        <v>1</v>
      </c>
      <c r="C114" s="24"/>
      <c r="D114" s="25">
        <v>16.858974358974358</v>
      </c>
      <c r="E114" s="25">
        <f t="shared" si="2"/>
        <v>-1.1410256410256423</v>
      </c>
      <c r="G114" s="25">
        <f t="shared" si="3"/>
        <v>9.0428595220514676E-2</v>
      </c>
      <c r="L114" s="25"/>
    </row>
    <row r="115" spans="1:12" x14ac:dyDescent="0.2">
      <c r="A115" s="24">
        <v>18</v>
      </c>
      <c r="B115" s="24">
        <v>1</v>
      </c>
      <c r="C115" s="24"/>
      <c r="D115" s="25">
        <v>16.858974358974358</v>
      </c>
      <c r="E115" s="25">
        <f t="shared" si="2"/>
        <v>-1.1410256410256423</v>
      </c>
      <c r="G115" s="25">
        <f t="shared" si="3"/>
        <v>9.0428595220514676E-2</v>
      </c>
      <c r="L115" s="25"/>
    </row>
    <row r="116" spans="1:12" x14ac:dyDescent="0.2">
      <c r="A116" s="24">
        <v>19</v>
      </c>
      <c r="B116" s="24">
        <v>1</v>
      </c>
      <c r="C116" s="24"/>
      <c r="D116" s="25">
        <v>16.858974358974358</v>
      </c>
      <c r="E116" s="25">
        <f t="shared" si="2"/>
        <v>-2.1410256410256423</v>
      </c>
      <c r="G116" s="25">
        <f t="shared" si="3"/>
        <v>8.2596026638649928E-2</v>
      </c>
      <c r="L116" s="25"/>
    </row>
    <row r="117" spans="1:12" x14ac:dyDescent="0.2">
      <c r="A117" s="24">
        <v>19</v>
      </c>
      <c r="B117" s="24">
        <v>1</v>
      </c>
      <c r="C117" s="24"/>
      <c r="D117" s="25">
        <v>16.858974358974358</v>
      </c>
      <c r="E117" s="25">
        <f t="shared" si="2"/>
        <v>-2.1410256410256423</v>
      </c>
      <c r="G117" s="25">
        <f t="shared" si="3"/>
        <v>8.2596026638649928E-2</v>
      </c>
      <c r="L117" s="25"/>
    </row>
    <row r="118" spans="1:12" x14ac:dyDescent="0.2">
      <c r="A118" s="24">
        <v>19</v>
      </c>
      <c r="B118" s="24">
        <v>1</v>
      </c>
      <c r="C118" s="24"/>
      <c r="D118" s="25">
        <v>16.858974358974358</v>
      </c>
      <c r="E118" s="25">
        <f t="shared" si="2"/>
        <v>-2.1410256410256423</v>
      </c>
      <c r="G118" s="25">
        <f t="shared" si="3"/>
        <v>8.2596026638649928E-2</v>
      </c>
      <c r="L118" s="25"/>
    </row>
    <row r="119" spans="1:12" x14ac:dyDescent="0.2">
      <c r="A119" s="24">
        <v>20</v>
      </c>
      <c r="B119" s="24">
        <v>1</v>
      </c>
      <c r="C119" s="24"/>
      <c r="D119" s="25">
        <v>16.858974358974358</v>
      </c>
      <c r="E119" s="25">
        <f t="shared" si="2"/>
        <v>-3.1410256410256423</v>
      </c>
      <c r="G119" s="25">
        <f t="shared" si="3"/>
        <v>7.138971945227178E-2</v>
      </c>
      <c r="L119" s="25"/>
    </row>
    <row r="120" spans="1:12" x14ac:dyDescent="0.2">
      <c r="A120" s="24">
        <v>20</v>
      </c>
      <c r="B120" s="24">
        <v>1</v>
      </c>
      <c r="C120" s="24"/>
      <c r="D120" s="25">
        <v>16.858974358974358</v>
      </c>
      <c r="E120" s="25">
        <f t="shared" si="2"/>
        <v>-3.1410256410256423</v>
      </c>
      <c r="G120" s="25">
        <f t="shared" si="3"/>
        <v>7.138971945227178E-2</v>
      </c>
      <c r="L120" s="25"/>
    </row>
    <row r="121" spans="1:12" x14ac:dyDescent="0.2">
      <c r="A121" s="24">
        <v>17</v>
      </c>
      <c r="B121" s="24">
        <v>1</v>
      </c>
      <c r="C121" s="24"/>
      <c r="D121" s="25">
        <v>16.858974358974358</v>
      </c>
      <c r="E121" s="25">
        <f t="shared" si="2"/>
        <v>-0.1410256410256423</v>
      </c>
      <c r="G121" s="25">
        <f t="shared" si="3"/>
        <v>9.3686186441259228E-2</v>
      </c>
      <c r="L121" s="25"/>
    </row>
    <row r="122" spans="1:12" x14ac:dyDescent="0.2">
      <c r="A122" s="24">
        <v>16</v>
      </c>
      <c r="B122" s="24">
        <v>1</v>
      </c>
      <c r="C122" s="24"/>
      <c r="D122" s="25">
        <v>16.858974358974358</v>
      </c>
      <c r="E122" s="25">
        <f t="shared" si="2"/>
        <v>0.8589743589743577</v>
      </c>
      <c r="G122" s="25">
        <f t="shared" si="3"/>
        <v>9.1847742433773194E-2</v>
      </c>
      <c r="L122" s="25"/>
    </row>
    <row r="123" spans="1:12" x14ac:dyDescent="0.2">
      <c r="A123" s="24">
        <v>17</v>
      </c>
      <c r="B123" s="24">
        <v>1</v>
      </c>
      <c r="C123" s="24"/>
      <c r="D123" s="25">
        <v>16.858974358974358</v>
      </c>
      <c r="E123" s="25">
        <f t="shared" si="2"/>
        <v>-0.1410256410256423</v>
      </c>
      <c r="G123" s="25">
        <f t="shared" si="3"/>
        <v>9.3686186441259228E-2</v>
      </c>
      <c r="L123" s="25"/>
    </row>
    <row r="124" spans="1:12" x14ac:dyDescent="0.2">
      <c r="A124" s="24">
        <v>17</v>
      </c>
      <c r="B124" s="24">
        <v>1</v>
      </c>
      <c r="C124" s="24"/>
      <c r="D124" s="25">
        <v>16.858974358974358</v>
      </c>
      <c r="E124" s="25">
        <f t="shared" si="2"/>
        <v>-0.1410256410256423</v>
      </c>
      <c r="G124" s="25">
        <f t="shared" si="3"/>
        <v>9.3686186441259228E-2</v>
      </c>
      <c r="L124" s="25"/>
    </row>
    <row r="125" spans="1:12" x14ac:dyDescent="0.2">
      <c r="A125" s="24">
        <v>15</v>
      </c>
      <c r="B125" s="24">
        <v>1</v>
      </c>
      <c r="C125" s="24"/>
      <c r="D125" s="25">
        <v>16.858974358974358</v>
      </c>
      <c r="E125" s="25">
        <f t="shared" si="2"/>
        <v>1.8589743589743577</v>
      </c>
      <c r="G125" s="25">
        <f t="shared" si="3"/>
        <v>8.5208821600122359E-2</v>
      </c>
      <c r="L125" s="25"/>
    </row>
    <row r="126" spans="1:12" x14ac:dyDescent="0.2">
      <c r="A126" s="24">
        <v>15</v>
      </c>
      <c r="B126" s="24">
        <v>1</v>
      </c>
      <c r="C126" s="24"/>
      <c r="D126" s="25">
        <v>16.858974358974358</v>
      </c>
      <c r="E126" s="25">
        <f t="shared" si="2"/>
        <v>1.8589743589743577</v>
      </c>
      <c r="G126" s="25">
        <f t="shared" si="3"/>
        <v>8.5208821600122359E-2</v>
      </c>
      <c r="L126" s="25"/>
    </row>
    <row r="127" spans="1:12" x14ac:dyDescent="0.2">
      <c r="A127" s="24">
        <v>14</v>
      </c>
      <c r="B127" s="24">
        <v>1</v>
      </c>
      <c r="C127" s="24"/>
      <c r="D127" s="25">
        <v>16.858974358974358</v>
      </c>
      <c r="E127" s="25">
        <f t="shared" si="2"/>
        <v>2.8589743589743577</v>
      </c>
      <c r="G127" s="25">
        <f t="shared" si="3"/>
        <v>7.4803820711623142E-2</v>
      </c>
      <c r="L127" s="25"/>
    </row>
    <row r="128" spans="1:12" x14ac:dyDescent="0.2">
      <c r="A128" s="24">
        <v>9</v>
      </c>
      <c r="B128" s="24">
        <v>1</v>
      </c>
      <c r="C128" s="24"/>
      <c r="D128" s="25">
        <v>16.858974358974358</v>
      </c>
      <c r="E128" s="25">
        <f t="shared" si="2"/>
        <v>7.8589743589743577</v>
      </c>
      <c r="G128" s="25">
        <f t="shared" si="3"/>
        <v>1.7039902700084295E-2</v>
      </c>
      <c r="L128" s="25"/>
    </row>
    <row r="129" spans="1:12" x14ac:dyDescent="0.2">
      <c r="A129" s="24">
        <v>14</v>
      </c>
      <c r="B129" s="24">
        <v>1</v>
      </c>
      <c r="C129" s="24"/>
      <c r="D129" s="25">
        <v>16.858974358974358</v>
      </c>
      <c r="E129" s="25">
        <f t="shared" si="2"/>
        <v>2.8589743589743577</v>
      </c>
      <c r="G129" s="25">
        <f t="shared" si="3"/>
        <v>7.4803820711623142E-2</v>
      </c>
      <c r="L129" s="25"/>
    </row>
    <row r="130" spans="1:12" x14ac:dyDescent="0.2">
      <c r="A130" s="24">
        <v>13</v>
      </c>
      <c r="B130" s="24">
        <v>1</v>
      </c>
      <c r="C130" s="24"/>
      <c r="D130" s="25">
        <v>16.858974358974358</v>
      </c>
      <c r="E130" s="25">
        <f t="shared" si="2"/>
        <v>3.8589743589743577</v>
      </c>
      <c r="G130" s="25">
        <f t="shared" si="3"/>
        <v>6.2142132155231941E-2</v>
      </c>
      <c r="L130" s="25"/>
    </row>
    <row r="131" spans="1:12" x14ac:dyDescent="0.2">
      <c r="A131" s="24">
        <v>11</v>
      </c>
      <c r="B131" s="24">
        <v>1</v>
      </c>
      <c r="C131" s="24"/>
      <c r="D131" s="25">
        <v>16.858974358974358</v>
      </c>
      <c r="E131" s="25">
        <f t="shared" ref="E131:E194" si="4">D131-A131</f>
        <v>5.8589743589743577</v>
      </c>
      <c r="G131" s="25">
        <f t="shared" ref="G131:G194" si="5">_xlfn.NORM.DIST(E131,0,$F$2,FALSE)</f>
        <v>3.6339616015446226E-2</v>
      </c>
      <c r="L131" s="25"/>
    </row>
    <row r="132" spans="1:12" x14ac:dyDescent="0.2">
      <c r="A132" s="24">
        <v>11</v>
      </c>
      <c r="B132" s="24">
        <v>1</v>
      </c>
      <c r="C132" s="24"/>
      <c r="D132" s="25">
        <v>16.858974358974358</v>
      </c>
      <c r="E132" s="25">
        <f t="shared" si="4"/>
        <v>5.8589743589743577</v>
      </c>
      <c r="G132" s="25">
        <f t="shared" si="5"/>
        <v>3.6339616015446226E-2</v>
      </c>
      <c r="L132" s="25"/>
    </row>
    <row r="133" spans="1:12" x14ac:dyDescent="0.2">
      <c r="A133" s="24">
        <v>12</v>
      </c>
      <c r="B133" s="24">
        <v>1</v>
      </c>
      <c r="C133" s="24"/>
      <c r="D133" s="25">
        <v>16.858974358974358</v>
      </c>
      <c r="E133" s="25">
        <f t="shared" si="4"/>
        <v>4.8589743589743577</v>
      </c>
      <c r="G133" s="25">
        <f t="shared" si="5"/>
        <v>4.8850798619149906E-2</v>
      </c>
      <c r="L133" s="25"/>
    </row>
    <row r="134" spans="1:12" x14ac:dyDescent="0.2">
      <c r="A134" s="24">
        <v>12</v>
      </c>
      <c r="B134" s="24">
        <v>1</v>
      </c>
      <c r="C134" s="24"/>
      <c r="D134" s="25">
        <v>16.858974358974358</v>
      </c>
      <c r="E134" s="25">
        <f t="shared" si="4"/>
        <v>4.8589743589743577</v>
      </c>
      <c r="G134" s="25">
        <f t="shared" si="5"/>
        <v>4.8850798619149906E-2</v>
      </c>
      <c r="L134" s="25"/>
    </row>
    <row r="135" spans="1:12" x14ac:dyDescent="0.2">
      <c r="A135" s="24">
        <v>11</v>
      </c>
      <c r="B135" s="24">
        <v>1</v>
      </c>
      <c r="C135" s="24"/>
      <c r="D135" s="25">
        <v>16.858974358974358</v>
      </c>
      <c r="E135" s="25">
        <f t="shared" si="4"/>
        <v>5.8589743589743577</v>
      </c>
      <c r="G135" s="25">
        <f t="shared" si="5"/>
        <v>3.6339616015446226E-2</v>
      </c>
      <c r="L135" s="25"/>
    </row>
    <row r="136" spans="1:12" x14ac:dyDescent="0.2">
      <c r="A136" s="24">
        <v>11</v>
      </c>
      <c r="B136" s="24">
        <v>1</v>
      </c>
      <c r="C136" s="24"/>
      <c r="D136" s="25">
        <v>16.858974358974358</v>
      </c>
      <c r="E136" s="25">
        <f t="shared" si="4"/>
        <v>5.8589743589743577</v>
      </c>
      <c r="G136" s="25">
        <f t="shared" si="5"/>
        <v>3.6339616015446226E-2</v>
      </c>
      <c r="L136" s="25"/>
    </row>
    <row r="137" spans="1:12" x14ac:dyDescent="0.2">
      <c r="A137" s="24">
        <v>11</v>
      </c>
      <c r="B137" s="24">
        <v>1</v>
      </c>
      <c r="C137" s="24"/>
      <c r="D137" s="25">
        <v>16.858974358974358</v>
      </c>
      <c r="E137" s="25">
        <f t="shared" si="4"/>
        <v>5.8589743589743577</v>
      </c>
      <c r="G137" s="25">
        <f t="shared" si="5"/>
        <v>3.6339616015446226E-2</v>
      </c>
      <c r="L137" s="25"/>
    </row>
    <row r="138" spans="1:12" x14ac:dyDescent="0.2">
      <c r="A138" s="24">
        <v>12</v>
      </c>
      <c r="B138" s="24">
        <v>1</v>
      </c>
      <c r="C138" s="24"/>
      <c r="D138" s="25">
        <v>16.858974358974358</v>
      </c>
      <c r="E138" s="25">
        <f t="shared" si="4"/>
        <v>4.8589743589743577</v>
      </c>
      <c r="G138" s="25">
        <f t="shared" si="5"/>
        <v>4.8850798619149906E-2</v>
      </c>
      <c r="L138" s="25"/>
    </row>
    <row r="139" spans="1:12" x14ac:dyDescent="0.2">
      <c r="A139" s="24">
        <v>14</v>
      </c>
      <c r="B139" s="24">
        <v>1</v>
      </c>
      <c r="C139" s="24"/>
      <c r="D139" s="25">
        <v>16.858974358974358</v>
      </c>
      <c r="E139" s="25">
        <f t="shared" si="4"/>
        <v>2.8589743589743577</v>
      </c>
      <c r="G139" s="25">
        <f t="shared" si="5"/>
        <v>7.4803820711623142E-2</v>
      </c>
      <c r="L139" s="25"/>
    </row>
    <row r="140" spans="1:12" x14ac:dyDescent="0.2">
      <c r="A140" s="24">
        <v>13</v>
      </c>
      <c r="B140" s="24">
        <v>1</v>
      </c>
      <c r="C140" s="24"/>
      <c r="D140" s="25">
        <v>16.858974358974358</v>
      </c>
      <c r="E140" s="25">
        <f t="shared" si="4"/>
        <v>3.8589743589743577</v>
      </c>
      <c r="G140" s="25">
        <f t="shared" si="5"/>
        <v>6.2142132155231941E-2</v>
      </c>
      <c r="L140" s="25"/>
    </row>
    <row r="141" spans="1:12" x14ac:dyDescent="0.2">
      <c r="A141" s="24">
        <v>13</v>
      </c>
      <c r="B141" s="24">
        <v>1</v>
      </c>
      <c r="C141" s="24"/>
      <c r="D141" s="25">
        <v>16.858974358974358</v>
      </c>
      <c r="E141" s="25">
        <f t="shared" si="4"/>
        <v>3.8589743589743577</v>
      </c>
      <c r="G141" s="25">
        <f t="shared" si="5"/>
        <v>6.2142132155231941E-2</v>
      </c>
      <c r="L141" s="25"/>
    </row>
    <row r="142" spans="1:12" x14ac:dyDescent="0.2">
      <c r="A142" s="24">
        <v>13</v>
      </c>
      <c r="B142" s="24">
        <v>1</v>
      </c>
      <c r="C142" s="24"/>
      <c r="D142" s="25">
        <v>16.858974358974358</v>
      </c>
      <c r="E142" s="25">
        <f t="shared" si="4"/>
        <v>3.8589743589743577</v>
      </c>
      <c r="G142" s="25">
        <f t="shared" si="5"/>
        <v>6.2142132155231941E-2</v>
      </c>
      <c r="L142" s="25"/>
    </row>
    <row r="143" spans="1:12" x14ac:dyDescent="0.2">
      <c r="A143" s="24">
        <v>21</v>
      </c>
      <c r="B143" s="24">
        <v>1</v>
      </c>
      <c r="C143" s="24"/>
      <c r="D143" s="25">
        <v>16.858974358974358</v>
      </c>
      <c r="E143" s="25">
        <f t="shared" si="4"/>
        <v>-4.1410256410256423</v>
      </c>
      <c r="G143" s="25">
        <f t="shared" si="5"/>
        <v>5.8389578885814829E-2</v>
      </c>
      <c r="L143" s="25"/>
    </row>
    <row r="144" spans="1:12" x14ac:dyDescent="0.2">
      <c r="A144" s="24">
        <v>19</v>
      </c>
      <c r="B144" s="24">
        <v>1</v>
      </c>
      <c r="C144" s="24"/>
      <c r="D144" s="25">
        <v>16.858974358974358</v>
      </c>
      <c r="E144" s="25">
        <f t="shared" si="4"/>
        <v>-2.1410256410256423</v>
      </c>
      <c r="G144" s="25">
        <f t="shared" si="5"/>
        <v>8.2596026638649928E-2</v>
      </c>
      <c r="L144" s="25"/>
    </row>
    <row r="145" spans="1:12" x14ac:dyDescent="0.2">
      <c r="A145" s="24">
        <v>23</v>
      </c>
      <c r="B145" s="24">
        <v>1</v>
      </c>
      <c r="C145" s="24"/>
      <c r="D145" s="25">
        <v>16.858974358974358</v>
      </c>
      <c r="E145" s="25">
        <f t="shared" si="4"/>
        <v>-6.1410256410256423</v>
      </c>
      <c r="G145" s="25">
        <f t="shared" si="5"/>
        <v>3.3098180744967454E-2</v>
      </c>
      <c r="L145" s="25"/>
    </row>
    <row r="146" spans="1:12" x14ac:dyDescent="0.2">
      <c r="A146" s="24">
        <v>23</v>
      </c>
      <c r="B146" s="24">
        <v>1</v>
      </c>
      <c r="C146" s="24"/>
      <c r="D146" s="25">
        <v>16.858974358974358</v>
      </c>
      <c r="E146" s="25">
        <f t="shared" si="4"/>
        <v>-6.1410256410256423</v>
      </c>
      <c r="G146" s="25">
        <f t="shared" si="5"/>
        <v>3.3098180744967454E-2</v>
      </c>
      <c r="L146" s="25"/>
    </row>
    <row r="147" spans="1:12" x14ac:dyDescent="0.2">
      <c r="A147" s="24">
        <v>19</v>
      </c>
      <c r="B147" s="24">
        <v>1</v>
      </c>
      <c r="C147" s="24"/>
      <c r="D147" s="25">
        <v>16.858974358974358</v>
      </c>
      <c r="E147" s="25">
        <f t="shared" si="4"/>
        <v>-2.1410256410256423</v>
      </c>
      <c r="G147" s="25">
        <f t="shared" si="5"/>
        <v>8.2596026638649928E-2</v>
      </c>
      <c r="L147" s="25"/>
    </row>
    <row r="148" spans="1:12" x14ac:dyDescent="0.2">
      <c r="A148" s="24">
        <v>19</v>
      </c>
      <c r="B148" s="24">
        <v>1</v>
      </c>
      <c r="C148" s="24"/>
      <c r="D148" s="25">
        <v>16.858974358974358</v>
      </c>
      <c r="E148" s="25">
        <f t="shared" si="4"/>
        <v>-2.1410256410256423</v>
      </c>
      <c r="G148" s="25">
        <f t="shared" si="5"/>
        <v>8.2596026638649928E-2</v>
      </c>
      <c r="L148" s="25"/>
    </row>
    <row r="149" spans="1:12" x14ac:dyDescent="0.2">
      <c r="A149" s="24">
        <v>18</v>
      </c>
      <c r="B149" s="24">
        <v>1</v>
      </c>
      <c r="C149" s="24"/>
      <c r="D149" s="25">
        <v>16.858974358974358</v>
      </c>
      <c r="E149" s="25">
        <f t="shared" si="4"/>
        <v>-1.1410256410256423</v>
      </c>
      <c r="G149" s="25">
        <f t="shared" si="5"/>
        <v>9.0428595220514676E-2</v>
      </c>
      <c r="L149" s="25"/>
    </row>
    <row r="150" spans="1:12" x14ac:dyDescent="0.2">
      <c r="A150" s="24">
        <v>19</v>
      </c>
      <c r="B150" s="24">
        <v>1</v>
      </c>
      <c r="C150" s="24"/>
      <c r="D150" s="25">
        <v>16.858974358974358</v>
      </c>
      <c r="E150" s="25">
        <f t="shared" si="4"/>
        <v>-2.1410256410256423</v>
      </c>
      <c r="G150" s="25">
        <f t="shared" si="5"/>
        <v>8.2596026638649928E-2</v>
      </c>
      <c r="L150" s="25"/>
    </row>
    <row r="151" spans="1:12" x14ac:dyDescent="0.2">
      <c r="A151" s="24">
        <v>19</v>
      </c>
      <c r="B151" s="24">
        <v>1</v>
      </c>
      <c r="C151" s="24"/>
      <c r="D151" s="25">
        <v>16.858974358974358</v>
      </c>
      <c r="E151" s="25">
        <f t="shared" si="4"/>
        <v>-2.1410256410256423</v>
      </c>
      <c r="G151" s="25">
        <f t="shared" si="5"/>
        <v>8.2596026638649928E-2</v>
      </c>
      <c r="L151" s="25"/>
    </row>
    <row r="152" spans="1:12" x14ac:dyDescent="0.2">
      <c r="A152" s="24">
        <v>14</v>
      </c>
      <c r="B152" s="24">
        <v>1</v>
      </c>
      <c r="C152" s="24"/>
      <c r="D152" s="25">
        <v>16.858974358974358</v>
      </c>
      <c r="E152" s="25">
        <f t="shared" si="4"/>
        <v>2.8589743589743577</v>
      </c>
      <c r="G152" s="25">
        <f t="shared" si="5"/>
        <v>7.4803820711623142E-2</v>
      </c>
      <c r="L152" s="25"/>
    </row>
    <row r="153" spans="1:12" x14ac:dyDescent="0.2">
      <c r="A153" s="24">
        <v>15</v>
      </c>
      <c r="B153" s="24">
        <v>1</v>
      </c>
      <c r="C153" s="24"/>
      <c r="D153" s="25">
        <v>16.858974358974358</v>
      </c>
      <c r="E153" s="25">
        <f t="shared" si="4"/>
        <v>1.8589743589743577</v>
      </c>
      <c r="G153" s="25">
        <f t="shared" si="5"/>
        <v>8.5208821600122359E-2</v>
      </c>
      <c r="L153" s="25"/>
    </row>
    <row r="154" spans="1:12" x14ac:dyDescent="0.2">
      <c r="A154" s="24">
        <v>14</v>
      </c>
      <c r="B154" s="24">
        <v>1</v>
      </c>
      <c r="C154" s="24"/>
      <c r="D154" s="25">
        <v>16.858974358974358</v>
      </c>
      <c r="E154" s="25">
        <f t="shared" si="4"/>
        <v>2.8589743589743577</v>
      </c>
      <c r="G154" s="25">
        <f t="shared" si="5"/>
        <v>7.4803820711623142E-2</v>
      </c>
      <c r="L154" s="25"/>
    </row>
    <row r="155" spans="1:12" x14ac:dyDescent="0.2">
      <c r="A155" s="24">
        <v>12</v>
      </c>
      <c r="B155" s="24">
        <v>1</v>
      </c>
      <c r="C155" s="24"/>
      <c r="D155" s="25">
        <v>16.858974358974358</v>
      </c>
      <c r="E155" s="25">
        <f t="shared" si="4"/>
        <v>4.8589743589743577</v>
      </c>
      <c r="G155" s="25">
        <f t="shared" si="5"/>
        <v>4.8850798619149906E-2</v>
      </c>
      <c r="L155" s="25"/>
    </row>
    <row r="156" spans="1:12" x14ac:dyDescent="0.2">
      <c r="A156" s="24">
        <v>18</v>
      </c>
      <c r="B156" s="24">
        <v>1</v>
      </c>
      <c r="C156" s="24"/>
      <c r="D156" s="25">
        <v>16.858974358974358</v>
      </c>
      <c r="E156" s="25">
        <f t="shared" si="4"/>
        <v>-1.1410256410256423</v>
      </c>
      <c r="G156" s="25">
        <f t="shared" si="5"/>
        <v>9.0428595220514676E-2</v>
      </c>
      <c r="L156" s="25"/>
    </row>
    <row r="157" spans="1:12" x14ac:dyDescent="0.2">
      <c r="A157" s="24">
        <v>16</v>
      </c>
      <c r="B157" s="24">
        <v>1</v>
      </c>
      <c r="C157" s="24"/>
      <c r="D157" s="25">
        <v>16.858974358974358</v>
      </c>
      <c r="E157" s="25">
        <f t="shared" si="4"/>
        <v>0.8589743589743577</v>
      </c>
      <c r="G157" s="25">
        <f t="shared" si="5"/>
        <v>9.1847742433773194E-2</v>
      </c>
      <c r="L157" s="25"/>
    </row>
    <row r="158" spans="1:12" x14ac:dyDescent="0.2">
      <c r="A158" s="24">
        <v>17</v>
      </c>
      <c r="B158" s="24">
        <v>1</v>
      </c>
      <c r="C158" s="24"/>
      <c r="D158" s="25">
        <v>16.858974358974358</v>
      </c>
      <c r="E158" s="25">
        <f t="shared" si="4"/>
        <v>-0.1410256410256423</v>
      </c>
      <c r="G158" s="25">
        <f t="shared" si="5"/>
        <v>9.3686186441259228E-2</v>
      </c>
      <c r="L158" s="25"/>
    </row>
    <row r="159" spans="1:12" x14ac:dyDescent="0.2">
      <c r="A159" s="24">
        <v>18</v>
      </c>
      <c r="B159" s="24">
        <v>1</v>
      </c>
      <c r="C159" s="24"/>
      <c r="D159" s="25">
        <v>16.858974358974358</v>
      </c>
      <c r="E159" s="25">
        <f t="shared" si="4"/>
        <v>-1.1410256410256423</v>
      </c>
      <c r="G159" s="25">
        <f t="shared" si="5"/>
        <v>9.0428595220514676E-2</v>
      </c>
      <c r="L159" s="25"/>
    </row>
    <row r="160" spans="1:12" x14ac:dyDescent="0.2">
      <c r="A160" s="24">
        <v>16</v>
      </c>
      <c r="B160" s="24">
        <v>1</v>
      </c>
      <c r="C160" s="24"/>
      <c r="D160" s="25">
        <v>16.858974358974358</v>
      </c>
      <c r="E160" s="25">
        <f t="shared" si="4"/>
        <v>0.8589743589743577</v>
      </c>
      <c r="G160" s="25">
        <f t="shared" si="5"/>
        <v>9.1847742433773194E-2</v>
      </c>
      <c r="L160" s="25"/>
    </row>
    <row r="161" spans="1:12" x14ac:dyDescent="0.2">
      <c r="A161" s="24">
        <v>18</v>
      </c>
      <c r="B161" s="24">
        <v>1</v>
      </c>
      <c r="C161" s="24"/>
      <c r="D161" s="25">
        <v>16.858974358974358</v>
      </c>
      <c r="E161" s="25">
        <f t="shared" si="4"/>
        <v>-1.1410256410256423</v>
      </c>
      <c r="G161" s="25">
        <f t="shared" si="5"/>
        <v>9.0428595220514676E-2</v>
      </c>
      <c r="L161" s="25"/>
    </row>
    <row r="162" spans="1:12" x14ac:dyDescent="0.2">
      <c r="A162" s="24">
        <v>18</v>
      </c>
      <c r="B162" s="24">
        <v>1</v>
      </c>
      <c r="C162" s="24"/>
      <c r="D162" s="25">
        <v>16.858974358974358</v>
      </c>
      <c r="E162" s="25">
        <f t="shared" si="4"/>
        <v>-1.1410256410256423</v>
      </c>
      <c r="G162" s="25">
        <f t="shared" si="5"/>
        <v>9.0428595220514676E-2</v>
      </c>
      <c r="L162" s="25"/>
    </row>
    <row r="163" spans="1:12" x14ac:dyDescent="0.2">
      <c r="A163" s="24">
        <v>20</v>
      </c>
      <c r="B163" s="24">
        <v>1</v>
      </c>
      <c r="C163" s="24"/>
      <c r="D163" s="25">
        <v>16.858974358974358</v>
      </c>
      <c r="E163" s="25">
        <f t="shared" si="4"/>
        <v>-3.1410256410256423</v>
      </c>
      <c r="G163" s="25">
        <f t="shared" si="5"/>
        <v>7.138971945227178E-2</v>
      </c>
      <c r="L163" s="25"/>
    </row>
    <row r="164" spans="1:12" x14ac:dyDescent="0.2">
      <c r="A164" s="24">
        <v>19</v>
      </c>
      <c r="B164" s="24">
        <v>1</v>
      </c>
      <c r="C164" s="24"/>
      <c r="D164" s="25">
        <v>16.858974358974358</v>
      </c>
      <c r="E164" s="25">
        <f t="shared" si="4"/>
        <v>-2.1410256410256423</v>
      </c>
      <c r="G164" s="25">
        <f t="shared" si="5"/>
        <v>8.2596026638649928E-2</v>
      </c>
      <c r="L164" s="25"/>
    </row>
    <row r="165" spans="1:12" x14ac:dyDescent="0.2">
      <c r="A165" s="24">
        <v>20</v>
      </c>
      <c r="B165" s="24">
        <v>1</v>
      </c>
      <c r="C165" s="24"/>
      <c r="D165" s="25">
        <v>16.858974358974358</v>
      </c>
      <c r="E165" s="25">
        <f t="shared" si="4"/>
        <v>-3.1410256410256423</v>
      </c>
      <c r="G165" s="25">
        <f t="shared" si="5"/>
        <v>7.138971945227178E-2</v>
      </c>
      <c r="L165" s="25"/>
    </row>
    <row r="166" spans="1:12" x14ac:dyDescent="0.2">
      <c r="A166" s="24">
        <v>18</v>
      </c>
      <c r="B166" s="24">
        <v>1</v>
      </c>
      <c r="C166" s="24"/>
      <c r="D166" s="25">
        <v>16.858974358974358</v>
      </c>
      <c r="E166" s="25">
        <f t="shared" si="4"/>
        <v>-1.1410256410256423</v>
      </c>
      <c r="G166" s="25">
        <f t="shared" si="5"/>
        <v>9.0428595220514676E-2</v>
      </c>
      <c r="L166" s="25"/>
    </row>
    <row r="167" spans="1:12" x14ac:dyDescent="0.2">
      <c r="A167" s="24">
        <v>21</v>
      </c>
      <c r="B167" s="24">
        <v>1</v>
      </c>
      <c r="C167" s="24"/>
      <c r="D167" s="25">
        <v>16.858974358974358</v>
      </c>
      <c r="E167" s="25">
        <f t="shared" si="4"/>
        <v>-4.1410256410256423</v>
      </c>
      <c r="G167" s="25">
        <f t="shared" si="5"/>
        <v>5.8389578885814829E-2</v>
      </c>
      <c r="L167" s="25"/>
    </row>
    <row r="168" spans="1:12" x14ac:dyDescent="0.2">
      <c r="A168" s="24">
        <v>19</v>
      </c>
      <c r="B168" s="24">
        <v>1</v>
      </c>
      <c r="C168" s="24"/>
      <c r="D168" s="25">
        <v>16.858974358974358</v>
      </c>
      <c r="E168" s="25">
        <f t="shared" si="4"/>
        <v>-2.1410256410256423</v>
      </c>
      <c r="G168" s="25">
        <f t="shared" si="5"/>
        <v>8.2596026638649928E-2</v>
      </c>
      <c r="L168" s="25"/>
    </row>
    <row r="169" spans="1:12" x14ac:dyDescent="0.2">
      <c r="A169" s="24">
        <v>19</v>
      </c>
      <c r="B169" s="24">
        <v>1</v>
      </c>
      <c r="C169" s="24"/>
      <c r="D169" s="25">
        <v>16.858974358974358</v>
      </c>
      <c r="E169" s="25">
        <f t="shared" si="4"/>
        <v>-2.1410256410256423</v>
      </c>
      <c r="G169" s="25">
        <f t="shared" si="5"/>
        <v>8.2596026638649928E-2</v>
      </c>
      <c r="L169" s="25"/>
    </row>
    <row r="170" spans="1:12" x14ac:dyDescent="0.2">
      <c r="A170" s="24">
        <v>19</v>
      </c>
      <c r="B170" s="24">
        <v>1</v>
      </c>
      <c r="C170" s="24"/>
      <c r="D170" s="25">
        <v>16.858974358974358</v>
      </c>
      <c r="E170" s="25">
        <f t="shared" si="4"/>
        <v>-2.1410256410256423</v>
      </c>
      <c r="G170" s="25">
        <f t="shared" si="5"/>
        <v>8.2596026638649928E-2</v>
      </c>
      <c r="L170" s="25"/>
    </row>
    <row r="171" spans="1:12" x14ac:dyDescent="0.2">
      <c r="A171" s="24">
        <v>20</v>
      </c>
      <c r="B171" s="24">
        <v>1</v>
      </c>
      <c r="C171" s="24"/>
      <c r="D171" s="25">
        <v>16.858974358974358</v>
      </c>
      <c r="E171" s="25">
        <f t="shared" si="4"/>
        <v>-3.1410256410256423</v>
      </c>
      <c r="G171" s="25">
        <f t="shared" si="5"/>
        <v>7.138971945227178E-2</v>
      </c>
      <c r="L171" s="25"/>
    </row>
    <row r="172" spans="1:12" x14ac:dyDescent="0.2">
      <c r="A172" s="24">
        <v>20</v>
      </c>
      <c r="B172" s="24">
        <v>1</v>
      </c>
      <c r="C172" s="24"/>
      <c r="D172" s="25">
        <v>16.858974358974358</v>
      </c>
      <c r="E172" s="25">
        <f t="shared" si="4"/>
        <v>-3.1410256410256423</v>
      </c>
      <c r="G172" s="25">
        <f t="shared" si="5"/>
        <v>7.138971945227178E-2</v>
      </c>
      <c r="L172" s="25"/>
    </row>
    <row r="173" spans="1:12" x14ac:dyDescent="0.2">
      <c r="A173" s="24">
        <v>19</v>
      </c>
      <c r="B173" s="24">
        <v>1</v>
      </c>
      <c r="C173" s="24"/>
      <c r="D173" s="25">
        <v>16.858974358974358</v>
      </c>
      <c r="E173" s="25">
        <f t="shared" si="4"/>
        <v>-2.1410256410256423</v>
      </c>
      <c r="G173" s="25">
        <f t="shared" si="5"/>
        <v>8.2596026638649928E-2</v>
      </c>
      <c r="L173" s="25"/>
    </row>
    <row r="174" spans="1:12" x14ac:dyDescent="0.2">
      <c r="A174" s="24">
        <v>20</v>
      </c>
      <c r="B174" s="24">
        <v>1</v>
      </c>
      <c r="C174" s="24"/>
      <c r="D174" s="25">
        <v>16.858974358974358</v>
      </c>
      <c r="E174" s="25">
        <f t="shared" si="4"/>
        <v>-3.1410256410256423</v>
      </c>
      <c r="G174" s="25">
        <f t="shared" si="5"/>
        <v>7.138971945227178E-2</v>
      </c>
      <c r="L174" s="25"/>
    </row>
    <row r="175" spans="1:12" x14ac:dyDescent="0.2">
      <c r="A175" s="24">
        <v>15</v>
      </c>
      <c r="B175" s="24">
        <v>1</v>
      </c>
      <c r="C175" s="24"/>
      <c r="D175" s="25">
        <v>16.858974358974358</v>
      </c>
      <c r="E175" s="25">
        <f t="shared" si="4"/>
        <v>1.8589743589743577</v>
      </c>
      <c r="G175" s="25">
        <f t="shared" si="5"/>
        <v>8.5208821600122359E-2</v>
      </c>
      <c r="L175" s="25"/>
    </row>
    <row r="176" spans="1:12" x14ac:dyDescent="0.2">
      <c r="A176" s="24">
        <v>16</v>
      </c>
      <c r="B176" s="24">
        <v>1</v>
      </c>
      <c r="C176" s="24"/>
      <c r="D176" s="25">
        <v>16.858974358974358</v>
      </c>
      <c r="E176" s="25">
        <f t="shared" si="4"/>
        <v>0.8589743589743577</v>
      </c>
      <c r="G176" s="25">
        <f t="shared" si="5"/>
        <v>9.1847742433773194E-2</v>
      </c>
      <c r="L176" s="25"/>
    </row>
    <row r="177" spans="1:12" x14ac:dyDescent="0.2">
      <c r="A177" s="24">
        <v>15</v>
      </c>
      <c r="B177" s="24">
        <v>1</v>
      </c>
      <c r="C177" s="24"/>
      <c r="D177" s="25">
        <v>16.858974358974358</v>
      </c>
      <c r="E177" s="25">
        <f t="shared" si="4"/>
        <v>1.8589743589743577</v>
      </c>
      <c r="G177" s="25">
        <f t="shared" si="5"/>
        <v>8.5208821600122359E-2</v>
      </c>
      <c r="L177" s="25"/>
    </row>
    <row r="178" spans="1:12" x14ac:dyDescent="0.2">
      <c r="A178" s="24">
        <v>15</v>
      </c>
      <c r="B178" s="24">
        <v>1</v>
      </c>
      <c r="C178" s="24"/>
      <c r="D178" s="25">
        <v>16.858974358974358</v>
      </c>
      <c r="E178" s="25">
        <f t="shared" si="4"/>
        <v>1.8589743589743577</v>
      </c>
      <c r="G178" s="25">
        <f t="shared" si="5"/>
        <v>8.5208821600122359E-2</v>
      </c>
      <c r="L178" s="25"/>
    </row>
    <row r="179" spans="1:12" x14ac:dyDescent="0.2">
      <c r="A179" s="24">
        <v>16</v>
      </c>
      <c r="B179" s="24">
        <v>1</v>
      </c>
      <c r="C179" s="24"/>
      <c r="D179" s="25">
        <v>16.858974358974358</v>
      </c>
      <c r="E179" s="25">
        <f t="shared" si="4"/>
        <v>0.8589743589743577</v>
      </c>
      <c r="G179" s="25">
        <f t="shared" si="5"/>
        <v>9.1847742433773194E-2</v>
      </c>
      <c r="L179" s="25"/>
    </row>
    <row r="180" spans="1:12" x14ac:dyDescent="0.2">
      <c r="A180" s="24">
        <v>14</v>
      </c>
      <c r="B180" s="24">
        <v>1</v>
      </c>
      <c r="C180" s="24"/>
      <c r="D180" s="25">
        <v>16.858974358974358</v>
      </c>
      <c r="E180" s="25">
        <f t="shared" si="4"/>
        <v>2.8589743589743577</v>
      </c>
      <c r="G180" s="25">
        <f t="shared" si="5"/>
        <v>7.4803820711623142E-2</v>
      </c>
      <c r="L180" s="25"/>
    </row>
    <row r="181" spans="1:12" x14ac:dyDescent="0.2">
      <c r="A181" s="24">
        <v>21</v>
      </c>
      <c r="B181" s="24">
        <v>1</v>
      </c>
      <c r="C181" s="24"/>
      <c r="D181" s="25">
        <v>16.858974358974358</v>
      </c>
      <c r="E181" s="25">
        <f t="shared" si="4"/>
        <v>-4.1410256410256423</v>
      </c>
      <c r="G181" s="25">
        <f t="shared" si="5"/>
        <v>5.8389578885814829E-2</v>
      </c>
      <c r="L181" s="25"/>
    </row>
    <row r="182" spans="1:12" x14ac:dyDescent="0.2">
      <c r="A182" s="24">
        <v>21</v>
      </c>
      <c r="B182" s="24">
        <v>1</v>
      </c>
      <c r="C182" s="24"/>
      <c r="D182" s="25">
        <v>16.858974358974358</v>
      </c>
      <c r="E182" s="25">
        <f t="shared" si="4"/>
        <v>-4.1410256410256423</v>
      </c>
      <c r="G182" s="25">
        <f t="shared" si="5"/>
        <v>5.8389578885814829E-2</v>
      </c>
      <c r="L182" s="25"/>
    </row>
    <row r="183" spans="1:12" x14ac:dyDescent="0.2">
      <c r="A183" s="24">
        <v>21</v>
      </c>
      <c r="B183" s="24">
        <v>1</v>
      </c>
      <c r="C183" s="24"/>
      <c r="D183" s="25">
        <v>16.858974358974358</v>
      </c>
      <c r="E183" s="25">
        <f t="shared" si="4"/>
        <v>-4.1410256410256423</v>
      </c>
      <c r="G183" s="25">
        <f t="shared" si="5"/>
        <v>5.8389578885814829E-2</v>
      </c>
      <c r="L183" s="25"/>
    </row>
    <row r="184" spans="1:12" x14ac:dyDescent="0.2">
      <c r="A184" s="24">
        <v>21</v>
      </c>
      <c r="B184" s="24">
        <v>1</v>
      </c>
      <c r="C184" s="24"/>
      <c r="D184" s="25">
        <v>16.858974358974358</v>
      </c>
      <c r="E184" s="25">
        <f t="shared" si="4"/>
        <v>-4.1410256410256423</v>
      </c>
      <c r="G184" s="25">
        <f t="shared" si="5"/>
        <v>5.8389578885814829E-2</v>
      </c>
      <c r="L184" s="25"/>
    </row>
    <row r="185" spans="1:12" x14ac:dyDescent="0.2">
      <c r="A185" s="24">
        <v>18</v>
      </c>
      <c r="B185" s="24">
        <v>1</v>
      </c>
      <c r="C185" s="24"/>
      <c r="D185" s="25">
        <v>16.858974358974358</v>
      </c>
      <c r="E185" s="25">
        <f t="shared" si="4"/>
        <v>-1.1410256410256423</v>
      </c>
      <c r="G185" s="25">
        <f t="shared" si="5"/>
        <v>9.0428595220514676E-2</v>
      </c>
      <c r="L185" s="25"/>
    </row>
    <row r="186" spans="1:12" x14ac:dyDescent="0.2">
      <c r="A186" s="24">
        <v>18</v>
      </c>
      <c r="B186" s="24">
        <v>1</v>
      </c>
      <c r="C186" s="24"/>
      <c r="D186" s="25">
        <v>16.858974358974358</v>
      </c>
      <c r="E186" s="25">
        <f t="shared" si="4"/>
        <v>-1.1410256410256423</v>
      </c>
      <c r="G186" s="25">
        <f t="shared" si="5"/>
        <v>9.0428595220514676E-2</v>
      </c>
      <c r="L186" s="25"/>
    </row>
    <row r="187" spans="1:12" x14ac:dyDescent="0.2">
      <c r="A187" s="24">
        <v>19</v>
      </c>
      <c r="B187" s="24">
        <v>1</v>
      </c>
      <c r="C187" s="24"/>
      <c r="D187" s="25">
        <v>16.858974358974358</v>
      </c>
      <c r="E187" s="25">
        <f t="shared" si="4"/>
        <v>-2.1410256410256423</v>
      </c>
      <c r="G187" s="25">
        <f t="shared" si="5"/>
        <v>8.2596026638649928E-2</v>
      </c>
      <c r="L187" s="25"/>
    </row>
    <row r="188" spans="1:12" x14ac:dyDescent="0.2">
      <c r="A188" s="24">
        <v>21</v>
      </c>
      <c r="B188" s="24">
        <v>1</v>
      </c>
      <c r="C188" s="24"/>
      <c r="D188" s="25">
        <v>16.858974358974358</v>
      </c>
      <c r="E188" s="25">
        <f t="shared" si="4"/>
        <v>-4.1410256410256423</v>
      </c>
      <c r="G188" s="25">
        <f t="shared" si="5"/>
        <v>5.8389578885814829E-2</v>
      </c>
      <c r="L188" s="25"/>
    </row>
    <row r="189" spans="1:12" x14ac:dyDescent="0.2">
      <c r="A189" s="24">
        <v>21</v>
      </c>
      <c r="B189" s="24">
        <v>1</v>
      </c>
      <c r="C189" s="24"/>
      <c r="D189" s="25">
        <v>16.858974358974358</v>
      </c>
      <c r="E189" s="25">
        <f t="shared" si="4"/>
        <v>-4.1410256410256423</v>
      </c>
      <c r="G189" s="25">
        <f t="shared" si="5"/>
        <v>5.8389578885814829E-2</v>
      </c>
      <c r="L189" s="25"/>
    </row>
    <row r="190" spans="1:12" x14ac:dyDescent="0.2">
      <c r="A190" s="24">
        <v>21</v>
      </c>
      <c r="B190" s="24">
        <v>1</v>
      </c>
      <c r="C190" s="24"/>
      <c r="D190" s="25">
        <v>16.858974358974358</v>
      </c>
      <c r="E190" s="25">
        <f t="shared" si="4"/>
        <v>-4.1410256410256423</v>
      </c>
      <c r="G190" s="25">
        <f t="shared" si="5"/>
        <v>5.8389578885814829E-2</v>
      </c>
      <c r="L190" s="25"/>
    </row>
    <row r="191" spans="1:12" x14ac:dyDescent="0.2">
      <c r="A191" s="24">
        <v>22</v>
      </c>
      <c r="B191" s="24">
        <v>1</v>
      </c>
      <c r="C191" s="24"/>
      <c r="D191" s="25">
        <v>16.858974358974358</v>
      </c>
      <c r="E191" s="25">
        <f t="shared" si="4"/>
        <v>-5.1410256410256423</v>
      </c>
      <c r="G191" s="25">
        <f t="shared" si="5"/>
        <v>4.5191645925457373E-2</v>
      </c>
      <c r="L191" s="25"/>
    </row>
    <row r="192" spans="1:12" x14ac:dyDescent="0.2">
      <c r="A192" s="24">
        <v>18</v>
      </c>
      <c r="B192" s="24">
        <v>1</v>
      </c>
      <c r="C192" s="24"/>
      <c r="D192" s="25">
        <v>16.858974358974358</v>
      </c>
      <c r="E192" s="25">
        <f t="shared" si="4"/>
        <v>-1.1410256410256423</v>
      </c>
      <c r="G192" s="25">
        <f t="shared" si="5"/>
        <v>9.0428595220514676E-2</v>
      </c>
      <c r="L192" s="25"/>
    </row>
    <row r="193" spans="1:12" x14ac:dyDescent="0.2">
      <c r="A193" s="24">
        <v>18</v>
      </c>
      <c r="B193" s="24">
        <v>1</v>
      </c>
      <c r="C193" s="24"/>
      <c r="D193" s="25">
        <v>16.858974358974358</v>
      </c>
      <c r="E193" s="25">
        <f t="shared" si="4"/>
        <v>-1.1410256410256423</v>
      </c>
      <c r="G193" s="25">
        <f t="shared" si="5"/>
        <v>9.0428595220514676E-2</v>
      </c>
      <c r="L193" s="25"/>
    </row>
    <row r="194" spans="1:12" x14ac:dyDescent="0.2">
      <c r="A194" s="24">
        <v>18</v>
      </c>
      <c r="B194" s="24">
        <v>1</v>
      </c>
      <c r="C194" s="24"/>
      <c r="D194" s="25">
        <v>16.858974358974358</v>
      </c>
      <c r="E194" s="25">
        <f t="shared" si="4"/>
        <v>-1.1410256410256423</v>
      </c>
      <c r="G194" s="25">
        <f t="shared" si="5"/>
        <v>9.0428595220514676E-2</v>
      </c>
      <c r="L194" s="25"/>
    </row>
    <row r="195" spans="1:12" x14ac:dyDescent="0.2">
      <c r="A195" s="24">
        <v>24</v>
      </c>
      <c r="B195" s="24">
        <v>1</v>
      </c>
      <c r="C195" s="24"/>
      <c r="D195" s="25">
        <v>16.858974358974358</v>
      </c>
      <c r="E195" s="25">
        <f t="shared" ref="E195:E235" si="6">D195-A195</f>
        <v>-7.1410256410256423</v>
      </c>
      <c r="G195" s="25">
        <f t="shared" ref="G195:G235" si="7">_xlfn.NORM.DIST(E195,0,$F$2,FALSE)</f>
        <v>2.293893420103504E-2</v>
      </c>
      <c r="L195" s="25"/>
    </row>
    <row r="196" spans="1:12" x14ac:dyDescent="0.2">
      <c r="A196" s="24">
        <v>24</v>
      </c>
      <c r="B196" s="24">
        <v>1</v>
      </c>
      <c r="C196" s="24"/>
      <c r="D196" s="25">
        <v>16.858974358974358</v>
      </c>
      <c r="E196" s="25">
        <f t="shared" si="6"/>
        <v>-7.1410256410256423</v>
      </c>
      <c r="G196" s="25">
        <f t="shared" si="7"/>
        <v>2.293893420103504E-2</v>
      </c>
      <c r="L196" s="25"/>
    </row>
    <row r="197" spans="1:12" x14ac:dyDescent="0.2">
      <c r="A197" s="24">
        <v>26</v>
      </c>
      <c r="B197" s="24">
        <v>1</v>
      </c>
      <c r="C197" s="24"/>
      <c r="D197" s="25">
        <v>16.858974358974358</v>
      </c>
      <c r="E197" s="25">
        <f t="shared" si="6"/>
        <v>-9.1410256410256423</v>
      </c>
      <c r="G197" s="25">
        <f t="shared" si="7"/>
        <v>9.3364312813032559E-3</v>
      </c>
      <c r="L197" s="25"/>
    </row>
    <row r="198" spans="1:12" x14ac:dyDescent="0.2">
      <c r="A198" s="24">
        <v>28</v>
      </c>
      <c r="B198" s="24">
        <v>1</v>
      </c>
      <c r="C198" s="24"/>
      <c r="D198" s="25">
        <v>16.858974358974358</v>
      </c>
      <c r="E198" s="25">
        <f t="shared" si="6"/>
        <v>-11.141025641025642</v>
      </c>
      <c r="G198" s="25">
        <f t="shared" si="7"/>
        <v>3.0470611306731058E-3</v>
      </c>
      <c r="L198" s="25"/>
    </row>
    <row r="199" spans="1:12" x14ac:dyDescent="0.2">
      <c r="A199" s="24">
        <v>26</v>
      </c>
      <c r="B199" s="24">
        <v>1</v>
      </c>
      <c r="C199" s="24"/>
      <c r="D199" s="25">
        <v>16.858974358974358</v>
      </c>
      <c r="E199" s="25">
        <f t="shared" si="6"/>
        <v>-9.1410256410256423</v>
      </c>
      <c r="G199" s="25">
        <f t="shared" si="7"/>
        <v>9.3364312813032559E-3</v>
      </c>
      <c r="L199" s="25"/>
    </row>
    <row r="200" spans="1:12" x14ac:dyDescent="0.2">
      <c r="A200" s="24">
        <v>11</v>
      </c>
      <c r="B200" s="24">
        <v>1</v>
      </c>
      <c r="C200" s="24"/>
      <c r="D200" s="25">
        <v>16.858974358974358</v>
      </c>
      <c r="E200" s="25">
        <f t="shared" si="6"/>
        <v>5.8589743589743577</v>
      </c>
      <c r="G200" s="25">
        <f t="shared" si="7"/>
        <v>3.6339616015446226E-2</v>
      </c>
      <c r="L200" s="25"/>
    </row>
    <row r="201" spans="1:12" x14ac:dyDescent="0.2">
      <c r="A201" s="24">
        <v>13</v>
      </c>
      <c r="B201" s="24">
        <v>1</v>
      </c>
      <c r="C201" s="24"/>
      <c r="D201" s="25">
        <v>16.858974358974358</v>
      </c>
      <c r="E201" s="25">
        <f t="shared" si="6"/>
        <v>3.8589743589743577</v>
      </c>
      <c r="G201" s="25">
        <f t="shared" si="7"/>
        <v>6.2142132155231941E-2</v>
      </c>
      <c r="L201" s="25"/>
    </row>
    <row r="202" spans="1:12" x14ac:dyDescent="0.2">
      <c r="A202" s="24">
        <v>15</v>
      </c>
      <c r="B202" s="24">
        <v>1</v>
      </c>
      <c r="C202" s="24"/>
      <c r="D202" s="25">
        <v>16.858974358974358</v>
      </c>
      <c r="E202" s="25">
        <f t="shared" si="6"/>
        <v>1.8589743589743577</v>
      </c>
      <c r="G202" s="25">
        <f t="shared" si="7"/>
        <v>8.5208821600122359E-2</v>
      </c>
      <c r="L202" s="25"/>
    </row>
    <row r="203" spans="1:12" x14ac:dyDescent="0.2">
      <c r="A203" s="24">
        <v>16</v>
      </c>
      <c r="B203" s="24">
        <v>1</v>
      </c>
      <c r="C203" s="24"/>
      <c r="D203" s="25">
        <v>16.858974358974358</v>
      </c>
      <c r="E203" s="25">
        <f t="shared" si="6"/>
        <v>0.8589743589743577</v>
      </c>
      <c r="G203" s="25">
        <f t="shared" si="7"/>
        <v>9.1847742433773194E-2</v>
      </c>
      <c r="L203" s="25"/>
    </row>
    <row r="204" spans="1:12" x14ac:dyDescent="0.2">
      <c r="A204" s="24">
        <v>17</v>
      </c>
      <c r="B204" s="24">
        <v>1</v>
      </c>
      <c r="C204" s="24"/>
      <c r="D204" s="25">
        <v>16.858974358974358</v>
      </c>
      <c r="E204" s="25">
        <f t="shared" si="6"/>
        <v>-0.1410256410256423</v>
      </c>
      <c r="G204" s="25">
        <f t="shared" si="7"/>
        <v>9.3686186441259228E-2</v>
      </c>
      <c r="L204" s="25"/>
    </row>
    <row r="205" spans="1:12" x14ac:dyDescent="0.2">
      <c r="A205" s="24">
        <v>15</v>
      </c>
      <c r="B205" s="24">
        <v>1</v>
      </c>
      <c r="C205" s="24"/>
      <c r="D205" s="25">
        <v>16.858974358974358</v>
      </c>
      <c r="E205" s="25">
        <f t="shared" si="6"/>
        <v>1.8589743589743577</v>
      </c>
      <c r="G205" s="25">
        <f t="shared" si="7"/>
        <v>8.5208821600122359E-2</v>
      </c>
      <c r="L205" s="25"/>
    </row>
    <row r="206" spans="1:12" x14ac:dyDescent="0.2">
      <c r="A206" s="24">
        <v>15</v>
      </c>
      <c r="B206" s="24">
        <v>1</v>
      </c>
      <c r="C206" s="24"/>
      <c r="D206" s="25">
        <v>16.858974358974358</v>
      </c>
      <c r="E206" s="25">
        <f t="shared" si="6"/>
        <v>1.8589743589743577</v>
      </c>
      <c r="G206" s="25">
        <f t="shared" si="7"/>
        <v>8.5208821600122359E-2</v>
      </c>
      <c r="L206" s="25"/>
    </row>
    <row r="207" spans="1:12" x14ac:dyDescent="0.2">
      <c r="A207" s="24">
        <v>15</v>
      </c>
      <c r="B207" s="24">
        <v>1</v>
      </c>
      <c r="C207" s="24"/>
      <c r="D207" s="25">
        <v>16.858974358974358</v>
      </c>
      <c r="E207" s="25">
        <f t="shared" si="6"/>
        <v>1.8589743589743577</v>
      </c>
      <c r="G207" s="25">
        <f t="shared" si="7"/>
        <v>8.5208821600122359E-2</v>
      </c>
      <c r="L207" s="25"/>
    </row>
    <row r="208" spans="1:12" x14ac:dyDescent="0.2">
      <c r="A208" s="24">
        <v>16</v>
      </c>
      <c r="B208" s="24">
        <v>1</v>
      </c>
      <c r="C208" s="24"/>
      <c r="D208" s="25">
        <v>16.858974358974358</v>
      </c>
      <c r="E208" s="25">
        <f t="shared" si="6"/>
        <v>0.8589743589743577</v>
      </c>
      <c r="G208" s="25">
        <f t="shared" si="7"/>
        <v>9.1847742433773194E-2</v>
      </c>
      <c r="L208" s="25"/>
    </row>
    <row r="209" spans="1:12" x14ac:dyDescent="0.2">
      <c r="A209" s="24">
        <v>21</v>
      </c>
      <c r="B209" s="24">
        <v>1</v>
      </c>
      <c r="C209" s="24"/>
      <c r="D209" s="25">
        <v>16.858974358974358</v>
      </c>
      <c r="E209" s="25">
        <f t="shared" si="6"/>
        <v>-4.1410256410256423</v>
      </c>
      <c r="G209" s="25">
        <f t="shared" si="7"/>
        <v>5.8389578885814829E-2</v>
      </c>
      <c r="L209" s="25"/>
    </row>
    <row r="210" spans="1:12" x14ac:dyDescent="0.2">
      <c r="A210" s="24">
        <v>19</v>
      </c>
      <c r="B210" s="24">
        <v>1</v>
      </c>
      <c r="C210" s="24"/>
      <c r="D210" s="25">
        <v>16.858974358974358</v>
      </c>
      <c r="E210" s="25">
        <f t="shared" si="6"/>
        <v>-2.1410256410256423</v>
      </c>
      <c r="G210" s="25">
        <f t="shared" si="7"/>
        <v>8.2596026638649928E-2</v>
      </c>
      <c r="L210" s="25"/>
    </row>
    <row r="211" spans="1:12" x14ac:dyDescent="0.2">
      <c r="A211" s="24">
        <v>21</v>
      </c>
      <c r="B211" s="24">
        <v>1</v>
      </c>
      <c r="C211" s="24"/>
      <c r="D211" s="25">
        <v>16.858974358974358</v>
      </c>
      <c r="E211" s="25">
        <f t="shared" si="6"/>
        <v>-4.1410256410256423</v>
      </c>
      <c r="G211" s="25">
        <f t="shared" si="7"/>
        <v>5.8389578885814829E-2</v>
      </c>
      <c r="L211" s="25"/>
    </row>
    <row r="212" spans="1:12" x14ac:dyDescent="0.2">
      <c r="A212" s="24">
        <v>22</v>
      </c>
      <c r="B212" s="24">
        <v>1</v>
      </c>
      <c r="C212" s="24"/>
      <c r="D212" s="25">
        <v>16.858974358974358</v>
      </c>
      <c r="E212" s="25">
        <f t="shared" si="6"/>
        <v>-5.1410256410256423</v>
      </c>
      <c r="G212" s="25">
        <f t="shared" si="7"/>
        <v>4.5191645925457373E-2</v>
      </c>
      <c r="L212" s="25"/>
    </row>
    <row r="213" spans="1:12" x14ac:dyDescent="0.2">
      <c r="A213" s="24">
        <v>17</v>
      </c>
      <c r="B213" s="24">
        <v>1</v>
      </c>
      <c r="C213" s="24"/>
      <c r="D213" s="25">
        <v>16.858974358974358</v>
      </c>
      <c r="E213" s="25">
        <f t="shared" si="6"/>
        <v>-0.1410256410256423</v>
      </c>
      <c r="G213" s="25">
        <f t="shared" si="7"/>
        <v>9.3686186441259228E-2</v>
      </c>
      <c r="L213" s="25"/>
    </row>
    <row r="214" spans="1:12" x14ac:dyDescent="0.2">
      <c r="A214" s="24">
        <v>33</v>
      </c>
      <c r="B214" s="24">
        <v>1</v>
      </c>
      <c r="C214" s="24"/>
      <c r="D214" s="25">
        <v>16.858974358974358</v>
      </c>
      <c r="E214" s="25">
        <f t="shared" si="6"/>
        <v>-16.141025641025642</v>
      </c>
      <c r="G214" s="25">
        <f t="shared" si="7"/>
        <v>7.0556481624534586E-5</v>
      </c>
      <c r="L214" s="25"/>
    </row>
    <row r="215" spans="1:12" x14ac:dyDescent="0.2">
      <c r="A215" s="24">
        <v>21</v>
      </c>
      <c r="B215" s="24">
        <v>1</v>
      </c>
      <c r="C215" s="24"/>
      <c r="D215" s="25">
        <v>16.858974358974358</v>
      </c>
      <c r="E215" s="25">
        <f t="shared" si="6"/>
        <v>-4.1410256410256423</v>
      </c>
      <c r="G215" s="25">
        <f t="shared" si="7"/>
        <v>5.8389578885814829E-2</v>
      </c>
      <c r="L215" s="25"/>
    </row>
    <row r="216" spans="1:12" x14ac:dyDescent="0.2">
      <c r="A216" s="24">
        <v>19</v>
      </c>
      <c r="B216" s="24">
        <v>1</v>
      </c>
      <c r="C216" s="24"/>
      <c r="D216" s="25">
        <v>16.858974358974358</v>
      </c>
      <c r="E216" s="25">
        <f t="shared" si="6"/>
        <v>-2.1410256410256423</v>
      </c>
      <c r="G216" s="25">
        <f t="shared" si="7"/>
        <v>8.2596026638649928E-2</v>
      </c>
      <c r="L216" s="25"/>
    </row>
    <row r="217" spans="1:12" x14ac:dyDescent="0.2">
      <c r="A217" s="24">
        <v>22</v>
      </c>
      <c r="B217" s="24">
        <v>1</v>
      </c>
      <c r="C217" s="24"/>
      <c r="D217" s="25">
        <v>16.858974358974358</v>
      </c>
      <c r="E217" s="25">
        <f t="shared" si="6"/>
        <v>-5.1410256410256423</v>
      </c>
      <c r="G217" s="25">
        <f t="shared" si="7"/>
        <v>4.5191645925457373E-2</v>
      </c>
      <c r="L217" s="25"/>
    </row>
    <row r="218" spans="1:12" x14ac:dyDescent="0.2">
      <c r="A218" s="24">
        <v>21</v>
      </c>
      <c r="B218" s="24">
        <v>1</v>
      </c>
      <c r="C218" s="24"/>
      <c r="D218" s="25">
        <v>16.858974358974358</v>
      </c>
      <c r="E218" s="25">
        <f t="shared" si="6"/>
        <v>-4.1410256410256423</v>
      </c>
      <c r="G218" s="25">
        <f t="shared" si="7"/>
        <v>5.8389578885814829E-2</v>
      </c>
      <c r="L218" s="25"/>
    </row>
    <row r="219" spans="1:12" x14ac:dyDescent="0.2">
      <c r="A219" s="24">
        <v>21</v>
      </c>
      <c r="B219" s="24">
        <v>1</v>
      </c>
      <c r="C219" s="24"/>
      <c r="D219" s="25">
        <v>16.858974358974358</v>
      </c>
      <c r="E219" s="25">
        <f t="shared" si="6"/>
        <v>-4.1410256410256423</v>
      </c>
      <c r="G219" s="25">
        <f t="shared" si="7"/>
        <v>5.8389578885814829E-2</v>
      </c>
      <c r="L219" s="25"/>
    </row>
    <row r="220" spans="1:12" x14ac:dyDescent="0.2">
      <c r="A220" s="24">
        <v>21</v>
      </c>
      <c r="B220" s="24">
        <v>1</v>
      </c>
      <c r="C220" s="24"/>
      <c r="D220" s="25">
        <v>16.858974358974358</v>
      </c>
      <c r="E220" s="25">
        <f t="shared" si="6"/>
        <v>-4.1410256410256423</v>
      </c>
      <c r="G220" s="25">
        <f t="shared" si="7"/>
        <v>5.8389578885814829E-2</v>
      </c>
      <c r="L220" s="25"/>
    </row>
    <row r="221" spans="1:12" x14ac:dyDescent="0.2">
      <c r="A221" s="24">
        <v>16</v>
      </c>
      <c r="B221" s="24">
        <v>1</v>
      </c>
      <c r="C221" s="24"/>
      <c r="D221" s="25">
        <v>16.858974358974358</v>
      </c>
      <c r="E221" s="25">
        <f t="shared" si="6"/>
        <v>0.8589743589743577</v>
      </c>
      <c r="G221" s="25">
        <f t="shared" si="7"/>
        <v>9.1847742433773194E-2</v>
      </c>
      <c r="L221" s="25"/>
    </row>
    <row r="222" spans="1:12" x14ac:dyDescent="0.2">
      <c r="A222" s="24">
        <v>17</v>
      </c>
      <c r="B222" s="24">
        <v>1</v>
      </c>
      <c r="C222" s="24"/>
      <c r="D222" s="25">
        <v>16.858974358974358</v>
      </c>
      <c r="E222" s="25">
        <f t="shared" si="6"/>
        <v>-0.1410256410256423</v>
      </c>
      <c r="G222" s="25">
        <f t="shared" si="7"/>
        <v>9.3686186441259228E-2</v>
      </c>
      <c r="L222" s="25"/>
    </row>
    <row r="223" spans="1:12" x14ac:dyDescent="0.2">
      <c r="A223" s="24">
        <v>35</v>
      </c>
      <c r="B223" s="24">
        <v>1</v>
      </c>
      <c r="C223" s="24"/>
      <c r="D223" s="25">
        <v>16.858974358974358</v>
      </c>
      <c r="E223" s="25">
        <f t="shared" si="6"/>
        <v>-18.141025641025642</v>
      </c>
      <c r="G223" s="25">
        <f t="shared" si="7"/>
        <v>1.0630685082524548E-5</v>
      </c>
      <c r="L223" s="25"/>
    </row>
    <row r="224" spans="1:12" x14ac:dyDescent="0.2">
      <c r="A224" s="24">
        <v>29</v>
      </c>
      <c r="B224" s="24">
        <v>1</v>
      </c>
      <c r="C224" s="24"/>
      <c r="D224" s="25">
        <v>16.858974358974358</v>
      </c>
      <c r="E224" s="25">
        <f t="shared" si="6"/>
        <v>-12.141025641025642</v>
      </c>
      <c r="G224" s="25">
        <f t="shared" si="7"/>
        <v>1.60238186282746E-3</v>
      </c>
      <c r="L224" s="25"/>
    </row>
    <row r="225" spans="1:12" x14ac:dyDescent="0.2">
      <c r="A225" s="24">
        <v>21</v>
      </c>
      <c r="B225" s="24">
        <v>1</v>
      </c>
      <c r="C225" s="24"/>
      <c r="D225" s="25">
        <v>16.858974358974358</v>
      </c>
      <c r="E225" s="25">
        <f t="shared" si="6"/>
        <v>-4.1410256410256423</v>
      </c>
      <c r="G225" s="25">
        <f t="shared" si="7"/>
        <v>5.8389578885814829E-2</v>
      </c>
      <c r="L225" s="25"/>
    </row>
    <row r="226" spans="1:12" x14ac:dyDescent="0.2">
      <c r="A226" s="24">
        <v>19</v>
      </c>
      <c r="B226" s="24">
        <v>1</v>
      </c>
      <c r="C226" s="24"/>
      <c r="D226" s="25">
        <v>16.858974358974358</v>
      </c>
      <c r="E226" s="25">
        <f t="shared" si="6"/>
        <v>-2.1410256410256423</v>
      </c>
      <c r="G226" s="25">
        <f t="shared" si="7"/>
        <v>8.2596026638649928E-2</v>
      </c>
      <c r="L226" s="25"/>
    </row>
    <row r="227" spans="1:12" x14ac:dyDescent="0.2">
      <c r="A227" s="24">
        <v>20</v>
      </c>
      <c r="B227" s="24">
        <v>1</v>
      </c>
      <c r="C227" s="24"/>
      <c r="D227" s="25">
        <v>16.858974358974358</v>
      </c>
      <c r="E227" s="25">
        <f t="shared" si="6"/>
        <v>-3.1410256410256423</v>
      </c>
      <c r="G227" s="25">
        <f t="shared" si="7"/>
        <v>7.138971945227178E-2</v>
      </c>
      <c r="L227" s="25"/>
    </row>
    <row r="228" spans="1:12" x14ac:dyDescent="0.2">
      <c r="A228" s="24">
        <v>20</v>
      </c>
      <c r="B228" s="24">
        <v>1</v>
      </c>
      <c r="C228" s="24"/>
      <c r="D228" s="25">
        <v>16.858974358974358</v>
      </c>
      <c r="E228" s="25">
        <f t="shared" si="6"/>
        <v>-3.1410256410256423</v>
      </c>
      <c r="G228" s="25">
        <f t="shared" si="7"/>
        <v>7.138971945227178E-2</v>
      </c>
      <c r="L228" s="25"/>
    </row>
    <row r="229" spans="1:12" x14ac:dyDescent="0.2">
      <c r="A229" s="24">
        <v>21</v>
      </c>
      <c r="B229" s="24">
        <v>1</v>
      </c>
      <c r="C229" s="24"/>
      <c r="D229" s="25">
        <v>16.858974358974358</v>
      </c>
      <c r="E229" s="25">
        <f t="shared" si="6"/>
        <v>-4.1410256410256423</v>
      </c>
      <c r="G229" s="25">
        <f t="shared" si="7"/>
        <v>5.8389578885814829E-2</v>
      </c>
      <c r="L229" s="25"/>
    </row>
    <row r="230" spans="1:12" x14ac:dyDescent="0.2">
      <c r="A230" s="24">
        <v>18</v>
      </c>
      <c r="B230" s="24">
        <v>1</v>
      </c>
      <c r="C230" s="24"/>
      <c r="D230" s="25">
        <v>16.858974358974358</v>
      </c>
      <c r="E230" s="25">
        <f t="shared" si="6"/>
        <v>-1.1410256410256423</v>
      </c>
      <c r="G230" s="25">
        <f t="shared" si="7"/>
        <v>9.0428595220514676E-2</v>
      </c>
      <c r="L230" s="25"/>
    </row>
    <row r="231" spans="1:12" x14ac:dyDescent="0.2">
      <c r="A231" s="24">
        <v>19</v>
      </c>
      <c r="B231" s="24">
        <v>1</v>
      </c>
      <c r="C231" s="24"/>
      <c r="D231" s="25">
        <v>16.858974358974358</v>
      </c>
      <c r="E231" s="25">
        <f t="shared" si="6"/>
        <v>-2.1410256410256423</v>
      </c>
      <c r="G231" s="25">
        <f t="shared" si="7"/>
        <v>8.2596026638649928E-2</v>
      </c>
      <c r="L231" s="25"/>
    </row>
    <row r="232" spans="1:12" x14ac:dyDescent="0.2">
      <c r="A232" s="24">
        <v>21</v>
      </c>
      <c r="B232" s="24">
        <v>1</v>
      </c>
      <c r="C232" s="24"/>
      <c r="D232" s="25">
        <v>16.858974358974358</v>
      </c>
      <c r="E232" s="25">
        <f t="shared" si="6"/>
        <v>-4.1410256410256423</v>
      </c>
      <c r="G232" s="25">
        <f t="shared" si="7"/>
        <v>5.8389578885814829E-2</v>
      </c>
      <c r="L232" s="25"/>
    </row>
    <row r="233" spans="1:12" x14ac:dyDescent="0.2">
      <c r="A233" s="24">
        <v>16</v>
      </c>
      <c r="B233" s="24">
        <v>1</v>
      </c>
      <c r="C233" s="24"/>
      <c r="D233" s="25">
        <v>16.858974358974358</v>
      </c>
      <c r="E233" s="25">
        <f t="shared" si="6"/>
        <v>0.8589743589743577</v>
      </c>
      <c r="G233" s="25">
        <f t="shared" si="7"/>
        <v>9.1847742433773194E-2</v>
      </c>
      <c r="L233" s="25"/>
    </row>
    <row r="234" spans="1:12" x14ac:dyDescent="0.2">
      <c r="A234" s="24">
        <v>18</v>
      </c>
      <c r="B234" s="24">
        <v>1</v>
      </c>
      <c r="C234" s="24"/>
      <c r="D234" s="25">
        <v>16.858974358974358</v>
      </c>
      <c r="E234" s="25">
        <f t="shared" si="6"/>
        <v>-1.1410256410256423</v>
      </c>
      <c r="G234" s="25">
        <f t="shared" si="7"/>
        <v>9.0428595220514676E-2</v>
      </c>
      <c r="L234" s="25"/>
    </row>
    <row r="235" spans="1:12" x14ac:dyDescent="0.2">
      <c r="A235" s="24">
        <v>17</v>
      </c>
      <c r="B235" s="24">
        <v>1</v>
      </c>
      <c r="C235" s="24"/>
      <c r="D235" s="25">
        <v>16.858974358974358</v>
      </c>
      <c r="E235" s="25">
        <f t="shared" si="6"/>
        <v>-0.1410256410256423</v>
      </c>
      <c r="G235" s="25">
        <f t="shared" si="7"/>
        <v>9.3686186441259228E-2</v>
      </c>
      <c r="L235" s="2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>
      <selection activeCell="K8" sqref="K8"/>
    </sheetView>
  </sheetViews>
  <sheetFormatPr baseColWidth="10" defaultColWidth="14.5" defaultRowHeight="16" x14ac:dyDescent="0.2"/>
  <cols>
    <col min="1" max="11" width="14.5" style="25"/>
    <col min="13" max="16384" width="14.5" style="25"/>
  </cols>
  <sheetData>
    <row r="1" spans="1:15" x14ac:dyDescent="0.2">
      <c r="A1" s="24" t="s">
        <v>64</v>
      </c>
      <c r="B1" s="24" t="s">
        <v>143</v>
      </c>
      <c r="C1" s="24" t="s">
        <v>65</v>
      </c>
      <c r="D1" s="25" t="s">
        <v>144</v>
      </c>
      <c r="E1" s="25" t="s">
        <v>145</v>
      </c>
      <c r="F1" s="25" t="s">
        <v>146</v>
      </c>
      <c r="G1" s="25" t="s">
        <v>148</v>
      </c>
      <c r="H1" s="25" t="s">
        <v>147</v>
      </c>
      <c r="I1" s="25" t="s">
        <v>150</v>
      </c>
      <c r="J1" s="25" t="s">
        <v>5</v>
      </c>
      <c r="K1" s="25" t="s">
        <v>149</v>
      </c>
      <c r="L1" s="25"/>
      <c r="M1" s="25" t="s">
        <v>157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25" cm="1">
        <f t="array" aca="1" ref="D2:D235" ca="1">TREND(A2:A235,B2:C235,,FALSE)</f>
        <v>20.657555830168075</v>
      </c>
      <c r="E2" s="25">
        <f ca="1">D2-A2</f>
        <v>2.6575558301680751</v>
      </c>
      <c r="F2" s="25">
        <f ca="1">STDEV(E2:E235)</f>
        <v>1.2497181822870325</v>
      </c>
      <c r="G2" s="25">
        <f ca="1">_xlfn.NORM.DIST(E2,0,$F$2,FALSE)</f>
        <v>3.327632904268165E-2</v>
      </c>
      <c r="H2" s="25" cm="1">
        <f t="array" aca="1" ref="H2" ca="1">SUM(LN(G2:G235))</f>
        <v>-383.6944455535961</v>
      </c>
      <c r="I2" s="25">
        <f>COUNT(A2:A235)</f>
        <v>234</v>
      </c>
      <c r="J2" s="25">
        <v>2</v>
      </c>
      <c r="K2" s="25">
        <f ca="1">-2*H2+2*J2</f>
        <v>771.38889110719219</v>
      </c>
      <c r="L2" s="25"/>
      <c r="N2" s="25" t="s">
        <v>156</v>
      </c>
      <c r="O2" s="25" t="s">
        <v>149</v>
      </c>
    </row>
    <row r="3" spans="1:15" x14ac:dyDescent="0.2">
      <c r="A3" s="24">
        <v>21</v>
      </c>
      <c r="B3" s="24">
        <v>1</v>
      </c>
      <c r="C3" s="24">
        <f ca="1"/>
        <v>29</v>
      </c>
      <c r="D3" s="25">
        <f ca="1"/>
        <v>20.657555830168075</v>
      </c>
      <c r="E3" s="25">
        <f t="shared" ref="E3:E66" ca="1" si="0">D3-A3</f>
        <v>-0.34244416983192494</v>
      </c>
      <c r="G3" s="25">
        <f t="shared" ref="G3:G66" ca="1" si="1">_xlfn.NORM.DIST(E3,0,$F$2,FALSE)</f>
        <v>0.30746337812452051</v>
      </c>
      <c r="L3" s="25"/>
      <c r="M3" s="26"/>
      <c r="N3" s="26">
        <f ca="1">K8</f>
        <v>107.32351470807653</v>
      </c>
      <c r="O3" s="26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25">
        <f ca="1"/>
        <v>22.023994053472194</v>
      </c>
      <c r="E4" s="25">
        <f t="shared" ca="1" si="0"/>
        <v>2.0239940534721939</v>
      </c>
      <c r="G4" s="25">
        <f t="shared" ca="1" si="1"/>
        <v>8.6005458292729375E-2</v>
      </c>
      <c r="H4" s="25" t="s">
        <v>151</v>
      </c>
      <c r="I4" s="25" t="s">
        <v>152</v>
      </c>
      <c r="L4" s="25"/>
      <c r="M4" s="26" t="s">
        <v>59</v>
      </c>
      <c r="N4" s="27">
        <f t="dataTable" ref="N4:O7" dt2D="0" dtr="0" r1="C1" ca="1"/>
        <v>443.27246802336475</v>
      </c>
      <c r="O4" s="27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25">
        <f ca="1"/>
        <v>21.340774941820136</v>
      </c>
      <c r="E5" s="25">
        <f t="shared" ca="1" si="0"/>
        <v>0.34077494182013623</v>
      </c>
      <c r="G5" s="25">
        <f t="shared" ca="1" si="1"/>
        <v>0.30757565599758996</v>
      </c>
      <c r="H5" s="25">
        <f ca="1">SUMSQ(E2:E235)</f>
        <v>363.8983596873415</v>
      </c>
      <c r="I5" s="25">
        <f ca="1">H5/I2</f>
        <v>1.5551211952450492</v>
      </c>
      <c r="L5" s="25"/>
      <c r="M5" s="26" t="s">
        <v>60</v>
      </c>
      <c r="N5" s="27">
        <v>680.48560175849059</v>
      </c>
      <c r="O5" s="27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25">
        <f ca="1"/>
        <v>18.607898495211895</v>
      </c>
      <c r="E6" s="25">
        <f t="shared" ca="1" si="0"/>
        <v>2.6078984952118951</v>
      </c>
      <c r="G6" s="25">
        <f t="shared" ca="1" si="1"/>
        <v>3.6181717224349638E-2</v>
      </c>
      <c r="L6" s="25"/>
      <c r="M6" s="26" t="s">
        <v>61</v>
      </c>
      <c r="N6" s="27">
        <v>435.64100584426035</v>
      </c>
      <c r="O6" s="27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25">
        <f ca="1"/>
        <v>18.607898495211895</v>
      </c>
      <c r="E7" s="25">
        <f t="shared" ca="1" si="0"/>
        <v>0.6078984952118951</v>
      </c>
      <c r="G7" s="25">
        <f t="shared" ca="1" si="1"/>
        <v>0.28360781451993688</v>
      </c>
      <c r="H7" s="25" t="s">
        <v>154</v>
      </c>
      <c r="K7" s="25" t="s">
        <v>156</v>
      </c>
      <c r="L7" s="25"/>
      <c r="M7" s="26" t="s">
        <v>65</v>
      </c>
      <c r="N7" s="27">
        <v>107.32351470807653</v>
      </c>
      <c r="O7" s="27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25">
        <f ca="1"/>
        <v>19.291117606863956</v>
      </c>
      <c r="E8" s="25">
        <f t="shared" ca="1" si="0"/>
        <v>1.2911176068639563</v>
      </c>
      <c r="G8" s="25">
        <f t="shared" ca="1" si="1"/>
        <v>0.18720849951963059</v>
      </c>
      <c r="H8" s="25">
        <f ca="1">I2*LN(I5)</f>
        <v>103.32351470807653</v>
      </c>
      <c r="K8" s="25">
        <f ca="1">H8+2*J2</f>
        <v>107.32351470807653</v>
      </c>
      <c r="L8" s="25"/>
    </row>
    <row r="9" spans="1:15" x14ac:dyDescent="0.2">
      <c r="A9" s="24">
        <v>18</v>
      </c>
      <c r="B9" s="24">
        <v>1</v>
      </c>
      <c r="C9" s="24">
        <f ca="1"/>
        <v>26</v>
      </c>
      <c r="D9" s="25">
        <f ca="1"/>
        <v>18.607898495211895</v>
      </c>
      <c r="E9" s="25">
        <f t="shared" ca="1" si="0"/>
        <v>0.6078984952118951</v>
      </c>
      <c r="G9" s="25">
        <f t="shared" ca="1" si="1"/>
        <v>0.28360781451993688</v>
      </c>
      <c r="L9" s="25"/>
    </row>
    <row r="10" spans="1:15" x14ac:dyDescent="0.2">
      <c r="A10" s="24">
        <v>16</v>
      </c>
      <c r="B10" s="24">
        <v>1</v>
      </c>
      <c r="C10" s="24">
        <f ca="1"/>
        <v>25</v>
      </c>
      <c r="D10" s="25">
        <f ca="1"/>
        <v>17.924679383559837</v>
      </c>
      <c r="E10" s="25">
        <f t="shared" ca="1" si="0"/>
        <v>1.9246793835598375</v>
      </c>
      <c r="G10" s="25">
        <f t="shared" ca="1" si="1"/>
        <v>9.7510391399401958E-2</v>
      </c>
      <c r="H10" s="25" t="s">
        <v>155</v>
      </c>
      <c r="L10" s="25"/>
    </row>
    <row r="11" spans="1:15" x14ac:dyDescent="0.2">
      <c r="A11" s="24">
        <v>20</v>
      </c>
      <c r="B11" s="24">
        <v>1</v>
      </c>
      <c r="C11" s="24">
        <f ca="1"/>
        <v>28</v>
      </c>
      <c r="D11" s="25">
        <f ca="1"/>
        <v>19.974336718516017</v>
      </c>
      <c r="E11" s="25">
        <f t="shared" ca="1" si="0"/>
        <v>-2.5663281483982558E-2</v>
      </c>
      <c r="G11" s="25">
        <f t="shared" ca="1" si="1"/>
        <v>0.31915849397187074</v>
      </c>
      <c r="H11" s="25">
        <f>I2*LN(2*PI())</f>
        <v>430.06323353978684</v>
      </c>
      <c r="L11" s="25"/>
    </row>
    <row r="12" spans="1:15" x14ac:dyDescent="0.2">
      <c r="A12" s="24">
        <v>19</v>
      </c>
      <c r="B12" s="24">
        <v>1</v>
      </c>
      <c r="C12" s="24">
        <f ca="1"/>
        <v>27</v>
      </c>
      <c r="D12" s="25">
        <f ca="1"/>
        <v>19.291117606863956</v>
      </c>
      <c r="E12" s="25">
        <f t="shared" ca="1" si="0"/>
        <v>0.29111760686395627</v>
      </c>
      <c r="G12" s="25">
        <f t="shared" ca="1" si="1"/>
        <v>0.31068098494392388</v>
      </c>
      <c r="L12" s="25"/>
    </row>
    <row r="13" spans="1:15" x14ac:dyDescent="0.2">
      <c r="A13" s="24">
        <v>15</v>
      </c>
      <c r="B13" s="24">
        <v>1</v>
      </c>
      <c r="C13" s="24">
        <f ca="1"/>
        <v>25</v>
      </c>
      <c r="D13" s="25">
        <f ca="1"/>
        <v>17.924679383559837</v>
      </c>
      <c r="E13" s="25">
        <f t="shared" ca="1" si="0"/>
        <v>2.9246793835598375</v>
      </c>
      <c r="G13" s="25">
        <f t="shared" ca="1" si="1"/>
        <v>2.0644814857305384E-2</v>
      </c>
      <c r="H13" s="25" t="s">
        <v>153</v>
      </c>
      <c r="K13" s="25" t="s">
        <v>149</v>
      </c>
      <c r="L13" s="25"/>
    </row>
    <row r="14" spans="1:15" x14ac:dyDescent="0.2">
      <c r="A14" s="24">
        <v>17</v>
      </c>
      <c r="B14" s="24">
        <v>1</v>
      </c>
      <c r="C14" s="24">
        <f ca="1"/>
        <v>25</v>
      </c>
      <c r="D14" s="25">
        <f ca="1"/>
        <v>17.924679383559837</v>
      </c>
      <c r="E14" s="25">
        <f t="shared" ca="1" si="0"/>
        <v>0.92467938355983748</v>
      </c>
      <c r="G14" s="25">
        <f t="shared" ca="1" si="1"/>
        <v>0.24278226945780421</v>
      </c>
      <c r="H14" s="25">
        <f ca="1">H8+H11+I2</f>
        <v>767.38674824786335</v>
      </c>
      <c r="K14" s="25">
        <f ca="1">H14+2*J2</f>
        <v>771.38674824786335</v>
      </c>
      <c r="L14" s="25"/>
    </row>
    <row r="15" spans="1:15" x14ac:dyDescent="0.2">
      <c r="A15" s="24">
        <v>17</v>
      </c>
      <c r="B15" s="24">
        <v>1</v>
      </c>
      <c r="C15" s="24">
        <f ca="1"/>
        <v>25</v>
      </c>
      <c r="D15" s="25">
        <f ca="1"/>
        <v>17.924679383559837</v>
      </c>
      <c r="E15" s="25">
        <f t="shared" ca="1" si="0"/>
        <v>0.92467938355983748</v>
      </c>
      <c r="G15" s="25">
        <f t="shared" ca="1" si="1"/>
        <v>0.24278226945780421</v>
      </c>
      <c r="L15" s="25"/>
    </row>
    <row r="16" spans="1:15" x14ac:dyDescent="0.2">
      <c r="A16" s="24">
        <v>15</v>
      </c>
      <c r="B16" s="24">
        <v>1</v>
      </c>
      <c r="C16" s="24">
        <f ca="1"/>
        <v>25</v>
      </c>
      <c r="D16" s="25">
        <f ca="1"/>
        <v>17.924679383559837</v>
      </c>
      <c r="E16" s="25">
        <f t="shared" ca="1" si="0"/>
        <v>2.9246793835598375</v>
      </c>
      <c r="G16" s="25">
        <f t="shared" ca="1" si="1"/>
        <v>2.0644814857305384E-2</v>
      </c>
      <c r="L16" s="25"/>
    </row>
    <row r="17" spans="1:12" x14ac:dyDescent="0.2">
      <c r="A17" s="24">
        <v>15</v>
      </c>
      <c r="B17" s="24">
        <v>1</v>
      </c>
      <c r="C17" s="24">
        <f ca="1"/>
        <v>24</v>
      </c>
      <c r="D17" s="25">
        <f ca="1"/>
        <v>17.241460271907776</v>
      </c>
      <c r="E17" s="25">
        <f t="shared" ca="1" si="0"/>
        <v>2.2414602719077763</v>
      </c>
      <c r="G17" s="25">
        <f t="shared" ca="1" si="1"/>
        <v>6.3908179860316897E-2</v>
      </c>
      <c r="L17" s="25"/>
    </row>
    <row r="18" spans="1:12" x14ac:dyDescent="0.2">
      <c r="A18" s="24">
        <v>17</v>
      </c>
      <c r="B18" s="24">
        <v>1</v>
      </c>
      <c r="C18" s="24">
        <f ca="1"/>
        <v>25</v>
      </c>
      <c r="D18" s="25">
        <f ca="1"/>
        <v>17.924679383559837</v>
      </c>
      <c r="E18" s="25">
        <f t="shared" ca="1" si="0"/>
        <v>0.92467938355983748</v>
      </c>
      <c r="G18" s="25">
        <f t="shared" ca="1" si="1"/>
        <v>0.24278226945780421</v>
      </c>
      <c r="L18" s="25"/>
    </row>
    <row r="19" spans="1:12" x14ac:dyDescent="0.2">
      <c r="A19" s="24">
        <v>16</v>
      </c>
      <c r="B19" s="24">
        <v>1</v>
      </c>
      <c r="C19" s="24">
        <f ca="1"/>
        <v>23</v>
      </c>
      <c r="D19" s="25">
        <f ca="1"/>
        <v>16.558241160255715</v>
      </c>
      <c r="E19" s="25">
        <f t="shared" ca="1" si="0"/>
        <v>0.55824116025571513</v>
      </c>
      <c r="G19" s="25">
        <f t="shared" ca="1" si="1"/>
        <v>0.28891457937292003</v>
      </c>
      <c r="L19" s="25"/>
    </row>
    <row r="20" spans="1:12" x14ac:dyDescent="0.2">
      <c r="A20" s="24">
        <v>14</v>
      </c>
      <c r="B20" s="24">
        <v>1</v>
      </c>
      <c r="C20" s="24">
        <f ca="1"/>
        <v>20</v>
      </c>
      <c r="D20" s="25">
        <f ca="1"/>
        <v>14.508583825299539</v>
      </c>
      <c r="E20" s="25">
        <f t="shared" ca="1" si="0"/>
        <v>0.50858382529953872</v>
      </c>
      <c r="G20" s="25">
        <f t="shared" ca="1" si="1"/>
        <v>0.29385631906225068</v>
      </c>
      <c r="L20" s="25"/>
    </row>
    <row r="21" spans="1:12" x14ac:dyDescent="0.2">
      <c r="A21" s="24">
        <v>11</v>
      </c>
      <c r="B21" s="24">
        <v>1</v>
      </c>
      <c r="C21" s="24">
        <f ca="1"/>
        <v>15</v>
      </c>
      <c r="D21" s="25">
        <f ca="1"/>
        <v>11.09248826703924</v>
      </c>
      <c r="E21" s="25">
        <f t="shared" ca="1" si="0"/>
        <v>9.2488267039239958E-2</v>
      </c>
      <c r="G21" s="25">
        <f t="shared" ca="1" si="1"/>
        <v>0.31835277839425191</v>
      </c>
      <c r="L21" s="25"/>
    </row>
    <row r="22" spans="1:12" x14ac:dyDescent="0.2">
      <c r="A22" s="24">
        <v>14</v>
      </c>
      <c r="B22" s="24">
        <v>1</v>
      </c>
      <c r="C22" s="24">
        <f ca="1"/>
        <v>20</v>
      </c>
      <c r="D22" s="25">
        <f ca="1"/>
        <v>14.508583825299539</v>
      </c>
      <c r="E22" s="25">
        <f t="shared" ca="1" si="0"/>
        <v>0.50858382529953872</v>
      </c>
      <c r="G22" s="25">
        <f t="shared" ca="1" si="1"/>
        <v>0.29385631906225068</v>
      </c>
      <c r="L22" s="25"/>
    </row>
    <row r="23" spans="1:12" x14ac:dyDescent="0.2">
      <c r="A23" s="24">
        <v>13</v>
      </c>
      <c r="B23" s="24">
        <v>1</v>
      </c>
      <c r="C23" s="24">
        <f ca="1"/>
        <v>17</v>
      </c>
      <c r="D23" s="25">
        <f ca="1"/>
        <v>12.458926490343359</v>
      </c>
      <c r="E23" s="25">
        <f t="shared" ca="1" si="0"/>
        <v>-0.54107350965664125</v>
      </c>
      <c r="G23" s="25">
        <f t="shared" ca="1" si="1"/>
        <v>0.29066547731752662</v>
      </c>
      <c r="L23" s="25"/>
    </row>
    <row r="24" spans="1:12" x14ac:dyDescent="0.2">
      <c r="A24" s="24">
        <v>12</v>
      </c>
      <c r="B24" s="24">
        <v>1</v>
      </c>
      <c r="C24" s="24">
        <f ca="1"/>
        <v>17</v>
      </c>
      <c r="D24" s="25">
        <f ca="1"/>
        <v>12.458926490343359</v>
      </c>
      <c r="E24" s="25">
        <f t="shared" ca="1" si="0"/>
        <v>0.45892649034335875</v>
      </c>
      <c r="G24" s="25">
        <f t="shared" ca="1" si="1"/>
        <v>0.29841106438288428</v>
      </c>
      <c r="L24" s="25"/>
    </row>
    <row r="25" spans="1:12" x14ac:dyDescent="0.2">
      <c r="A25" s="24">
        <v>16</v>
      </c>
      <c r="B25" s="24">
        <v>1</v>
      </c>
      <c r="C25" s="24">
        <f ca="1"/>
        <v>26</v>
      </c>
      <c r="D25" s="25">
        <f ca="1"/>
        <v>18.607898495211895</v>
      </c>
      <c r="E25" s="25">
        <f t="shared" ca="1" si="0"/>
        <v>2.6078984952118951</v>
      </c>
      <c r="G25" s="25">
        <f t="shared" ca="1" si="1"/>
        <v>3.6181717224349638E-2</v>
      </c>
      <c r="L25" s="25"/>
    </row>
    <row r="26" spans="1:12" x14ac:dyDescent="0.2">
      <c r="A26" s="24">
        <v>15</v>
      </c>
      <c r="B26" s="24">
        <v>1</v>
      </c>
      <c r="C26" s="24">
        <f ca="1"/>
        <v>23</v>
      </c>
      <c r="D26" s="25">
        <f ca="1"/>
        <v>16.558241160255715</v>
      </c>
      <c r="E26" s="25">
        <f t="shared" ca="1" si="0"/>
        <v>1.5582411602557151</v>
      </c>
      <c r="G26" s="25">
        <f t="shared" ca="1" si="1"/>
        <v>0.1467237015411641</v>
      </c>
      <c r="L26" s="25"/>
    </row>
    <row r="27" spans="1:12" x14ac:dyDescent="0.2">
      <c r="A27" s="24">
        <v>16</v>
      </c>
      <c r="B27" s="24">
        <v>1</v>
      </c>
      <c r="C27" s="24">
        <f ca="1"/>
        <v>26</v>
      </c>
      <c r="D27" s="25">
        <f ca="1"/>
        <v>18.607898495211895</v>
      </c>
      <c r="E27" s="25">
        <f t="shared" ca="1" si="0"/>
        <v>2.6078984952118951</v>
      </c>
      <c r="G27" s="25">
        <f t="shared" ca="1" si="1"/>
        <v>3.6181717224349638E-2</v>
      </c>
      <c r="L27" s="25"/>
    </row>
    <row r="28" spans="1:12" x14ac:dyDescent="0.2">
      <c r="A28" s="24">
        <v>15</v>
      </c>
      <c r="B28" s="24">
        <v>1</v>
      </c>
      <c r="C28" s="24">
        <f ca="1"/>
        <v>25</v>
      </c>
      <c r="D28" s="25">
        <f ca="1"/>
        <v>17.924679383559837</v>
      </c>
      <c r="E28" s="25">
        <f t="shared" ca="1" si="0"/>
        <v>2.9246793835598375</v>
      </c>
      <c r="G28" s="25">
        <f t="shared" ca="1" si="1"/>
        <v>2.0644814857305384E-2</v>
      </c>
      <c r="L28" s="25"/>
    </row>
    <row r="29" spans="1:12" x14ac:dyDescent="0.2">
      <c r="A29" s="24">
        <v>15</v>
      </c>
      <c r="B29" s="24">
        <v>1</v>
      </c>
      <c r="C29" s="24">
        <f ca="1"/>
        <v>24</v>
      </c>
      <c r="D29" s="25">
        <f ca="1"/>
        <v>17.241460271907776</v>
      </c>
      <c r="E29" s="25">
        <f t="shared" ca="1" si="0"/>
        <v>2.2414602719077763</v>
      </c>
      <c r="G29" s="25">
        <f t="shared" ca="1" si="1"/>
        <v>6.3908179860316897E-2</v>
      </c>
      <c r="L29" s="25"/>
    </row>
    <row r="30" spans="1:12" x14ac:dyDescent="0.2">
      <c r="A30" s="24">
        <v>14</v>
      </c>
      <c r="B30" s="24">
        <v>1</v>
      </c>
      <c r="C30" s="24">
        <f ca="1"/>
        <v>19</v>
      </c>
      <c r="D30" s="25">
        <f ca="1"/>
        <v>13.825364713647479</v>
      </c>
      <c r="E30" s="25">
        <f t="shared" ca="1" si="0"/>
        <v>-0.17463528635252068</v>
      </c>
      <c r="G30" s="25">
        <f t="shared" ca="1" si="1"/>
        <v>0.31612416936198534</v>
      </c>
      <c r="L30" s="25"/>
    </row>
    <row r="31" spans="1:12" x14ac:dyDescent="0.2">
      <c r="A31" s="24">
        <v>11</v>
      </c>
      <c r="B31" s="24">
        <v>1</v>
      </c>
      <c r="C31" s="24">
        <f ca="1"/>
        <v>14</v>
      </c>
      <c r="D31" s="25">
        <f ca="1"/>
        <v>10.409269155387181</v>
      </c>
      <c r="E31" s="25">
        <f t="shared" ca="1" si="0"/>
        <v>-0.59073084461281944</v>
      </c>
      <c r="G31" s="25">
        <f t="shared" ca="1" si="1"/>
        <v>0.28548233893943797</v>
      </c>
      <c r="L31" s="25"/>
    </row>
    <row r="32" spans="1:12" x14ac:dyDescent="0.2">
      <c r="A32" s="24">
        <v>11</v>
      </c>
      <c r="B32" s="24">
        <v>1</v>
      </c>
      <c r="C32" s="24">
        <f ca="1"/>
        <v>15</v>
      </c>
      <c r="D32" s="25">
        <f ca="1"/>
        <v>11.09248826703924</v>
      </c>
      <c r="E32" s="25">
        <f t="shared" ca="1" si="0"/>
        <v>9.2488267039239958E-2</v>
      </c>
      <c r="G32" s="25">
        <f t="shared" ca="1" si="1"/>
        <v>0.31835277839425191</v>
      </c>
      <c r="L32" s="25"/>
    </row>
    <row r="33" spans="1:12" x14ac:dyDescent="0.2">
      <c r="A33" s="24">
        <v>14</v>
      </c>
      <c r="B33" s="24">
        <v>1</v>
      </c>
      <c r="C33" s="24">
        <f ca="1"/>
        <v>17</v>
      </c>
      <c r="D33" s="25">
        <f ca="1"/>
        <v>12.458926490343359</v>
      </c>
      <c r="E33" s="25">
        <f t="shared" ca="1" si="0"/>
        <v>-1.5410735096566412</v>
      </c>
      <c r="G33" s="25">
        <f t="shared" ca="1" si="1"/>
        <v>0.14924443441661395</v>
      </c>
      <c r="L33" s="25"/>
    </row>
    <row r="34" spans="1:12" x14ac:dyDescent="0.2">
      <c r="A34" s="24">
        <v>19</v>
      </c>
      <c r="B34" s="24">
        <v>1</v>
      </c>
      <c r="C34" s="24">
        <f ca="1"/>
        <v>27</v>
      </c>
      <c r="D34" s="25">
        <f ca="1"/>
        <v>19.291117606863956</v>
      </c>
      <c r="E34" s="25">
        <f t="shared" ca="1" si="0"/>
        <v>0.29111760686395627</v>
      </c>
      <c r="G34" s="25">
        <f t="shared" ca="1" si="1"/>
        <v>0.31068098494392388</v>
      </c>
      <c r="L34" s="25"/>
    </row>
    <row r="35" spans="1:12" x14ac:dyDescent="0.2">
      <c r="A35" s="24">
        <v>22</v>
      </c>
      <c r="B35" s="24">
        <v>1</v>
      </c>
      <c r="C35" s="24">
        <f ca="1"/>
        <v>30</v>
      </c>
      <c r="D35" s="25">
        <f ca="1"/>
        <v>21.340774941820136</v>
      </c>
      <c r="E35" s="25">
        <f t="shared" ca="1" si="0"/>
        <v>-0.65922505817986377</v>
      </c>
      <c r="G35" s="25">
        <f t="shared" ca="1" si="1"/>
        <v>0.27776379398250539</v>
      </c>
      <c r="L35" s="25"/>
    </row>
    <row r="36" spans="1:12" x14ac:dyDescent="0.2">
      <c r="A36" s="24">
        <v>18</v>
      </c>
      <c r="B36" s="24">
        <v>1</v>
      </c>
      <c r="C36" s="24">
        <f ca="1"/>
        <v>26</v>
      </c>
      <c r="D36" s="25">
        <f ca="1"/>
        <v>18.607898495211895</v>
      </c>
      <c r="E36" s="25">
        <f t="shared" ca="1" si="0"/>
        <v>0.6078984952118951</v>
      </c>
      <c r="G36" s="25">
        <f t="shared" ca="1" si="1"/>
        <v>0.28360781451993688</v>
      </c>
      <c r="L36" s="25"/>
    </row>
    <row r="37" spans="1:12" x14ac:dyDescent="0.2">
      <c r="A37" s="24">
        <v>18</v>
      </c>
      <c r="B37" s="24">
        <v>1</v>
      </c>
      <c r="C37" s="24">
        <f ca="1"/>
        <v>29</v>
      </c>
      <c r="D37" s="25">
        <f ca="1"/>
        <v>20.657555830168075</v>
      </c>
      <c r="E37" s="25">
        <f t="shared" ca="1" si="0"/>
        <v>2.6575558301680751</v>
      </c>
      <c r="G37" s="25">
        <f t="shared" ca="1" si="1"/>
        <v>3.327632904268165E-2</v>
      </c>
      <c r="L37" s="25"/>
    </row>
    <row r="38" spans="1:12" x14ac:dyDescent="0.2">
      <c r="A38" s="24">
        <v>17</v>
      </c>
      <c r="B38" s="24">
        <v>1</v>
      </c>
      <c r="C38" s="24">
        <f ca="1"/>
        <v>26</v>
      </c>
      <c r="D38" s="25">
        <f ca="1"/>
        <v>18.607898495211895</v>
      </c>
      <c r="E38" s="25">
        <f t="shared" ca="1" si="0"/>
        <v>1.6078984952118951</v>
      </c>
      <c r="G38" s="25">
        <f t="shared" ca="1" si="1"/>
        <v>0.13952132892333158</v>
      </c>
      <c r="L38" s="25"/>
    </row>
    <row r="39" spans="1:12" x14ac:dyDescent="0.2">
      <c r="A39" s="24">
        <v>18</v>
      </c>
      <c r="B39" s="24">
        <v>1</v>
      </c>
      <c r="C39" s="24">
        <f ca="1"/>
        <v>24</v>
      </c>
      <c r="D39" s="25">
        <f ca="1"/>
        <v>17.241460271907776</v>
      </c>
      <c r="E39" s="25">
        <f t="shared" ca="1" si="0"/>
        <v>-0.7585397280922237</v>
      </c>
      <c r="G39" s="25">
        <f t="shared" ca="1" si="1"/>
        <v>0.2655208098682208</v>
      </c>
      <c r="L39" s="25"/>
    </row>
    <row r="40" spans="1:12" x14ac:dyDescent="0.2">
      <c r="A40" s="24">
        <v>17</v>
      </c>
      <c r="B40" s="24">
        <v>1</v>
      </c>
      <c r="C40" s="24">
        <f ca="1"/>
        <v>24</v>
      </c>
      <c r="D40" s="25">
        <f ca="1"/>
        <v>17.241460271907776</v>
      </c>
      <c r="E40" s="25">
        <f t="shared" ca="1" si="0"/>
        <v>0.2414602719077763</v>
      </c>
      <c r="G40" s="25">
        <f t="shared" ca="1" si="1"/>
        <v>0.31332258364370175</v>
      </c>
      <c r="L40" s="25"/>
    </row>
    <row r="41" spans="1:12" x14ac:dyDescent="0.2">
      <c r="A41" s="24">
        <v>16</v>
      </c>
      <c r="B41" s="24">
        <v>1</v>
      </c>
      <c r="C41" s="24">
        <f ca="1"/>
        <v>22</v>
      </c>
      <c r="D41" s="25">
        <f ca="1"/>
        <v>15.875022048603658</v>
      </c>
      <c r="E41" s="25">
        <f t="shared" ca="1" si="0"/>
        <v>-0.12497795139634249</v>
      </c>
      <c r="G41" s="25">
        <f t="shared" ca="1" si="1"/>
        <v>0.31763349392564566</v>
      </c>
      <c r="L41" s="25"/>
    </row>
    <row r="42" spans="1:12" x14ac:dyDescent="0.2">
      <c r="A42" s="24">
        <v>16</v>
      </c>
      <c r="B42" s="24">
        <v>1</v>
      </c>
      <c r="C42" s="24">
        <f ca="1"/>
        <v>22</v>
      </c>
      <c r="D42" s="25">
        <f ca="1"/>
        <v>15.875022048603658</v>
      </c>
      <c r="E42" s="25">
        <f t="shared" ca="1" si="0"/>
        <v>-0.12497795139634249</v>
      </c>
      <c r="G42" s="25">
        <f t="shared" ca="1" si="1"/>
        <v>0.31763349392564566</v>
      </c>
      <c r="L42" s="25"/>
    </row>
    <row r="43" spans="1:12" x14ac:dyDescent="0.2">
      <c r="A43" s="24">
        <v>17</v>
      </c>
      <c r="B43" s="24">
        <v>1</v>
      </c>
      <c r="C43" s="24">
        <f ca="1"/>
        <v>24</v>
      </c>
      <c r="D43" s="25">
        <f ca="1"/>
        <v>17.241460271907776</v>
      </c>
      <c r="E43" s="25">
        <f t="shared" ca="1" si="0"/>
        <v>0.2414602719077763</v>
      </c>
      <c r="G43" s="25">
        <f t="shared" ca="1" si="1"/>
        <v>0.31332258364370175</v>
      </c>
      <c r="L43" s="25"/>
    </row>
    <row r="44" spans="1:12" x14ac:dyDescent="0.2">
      <c r="A44" s="24">
        <v>17</v>
      </c>
      <c r="B44" s="24">
        <v>1</v>
      </c>
      <c r="C44" s="24">
        <f ca="1"/>
        <v>24</v>
      </c>
      <c r="D44" s="25">
        <f ca="1"/>
        <v>17.241460271907776</v>
      </c>
      <c r="E44" s="25">
        <f t="shared" ca="1" si="0"/>
        <v>0.2414602719077763</v>
      </c>
      <c r="G44" s="25">
        <f t="shared" ca="1" si="1"/>
        <v>0.31332258364370175</v>
      </c>
      <c r="L44" s="25"/>
    </row>
    <row r="45" spans="1:12" x14ac:dyDescent="0.2">
      <c r="A45" s="24">
        <v>11</v>
      </c>
      <c r="B45" s="24">
        <v>1</v>
      </c>
      <c r="C45" s="24">
        <f ca="1"/>
        <v>17</v>
      </c>
      <c r="D45" s="25">
        <f ca="1"/>
        <v>12.458926490343359</v>
      </c>
      <c r="E45" s="25">
        <f t="shared" ca="1" si="0"/>
        <v>1.4589264903433588</v>
      </c>
      <c r="G45" s="25">
        <f t="shared" ca="1" si="1"/>
        <v>0.16149629011123415</v>
      </c>
      <c r="L45" s="25"/>
    </row>
    <row r="46" spans="1:12" x14ac:dyDescent="0.2">
      <c r="A46" s="24">
        <v>15</v>
      </c>
      <c r="B46" s="24">
        <v>1</v>
      </c>
      <c r="C46" s="24">
        <f ca="1"/>
        <v>22</v>
      </c>
      <c r="D46" s="25">
        <f ca="1"/>
        <v>15.875022048603658</v>
      </c>
      <c r="E46" s="25">
        <f t="shared" ca="1" si="0"/>
        <v>0.87502204860365751</v>
      </c>
      <c r="G46" s="25">
        <f t="shared" ca="1" si="1"/>
        <v>0.2498287819911226</v>
      </c>
      <c r="L46" s="25"/>
    </row>
    <row r="47" spans="1:12" x14ac:dyDescent="0.2">
      <c r="A47" s="24">
        <v>15</v>
      </c>
      <c r="B47" s="24">
        <v>1</v>
      </c>
      <c r="C47" s="24">
        <f ca="1"/>
        <v>21</v>
      </c>
      <c r="D47" s="25">
        <f ca="1"/>
        <v>15.191802936951598</v>
      </c>
      <c r="E47" s="25">
        <f t="shared" ca="1" si="0"/>
        <v>0.19180293695159811</v>
      </c>
      <c r="G47" s="25">
        <f t="shared" ca="1" si="1"/>
        <v>0.31548813891774308</v>
      </c>
      <c r="L47" s="25"/>
    </row>
    <row r="48" spans="1:12" x14ac:dyDescent="0.2">
      <c r="A48" s="24">
        <v>16</v>
      </c>
      <c r="B48" s="24">
        <v>1</v>
      </c>
      <c r="C48" s="24">
        <f ca="1"/>
        <v>23</v>
      </c>
      <c r="D48" s="25">
        <f ca="1"/>
        <v>16.558241160255715</v>
      </c>
      <c r="E48" s="25">
        <f t="shared" ca="1" si="0"/>
        <v>0.55824116025571513</v>
      </c>
      <c r="G48" s="25">
        <f t="shared" ca="1" si="1"/>
        <v>0.28891457937292003</v>
      </c>
      <c r="L48" s="25"/>
    </row>
    <row r="49" spans="1:12" x14ac:dyDescent="0.2">
      <c r="A49" s="24">
        <v>16</v>
      </c>
      <c r="B49" s="24">
        <v>1</v>
      </c>
      <c r="C49" s="24">
        <f ca="1"/>
        <v>23</v>
      </c>
      <c r="D49" s="25">
        <f ca="1"/>
        <v>16.558241160255715</v>
      </c>
      <c r="E49" s="25">
        <f t="shared" ca="1" si="0"/>
        <v>0.55824116025571513</v>
      </c>
      <c r="G49" s="25">
        <f t="shared" ca="1" si="1"/>
        <v>0.28891457937292003</v>
      </c>
      <c r="L49" s="25"/>
    </row>
    <row r="50" spans="1:12" x14ac:dyDescent="0.2">
      <c r="A50" s="24">
        <v>15</v>
      </c>
      <c r="B50" s="24">
        <v>1</v>
      </c>
      <c r="C50" s="24">
        <f ca="1"/>
        <v>19</v>
      </c>
      <c r="D50" s="25">
        <f ca="1"/>
        <v>13.825364713647479</v>
      </c>
      <c r="E50" s="25">
        <f t="shared" ca="1" si="0"/>
        <v>-1.1746352863525207</v>
      </c>
      <c r="G50" s="25">
        <f t="shared" ca="1" si="1"/>
        <v>0.20523871008550823</v>
      </c>
      <c r="L50" s="25"/>
    </row>
    <row r="51" spans="1:12" x14ac:dyDescent="0.2">
      <c r="A51" s="24">
        <v>14</v>
      </c>
      <c r="B51" s="24">
        <v>1</v>
      </c>
      <c r="C51" s="24">
        <f ca="1"/>
        <v>18</v>
      </c>
      <c r="D51" s="25">
        <f ca="1"/>
        <v>13.142145601995418</v>
      </c>
      <c r="E51" s="25">
        <f t="shared" ca="1" si="0"/>
        <v>-0.85785439800458185</v>
      </c>
      <c r="G51" s="25">
        <f t="shared" ca="1" si="1"/>
        <v>0.25221954505601618</v>
      </c>
      <c r="L51" s="25"/>
    </row>
    <row r="52" spans="1:12" x14ac:dyDescent="0.2">
      <c r="A52" s="24">
        <v>13</v>
      </c>
      <c r="B52" s="24">
        <v>1</v>
      </c>
      <c r="C52" s="24">
        <f ca="1"/>
        <v>17</v>
      </c>
      <c r="D52" s="25">
        <f ca="1"/>
        <v>12.458926490343359</v>
      </c>
      <c r="E52" s="25">
        <f t="shared" ca="1" si="0"/>
        <v>-0.54107350965664125</v>
      </c>
      <c r="G52" s="25">
        <f t="shared" ca="1" si="1"/>
        <v>0.29066547731752662</v>
      </c>
      <c r="L52" s="25"/>
    </row>
    <row r="53" spans="1:12" x14ac:dyDescent="0.2">
      <c r="A53" s="24">
        <v>14</v>
      </c>
      <c r="B53" s="24">
        <v>1</v>
      </c>
      <c r="C53" s="24">
        <f ca="1"/>
        <v>17</v>
      </c>
      <c r="D53" s="25">
        <f ca="1"/>
        <v>12.458926490343359</v>
      </c>
      <c r="E53" s="25">
        <f t="shared" ca="1" si="0"/>
        <v>-1.5410735096566412</v>
      </c>
      <c r="G53" s="25">
        <f t="shared" ca="1" si="1"/>
        <v>0.14924443441661395</v>
      </c>
      <c r="L53" s="25"/>
    </row>
    <row r="54" spans="1:12" x14ac:dyDescent="0.2">
      <c r="A54" s="24">
        <v>14</v>
      </c>
      <c r="B54" s="24">
        <v>1</v>
      </c>
      <c r="C54" s="24">
        <f ca="1"/>
        <v>19</v>
      </c>
      <c r="D54" s="25">
        <f ca="1"/>
        <v>13.825364713647479</v>
      </c>
      <c r="E54" s="25">
        <f t="shared" ca="1" si="0"/>
        <v>-0.17463528635252068</v>
      </c>
      <c r="G54" s="25">
        <f t="shared" ca="1" si="1"/>
        <v>0.31612416936198534</v>
      </c>
      <c r="L54" s="25"/>
    </row>
    <row r="55" spans="1:12" x14ac:dyDescent="0.2">
      <c r="A55" s="24">
        <v>14</v>
      </c>
      <c r="B55" s="24">
        <v>1</v>
      </c>
      <c r="C55" s="24">
        <f ca="1"/>
        <v>19</v>
      </c>
      <c r="D55" s="25">
        <f ca="1"/>
        <v>13.825364713647479</v>
      </c>
      <c r="E55" s="25">
        <f t="shared" ca="1" si="0"/>
        <v>-0.17463528635252068</v>
      </c>
      <c r="G55" s="25">
        <f t="shared" ca="1" si="1"/>
        <v>0.31612416936198534</v>
      </c>
      <c r="L55" s="25"/>
    </row>
    <row r="56" spans="1:12" x14ac:dyDescent="0.2">
      <c r="A56" s="24">
        <v>9</v>
      </c>
      <c r="B56" s="24">
        <v>1</v>
      </c>
      <c r="C56" s="24">
        <f ca="1"/>
        <v>12</v>
      </c>
      <c r="D56" s="25">
        <f ca="1"/>
        <v>9.04283093208306</v>
      </c>
      <c r="E56" s="25">
        <f t="shared" ca="1" si="0"/>
        <v>4.2830932083059992E-2</v>
      </c>
      <c r="G56" s="25">
        <f t="shared" ca="1" si="1"/>
        <v>0.31903836846290684</v>
      </c>
      <c r="L56" s="25"/>
    </row>
    <row r="57" spans="1:12" x14ac:dyDescent="0.2">
      <c r="A57" s="24">
        <v>11</v>
      </c>
      <c r="B57" s="24">
        <v>1</v>
      </c>
      <c r="C57" s="24">
        <f ca="1"/>
        <v>17</v>
      </c>
      <c r="D57" s="25">
        <f ca="1"/>
        <v>12.458926490343359</v>
      </c>
      <c r="E57" s="25">
        <f t="shared" ca="1" si="0"/>
        <v>1.4589264903433588</v>
      </c>
      <c r="G57" s="25">
        <f t="shared" ca="1" si="1"/>
        <v>0.16149629011123415</v>
      </c>
      <c r="L57" s="25"/>
    </row>
    <row r="58" spans="1:12" x14ac:dyDescent="0.2">
      <c r="A58" s="24">
        <v>11</v>
      </c>
      <c r="B58" s="24">
        <v>1</v>
      </c>
      <c r="C58" s="24">
        <f ca="1"/>
        <v>15</v>
      </c>
      <c r="D58" s="25">
        <f ca="1"/>
        <v>11.09248826703924</v>
      </c>
      <c r="E58" s="25">
        <f t="shared" ca="1" si="0"/>
        <v>9.2488267039239958E-2</v>
      </c>
      <c r="G58" s="25">
        <f t="shared" ca="1" si="1"/>
        <v>0.31835277839425191</v>
      </c>
      <c r="L58" s="25"/>
    </row>
    <row r="59" spans="1:12" x14ac:dyDescent="0.2">
      <c r="A59" s="24">
        <v>13</v>
      </c>
      <c r="B59" s="24">
        <v>1</v>
      </c>
      <c r="C59" s="24">
        <f ca="1"/>
        <v>17</v>
      </c>
      <c r="D59" s="25">
        <f ca="1"/>
        <v>12.458926490343359</v>
      </c>
      <c r="E59" s="25">
        <f t="shared" ca="1" si="0"/>
        <v>-0.54107350965664125</v>
      </c>
      <c r="G59" s="25">
        <f t="shared" ca="1" si="1"/>
        <v>0.29066547731752662</v>
      </c>
      <c r="L59" s="25"/>
    </row>
    <row r="60" spans="1:12" x14ac:dyDescent="0.2">
      <c r="A60" s="24">
        <v>13</v>
      </c>
      <c r="B60" s="24">
        <v>1</v>
      </c>
      <c r="C60" s="24">
        <f ca="1"/>
        <v>17</v>
      </c>
      <c r="D60" s="25">
        <f ca="1"/>
        <v>12.458926490343359</v>
      </c>
      <c r="E60" s="25">
        <f t="shared" ca="1" si="0"/>
        <v>-0.54107350965664125</v>
      </c>
      <c r="G60" s="25">
        <f t="shared" ca="1" si="1"/>
        <v>0.29066547731752662</v>
      </c>
      <c r="L60" s="25"/>
    </row>
    <row r="61" spans="1:12" x14ac:dyDescent="0.2">
      <c r="A61" s="24">
        <v>9</v>
      </c>
      <c r="B61" s="24">
        <v>1</v>
      </c>
      <c r="C61" s="24">
        <f ca="1"/>
        <v>12</v>
      </c>
      <c r="D61" s="25">
        <f ca="1"/>
        <v>9.04283093208306</v>
      </c>
      <c r="E61" s="25">
        <f t="shared" ca="1" si="0"/>
        <v>4.2830932083059992E-2</v>
      </c>
      <c r="G61" s="25">
        <f t="shared" ca="1" si="1"/>
        <v>0.31903836846290684</v>
      </c>
      <c r="L61" s="25"/>
    </row>
    <row r="62" spans="1:12" x14ac:dyDescent="0.2">
      <c r="A62" s="24">
        <v>13</v>
      </c>
      <c r="B62" s="24">
        <v>1</v>
      </c>
      <c r="C62" s="24">
        <f ca="1"/>
        <v>17</v>
      </c>
      <c r="D62" s="25">
        <f ca="1"/>
        <v>12.458926490343359</v>
      </c>
      <c r="E62" s="25">
        <f t="shared" ca="1" si="0"/>
        <v>-0.54107350965664125</v>
      </c>
      <c r="G62" s="25">
        <f t="shared" ca="1" si="1"/>
        <v>0.29066547731752662</v>
      </c>
      <c r="L62" s="25"/>
    </row>
    <row r="63" spans="1:12" x14ac:dyDescent="0.2">
      <c r="A63" s="24">
        <v>11</v>
      </c>
      <c r="B63" s="24">
        <v>1</v>
      </c>
      <c r="C63" s="24">
        <f ca="1"/>
        <v>16</v>
      </c>
      <c r="D63" s="25">
        <f ca="1"/>
        <v>11.775707378691299</v>
      </c>
      <c r="E63" s="25">
        <f t="shared" ca="1" si="0"/>
        <v>0.77570737869129935</v>
      </c>
      <c r="G63" s="25">
        <f t="shared" ca="1" si="1"/>
        <v>0.26329124156712214</v>
      </c>
      <c r="L63" s="25"/>
    </row>
    <row r="64" spans="1:12" x14ac:dyDescent="0.2">
      <c r="A64" s="24">
        <v>13</v>
      </c>
      <c r="B64" s="24">
        <v>1</v>
      </c>
      <c r="C64" s="24">
        <f ca="1"/>
        <v>18</v>
      </c>
      <c r="D64" s="25">
        <f ca="1"/>
        <v>13.142145601995418</v>
      </c>
      <c r="E64" s="25">
        <f t="shared" ca="1" si="0"/>
        <v>0.14214560199541815</v>
      </c>
      <c r="G64" s="25">
        <f t="shared" ca="1" si="1"/>
        <v>0.31716750413300532</v>
      </c>
      <c r="L64" s="25"/>
    </row>
    <row r="65" spans="1:12" x14ac:dyDescent="0.2">
      <c r="A65" s="24">
        <v>11</v>
      </c>
      <c r="B65" s="24">
        <v>1</v>
      </c>
      <c r="C65" s="24">
        <f ca="1"/>
        <v>15</v>
      </c>
      <c r="D65" s="25">
        <f ca="1"/>
        <v>11.09248826703924</v>
      </c>
      <c r="E65" s="25">
        <f t="shared" ca="1" si="0"/>
        <v>9.2488267039239958E-2</v>
      </c>
      <c r="G65" s="25">
        <f t="shared" ca="1" si="1"/>
        <v>0.31835277839425191</v>
      </c>
      <c r="L65" s="25"/>
    </row>
    <row r="66" spans="1:12" x14ac:dyDescent="0.2">
      <c r="A66" s="24">
        <v>12</v>
      </c>
      <c r="B66" s="24">
        <v>1</v>
      </c>
      <c r="C66" s="24">
        <f ca="1"/>
        <v>16</v>
      </c>
      <c r="D66" s="25">
        <f ca="1"/>
        <v>11.775707378691299</v>
      </c>
      <c r="E66" s="25">
        <f t="shared" ca="1" si="0"/>
        <v>-0.22429262130870065</v>
      </c>
      <c r="G66" s="25">
        <f t="shared" ca="1" si="1"/>
        <v>0.31412566572102818</v>
      </c>
      <c r="L66" s="25"/>
    </row>
    <row r="67" spans="1:12" x14ac:dyDescent="0.2">
      <c r="A67" s="24">
        <v>9</v>
      </c>
      <c r="B67" s="24">
        <v>1</v>
      </c>
      <c r="C67" s="24">
        <f ca="1"/>
        <v>12</v>
      </c>
      <c r="D67" s="25">
        <f ca="1"/>
        <v>9.04283093208306</v>
      </c>
      <c r="E67" s="25">
        <f t="shared" ref="E67:E130" ca="1" si="2">D67-A67</f>
        <v>4.2830932083059992E-2</v>
      </c>
      <c r="G67" s="25">
        <f t="shared" ref="G67:G130" ca="1" si="3">_xlfn.NORM.DIST(E67,0,$F$2,FALSE)</f>
        <v>0.31903836846290684</v>
      </c>
      <c r="L67" s="25"/>
    </row>
    <row r="68" spans="1:12" x14ac:dyDescent="0.2">
      <c r="A68" s="24">
        <v>13</v>
      </c>
      <c r="B68" s="24">
        <v>1</v>
      </c>
      <c r="C68" s="24">
        <f ca="1"/>
        <v>17</v>
      </c>
      <c r="D68" s="25">
        <f ca="1"/>
        <v>12.458926490343359</v>
      </c>
      <c r="E68" s="25">
        <f t="shared" ca="1" si="2"/>
        <v>-0.54107350965664125</v>
      </c>
      <c r="G68" s="25">
        <f t="shared" ca="1" si="3"/>
        <v>0.29066547731752662</v>
      </c>
      <c r="L68" s="25"/>
    </row>
    <row r="69" spans="1:12" x14ac:dyDescent="0.2">
      <c r="A69" s="24">
        <v>13</v>
      </c>
      <c r="B69" s="24">
        <v>1</v>
      </c>
      <c r="C69" s="24">
        <f ca="1"/>
        <v>17</v>
      </c>
      <c r="D69" s="25">
        <f ca="1"/>
        <v>12.458926490343359</v>
      </c>
      <c r="E69" s="25">
        <f t="shared" ca="1" si="2"/>
        <v>-0.54107350965664125</v>
      </c>
      <c r="G69" s="25">
        <f t="shared" ca="1" si="3"/>
        <v>0.29066547731752662</v>
      </c>
      <c r="L69" s="25"/>
    </row>
    <row r="70" spans="1:12" x14ac:dyDescent="0.2">
      <c r="A70" s="24">
        <v>12</v>
      </c>
      <c r="B70" s="24">
        <v>1</v>
      </c>
      <c r="C70" s="24">
        <f ca="1"/>
        <v>16</v>
      </c>
      <c r="D70" s="25">
        <f ca="1"/>
        <v>11.775707378691299</v>
      </c>
      <c r="E70" s="25">
        <f t="shared" ca="1" si="2"/>
        <v>-0.22429262130870065</v>
      </c>
      <c r="G70" s="25">
        <f t="shared" ca="1" si="3"/>
        <v>0.31412566572102818</v>
      </c>
      <c r="L70" s="25"/>
    </row>
    <row r="71" spans="1:12" x14ac:dyDescent="0.2">
      <c r="A71" s="24">
        <v>9</v>
      </c>
      <c r="B71" s="24">
        <v>1</v>
      </c>
      <c r="C71" s="24">
        <f ca="1"/>
        <v>12</v>
      </c>
      <c r="D71" s="25">
        <f ca="1"/>
        <v>9.04283093208306</v>
      </c>
      <c r="E71" s="25">
        <f t="shared" ca="1" si="2"/>
        <v>4.2830932083059992E-2</v>
      </c>
      <c r="G71" s="25">
        <f t="shared" ca="1" si="3"/>
        <v>0.31903836846290684</v>
      </c>
      <c r="L71" s="25"/>
    </row>
    <row r="72" spans="1:12" x14ac:dyDescent="0.2">
      <c r="A72" s="24">
        <v>11</v>
      </c>
      <c r="B72" s="24">
        <v>1</v>
      </c>
      <c r="C72" s="24">
        <f ca="1"/>
        <v>15</v>
      </c>
      <c r="D72" s="25">
        <f ca="1"/>
        <v>11.09248826703924</v>
      </c>
      <c r="E72" s="25">
        <f t="shared" ca="1" si="2"/>
        <v>9.2488267039239958E-2</v>
      </c>
      <c r="G72" s="25">
        <f t="shared" ca="1" si="3"/>
        <v>0.31835277839425191</v>
      </c>
      <c r="L72" s="25"/>
    </row>
    <row r="73" spans="1:12" x14ac:dyDescent="0.2">
      <c r="A73" s="24">
        <v>11</v>
      </c>
      <c r="B73" s="24">
        <v>1</v>
      </c>
      <c r="C73" s="24">
        <f ca="1"/>
        <v>16</v>
      </c>
      <c r="D73" s="25">
        <f ca="1"/>
        <v>11.775707378691299</v>
      </c>
      <c r="E73" s="25">
        <f t="shared" ca="1" si="2"/>
        <v>0.77570737869129935</v>
      </c>
      <c r="G73" s="25">
        <f t="shared" ca="1" si="3"/>
        <v>0.26329124156712214</v>
      </c>
      <c r="L73" s="25"/>
    </row>
    <row r="74" spans="1:12" x14ac:dyDescent="0.2">
      <c r="A74" s="24">
        <v>13</v>
      </c>
      <c r="B74" s="24">
        <v>1</v>
      </c>
      <c r="C74" s="24">
        <f ca="1"/>
        <v>17</v>
      </c>
      <c r="D74" s="25">
        <f ca="1"/>
        <v>12.458926490343359</v>
      </c>
      <c r="E74" s="25">
        <f t="shared" ca="1" si="2"/>
        <v>-0.54107350965664125</v>
      </c>
      <c r="G74" s="25">
        <f t="shared" ca="1" si="3"/>
        <v>0.29066547731752662</v>
      </c>
      <c r="L74" s="25"/>
    </row>
    <row r="75" spans="1:12" x14ac:dyDescent="0.2">
      <c r="A75" s="24">
        <v>11</v>
      </c>
      <c r="B75" s="24">
        <v>1</v>
      </c>
      <c r="C75" s="24">
        <f ca="1"/>
        <v>15</v>
      </c>
      <c r="D75" s="25">
        <f ca="1"/>
        <v>11.09248826703924</v>
      </c>
      <c r="E75" s="25">
        <f t="shared" ca="1" si="2"/>
        <v>9.2488267039239958E-2</v>
      </c>
      <c r="G75" s="25">
        <f t="shared" ca="1" si="3"/>
        <v>0.31835277839425191</v>
      </c>
      <c r="L75" s="25"/>
    </row>
    <row r="76" spans="1:12" x14ac:dyDescent="0.2">
      <c r="A76" s="24">
        <v>11</v>
      </c>
      <c r="B76" s="24">
        <v>1</v>
      </c>
      <c r="C76" s="24">
        <f ca="1"/>
        <v>17</v>
      </c>
      <c r="D76" s="25">
        <f ca="1"/>
        <v>12.458926490343359</v>
      </c>
      <c r="E76" s="25">
        <f t="shared" ca="1" si="2"/>
        <v>1.4589264903433588</v>
      </c>
      <c r="G76" s="25">
        <f t="shared" ca="1" si="3"/>
        <v>0.16149629011123415</v>
      </c>
      <c r="L76" s="25"/>
    </row>
    <row r="77" spans="1:12" x14ac:dyDescent="0.2">
      <c r="A77" s="24">
        <v>11</v>
      </c>
      <c r="B77" s="24">
        <v>1</v>
      </c>
      <c r="C77" s="24">
        <f ca="1"/>
        <v>17</v>
      </c>
      <c r="D77" s="25">
        <f ca="1"/>
        <v>12.458926490343359</v>
      </c>
      <c r="E77" s="25">
        <f t="shared" ca="1" si="2"/>
        <v>1.4589264903433588</v>
      </c>
      <c r="G77" s="25">
        <f t="shared" ca="1" si="3"/>
        <v>0.16149629011123415</v>
      </c>
      <c r="L77" s="25"/>
    </row>
    <row r="78" spans="1:12" x14ac:dyDescent="0.2">
      <c r="A78" s="24">
        <v>12</v>
      </c>
      <c r="B78" s="24">
        <v>1</v>
      </c>
      <c r="C78" s="24">
        <f ca="1"/>
        <v>18</v>
      </c>
      <c r="D78" s="25">
        <f ca="1"/>
        <v>13.142145601995418</v>
      </c>
      <c r="E78" s="25">
        <f t="shared" ca="1" si="2"/>
        <v>1.1421456019954181</v>
      </c>
      <c r="G78" s="25">
        <f t="shared" ca="1" si="3"/>
        <v>0.21024457151414655</v>
      </c>
      <c r="L78" s="25"/>
    </row>
    <row r="79" spans="1:12" x14ac:dyDescent="0.2">
      <c r="A79" s="24">
        <v>14</v>
      </c>
      <c r="B79" s="24">
        <v>1</v>
      </c>
      <c r="C79" s="24">
        <f ca="1"/>
        <v>17</v>
      </c>
      <c r="D79" s="25">
        <f ca="1"/>
        <v>12.458926490343359</v>
      </c>
      <c r="E79" s="25">
        <f t="shared" ca="1" si="2"/>
        <v>-1.5410735096566412</v>
      </c>
      <c r="G79" s="25">
        <f t="shared" ca="1" si="3"/>
        <v>0.14924443441661395</v>
      </c>
      <c r="L79" s="25"/>
    </row>
    <row r="80" spans="1:12" x14ac:dyDescent="0.2">
      <c r="A80" s="24">
        <v>15</v>
      </c>
      <c r="B80" s="24">
        <v>1</v>
      </c>
      <c r="C80" s="24">
        <f ca="1"/>
        <v>19</v>
      </c>
      <c r="D80" s="25">
        <f ca="1"/>
        <v>13.825364713647479</v>
      </c>
      <c r="E80" s="25">
        <f t="shared" ca="1" si="2"/>
        <v>-1.1746352863525207</v>
      </c>
      <c r="G80" s="25">
        <f t="shared" ca="1" si="3"/>
        <v>0.20523871008550823</v>
      </c>
      <c r="L80" s="25"/>
    </row>
    <row r="81" spans="1:12" x14ac:dyDescent="0.2">
      <c r="A81" s="24">
        <v>14</v>
      </c>
      <c r="B81" s="24">
        <v>1</v>
      </c>
      <c r="C81" s="24">
        <f ca="1"/>
        <v>17</v>
      </c>
      <c r="D81" s="25">
        <f ca="1"/>
        <v>12.458926490343359</v>
      </c>
      <c r="E81" s="25">
        <f t="shared" ca="1" si="2"/>
        <v>-1.5410735096566412</v>
      </c>
      <c r="G81" s="25">
        <f t="shared" ca="1" si="3"/>
        <v>0.14924443441661395</v>
      </c>
      <c r="L81" s="25"/>
    </row>
    <row r="82" spans="1:12" x14ac:dyDescent="0.2">
      <c r="A82" s="24">
        <v>13</v>
      </c>
      <c r="B82" s="24">
        <v>1</v>
      </c>
      <c r="C82" s="24">
        <f ca="1"/>
        <v>19</v>
      </c>
      <c r="D82" s="25">
        <f ca="1"/>
        <v>13.825364713647479</v>
      </c>
      <c r="E82" s="25">
        <f t="shared" ca="1" si="2"/>
        <v>0.82536471364747932</v>
      </c>
      <c r="G82" s="25">
        <f t="shared" ca="1" si="3"/>
        <v>0.25667424064304967</v>
      </c>
      <c r="L82" s="25"/>
    </row>
    <row r="83" spans="1:12" x14ac:dyDescent="0.2">
      <c r="A83" s="24">
        <v>13</v>
      </c>
      <c r="B83" s="24">
        <v>1</v>
      </c>
      <c r="C83" s="24">
        <f ca="1"/>
        <v>19</v>
      </c>
      <c r="D83" s="25">
        <f ca="1"/>
        <v>13.825364713647479</v>
      </c>
      <c r="E83" s="25">
        <f t="shared" ca="1" si="2"/>
        <v>0.82536471364747932</v>
      </c>
      <c r="G83" s="25">
        <f t="shared" ca="1" si="3"/>
        <v>0.25667424064304967</v>
      </c>
      <c r="L83" s="25"/>
    </row>
    <row r="84" spans="1:12" x14ac:dyDescent="0.2">
      <c r="A84" s="24">
        <v>13</v>
      </c>
      <c r="B84" s="24">
        <v>1</v>
      </c>
      <c r="C84" s="24">
        <f ca="1"/>
        <v>17</v>
      </c>
      <c r="D84" s="25">
        <f ca="1"/>
        <v>12.458926490343359</v>
      </c>
      <c r="E84" s="25">
        <f t="shared" ca="1" si="2"/>
        <v>-0.54107350965664125</v>
      </c>
      <c r="G84" s="25">
        <f t="shared" ca="1" si="3"/>
        <v>0.29066547731752662</v>
      </c>
      <c r="L84" s="25"/>
    </row>
    <row r="85" spans="1:12" x14ac:dyDescent="0.2">
      <c r="A85" s="24">
        <v>14</v>
      </c>
      <c r="B85" s="24">
        <v>1</v>
      </c>
      <c r="C85" s="24">
        <f ca="1"/>
        <v>17</v>
      </c>
      <c r="D85" s="25">
        <f ca="1"/>
        <v>12.458926490343359</v>
      </c>
      <c r="E85" s="25">
        <f t="shared" ca="1" si="2"/>
        <v>-1.5410735096566412</v>
      </c>
      <c r="G85" s="25">
        <f t="shared" ca="1" si="3"/>
        <v>0.14924443441661395</v>
      </c>
      <c r="L85" s="25"/>
    </row>
    <row r="86" spans="1:12" x14ac:dyDescent="0.2">
      <c r="A86" s="24">
        <v>14</v>
      </c>
      <c r="B86" s="24">
        <v>1</v>
      </c>
      <c r="C86" s="24">
        <f ca="1"/>
        <v>17</v>
      </c>
      <c r="D86" s="25">
        <f ca="1"/>
        <v>12.458926490343359</v>
      </c>
      <c r="E86" s="25">
        <f t="shared" ca="1" si="2"/>
        <v>-1.5410735096566412</v>
      </c>
      <c r="G86" s="25">
        <f t="shared" ca="1" si="3"/>
        <v>0.14924443441661395</v>
      </c>
      <c r="L86" s="25"/>
    </row>
    <row r="87" spans="1:12" x14ac:dyDescent="0.2">
      <c r="A87" s="24">
        <v>13</v>
      </c>
      <c r="B87" s="24">
        <v>1</v>
      </c>
      <c r="C87" s="24">
        <f ca="1"/>
        <v>16</v>
      </c>
      <c r="D87" s="25">
        <f ca="1"/>
        <v>11.775707378691299</v>
      </c>
      <c r="E87" s="25">
        <f t="shared" ca="1" si="2"/>
        <v>-1.2242926213087006</v>
      </c>
      <c r="G87" s="25">
        <f t="shared" ca="1" si="3"/>
        <v>0.19755889639295596</v>
      </c>
      <c r="L87" s="25"/>
    </row>
    <row r="88" spans="1:12" x14ac:dyDescent="0.2">
      <c r="A88" s="24">
        <v>13</v>
      </c>
      <c r="B88" s="24">
        <v>1</v>
      </c>
      <c r="C88" s="24">
        <f ca="1"/>
        <v>16</v>
      </c>
      <c r="D88" s="25">
        <f ca="1"/>
        <v>11.775707378691299</v>
      </c>
      <c r="E88" s="25">
        <f t="shared" ca="1" si="2"/>
        <v>-1.2242926213087006</v>
      </c>
      <c r="G88" s="25">
        <f t="shared" ca="1" si="3"/>
        <v>0.19755889639295596</v>
      </c>
      <c r="L88" s="25"/>
    </row>
    <row r="89" spans="1:12" x14ac:dyDescent="0.2">
      <c r="A89" s="24">
        <v>13</v>
      </c>
      <c r="B89" s="24">
        <v>1</v>
      </c>
      <c r="C89" s="24">
        <f ca="1"/>
        <v>17</v>
      </c>
      <c r="D89" s="25">
        <f ca="1"/>
        <v>12.458926490343359</v>
      </c>
      <c r="E89" s="25">
        <f t="shared" ca="1" si="2"/>
        <v>-0.54107350965664125</v>
      </c>
      <c r="G89" s="25">
        <f t="shared" ca="1" si="3"/>
        <v>0.29066547731752662</v>
      </c>
      <c r="L89" s="25"/>
    </row>
    <row r="90" spans="1:12" x14ac:dyDescent="0.2">
      <c r="A90" s="24">
        <v>11</v>
      </c>
      <c r="B90" s="24">
        <v>1</v>
      </c>
      <c r="C90" s="24">
        <f ca="1"/>
        <v>15</v>
      </c>
      <c r="D90" s="25">
        <f ca="1"/>
        <v>11.09248826703924</v>
      </c>
      <c r="E90" s="25">
        <f t="shared" ca="1" si="2"/>
        <v>9.2488267039239958E-2</v>
      </c>
      <c r="G90" s="25">
        <f t="shared" ca="1" si="3"/>
        <v>0.31835277839425191</v>
      </c>
      <c r="L90" s="25"/>
    </row>
    <row r="91" spans="1:12" x14ac:dyDescent="0.2">
      <c r="A91" s="24">
        <v>13</v>
      </c>
      <c r="B91" s="24">
        <v>1</v>
      </c>
      <c r="C91" s="24">
        <f ca="1"/>
        <v>17</v>
      </c>
      <c r="D91" s="25">
        <f ca="1"/>
        <v>12.458926490343359</v>
      </c>
      <c r="E91" s="25">
        <f t="shared" ca="1" si="2"/>
        <v>-0.54107350965664125</v>
      </c>
      <c r="G91" s="25">
        <f t="shared" ca="1" si="3"/>
        <v>0.29066547731752662</v>
      </c>
      <c r="L91" s="25"/>
    </row>
    <row r="92" spans="1:12" x14ac:dyDescent="0.2">
      <c r="A92" s="24">
        <v>18</v>
      </c>
      <c r="B92" s="24">
        <v>1</v>
      </c>
      <c r="C92" s="24">
        <f ca="1"/>
        <v>26</v>
      </c>
      <c r="D92" s="25">
        <f ca="1"/>
        <v>18.607898495211895</v>
      </c>
      <c r="E92" s="25">
        <f t="shared" ca="1" si="2"/>
        <v>0.6078984952118951</v>
      </c>
      <c r="G92" s="25">
        <f t="shared" ca="1" si="3"/>
        <v>0.28360781451993688</v>
      </c>
      <c r="L92" s="25"/>
    </row>
    <row r="93" spans="1:12" x14ac:dyDescent="0.2">
      <c r="A93" s="24">
        <v>18</v>
      </c>
      <c r="B93" s="24">
        <v>1</v>
      </c>
      <c r="C93" s="24">
        <f ca="1"/>
        <v>25</v>
      </c>
      <c r="D93" s="25">
        <f ca="1"/>
        <v>17.924679383559837</v>
      </c>
      <c r="E93" s="25">
        <f t="shared" ca="1" si="2"/>
        <v>-7.5320616440162524E-2</v>
      </c>
      <c r="G93" s="25">
        <f t="shared" ca="1" si="3"/>
        <v>0.3186465302206829</v>
      </c>
      <c r="L93" s="25"/>
    </row>
    <row r="94" spans="1:12" x14ac:dyDescent="0.2">
      <c r="A94" s="24">
        <v>17</v>
      </c>
      <c r="B94" s="24">
        <v>1</v>
      </c>
      <c r="C94" s="24">
        <f ca="1"/>
        <v>26</v>
      </c>
      <c r="D94" s="25">
        <f ca="1"/>
        <v>18.607898495211895</v>
      </c>
      <c r="E94" s="25">
        <f t="shared" ca="1" si="2"/>
        <v>1.6078984952118951</v>
      </c>
      <c r="G94" s="25">
        <f t="shared" ca="1" si="3"/>
        <v>0.13952132892333158</v>
      </c>
      <c r="L94" s="25"/>
    </row>
    <row r="95" spans="1:12" x14ac:dyDescent="0.2">
      <c r="A95" s="24">
        <v>16</v>
      </c>
      <c r="B95" s="24">
        <v>1</v>
      </c>
      <c r="C95" s="24">
        <f ca="1"/>
        <v>24</v>
      </c>
      <c r="D95" s="25">
        <f ca="1"/>
        <v>17.241460271907776</v>
      </c>
      <c r="E95" s="25">
        <f t="shared" ca="1" si="2"/>
        <v>1.2414602719077763</v>
      </c>
      <c r="G95" s="25">
        <f t="shared" ca="1" si="3"/>
        <v>0.19489962071960723</v>
      </c>
      <c r="L95" s="25"/>
    </row>
    <row r="96" spans="1:12" x14ac:dyDescent="0.2">
      <c r="A96" s="24">
        <v>15</v>
      </c>
      <c r="B96" s="24">
        <v>1</v>
      </c>
      <c r="C96" s="24">
        <f ca="1"/>
        <v>21</v>
      </c>
      <c r="D96" s="25">
        <f ca="1"/>
        <v>15.191802936951598</v>
      </c>
      <c r="E96" s="25">
        <f t="shared" ca="1" si="2"/>
        <v>0.19180293695159811</v>
      </c>
      <c r="G96" s="25">
        <f t="shared" ca="1" si="3"/>
        <v>0.31548813891774308</v>
      </c>
      <c r="L96" s="25"/>
    </row>
    <row r="97" spans="1:12" x14ac:dyDescent="0.2">
      <c r="A97" s="24">
        <v>15</v>
      </c>
      <c r="B97" s="24">
        <v>1</v>
      </c>
      <c r="C97" s="24">
        <f ca="1"/>
        <v>22</v>
      </c>
      <c r="D97" s="25">
        <f ca="1"/>
        <v>15.875022048603658</v>
      </c>
      <c r="E97" s="25">
        <f t="shared" ca="1" si="2"/>
        <v>0.87502204860365751</v>
      </c>
      <c r="G97" s="25">
        <f t="shared" ca="1" si="3"/>
        <v>0.2498287819911226</v>
      </c>
      <c r="L97" s="25"/>
    </row>
    <row r="98" spans="1:12" x14ac:dyDescent="0.2">
      <c r="A98" s="24">
        <v>15</v>
      </c>
      <c r="B98" s="24">
        <v>1</v>
      </c>
      <c r="C98" s="24">
        <f ca="1"/>
        <v>23</v>
      </c>
      <c r="D98" s="25">
        <f ca="1"/>
        <v>16.558241160255715</v>
      </c>
      <c r="E98" s="25">
        <f t="shared" ca="1" si="2"/>
        <v>1.5582411602557151</v>
      </c>
      <c r="G98" s="25">
        <f t="shared" ca="1" si="3"/>
        <v>0.1467237015411641</v>
      </c>
      <c r="L98" s="25"/>
    </row>
    <row r="99" spans="1:12" x14ac:dyDescent="0.2">
      <c r="A99" s="24">
        <v>15</v>
      </c>
      <c r="B99" s="24">
        <v>1</v>
      </c>
      <c r="C99" s="24">
        <f ca="1"/>
        <v>22</v>
      </c>
      <c r="D99" s="25">
        <f ca="1"/>
        <v>15.875022048603658</v>
      </c>
      <c r="E99" s="25">
        <f t="shared" ca="1" si="2"/>
        <v>0.87502204860365751</v>
      </c>
      <c r="G99" s="25">
        <f t="shared" ca="1" si="3"/>
        <v>0.2498287819911226</v>
      </c>
      <c r="L99" s="25"/>
    </row>
    <row r="100" spans="1:12" x14ac:dyDescent="0.2">
      <c r="A100" s="24">
        <v>14</v>
      </c>
      <c r="B100" s="24">
        <v>1</v>
      </c>
      <c r="C100" s="24">
        <f ca="1"/>
        <v>20</v>
      </c>
      <c r="D100" s="25">
        <f ca="1"/>
        <v>14.508583825299539</v>
      </c>
      <c r="E100" s="25">
        <f t="shared" ca="1" si="2"/>
        <v>0.50858382529953872</v>
      </c>
      <c r="G100" s="25">
        <f t="shared" ca="1" si="3"/>
        <v>0.29385631906225068</v>
      </c>
      <c r="L100" s="25"/>
    </row>
    <row r="101" spans="1:12" x14ac:dyDescent="0.2">
      <c r="A101" s="24">
        <v>28</v>
      </c>
      <c r="B101" s="24">
        <v>1</v>
      </c>
      <c r="C101" s="24">
        <f ca="1"/>
        <v>33</v>
      </c>
      <c r="D101" s="25">
        <f ca="1"/>
        <v>23.390432276776316</v>
      </c>
      <c r="E101" s="25">
        <f t="shared" ca="1" si="2"/>
        <v>-4.6095677232236838</v>
      </c>
      <c r="G101" s="25">
        <f t="shared" ca="1" si="3"/>
        <v>3.5467090836049079E-4</v>
      </c>
      <c r="L101" s="25"/>
    </row>
    <row r="102" spans="1:12" x14ac:dyDescent="0.2">
      <c r="A102" s="24">
        <v>24</v>
      </c>
      <c r="B102" s="24">
        <v>1</v>
      </c>
      <c r="C102" s="24">
        <f ca="1"/>
        <v>32</v>
      </c>
      <c r="D102" s="25">
        <f ca="1"/>
        <v>22.707213165124255</v>
      </c>
      <c r="E102" s="25">
        <f t="shared" ca="1" si="2"/>
        <v>-1.292786834875745</v>
      </c>
      <c r="G102" s="25">
        <f t="shared" ca="1" si="3"/>
        <v>0.18695017615119994</v>
      </c>
      <c r="L102" s="25"/>
    </row>
    <row r="103" spans="1:12" x14ac:dyDescent="0.2">
      <c r="A103" s="24">
        <v>25</v>
      </c>
      <c r="B103" s="24">
        <v>1</v>
      </c>
      <c r="C103" s="24">
        <f ca="1"/>
        <v>32</v>
      </c>
      <c r="D103" s="25">
        <f ca="1"/>
        <v>22.707213165124255</v>
      </c>
      <c r="E103" s="25">
        <f t="shared" ca="1" si="2"/>
        <v>-2.292786834875745</v>
      </c>
      <c r="G103" s="25">
        <f t="shared" ca="1" si="3"/>
        <v>5.9319674466379105E-2</v>
      </c>
      <c r="L103" s="25"/>
    </row>
    <row r="104" spans="1:12" x14ac:dyDescent="0.2">
      <c r="A104" s="24">
        <v>23</v>
      </c>
      <c r="B104" s="24">
        <v>1</v>
      </c>
      <c r="C104" s="24">
        <f ca="1"/>
        <v>29</v>
      </c>
      <c r="D104" s="25">
        <f ca="1"/>
        <v>20.657555830168075</v>
      </c>
      <c r="E104" s="25">
        <f t="shared" ca="1" si="2"/>
        <v>-2.3424441698319249</v>
      </c>
      <c r="G104" s="25">
        <f t="shared" ca="1" si="3"/>
        <v>5.5105656873233724E-2</v>
      </c>
      <c r="L104" s="25"/>
    </row>
    <row r="105" spans="1:12" x14ac:dyDescent="0.2">
      <c r="A105" s="24">
        <v>24</v>
      </c>
      <c r="B105" s="24">
        <v>1</v>
      </c>
      <c r="C105" s="24">
        <f ca="1"/>
        <v>32</v>
      </c>
      <c r="D105" s="25">
        <f ca="1"/>
        <v>22.707213165124255</v>
      </c>
      <c r="E105" s="25">
        <f t="shared" ca="1" si="2"/>
        <v>-1.292786834875745</v>
      </c>
      <c r="G105" s="25">
        <f t="shared" ca="1" si="3"/>
        <v>0.18695017615119994</v>
      </c>
      <c r="L105" s="25"/>
    </row>
    <row r="106" spans="1:12" x14ac:dyDescent="0.2">
      <c r="A106" s="24">
        <v>26</v>
      </c>
      <c r="B106" s="24">
        <v>1</v>
      </c>
      <c r="C106" s="24">
        <f ca="1"/>
        <v>34</v>
      </c>
      <c r="D106" s="25">
        <f ca="1"/>
        <v>24.073651388428374</v>
      </c>
      <c r="E106" s="25">
        <f t="shared" ca="1" si="2"/>
        <v>-1.9263486115716262</v>
      </c>
      <c r="G106" s="25">
        <f t="shared" ca="1" si="3"/>
        <v>9.7309924689843758E-2</v>
      </c>
      <c r="L106" s="25"/>
    </row>
    <row r="107" spans="1:12" x14ac:dyDescent="0.2">
      <c r="A107" s="24">
        <v>25</v>
      </c>
      <c r="B107" s="24">
        <v>1</v>
      </c>
      <c r="C107" s="24">
        <f ca="1"/>
        <v>36</v>
      </c>
      <c r="D107" s="25">
        <f ca="1"/>
        <v>25.440089611732493</v>
      </c>
      <c r="E107" s="25">
        <f t="shared" ca="1" si="2"/>
        <v>0.44008961173249261</v>
      </c>
      <c r="G107" s="25">
        <f t="shared" ca="1" si="3"/>
        <v>0.30003330384512222</v>
      </c>
      <c r="L107" s="25"/>
    </row>
    <row r="108" spans="1:12" x14ac:dyDescent="0.2">
      <c r="A108" s="24">
        <v>24</v>
      </c>
      <c r="B108" s="24">
        <v>1</v>
      </c>
      <c r="C108" s="24">
        <f ca="1"/>
        <v>36</v>
      </c>
      <c r="D108" s="25">
        <f ca="1"/>
        <v>25.440089611732493</v>
      </c>
      <c r="E108" s="25">
        <f t="shared" ca="1" si="2"/>
        <v>1.4400896117324926</v>
      </c>
      <c r="G108" s="25">
        <f t="shared" ca="1" si="3"/>
        <v>0.16434448542706917</v>
      </c>
      <c r="L108" s="25"/>
    </row>
    <row r="109" spans="1:12" x14ac:dyDescent="0.2">
      <c r="A109" s="24">
        <v>21</v>
      </c>
      <c r="B109" s="24">
        <v>1</v>
      </c>
      <c r="C109" s="24">
        <f ca="1"/>
        <v>29</v>
      </c>
      <c r="D109" s="25">
        <f ca="1"/>
        <v>20.657555830168075</v>
      </c>
      <c r="E109" s="25">
        <f t="shared" ca="1" si="2"/>
        <v>-0.34244416983192494</v>
      </c>
      <c r="G109" s="25">
        <f t="shared" ca="1" si="3"/>
        <v>0.30746337812452051</v>
      </c>
      <c r="L109" s="25"/>
    </row>
    <row r="110" spans="1:12" x14ac:dyDescent="0.2">
      <c r="A110" s="24">
        <v>18</v>
      </c>
      <c r="B110" s="24">
        <v>1</v>
      </c>
      <c r="C110" s="24">
        <f ca="1"/>
        <v>26</v>
      </c>
      <c r="D110" s="25">
        <f ca="1"/>
        <v>18.607898495211895</v>
      </c>
      <c r="E110" s="25">
        <f t="shared" ca="1" si="2"/>
        <v>0.6078984952118951</v>
      </c>
      <c r="G110" s="25">
        <f t="shared" ca="1" si="3"/>
        <v>0.28360781451993688</v>
      </c>
      <c r="L110" s="25"/>
    </row>
    <row r="111" spans="1:12" x14ac:dyDescent="0.2">
      <c r="A111" s="24">
        <v>18</v>
      </c>
      <c r="B111" s="24">
        <v>1</v>
      </c>
      <c r="C111" s="24">
        <f ca="1"/>
        <v>27</v>
      </c>
      <c r="D111" s="25">
        <f ca="1"/>
        <v>19.291117606863956</v>
      </c>
      <c r="E111" s="25">
        <f t="shared" ca="1" si="2"/>
        <v>1.2911176068639563</v>
      </c>
      <c r="G111" s="25">
        <f t="shared" ca="1" si="3"/>
        <v>0.18720849951963059</v>
      </c>
      <c r="L111" s="25"/>
    </row>
    <row r="112" spans="1:12" x14ac:dyDescent="0.2">
      <c r="A112" s="24">
        <v>21</v>
      </c>
      <c r="B112" s="24">
        <v>1</v>
      </c>
      <c r="C112" s="24">
        <f ca="1"/>
        <v>30</v>
      </c>
      <c r="D112" s="25">
        <f ca="1"/>
        <v>21.340774941820136</v>
      </c>
      <c r="E112" s="25">
        <f t="shared" ca="1" si="2"/>
        <v>0.34077494182013623</v>
      </c>
      <c r="G112" s="25">
        <f t="shared" ca="1" si="3"/>
        <v>0.30757565599758996</v>
      </c>
      <c r="L112" s="25"/>
    </row>
    <row r="113" spans="1:12" x14ac:dyDescent="0.2">
      <c r="A113" s="24">
        <v>21</v>
      </c>
      <c r="B113" s="24">
        <v>1</v>
      </c>
      <c r="C113" s="24">
        <f ca="1"/>
        <v>31</v>
      </c>
      <c r="D113" s="25">
        <f ca="1"/>
        <v>22.023994053472194</v>
      </c>
      <c r="E113" s="25">
        <f t="shared" ca="1" si="2"/>
        <v>1.0239940534721939</v>
      </c>
      <c r="G113" s="25">
        <f t="shared" ca="1" si="3"/>
        <v>0.22819645484299309</v>
      </c>
      <c r="L113" s="25"/>
    </row>
    <row r="114" spans="1:12" x14ac:dyDescent="0.2">
      <c r="A114" s="24">
        <v>18</v>
      </c>
      <c r="B114" s="24">
        <v>1</v>
      </c>
      <c r="C114" s="24">
        <f ca="1"/>
        <v>26</v>
      </c>
      <c r="D114" s="25">
        <f ca="1"/>
        <v>18.607898495211895</v>
      </c>
      <c r="E114" s="25">
        <f t="shared" ca="1" si="2"/>
        <v>0.6078984952118951</v>
      </c>
      <c r="G114" s="25">
        <f t="shared" ca="1" si="3"/>
        <v>0.28360781451993688</v>
      </c>
      <c r="L114" s="25"/>
    </row>
    <row r="115" spans="1:12" x14ac:dyDescent="0.2">
      <c r="A115" s="24">
        <v>18</v>
      </c>
      <c r="B115" s="24">
        <v>1</v>
      </c>
      <c r="C115" s="24">
        <f ca="1"/>
        <v>26</v>
      </c>
      <c r="D115" s="25">
        <f ca="1"/>
        <v>18.607898495211895</v>
      </c>
      <c r="E115" s="25">
        <f t="shared" ca="1" si="2"/>
        <v>0.6078984952118951</v>
      </c>
      <c r="G115" s="25">
        <f t="shared" ca="1" si="3"/>
        <v>0.28360781451993688</v>
      </c>
      <c r="L115" s="25"/>
    </row>
    <row r="116" spans="1:12" x14ac:dyDescent="0.2">
      <c r="A116" s="24">
        <v>19</v>
      </c>
      <c r="B116" s="24">
        <v>1</v>
      </c>
      <c r="C116" s="24">
        <f ca="1"/>
        <v>28</v>
      </c>
      <c r="D116" s="25">
        <f ca="1"/>
        <v>19.974336718516017</v>
      </c>
      <c r="E116" s="25">
        <f t="shared" ca="1" si="2"/>
        <v>0.97433671851601744</v>
      </c>
      <c r="G116" s="25">
        <f t="shared" ca="1" si="3"/>
        <v>0.23556229359930655</v>
      </c>
      <c r="L116" s="25"/>
    </row>
    <row r="117" spans="1:12" x14ac:dyDescent="0.2">
      <c r="A117" s="24">
        <v>19</v>
      </c>
      <c r="B117" s="24">
        <v>1</v>
      </c>
      <c r="C117" s="24">
        <f ca="1"/>
        <v>26</v>
      </c>
      <c r="D117" s="25">
        <f ca="1"/>
        <v>18.607898495211895</v>
      </c>
      <c r="E117" s="25">
        <f t="shared" ca="1" si="2"/>
        <v>-0.3921015047881049</v>
      </c>
      <c r="G117" s="25">
        <f t="shared" ca="1" si="3"/>
        <v>0.30389387162696274</v>
      </c>
      <c r="L117" s="25"/>
    </row>
    <row r="118" spans="1:12" x14ac:dyDescent="0.2">
      <c r="A118" s="24">
        <v>19</v>
      </c>
      <c r="B118" s="24">
        <v>1</v>
      </c>
      <c r="C118" s="24">
        <f ca="1"/>
        <v>29</v>
      </c>
      <c r="D118" s="25">
        <f ca="1"/>
        <v>20.657555830168075</v>
      </c>
      <c r="E118" s="25">
        <f t="shared" ca="1" si="2"/>
        <v>1.6575558301680751</v>
      </c>
      <c r="G118" s="25">
        <f t="shared" ca="1" si="3"/>
        <v>0.13246320078694085</v>
      </c>
      <c r="L118" s="25"/>
    </row>
    <row r="119" spans="1:12" x14ac:dyDescent="0.2">
      <c r="A119" s="24">
        <v>20</v>
      </c>
      <c r="B119" s="24">
        <v>1</v>
      </c>
      <c r="C119" s="24">
        <f ca="1"/>
        <v>28</v>
      </c>
      <c r="D119" s="25">
        <f ca="1"/>
        <v>19.974336718516017</v>
      </c>
      <c r="E119" s="25">
        <f t="shared" ca="1" si="2"/>
        <v>-2.5663281483982558E-2</v>
      </c>
      <c r="G119" s="25">
        <f t="shared" ca="1" si="3"/>
        <v>0.31915849397187074</v>
      </c>
      <c r="L119" s="25"/>
    </row>
    <row r="120" spans="1:12" x14ac:dyDescent="0.2">
      <c r="A120" s="24">
        <v>20</v>
      </c>
      <c r="B120" s="24">
        <v>1</v>
      </c>
      <c r="C120" s="24">
        <f ca="1"/>
        <v>27</v>
      </c>
      <c r="D120" s="25">
        <f ca="1"/>
        <v>19.291117606863956</v>
      </c>
      <c r="E120" s="25">
        <f t="shared" ca="1" si="2"/>
        <v>-0.70888239313604373</v>
      </c>
      <c r="G120" s="25">
        <f t="shared" ca="1" si="3"/>
        <v>0.2717877911689337</v>
      </c>
      <c r="L120" s="25"/>
    </row>
    <row r="121" spans="1:12" x14ac:dyDescent="0.2">
      <c r="A121" s="24">
        <v>17</v>
      </c>
      <c r="B121" s="24">
        <v>1</v>
      </c>
      <c r="C121" s="24">
        <f ca="1"/>
        <v>24</v>
      </c>
      <c r="D121" s="25">
        <f ca="1"/>
        <v>17.241460271907776</v>
      </c>
      <c r="E121" s="25">
        <f t="shared" ca="1" si="2"/>
        <v>0.2414602719077763</v>
      </c>
      <c r="G121" s="25">
        <f t="shared" ca="1" si="3"/>
        <v>0.31332258364370175</v>
      </c>
      <c r="L121" s="25"/>
    </row>
    <row r="122" spans="1:12" x14ac:dyDescent="0.2">
      <c r="A122" s="24">
        <v>16</v>
      </c>
      <c r="B122" s="24">
        <v>1</v>
      </c>
      <c r="C122" s="24">
        <f ca="1"/>
        <v>24</v>
      </c>
      <c r="D122" s="25">
        <f ca="1"/>
        <v>17.241460271907776</v>
      </c>
      <c r="E122" s="25">
        <f t="shared" ca="1" si="2"/>
        <v>1.2414602719077763</v>
      </c>
      <c r="G122" s="25">
        <f t="shared" ca="1" si="3"/>
        <v>0.19489962071960723</v>
      </c>
      <c r="L122" s="25"/>
    </row>
    <row r="123" spans="1:12" x14ac:dyDescent="0.2">
      <c r="A123" s="24">
        <v>17</v>
      </c>
      <c r="B123" s="24">
        <v>1</v>
      </c>
      <c r="C123" s="24">
        <f ca="1"/>
        <v>24</v>
      </c>
      <c r="D123" s="25">
        <f ca="1"/>
        <v>17.241460271907776</v>
      </c>
      <c r="E123" s="25">
        <f t="shared" ca="1" si="2"/>
        <v>0.2414602719077763</v>
      </c>
      <c r="G123" s="25">
        <f t="shared" ca="1" si="3"/>
        <v>0.31332258364370175</v>
      </c>
      <c r="L123" s="25"/>
    </row>
    <row r="124" spans="1:12" x14ac:dyDescent="0.2">
      <c r="A124" s="24">
        <v>17</v>
      </c>
      <c r="B124" s="24">
        <v>1</v>
      </c>
      <c r="C124" s="24">
        <f ca="1"/>
        <v>22</v>
      </c>
      <c r="D124" s="25">
        <f ca="1"/>
        <v>15.875022048603658</v>
      </c>
      <c r="E124" s="25">
        <f t="shared" ca="1" si="2"/>
        <v>-1.1249779513963425</v>
      </c>
      <c r="G124" s="25">
        <f t="shared" ca="1" si="3"/>
        <v>0.21288069180319472</v>
      </c>
      <c r="L124" s="25"/>
    </row>
    <row r="125" spans="1:12" x14ac:dyDescent="0.2">
      <c r="A125" s="24">
        <v>15</v>
      </c>
      <c r="B125" s="24">
        <v>1</v>
      </c>
      <c r="C125" s="24">
        <f ca="1"/>
        <v>19</v>
      </c>
      <c r="D125" s="25">
        <f ca="1"/>
        <v>13.825364713647479</v>
      </c>
      <c r="E125" s="25">
        <f t="shared" ca="1" si="2"/>
        <v>-1.1746352863525207</v>
      </c>
      <c r="G125" s="25">
        <f t="shared" ca="1" si="3"/>
        <v>0.20523871008550823</v>
      </c>
      <c r="L125" s="25"/>
    </row>
    <row r="126" spans="1:12" x14ac:dyDescent="0.2">
      <c r="A126" s="24">
        <v>15</v>
      </c>
      <c r="B126" s="24">
        <v>1</v>
      </c>
      <c r="C126" s="24">
        <f ca="1"/>
        <v>20</v>
      </c>
      <c r="D126" s="25">
        <f ca="1"/>
        <v>14.508583825299539</v>
      </c>
      <c r="E126" s="25">
        <f t="shared" ca="1" si="2"/>
        <v>-0.49141617470046128</v>
      </c>
      <c r="G126" s="25">
        <f t="shared" ca="1" si="3"/>
        <v>0.29547583692562635</v>
      </c>
      <c r="L126" s="25"/>
    </row>
    <row r="127" spans="1:12" x14ac:dyDescent="0.2">
      <c r="A127" s="24">
        <v>14</v>
      </c>
      <c r="B127" s="24">
        <v>1</v>
      </c>
      <c r="C127" s="24">
        <f ca="1"/>
        <v>17</v>
      </c>
      <c r="D127" s="25">
        <f ca="1"/>
        <v>12.458926490343359</v>
      </c>
      <c r="E127" s="25">
        <f t="shared" ca="1" si="2"/>
        <v>-1.5410735096566412</v>
      </c>
      <c r="G127" s="25">
        <f t="shared" ca="1" si="3"/>
        <v>0.14924443441661395</v>
      </c>
      <c r="L127" s="25"/>
    </row>
    <row r="128" spans="1:12" x14ac:dyDescent="0.2">
      <c r="A128" s="24">
        <v>9</v>
      </c>
      <c r="B128" s="24">
        <v>1</v>
      </c>
      <c r="C128" s="24">
        <f ca="1"/>
        <v>12</v>
      </c>
      <c r="D128" s="25">
        <f ca="1"/>
        <v>9.04283093208306</v>
      </c>
      <c r="E128" s="25">
        <f t="shared" ca="1" si="2"/>
        <v>4.2830932083059992E-2</v>
      </c>
      <c r="G128" s="25">
        <f t="shared" ca="1" si="3"/>
        <v>0.31903836846290684</v>
      </c>
      <c r="L128" s="25"/>
    </row>
    <row r="129" spans="1:12" x14ac:dyDescent="0.2">
      <c r="A129" s="24">
        <v>14</v>
      </c>
      <c r="B129" s="24">
        <v>1</v>
      </c>
      <c r="C129" s="24">
        <f ca="1"/>
        <v>19</v>
      </c>
      <c r="D129" s="25">
        <f ca="1"/>
        <v>13.825364713647479</v>
      </c>
      <c r="E129" s="25">
        <f t="shared" ca="1" si="2"/>
        <v>-0.17463528635252068</v>
      </c>
      <c r="G129" s="25">
        <f t="shared" ca="1" si="3"/>
        <v>0.31612416936198534</v>
      </c>
      <c r="L129" s="25"/>
    </row>
    <row r="130" spans="1:12" x14ac:dyDescent="0.2">
      <c r="A130" s="24">
        <v>13</v>
      </c>
      <c r="B130" s="24">
        <v>1</v>
      </c>
      <c r="C130" s="24">
        <f ca="1"/>
        <v>18</v>
      </c>
      <c r="D130" s="25">
        <f ca="1"/>
        <v>13.142145601995418</v>
      </c>
      <c r="E130" s="25">
        <f t="shared" ca="1" si="2"/>
        <v>0.14214560199541815</v>
      </c>
      <c r="G130" s="25">
        <f t="shared" ca="1" si="3"/>
        <v>0.31716750413300532</v>
      </c>
      <c r="L130" s="25"/>
    </row>
    <row r="131" spans="1:12" x14ac:dyDescent="0.2">
      <c r="A131" s="24">
        <v>11</v>
      </c>
      <c r="B131" s="24">
        <v>1</v>
      </c>
      <c r="C131" s="24">
        <f ca="1"/>
        <v>14</v>
      </c>
      <c r="D131" s="25">
        <f ca="1"/>
        <v>10.409269155387181</v>
      </c>
      <c r="E131" s="25">
        <f t="shared" ref="E131:E194" ca="1" si="4">D131-A131</f>
        <v>-0.59073084461281944</v>
      </c>
      <c r="G131" s="25">
        <f t="shared" ref="G131:G194" ca="1" si="5">_xlfn.NORM.DIST(E131,0,$F$2,FALSE)</f>
        <v>0.28548233893943797</v>
      </c>
      <c r="L131" s="25"/>
    </row>
    <row r="132" spans="1:12" x14ac:dyDescent="0.2">
      <c r="A132" s="24">
        <v>11</v>
      </c>
      <c r="B132" s="24">
        <v>1</v>
      </c>
      <c r="C132" s="24">
        <f ca="1"/>
        <v>15</v>
      </c>
      <c r="D132" s="25">
        <f ca="1"/>
        <v>11.09248826703924</v>
      </c>
      <c r="E132" s="25">
        <f t="shared" ca="1" si="4"/>
        <v>9.2488267039239958E-2</v>
      </c>
      <c r="G132" s="25">
        <f t="shared" ca="1" si="5"/>
        <v>0.31835277839425191</v>
      </c>
      <c r="L132" s="25"/>
    </row>
    <row r="133" spans="1:12" x14ac:dyDescent="0.2">
      <c r="A133" s="24">
        <v>12</v>
      </c>
      <c r="B133" s="24">
        <v>1</v>
      </c>
      <c r="C133" s="24">
        <f ca="1"/>
        <v>18</v>
      </c>
      <c r="D133" s="25">
        <f ca="1"/>
        <v>13.142145601995418</v>
      </c>
      <c r="E133" s="25">
        <f t="shared" ca="1" si="4"/>
        <v>1.1421456019954181</v>
      </c>
      <c r="G133" s="25">
        <f t="shared" ca="1" si="5"/>
        <v>0.21024457151414655</v>
      </c>
      <c r="L133" s="25"/>
    </row>
    <row r="134" spans="1:12" x14ac:dyDescent="0.2">
      <c r="A134" s="24">
        <v>12</v>
      </c>
      <c r="B134" s="24">
        <v>1</v>
      </c>
      <c r="C134" s="24">
        <f ca="1"/>
        <v>18</v>
      </c>
      <c r="D134" s="25">
        <f ca="1"/>
        <v>13.142145601995418</v>
      </c>
      <c r="E134" s="25">
        <f t="shared" ca="1" si="4"/>
        <v>1.1421456019954181</v>
      </c>
      <c r="G134" s="25">
        <f t="shared" ca="1" si="5"/>
        <v>0.21024457151414655</v>
      </c>
      <c r="L134" s="25"/>
    </row>
    <row r="135" spans="1:12" x14ac:dyDescent="0.2">
      <c r="A135" s="24">
        <v>11</v>
      </c>
      <c r="B135" s="24">
        <v>1</v>
      </c>
      <c r="C135" s="24">
        <f ca="1"/>
        <v>15</v>
      </c>
      <c r="D135" s="25">
        <f ca="1"/>
        <v>11.09248826703924</v>
      </c>
      <c r="E135" s="25">
        <f t="shared" ca="1" si="4"/>
        <v>9.2488267039239958E-2</v>
      </c>
      <c r="G135" s="25">
        <f t="shared" ca="1" si="5"/>
        <v>0.31835277839425191</v>
      </c>
      <c r="L135" s="25"/>
    </row>
    <row r="136" spans="1:12" x14ac:dyDescent="0.2">
      <c r="A136" s="24">
        <v>11</v>
      </c>
      <c r="B136" s="24">
        <v>1</v>
      </c>
      <c r="C136" s="24">
        <f ca="1"/>
        <v>17</v>
      </c>
      <c r="D136" s="25">
        <f ca="1"/>
        <v>12.458926490343359</v>
      </c>
      <c r="E136" s="25">
        <f t="shared" ca="1" si="4"/>
        <v>1.4589264903433588</v>
      </c>
      <c r="G136" s="25">
        <f t="shared" ca="1" si="5"/>
        <v>0.16149629011123415</v>
      </c>
      <c r="L136" s="25"/>
    </row>
    <row r="137" spans="1:12" x14ac:dyDescent="0.2">
      <c r="A137" s="24">
        <v>11</v>
      </c>
      <c r="B137" s="24">
        <v>1</v>
      </c>
      <c r="C137" s="24">
        <f ca="1"/>
        <v>16</v>
      </c>
      <c r="D137" s="25">
        <f ca="1"/>
        <v>11.775707378691299</v>
      </c>
      <c r="E137" s="25">
        <f t="shared" ca="1" si="4"/>
        <v>0.77570737869129935</v>
      </c>
      <c r="G137" s="25">
        <f t="shared" ca="1" si="5"/>
        <v>0.26329124156712214</v>
      </c>
      <c r="L137" s="25"/>
    </row>
    <row r="138" spans="1:12" x14ac:dyDescent="0.2">
      <c r="A138" s="24">
        <v>12</v>
      </c>
      <c r="B138" s="24">
        <v>1</v>
      </c>
      <c r="C138" s="24">
        <f ca="1"/>
        <v>18</v>
      </c>
      <c r="D138" s="25">
        <f ca="1"/>
        <v>13.142145601995418</v>
      </c>
      <c r="E138" s="25">
        <f t="shared" ca="1" si="4"/>
        <v>1.1421456019954181</v>
      </c>
      <c r="G138" s="25">
        <f t="shared" ca="1" si="5"/>
        <v>0.21024457151414655</v>
      </c>
      <c r="L138" s="25"/>
    </row>
    <row r="139" spans="1:12" x14ac:dyDescent="0.2">
      <c r="A139" s="24">
        <v>14</v>
      </c>
      <c r="B139" s="24">
        <v>1</v>
      </c>
      <c r="C139" s="24">
        <f ca="1"/>
        <v>17</v>
      </c>
      <c r="D139" s="25">
        <f ca="1"/>
        <v>12.458926490343359</v>
      </c>
      <c r="E139" s="25">
        <f t="shared" ca="1" si="4"/>
        <v>-1.5410735096566412</v>
      </c>
      <c r="G139" s="25">
        <f t="shared" ca="1" si="5"/>
        <v>0.14924443441661395</v>
      </c>
      <c r="L139" s="25"/>
    </row>
    <row r="140" spans="1:12" x14ac:dyDescent="0.2">
      <c r="A140" s="24">
        <v>13</v>
      </c>
      <c r="B140" s="24">
        <v>1</v>
      </c>
      <c r="C140" s="24">
        <f ca="1"/>
        <v>19</v>
      </c>
      <c r="D140" s="25">
        <f ca="1"/>
        <v>13.825364713647479</v>
      </c>
      <c r="E140" s="25">
        <f t="shared" ca="1" si="4"/>
        <v>0.82536471364747932</v>
      </c>
      <c r="G140" s="25">
        <f t="shared" ca="1" si="5"/>
        <v>0.25667424064304967</v>
      </c>
      <c r="L140" s="25"/>
    </row>
    <row r="141" spans="1:12" x14ac:dyDescent="0.2">
      <c r="A141" s="24">
        <v>13</v>
      </c>
      <c r="B141" s="24">
        <v>1</v>
      </c>
      <c r="C141" s="24">
        <f ca="1"/>
        <v>19</v>
      </c>
      <c r="D141" s="25">
        <f ca="1"/>
        <v>13.825364713647479</v>
      </c>
      <c r="E141" s="25">
        <f t="shared" ca="1" si="4"/>
        <v>0.82536471364747932</v>
      </c>
      <c r="G141" s="25">
        <f t="shared" ca="1" si="5"/>
        <v>0.25667424064304967</v>
      </c>
      <c r="L141" s="25"/>
    </row>
    <row r="142" spans="1:12" x14ac:dyDescent="0.2">
      <c r="A142" s="24">
        <v>13</v>
      </c>
      <c r="B142" s="24">
        <v>1</v>
      </c>
      <c r="C142" s="24">
        <f ca="1"/>
        <v>17</v>
      </c>
      <c r="D142" s="25">
        <f ca="1"/>
        <v>12.458926490343359</v>
      </c>
      <c r="E142" s="25">
        <f t="shared" ca="1" si="4"/>
        <v>-0.54107350965664125</v>
      </c>
      <c r="G142" s="25">
        <f t="shared" ca="1" si="5"/>
        <v>0.29066547731752662</v>
      </c>
      <c r="L142" s="25"/>
    </row>
    <row r="143" spans="1:12" x14ac:dyDescent="0.2">
      <c r="A143" s="24">
        <v>21</v>
      </c>
      <c r="B143" s="24">
        <v>1</v>
      </c>
      <c r="C143" s="24">
        <f ca="1"/>
        <v>29</v>
      </c>
      <c r="D143" s="25">
        <f ca="1"/>
        <v>20.657555830168075</v>
      </c>
      <c r="E143" s="25">
        <f t="shared" ca="1" si="4"/>
        <v>-0.34244416983192494</v>
      </c>
      <c r="G143" s="25">
        <f t="shared" ca="1" si="5"/>
        <v>0.30746337812452051</v>
      </c>
      <c r="L143" s="25"/>
    </row>
    <row r="144" spans="1:12" x14ac:dyDescent="0.2">
      <c r="A144" s="24">
        <v>19</v>
      </c>
      <c r="B144" s="24">
        <v>1</v>
      </c>
      <c r="C144" s="24">
        <f ca="1"/>
        <v>27</v>
      </c>
      <c r="D144" s="25">
        <f ca="1"/>
        <v>19.291117606863956</v>
      </c>
      <c r="E144" s="25">
        <f t="shared" ca="1" si="4"/>
        <v>0.29111760686395627</v>
      </c>
      <c r="G144" s="25">
        <f t="shared" ca="1" si="5"/>
        <v>0.31068098494392388</v>
      </c>
      <c r="L144" s="25"/>
    </row>
    <row r="145" spans="1:12" x14ac:dyDescent="0.2">
      <c r="A145" s="24">
        <v>23</v>
      </c>
      <c r="B145" s="24">
        <v>1</v>
      </c>
      <c r="C145" s="24">
        <f ca="1"/>
        <v>31</v>
      </c>
      <c r="D145" s="25">
        <f ca="1"/>
        <v>22.023994053472194</v>
      </c>
      <c r="E145" s="25">
        <f t="shared" ca="1" si="4"/>
        <v>-0.97600594652780615</v>
      </c>
      <c r="G145" s="25">
        <f t="shared" ca="1" si="5"/>
        <v>0.23531690641077893</v>
      </c>
      <c r="L145" s="25"/>
    </row>
    <row r="146" spans="1:12" x14ac:dyDescent="0.2">
      <c r="A146" s="24">
        <v>23</v>
      </c>
      <c r="B146" s="24">
        <v>1</v>
      </c>
      <c r="C146" s="24">
        <f ca="1"/>
        <v>32</v>
      </c>
      <c r="D146" s="25">
        <f ca="1"/>
        <v>22.707213165124255</v>
      </c>
      <c r="E146" s="25">
        <f t="shared" ca="1" si="4"/>
        <v>-0.29278683487574497</v>
      </c>
      <c r="G146" s="25">
        <f t="shared" ca="1" si="5"/>
        <v>0.31058405673494627</v>
      </c>
      <c r="L146" s="25"/>
    </row>
    <row r="147" spans="1:12" x14ac:dyDescent="0.2">
      <c r="A147" s="24">
        <v>19</v>
      </c>
      <c r="B147" s="24">
        <v>1</v>
      </c>
      <c r="C147" s="24">
        <f ca="1"/>
        <v>27</v>
      </c>
      <c r="D147" s="25">
        <f ca="1"/>
        <v>19.291117606863956</v>
      </c>
      <c r="E147" s="25">
        <f t="shared" ca="1" si="4"/>
        <v>0.29111760686395627</v>
      </c>
      <c r="G147" s="25">
        <f t="shared" ca="1" si="5"/>
        <v>0.31068098494392388</v>
      </c>
      <c r="L147" s="25"/>
    </row>
    <row r="148" spans="1:12" x14ac:dyDescent="0.2">
      <c r="A148" s="24">
        <v>19</v>
      </c>
      <c r="B148" s="24">
        <v>1</v>
      </c>
      <c r="C148" s="24">
        <f ca="1"/>
        <v>26</v>
      </c>
      <c r="D148" s="25">
        <f ca="1"/>
        <v>18.607898495211895</v>
      </c>
      <c r="E148" s="25">
        <f t="shared" ca="1" si="4"/>
        <v>-0.3921015047881049</v>
      </c>
      <c r="G148" s="25">
        <f t="shared" ca="1" si="5"/>
        <v>0.30389387162696274</v>
      </c>
      <c r="L148" s="25"/>
    </row>
    <row r="149" spans="1:12" x14ac:dyDescent="0.2">
      <c r="A149" s="24">
        <v>18</v>
      </c>
      <c r="B149" s="24">
        <v>1</v>
      </c>
      <c r="C149" s="24">
        <f ca="1"/>
        <v>26</v>
      </c>
      <c r="D149" s="25">
        <f ca="1"/>
        <v>18.607898495211895</v>
      </c>
      <c r="E149" s="25">
        <f t="shared" ca="1" si="4"/>
        <v>0.6078984952118951</v>
      </c>
      <c r="G149" s="25">
        <f t="shared" ca="1" si="5"/>
        <v>0.28360781451993688</v>
      </c>
      <c r="L149" s="25"/>
    </row>
    <row r="150" spans="1:12" x14ac:dyDescent="0.2">
      <c r="A150" s="24">
        <v>19</v>
      </c>
      <c r="B150" s="24">
        <v>1</v>
      </c>
      <c r="C150" s="24">
        <f ca="1"/>
        <v>25</v>
      </c>
      <c r="D150" s="25">
        <f ca="1"/>
        <v>17.924679383559837</v>
      </c>
      <c r="E150" s="25">
        <f t="shared" ca="1" si="4"/>
        <v>-1.0753206164401625</v>
      </c>
      <c r="G150" s="25">
        <f t="shared" ca="1" si="5"/>
        <v>0.22045887184038612</v>
      </c>
      <c r="L150" s="25"/>
    </row>
    <row r="151" spans="1:12" x14ac:dyDescent="0.2">
      <c r="A151" s="24">
        <v>19</v>
      </c>
      <c r="B151" s="24">
        <v>1</v>
      </c>
      <c r="C151" s="24">
        <f ca="1"/>
        <v>25</v>
      </c>
      <c r="D151" s="25">
        <f ca="1"/>
        <v>17.924679383559837</v>
      </c>
      <c r="E151" s="25">
        <f t="shared" ca="1" si="4"/>
        <v>-1.0753206164401625</v>
      </c>
      <c r="G151" s="25">
        <f t="shared" ca="1" si="5"/>
        <v>0.22045887184038612</v>
      </c>
      <c r="L151" s="25"/>
    </row>
    <row r="152" spans="1:12" x14ac:dyDescent="0.2">
      <c r="A152" s="24">
        <v>14</v>
      </c>
      <c r="B152" s="24">
        <v>1</v>
      </c>
      <c r="C152" s="24">
        <f ca="1"/>
        <v>17</v>
      </c>
      <c r="D152" s="25">
        <f ca="1"/>
        <v>12.458926490343359</v>
      </c>
      <c r="E152" s="25">
        <f t="shared" ca="1" si="4"/>
        <v>-1.5410735096566412</v>
      </c>
      <c r="G152" s="25">
        <f t="shared" ca="1" si="5"/>
        <v>0.14924443441661395</v>
      </c>
      <c r="L152" s="25"/>
    </row>
    <row r="153" spans="1:12" x14ac:dyDescent="0.2">
      <c r="A153" s="24">
        <v>15</v>
      </c>
      <c r="B153" s="24">
        <v>1</v>
      </c>
      <c r="C153" s="24">
        <f ca="1"/>
        <v>17</v>
      </c>
      <c r="D153" s="25">
        <f ca="1"/>
        <v>12.458926490343359</v>
      </c>
      <c r="E153" s="25">
        <f t="shared" ca="1" si="4"/>
        <v>-2.5410735096566412</v>
      </c>
      <c r="G153" s="25">
        <f t="shared" ca="1" si="5"/>
        <v>4.0395128664178985E-2</v>
      </c>
      <c r="L153" s="25"/>
    </row>
    <row r="154" spans="1:12" x14ac:dyDescent="0.2">
      <c r="A154" s="24">
        <v>14</v>
      </c>
      <c r="B154" s="24">
        <v>1</v>
      </c>
      <c r="C154" s="24">
        <f ca="1"/>
        <v>20</v>
      </c>
      <c r="D154" s="25">
        <f ca="1"/>
        <v>14.508583825299539</v>
      </c>
      <c r="E154" s="25">
        <f t="shared" ca="1" si="4"/>
        <v>0.50858382529953872</v>
      </c>
      <c r="G154" s="25">
        <f t="shared" ca="1" si="5"/>
        <v>0.29385631906225068</v>
      </c>
      <c r="L154" s="25"/>
    </row>
    <row r="155" spans="1:12" x14ac:dyDescent="0.2">
      <c r="A155" s="24">
        <v>12</v>
      </c>
      <c r="B155" s="24">
        <v>1</v>
      </c>
      <c r="C155" s="24">
        <f ca="1"/>
        <v>18</v>
      </c>
      <c r="D155" s="25">
        <f ca="1"/>
        <v>13.142145601995418</v>
      </c>
      <c r="E155" s="25">
        <f t="shared" ca="1" si="4"/>
        <v>1.1421456019954181</v>
      </c>
      <c r="G155" s="25">
        <f t="shared" ca="1" si="5"/>
        <v>0.21024457151414655</v>
      </c>
      <c r="L155" s="25"/>
    </row>
    <row r="156" spans="1:12" x14ac:dyDescent="0.2">
      <c r="A156" s="24">
        <v>18</v>
      </c>
      <c r="B156" s="24">
        <v>1</v>
      </c>
      <c r="C156" s="24">
        <f ca="1"/>
        <v>26</v>
      </c>
      <c r="D156" s="25">
        <f ca="1"/>
        <v>18.607898495211895</v>
      </c>
      <c r="E156" s="25">
        <f t="shared" ca="1" si="4"/>
        <v>0.6078984952118951</v>
      </c>
      <c r="G156" s="25">
        <f t="shared" ca="1" si="5"/>
        <v>0.28360781451993688</v>
      </c>
      <c r="L156" s="25"/>
    </row>
    <row r="157" spans="1:12" x14ac:dyDescent="0.2">
      <c r="A157" s="24">
        <v>16</v>
      </c>
      <c r="B157" s="24">
        <v>1</v>
      </c>
      <c r="C157" s="24">
        <f ca="1"/>
        <v>26</v>
      </c>
      <c r="D157" s="25">
        <f ca="1"/>
        <v>18.607898495211895</v>
      </c>
      <c r="E157" s="25">
        <f t="shared" ca="1" si="4"/>
        <v>2.6078984952118951</v>
      </c>
      <c r="G157" s="25">
        <f t="shared" ca="1" si="5"/>
        <v>3.6181717224349638E-2</v>
      </c>
      <c r="L157" s="25"/>
    </row>
    <row r="158" spans="1:12" x14ac:dyDescent="0.2">
      <c r="A158" s="24">
        <v>17</v>
      </c>
      <c r="B158" s="24">
        <v>1</v>
      </c>
      <c r="C158" s="24">
        <f ca="1"/>
        <v>27</v>
      </c>
      <c r="D158" s="25">
        <f ca="1"/>
        <v>19.291117606863956</v>
      </c>
      <c r="E158" s="25">
        <f t="shared" ca="1" si="4"/>
        <v>2.2911176068639563</v>
      </c>
      <c r="G158" s="25">
        <f t="shared" ca="1" si="5"/>
        <v>5.9465162689867283E-2</v>
      </c>
      <c r="L158" s="25"/>
    </row>
    <row r="159" spans="1:12" x14ac:dyDescent="0.2">
      <c r="A159" s="24">
        <v>18</v>
      </c>
      <c r="B159" s="24">
        <v>1</v>
      </c>
      <c r="C159" s="24">
        <f ca="1"/>
        <v>28</v>
      </c>
      <c r="D159" s="25">
        <f ca="1"/>
        <v>19.974336718516017</v>
      </c>
      <c r="E159" s="25">
        <f t="shared" ca="1" si="4"/>
        <v>1.9743367185160174</v>
      </c>
      <c r="G159" s="25">
        <f t="shared" ca="1" si="5"/>
        <v>9.1649753525670924E-2</v>
      </c>
      <c r="L159" s="25"/>
    </row>
    <row r="160" spans="1:12" x14ac:dyDescent="0.2">
      <c r="A160" s="24">
        <v>16</v>
      </c>
      <c r="B160" s="24">
        <v>1</v>
      </c>
      <c r="C160" s="24">
        <f ca="1"/>
        <v>25</v>
      </c>
      <c r="D160" s="25">
        <f ca="1"/>
        <v>17.924679383559837</v>
      </c>
      <c r="E160" s="25">
        <f t="shared" ca="1" si="4"/>
        <v>1.9246793835598375</v>
      </c>
      <c r="G160" s="25">
        <f t="shared" ca="1" si="5"/>
        <v>9.7510391399401958E-2</v>
      </c>
      <c r="L160" s="25"/>
    </row>
    <row r="161" spans="1:12" x14ac:dyDescent="0.2">
      <c r="A161" s="24">
        <v>18</v>
      </c>
      <c r="B161" s="24">
        <v>1</v>
      </c>
      <c r="C161" s="24">
        <f ca="1"/>
        <v>25</v>
      </c>
      <c r="D161" s="25">
        <f ca="1"/>
        <v>17.924679383559837</v>
      </c>
      <c r="E161" s="25">
        <f t="shared" ca="1" si="4"/>
        <v>-7.5320616440162524E-2</v>
      </c>
      <c r="G161" s="25">
        <f t="shared" ca="1" si="5"/>
        <v>0.3186465302206829</v>
      </c>
      <c r="L161" s="25"/>
    </row>
    <row r="162" spans="1:12" x14ac:dyDescent="0.2">
      <c r="A162" s="24">
        <v>18</v>
      </c>
      <c r="B162" s="24">
        <v>1</v>
      </c>
      <c r="C162" s="24">
        <f ca="1"/>
        <v>24</v>
      </c>
      <c r="D162" s="25">
        <f ca="1"/>
        <v>17.241460271907776</v>
      </c>
      <c r="E162" s="25">
        <f t="shared" ca="1" si="4"/>
        <v>-0.7585397280922237</v>
      </c>
      <c r="G162" s="25">
        <f t="shared" ca="1" si="5"/>
        <v>0.2655208098682208</v>
      </c>
      <c r="L162" s="25"/>
    </row>
    <row r="163" spans="1:12" x14ac:dyDescent="0.2">
      <c r="A163" s="24">
        <v>20</v>
      </c>
      <c r="B163" s="24">
        <v>1</v>
      </c>
      <c r="C163" s="24">
        <f ca="1"/>
        <v>27</v>
      </c>
      <c r="D163" s="25">
        <f ca="1"/>
        <v>19.291117606863956</v>
      </c>
      <c r="E163" s="25">
        <f t="shared" ca="1" si="4"/>
        <v>-0.70888239313604373</v>
      </c>
      <c r="G163" s="25">
        <f t="shared" ca="1" si="5"/>
        <v>0.2717877911689337</v>
      </c>
      <c r="L163" s="25"/>
    </row>
    <row r="164" spans="1:12" x14ac:dyDescent="0.2">
      <c r="A164" s="24">
        <v>19</v>
      </c>
      <c r="B164" s="24">
        <v>1</v>
      </c>
      <c r="C164" s="24">
        <f ca="1"/>
        <v>25</v>
      </c>
      <c r="D164" s="25">
        <f ca="1"/>
        <v>17.924679383559837</v>
      </c>
      <c r="E164" s="25">
        <f t="shared" ca="1" si="4"/>
        <v>-1.0753206164401625</v>
      </c>
      <c r="G164" s="25">
        <f t="shared" ca="1" si="5"/>
        <v>0.22045887184038612</v>
      </c>
      <c r="L164" s="25"/>
    </row>
    <row r="165" spans="1:12" x14ac:dyDescent="0.2">
      <c r="A165" s="24">
        <v>20</v>
      </c>
      <c r="B165" s="24">
        <v>1</v>
      </c>
      <c r="C165" s="24">
        <f ca="1"/>
        <v>26</v>
      </c>
      <c r="D165" s="25">
        <f ca="1"/>
        <v>18.607898495211895</v>
      </c>
      <c r="E165" s="25">
        <f t="shared" ca="1" si="4"/>
        <v>-1.3921015047881049</v>
      </c>
      <c r="G165" s="25">
        <f t="shared" ca="1" si="5"/>
        <v>0.17165317899794366</v>
      </c>
      <c r="L165" s="25"/>
    </row>
    <row r="166" spans="1:12" x14ac:dyDescent="0.2">
      <c r="A166" s="24">
        <v>18</v>
      </c>
      <c r="B166" s="24">
        <v>1</v>
      </c>
      <c r="C166" s="24">
        <f ca="1"/>
        <v>23</v>
      </c>
      <c r="D166" s="25">
        <f ca="1"/>
        <v>16.558241160255715</v>
      </c>
      <c r="E166" s="25">
        <f t="shared" ca="1" si="4"/>
        <v>-1.4417588397442849</v>
      </c>
      <c r="G166" s="25">
        <f t="shared" ca="1" si="5"/>
        <v>0.16409158276943275</v>
      </c>
      <c r="L166" s="25"/>
    </row>
    <row r="167" spans="1:12" x14ac:dyDescent="0.2">
      <c r="A167" s="24">
        <v>21</v>
      </c>
      <c r="B167" s="24">
        <v>1</v>
      </c>
      <c r="C167" s="24">
        <f ca="1"/>
        <v>26</v>
      </c>
      <c r="D167" s="25">
        <f ca="1"/>
        <v>18.607898495211895</v>
      </c>
      <c r="E167" s="25">
        <f t="shared" ca="1" si="4"/>
        <v>-2.3921015047881049</v>
      </c>
      <c r="G167" s="25">
        <f t="shared" ca="1" si="5"/>
        <v>5.1110239922417852E-2</v>
      </c>
      <c r="L167" s="25"/>
    </row>
    <row r="168" spans="1:12" x14ac:dyDescent="0.2">
      <c r="A168" s="24">
        <v>19</v>
      </c>
      <c r="B168" s="24">
        <v>1</v>
      </c>
      <c r="C168" s="24">
        <f ca="1"/>
        <v>26</v>
      </c>
      <c r="D168" s="25">
        <f ca="1"/>
        <v>18.607898495211895</v>
      </c>
      <c r="E168" s="25">
        <f t="shared" ca="1" si="4"/>
        <v>-0.3921015047881049</v>
      </c>
      <c r="G168" s="25">
        <f t="shared" ca="1" si="5"/>
        <v>0.30389387162696274</v>
      </c>
      <c r="L168" s="25"/>
    </row>
    <row r="169" spans="1:12" x14ac:dyDescent="0.2">
      <c r="A169" s="24">
        <v>19</v>
      </c>
      <c r="B169" s="24">
        <v>1</v>
      </c>
      <c r="C169" s="24">
        <f ca="1"/>
        <v>26</v>
      </c>
      <c r="D169" s="25">
        <f ca="1"/>
        <v>18.607898495211895</v>
      </c>
      <c r="E169" s="25">
        <f t="shared" ca="1" si="4"/>
        <v>-0.3921015047881049</v>
      </c>
      <c r="G169" s="25">
        <f t="shared" ca="1" si="5"/>
        <v>0.30389387162696274</v>
      </c>
      <c r="L169" s="25"/>
    </row>
    <row r="170" spans="1:12" x14ac:dyDescent="0.2">
      <c r="A170" s="24">
        <v>19</v>
      </c>
      <c r="B170" s="24">
        <v>1</v>
      </c>
      <c r="C170" s="24">
        <f ca="1"/>
        <v>26</v>
      </c>
      <c r="D170" s="25">
        <f ca="1"/>
        <v>18.607898495211895</v>
      </c>
      <c r="E170" s="25">
        <f t="shared" ca="1" si="4"/>
        <v>-0.3921015047881049</v>
      </c>
      <c r="G170" s="25">
        <f t="shared" ca="1" si="5"/>
        <v>0.30389387162696274</v>
      </c>
      <c r="L170" s="25"/>
    </row>
    <row r="171" spans="1:12" x14ac:dyDescent="0.2">
      <c r="A171" s="24">
        <v>20</v>
      </c>
      <c r="B171" s="24">
        <v>1</v>
      </c>
      <c r="C171" s="24">
        <f ca="1"/>
        <v>25</v>
      </c>
      <c r="D171" s="25">
        <f ca="1"/>
        <v>17.924679383559837</v>
      </c>
      <c r="E171" s="25">
        <f t="shared" ca="1" si="4"/>
        <v>-2.0753206164401625</v>
      </c>
      <c r="G171" s="25">
        <f t="shared" ca="1" si="5"/>
        <v>8.0402976672096699E-2</v>
      </c>
      <c r="L171" s="25"/>
    </row>
    <row r="172" spans="1:12" x14ac:dyDescent="0.2">
      <c r="A172" s="24">
        <v>20</v>
      </c>
      <c r="B172" s="24">
        <v>1</v>
      </c>
      <c r="C172" s="24">
        <f ca="1"/>
        <v>27</v>
      </c>
      <c r="D172" s="25">
        <f ca="1"/>
        <v>19.291117606863956</v>
      </c>
      <c r="E172" s="25">
        <f t="shared" ca="1" si="4"/>
        <v>-0.70888239313604373</v>
      </c>
      <c r="G172" s="25">
        <f t="shared" ca="1" si="5"/>
        <v>0.2717877911689337</v>
      </c>
      <c r="L172" s="25"/>
    </row>
    <row r="173" spans="1:12" x14ac:dyDescent="0.2">
      <c r="A173" s="24">
        <v>19</v>
      </c>
      <c r="B173" s="24">
        <v>1</v>
      </c>
      <c r="C173" s="24">
        <f ca="1"/>
        <v>25</v>
      </c>
      <c r="D173" s="25">
        <f ca="1"/>
        <v>17.924679383559837</v>
      </c>
      <c r="E173" s="25">
        <f t="shared" ca="1" si="4"/>
        <v>-1.0753206164401625</v>
      </c>
      <c r="G173" s="25">
        <f t="shared" ca="1" si="5"/>
        <v>0.22045887184038612</v>
      </c>
      <c r="L173" s="25"/>
    </row>
    <row r="174" spans="1:12" x14ac:dyDescent="0.2">
      <c r="A174" s="24">
        <v>20</v>
      </c>
      <c r="B174" s="24">
        <v>1</v>
      </c>
      <c r="C174" s="24">
        <f ca="1"/>
        <v>27</v>
      </c>
      <c r="D174" s="25">
        <f ca="1"/>
        <v>19.291117606863956</v>
      </c>
      <c r="E174" s="25">
        <f t="shared" ca="1" si="4"/>
        <v>-0.70888239313604373</v>
      </c>
      <c r="G174" s="25">
        <f t="shared" ca="1" si="5"/>
        <v>0.2717877911689337</v>
      </c>
      <c r="L174" s="25"/>
    </row>
    <row r="175" spans="1:12" x14ac:dyDescent="0.2">
      <c r="A175" s="24">
        <v>15</v>
      </c>
      <c r="B175" s="24">
        <v>1</v>
      </c>
      <c r="C175" s="24">
        <f ca="1"/>
        <v>20</v>
      </c>
      <c r="D175" s="25">
        <f ca="1"/>
        <v>14.508583825299539</v>
      </c>
      <c r="E175" s="25">
        <f t="shared" ca="1" si="4"/>
        <v>-0.49141617470046128</v>
      </c>
      <c r="G175" s="25">
        <f t="shared" ca="1" si="5"/>
        <v>0.29547583692562635</v>
      </c>
      <c r="L175" s="25"/>
    </row>
    <row r="176" spans="1:12" x14ac:dyDescent="0.2">
      <c r="A176" s="24">
        <v>16</v>
      </c>
      <c r="B176" s="24">
        <v>1</v>
      </c>
      <c r="C176" s="24">
        <f ca="1"/>
        <v>20</v>
      </c>
      <c r="D176" s="25">
        <f ca="1"/>
        <v>14.508583825299539</v>
      </c>
      <c r="E176" s="25">
        <f t="shared" ca="1" si="4"/>
        <v>-1.4914161747004613</v>
      </c>
      <c r="G176" s="25">
        <f t="shared" ca="1" si="5"/>
        <v>0.15661561802916329</v>
      </c>
      <c r="L176" s="25"/>
    </row>
    <row r="177" spans="1:12" x14ac:dyDescent="0.2">
      <c r="A177" s="24">
        <v>15</v>
      </c>
      <c r="B177" s="24">
        <v>1</v>
      </c>
      <c r="C177" s="24">
        <f ca="1"/>
        <v>19</v>
      </c>
      <c r="D177" s="25">
        <f ca="1"/>
        <v>13.825364713647479</v>
      </c>
      <c r="E177" s="25">
        <f t="shared" ca="1" si="4"/>
        <v>-1.1746352863525207</v>
      </c>
      <c r="G177" s="25">
        <f t="shared" ca="1" si="5"/>
        <v>0.20523871008550823</v>
      </c>
      <c r="L177" s="25"/>
    </row>
    <row r="178" spans="1:12" x14ac:dyDescent="0.2">
      <c r="A178" s="24">
        <v>15</v>
      </c>
      <c r="B178" s="24">
        <v>1</v>
      </c>
      <c r="C178" s="24">
        <f ca="1"/>
        <v>17</v>
      </c>
      <c r="D178" s="25">
        <f ca="1"/>
        <v>12.458926490343359</v>
      </c>
      <c r="E178" s="25">
        <f t="shared" ca="1" si="4"/>
        <v>-2.5410735096566412</v>
      </c>
      <c r="G178" s="25">
        <f t="shared" ca="1" si="5"/>
        <v>4.0395128664178985E-2</v>
      </c>
      <c r="L178" s="25"/>
    </row>
    <row r="179" spans="1:12" x14ac:dyDescent="0.2">
      <c r="A179" s="24">
        <v>16</v>
      </c>
      <c r="B179" s="24">
        <v>1</v>
      </c>
      <c r="C179" s="24">
        <f ca="1"/>
        <v>20</v>
      </c>
      <c r="D179" s="25">
        <f ca="1"/>
        <v>14.508583825299539</v>
      </c>
      <c r="E179" s="25">
        <f t="shared" ca="1" si="4"/>
        <v>-1.4914161747004613</v>
      </c>
      <c r="G179" s="25">
        <f t="shared" ca="1" si="5"/>
        <v>0.15661561802916329</v>
      </c>
      <c r="L179" s="25"/>
    </row>
    <row r="180" spans="1:12" x14ac:dyDescent="0.2">
      <c r="A180" s="24">
        <v>14</v>
      </c>
      <c r="B180" s="24">
        <v>1</v>
      </c>
      <c r="C180" s="24">
        <f ca="1"/>
        <v>17</v>
      </c>
      <c r="D180" s="25">
        <f ca="1"/>
        <v>12.458926490343359</v>
      </c>
      <c r="E180" s="25">
        <f t="shared" ca="1" si="4"/>
        <v>-1.5410735096566412</v>
      </c>
      <c r="G180" s="25">
        <f t="shared" ca="1" si="5"/>
        <v>0.14924443441661395</v>
      </c>
      <c r="L180" s="25"/>
    </row>
    <row r="181" spans="1:12" x14ac:dyDescent="0.2">
      <c r="A181" s="24">
        <v>21</v>
      </c>
      <c r="B181" s="24">
        <v>1</v>
      </c>
      <c r="C181" s="24">
        <f ca="1"/>
        <v>29</v>
      </c>
      <c r="D181" s="25">
        <f ca="1"/>
        <v>20.657555830168075</v>
      </c>
      <c r="E181" s="25">
        <f t="shared" ca="1" si="4"/>
        <v>-0.34244416983192494</v>
      </c>
      <c r="G181" s="25">
        <f t="shared" ca="1" si="5"/>
        <v>0.30746337812452051</v>
      </c>
      <c r="L181" s="25"/>
    </row>
    <row r="182" spans="1:12" x14ac:dyDescent="0.2">
      <c r="A182" s="24">
        <v>21</v>
      </c>
      <c r="B182" s="24">
        <v>1</v>
      </c>
      <c r="C182" s="24">
        <f ca="1"/>
        <v>27</v>
      </c>
      <c r="D182" s="25">
        <f ca="1"/>
        <v>19.291117606863956</v>
      </c>
      <c r="E182" s="25">
        <f t="shared" ca="1" si="4"/>
        <v>-1.7088823931360437</v>
      </c>
      <c r="G182" s="25">
        <f t="shared" ca="1" si="5"/>
        <v>0.12533471414208935</v>
      </c>
      <c r="L182" s="25"/>
    </row>
    <row r="183" spans="1:12" x14ac:dyDescent="0.2">
      <c r="A183" s="24">
        <v>21</v>
      </c>
      <c r="B183" s="24">
        <v>1</v>
      </c>
      <c r="C183" s="24">
        <f ca="1"/>
        <v>31</v>
      </c>
      <c r="D183" s="25">
        <f ca="1"/>
        <v>22.023994053472194</v>
      </c>
      <c r="E183" s="25">
        <f t="shared" ca="1" si="4"/>
        <v>1.0239940534721939</v>
      </c>
      <c r="G183" s="25">
        <f t="shared" ca="1" si="5"/>
        <v>0.22819645484299309</v>
      </c>
      <c r="L183" s="25"/>
    </row>
    <row r="184" spans="1:12" x14ac:dyDescent="0.2">
      <c r="A184" s="24">
        <v>21</v>
      </c>
      <c r="B184" s="24">
        <v>1</v>
      </c>
      <c r="C184" s="24">
        <f ca="1"/>
        <v>31</v>
      </c>
      <c r="D184" s="25">
        <f ca="1"/>
        <v>22.023994053472194</v>
      </c>
      <c r="E184" s="25">
        <f t="shared" ca="1" si="4"/>
        <v>1.0239940534721939</v>
      </c>
      <c r="G184" s="25">
        <f t="shared" ca="1" si="5"/>
        <v>0.22819645484299309</v>
      </c>
      <c r="L184" s="25"/>
    </row>
    <row r="185" spans="1:12" x14ac:dyDescent="0.2">
      <c r="A185" s="24">
        <v>18</v>
      </c>
      <c r="B185" s="24">
        <v>1</v>
      </c>
      <c r="C185" s="24">
        <f ca="1"/>
        <v>26</v>
      </c>
      <c r="D185" s="25">
        <f ca="1"/>
        <v>18.607898495211895</v>
      </c>
      <c r="E185" s="25">
        <f t="shared" ca="1" si="4"/>
        <v>0.6078984952118951</v>
      </c>
      <c r="G185" s="25">
        <f t="shared" ca="1" si="5"/>
        <v>0.28360781451993688</v>
      </c>
      <c r="L185" s="25"/>
    </row>
    <row r="186" spans="1:12" x14ac:dyDescent="0.2">
      <c r="A186" s="24">
        <v>18</v>
      </c>
      <c r="B186" s="24">
        <v>1</v>
      </c>
      <c r="C186" s="24">
        <f ca="1"/>
        <v>26</v>
      </c>
      <c r="D186" s="25">
        <f ca="1"/>
        <v>18.607898495211895</v>
      </c>
      <c r="E186" s="25">
        <f t="shared" ca="1" si="4"/>
        <v>0.6078984952118951</v>
      </c>
      <c r="G186" s="25">
        <f t="shared" ca="1" si="5"/>
        <v>0.28360781451993688</v>
      </c>
      <c r="L186" s="25"/>
    </row>
    <row r="187" spans="1:12" x14ac:dyDescent="0.2">
      <c r="A187" s="24">
        <v>19</v>
      </c>
      <c r="B187" s="24">
        <v>1</v>
      </c>
      <c r="C187" s="24">
        <f ca="1"/>
        <v>28</v>
      </c>
      <c r="D187" s="25">
        <f ca="1"/>
        <v>19.974336718516017</v>
      </c>
      <c r="E187" s="25">
        <f t="shared" ca="1" si="4"/>
        <v>0.97433671851601744</v>
      </c>
      <c r="G187" s="25">
        <f t="shared" ca="1" si="5"/>
        <v>0.23556229359930655</v>
      </c>
      <c r="L187" s="25"/>
    </row>
    <row r="188" spans="1:12" x14ac:dyDescent="0.2">
      <c r="A188" s="24">
        <v>21</v>
      </c>
      <c r="B188" s="24">
        <v>1</v>
      </c>
      <c r="C188" s="24">
        <f ca="1"/>
        <v>27</v>
      </c>
      <c r="D188" s="25">
        <f ca="1"/>
        <v>19.291117606863956</v>
      </c>
      <c r="E188" s="25">
        <f t="shared" ca="1" si="4"/>
        <v>-1.7088823931360437</v>
      </c>
      <c r="G188" s="25">
        <f t="shared" ca="1" si="5"/>
        <v>0.12533471414208935</v>
      </c>
      <c r="L188" s="25"/>
    </row>
    <row r="189" spans="1:12" x14ac:dyDescent="0.2">
      <c r="A189" s="24">
        <v>21</v>
      </c>
      <c r="B189" s="24">
        <v>1</v>
      </c>
      <c r="C189" s="24">
        <f ca="1"/>
        <v>29</v>
      </c>
      <c r="D189" s="25">
        <f ca="1"/>
        <v>20.657555830168075</v>
      </c>
      <c r="E189" s="25">
        <f t="shared" ca="1" si="4"/>
        <v>-0.34244416983192494</v>
      </c>
      <c r="G189" s="25">
        <f t="shared" ca="1" si="5"/>
        <v>0.30746337812452051</v>
      </c>
      <c r="L189" s="25"/>
    </row>
    <row r="190" spans="1:12" x14ac:dyDescent="0.2">
      <c r="A190" s="24">
        <v>21</v>
      </c>
      <c r="B190" s="24">
        <v>1</v>
      </c>
      <c r="C190" s="24">
        <f ca="1"/>
        <v>31</v>
      </c>
      <c r="D190" s="25">
        <f ca="1"/>
        <v>22.023994053472194</v>
      </c>
      <c r="E190" s="25">
        <f t="shared" ca="1" si="4"/>
        <v>1.0239940534721939</v>
      </c>
      <c r="G190" s="25">
        <f t="shared" ca="1" si="5"/>
        <v>0.22819645484299309</v>
      </c>
      <c r="L190" s="25"/>
    </row>
    <row r="191" spans="1:12" x14ac:dyDescent="0.2">
      <c r="A191" s="24">
        <v>22</v>
      </c>
      <c r="B191" s="24">
        <v>1</v>
      </c>
      <c r="C191" s="24">
        <f ca="1"/>
        <v>31</v>
      </c>
      <c r="D191" s="25">
        <f ca="1"/>
        <v>22.023994053472194</v>
      </c>
      <c r="E191" s="25">
        <f t="shared" ca="1" si="4"/>
        <v>2.3994053472193855E-2</v>
      </c>
      <c r="G191" s="25">
        <f t="shared" ca="1" si="5"/>
        <v>0.31916696345814999</v>
      </c>
      <c r="L191" s="25"/>
    </row>
    <row r="192" spans="1:12" x14ac:dyDescent="0.2">
      <c r="A192" s="24">
        <v>18</v>
      </c>
      <c r="B192" s="24">
        <v>1</v>
      </c>
      <c r="C192" s="24">
        <f ca="1"/>
        <v>26</v>
      </c>
      <c r="D192" s="25">
        <f ca="1"/>
        <v>18.607898495211895</v>
      </c>
      <c r="E192" s="25">
        <f t="shared" ca="1" si="4"/>
        <v>0.6078984952118951</v>
      </c>
      <c r="G192" s="25">
        <f t="shared" ca="1" si="5"/>
        <v>0.28360781451993688</v>
      </c>
      <c r="L192" s="25"/>
    </row>
    <row r="193" spans="1:12" x14ac:dyDescent="0.2">
      <c r="A193" s="24">
        <v>18</v>
      </c>
      <c r="B193" s="24">
        <v>1</v>
      </c>
      <c r="C193" s="24">
        <f ca="1"/>
        <v>26</v>
      </c>
      <c r="D193" s="25">
        <f ca="1"/>
        <v>18.607898495211895</v>
      </c>
      <c r="E193" s="25">
        <f t="shared" ca="1" si="4"/>
        <v>0.6078984952118951</v>
      </c>
      <c r="G193" s="25">
        <f t="shared" ca="1" si="5"/>
        <v>0.28360781451993688</v>
      </c>
      <c r="L193" s="25"/>
    </row>
    <row r="194" spans="1:12" x14ac:dyDescent="0.2">
      <c r="A194" s="24">
        <v>18</v>
      </c>
      <c r="B194" s="24">
        <v>1</v>
      </c>
      <c r="C194" s="24">
        <f ca="1"/>
        <v>27</v>
      </c>
      <c r="D194" s="25">
        <f ca="1"/>
        <v>19.291117606863956</v>
      </c>
      <c r="E194" s="25">
        <f t="shared" ca="1" si="4"/>
        <v>1.2911176068639563</v>
      </c>
      <c r="G194" s="25">
        <f t="shared" ca="1" si="5"/>
        <v>0.18720849951963059</v>
      </c>
      <c r="L194" s="25"/>
    </row>
    <row r="195" spans="1:12" x14ac:dyDescent="0.2">
      <c r="A195" s="24">
        <v>24</v>
      </c>
      <c r="B195" s="24">
        <v>1</v>
      </c>
      <c r="C195" s="24">
        <f ca="1"/>
        <v>30</v>
      </c>
      <c r="D195" s="25">
        <f ca="1"/>
        <v>21.340774941820136</v>
      </c>
      <c r="E195" s="25">
        <f t="shared" ref="E195:E235" ca="1" si="6">D195-A195</f>
        <v>-2.6592250581798638</v>
      </c>
      <c r="G195" s="25">
        <f t="shared" ref="G195:G235" ca="1" si="7">_xlfn.NORM.DIST(E195,0,$F$2,FALSE)</f>
        <v>3.3181916685722804E-2</v>
      </c>
      <c r="L195" s="25"/>
    </row>
    <row r="196" spans="1:12" x14ac:dyDescent="0.2">
      <c r="A196" s="24">
        <v>24</v>
      </c>
      <c r="B196" s="24">
        <v>1</v>
      </c>
      <c r="C196" s="24">
        <f ca="1"/>
        <v>33</v>
      </c>
      <c r="D196" s="25">
        <f ca="1"/>
        <v>23.390432276776316</v>
      </c>
      <c r="E196" s="25">
        <f t="shared" ca="1" si="6"/>
        <v>-0.6095677232236838</v>
      </c>
      <c r="G196" s="25">
        <f t="shared" ca="1" si="7"/>
        <v>0.28342335743776725</v>
      </c>
      <c r="L196" s="25"/>
    </row>
    <row r="197" spans="1:12" x14ac:dyDescent="0.2">
      <c r="A197" s="24">
        <v>26</v>
      </c>
      <c r="B197" s="24">
        <v>1</v>
      </c>
      <c r="C197" s="24">
        <f ca="1"/>
        <v>35</v>
      </c>
      <c r="D197" s="25">
        <f ca="1"/>
        <v>24.756870500080435</v>
      </c>
      <c r="E197" s="25">
        <f t="shared" ca="1" si="6"/>
        <v>-1.243129499919565</v>
      </c>
      <c r="G197" s="25">
        <f t="shared" ca="1" si="7"/>
        <v>0.19464101454310373</v>
      </c>
      <c r="L197" s="25"/>
    </row>
    <row r="198" spans="1:12" x14ac:dyDescent="0.2">
      <c r="A198" s="24">
        <v>28</v>
      </c>
      <c r="B198" s="24">
        <v>1</v>
      </c>
      <c r="C198" s="24">
        <f ca="1"/>
        <v>37</v>
      </c>
      <c r="D198" s="25">
        <f ca="1"/>
        <v>26.123308723384554</v>
      </c>
      <c r="E198" s="25">
        <f t="shared" ca="1" si="6"/>
        <v>-1.8766912766154462</v>
      </c>
      <c r="G198" s="25">
        <f t="shared" ca="1" si="7"/>
        <v>0.10337466032027857</v>
      </c>
      <c r="L198" s="25"/>
    </row>
    <row r="199" spans="1:12" x14ac:dyDescent="0.2">
      <c r="A199" s="24">
        <v>26</v>
      </c>
      <c r="B199" s="24">
        <v>1</v>
      </c>
      <c r="C199" s="24">
        <f ca="1"/>
        <v>35</v>
      </c>
      <c r="D199" s="25">
        <f ca="1"/>
        <v>24.756870500080435</v>
      </c>
      <c r="E199" s="25">
        <f t="shared" ca="1" si="6"/>
        <v>-1.243129499919565</v>
      </c>
      <c r="G199" s="25">
        <f t="shared" ca="1" si="7"/>
        <v>0.19464101454310373</v>
      </c>
      <c r="L199" s="25"/>
    </row>
    <row r="200" spans="1:12" x14ac:dyDescent="0.2">
      <c r="A200" s="24">
        <v>11</v>
      </c>
      <c r="B200" s="24">
        <v>1</v>
      </c>
      <c r="C200" s="24">
        <f ca="1"/>
        <v>15</v>
      </c>
      <c r="D200" s="25">
        <f ca="1"/>
        <v>11.09248826703924</v>
      </c>
      <c r="E200" s="25">
        <f t="shared" ca="1" si="6"/>
        <v>9.2488267039239958E-2</v>
      </c>
      <c r="G200" s="25">
        <f t="shared" ca="1" si="7"/>
        <v>0.31835277839425191</v>
      </c>
      <c r="L200" s="25"/>
    </row>
    <row r="201" spans="1:12" x14ac:dyDescent="0.2">
      <c r="A201" s="24">
        <v>13</v>
      </c>
      <c r="B201" s="24">
        <v>1</v>
      </c>
      <c r="C201" s="24">
        <f ca="1"/>
        <v>18</v>
      </c>
      <c r="D201" s="25">
        <f ca="1"/>
        <v>13.142145601995418</v>
      </c>
      <c r="E201" s="25">
        <f t="shared" ca="1" si="6"/>
        <v>0.14214560199541815</v>
      </c>
      <c r="G201" s="25">
        <f t="shared" ca="1" si="7"/>
        <v>0.31716750413300532</v>
      </c>
      <c r="L201" s="25"/>
    </row>
    <row r="202" spans="1:12" x14ac:dyDescent="0.2">
      <c r="A202" s="24">
        <v>15</v>
      </c>
      <c r="B202" s="24">
        <v>1</v>
      </c>
      <c r="C202" s="24">
        <f ca="1"/>
        <v>20</v>
      </c>
      <c r="D202" s="25">
        <f ca="1"/>
        <v>14.508583825299539</v>
      </c>
      <c r="E202" s="25">
        <f t="shared" ca="1" si="6"/>
        <v>-0.49141617470046128</v>
      </c>
      <c r="G202" s="25">
        <f t="shared" ca="1" si="7"/>
        <v>0.29547583692562635</v>
      </c>
      <c r="L202" s="25"/>
    </row>
    <row r="203" spans="1:12" x14ac:dyDescent="0.2">
      <c r="A203" s="24">
        <v>16</v>
      </c>
      <c r="B203" s="24">
        <v>1</v>
      </c>
      <c r="C203" s="24">
        <f ca="1"/>
        <v>20</v>
      </c>
      <c r="D203" s="25">
        <f ca="1"/>
        <v>14.508583825299539</v>
      </c>
      <c r="E203" s="25">
        <f t="shared" ca="1" si="6"/>
        <v>-1.4914161747004613</v>
      </c>
      <c r="G203" s="25">
        <f t="shared" ca="1" si="7"/>
        <v>0.15661561802916329</v>
      </c>
      <c r="L203" s="25"/>
    </row>
    <row r="204" spans="1:12" x14ac:dyDescent="0.2">
      <c r="A204" s="24">
        <v>17</v>
      </c>
      <c r="B204" s="24">
        <v>1</v>
      </c>
      <c r="C204" s="24">
        <f ca="1"/>
        <v>22</v>
      </c>
      <c r="D204" s="25">
        <f ca="1"/>
        <v>15.875022048603658</v>
      </c>
      <c r="E204" s="25">
        <f t="shared" ca="1" si="6"/>
        <v>-1.1249779513963425</v>
      </c>
      <c r="G204" s="25">
        <f t="shared" ca="1" si="7"/>
        <v>0.21288069180319472</v>
      </c>
      <c r="L204" s="25"/>
    </row>
    <row r="205" spans="1:12" x14ac:dyDescent="0.2">
      <c r="A205" s="24">
        <v>15</v>
      </c>
      <c r="B205" s="24">
        <v>1</v>
      </c>
      <c r="C205" s="24">
        <f ca="1"/>
        <v>17</v>
      </c>
      <c r="D205" s="25">
        <f ca="1"/>
        <v>12.458926490343359</v>
      </c>
      <c r="E205" s="25">
        <f t="shared" ca="1" si="6"/>
        <v>-2.5410735096566412</v>
      </c>
      <c r="G205" s="25">
        <f t="shared" ca="1" si="7"/>
        <v>4.0395128664178985E-2</v>
      </c>
      <c r="L205" s="25"/>
    </row>
    <row r="206" spans="1:12" x14ac:dyDescent="0.2">
      <c r="A206" s="24">
        <v>15</v>
      </c>
      <c r="B206" s="24">
        <v>1</v>
      </c>
      <c r="C206" s="24">
        <f ca="1"/>
        <v>19</v>
      </c>
      <c r="D206" s="25">
        <f ca="1"/>
        <v>13.825364713647479</v>
      </c>
      <c r="E206" s="25">
        <f t="shared" ca="1" si="6"/>
        <v>-1.1746352863525207</v>
      </c>
      <c r="G206" s="25">
        <f t="shared" ca="1" si="7"/>
        <v>0.20523871008550823</v>
      </c>
      <c r="L206" s="25"/>
    </row>
    <row r="207" spans="1:12" x14ac:dyDescent="0.2">
      <c r="A207" s="24">
        <v>15</v>
      </c>
      <c r="B207" s="24">
        <v>1</v>
      </c>
      <c r="C207" s="24">
        <f ca="1"/>
        <v>18</v>
      </c>
      <c r="D207" s="25">
        <f ca="1"/>
        <v>13.142145601995418</v>
      </c>
      <c r="E207" s="25">
        <f t="shared" ca="1" si="6"/>
        <v>-1.8578543980045819</v>
      </c>
      <c r="G207" s="25">
        <f t="shared" ca="1" si="7"/>
        <v>0.10572920124505396</v>
      </c>
      <c r="L207" s="25"/>
    </row>
    <row r="208" spans="1:12" x14ac:dyDescent="0.2">
      <c r="A208" s="24">
        <v>16</v>
      </c>
      <c r="B208" s="24">
        <v>1</v>
      </c>
      <c r="C208" s="24">
        <f ca="1"/>
        <v>20</v>
      </c>
      <c r="D208" s="25">
        <f ca="1"/>
        <v>14.508583825299539</v>
      </c>
      <c r="E208" s="25">
        <f t="shared" ca="1" si="6"/>
        <v>-1.4914161747004613</v>
      </c>
      <c r="G208" s="25">
        <f t="shared" ca="1" si="7"/>
        <v>0.15661561802916329</v>
      </c>
      <c r="L208" s="25"/>
    </row>
    <row r="209" spans="1:12" x14ac:dyDescent="0.2">
      <c r="A209" s="24">
        <v>21</v>
      </c>
      <c r="B209" s="24">
        <v>1</v>
      </c>
      <c r="C209" s="24">
        <f ca="1"/>
        <v>29</v>
      </c>
      <c r="D209" s="25">
        <f ca="1"/>
        <v>20.657555830168075</v>
      </c>
      <c r="E209" s="25">
        <f t="shared" ca="1" si="6"/>
        <v>-0.34244416983192494</v>
      </c>
      <c r="G209" s="25">
        <f t="shared" ca="1" si="7"/>
        <v>0.30746337812452051</v>
      </c>
      <c r="L209" s="25"/>
    </row>
    <row r="210" spans="1:12" x14ac:dyDescent="0.2">
      <c r="A210" s="24">
        <v>19</v>
      </c>
      <c r="B210" s="24">
        <v>1</v>
      </c>
      <c r="C210" s="24">
        <f ca="1"/>
        <v>26</v>
      </c>
      <c r="D210" s="25">
        <f ca="1"/>
        <v>18.607898495211895</v>
      </c>
      <c r="E210" s="25">
        <f t="shared" ca="1" si="6"/>
        <v>-0.3921015047881049</v>
      </c>
      <c r="G210" s="25">
        <f t="shared" ca="1" si="7"/>
        <v>0.30389387162696274</v>
      </c>
      <c r="L210" s="25"/>
    </row>
    <row r="211" spans="1:12" x14ac:dyDescent="0.2">
      <c r="A211" s="24">
        <v>21</v>
      </c>
      <c r="B211" s="24">
        <v>1</v>
      </c>
      <c r="C211" s="24">
        <f ca="1"/>
        <v>29</v>
      </c>
      <c r="D211" s="25">
        <f ca="1"/>
        <v>20.657555830168075</v>
      </c>
      <c r="E211" s="25">
        <f t="shared" ca="1" si="6"/>
        <v>-0.34244416983192494</v>
      </c>
      <c r="G211" s="25">
        <f t="shared" ca="1" si="7"/>
        <v>0.30746337812452051</v>
      </c>
      <c r="L211" s="25"/>
    </row>
    <row r="212" spans="1:12" x14ac:dyDescent="0.2">
      <c r="A212" s="24">
        <v>22</v>
      </c>
      <c r="B212" s="24">
        <v>1</v>
      </c>
      <c r="C212" s="24">
        <f ca="1"/>
        <v>29</v>
      </c>
      <c r="D212" s="25">
        <f ca="1"/>
        <v>20.657555830168075</v>
      </c>
      <c r="E212" s="25">
        <f t="shared" ca="1" si="6"/>
        <v>-1.3424441698319249</v>
      </c>
      <c r="G212" s="25">
        <f t="shared" ca="1" si="7"/>
        <v>0.17927994451859014</v>
      </c>
      <c r="L212" s="25"/>
    </row>
    <row r="213" spans="1:12" x14ac:dyDescent="0.2">
      <c r="A213" s="24">
        <v>17</v>
      </c>
      <c r="B213" s="24">
        <v>1</v>
      </c>
      <c r="C213" s="24">
        <f ca="1"/>
        <v>24</v>
      </c>
      <c r="D213" s="25">
        <f ca="1"/>
        <v>17.241460271907776</v>
      </c>
      <c r="E213" s="25">
        <f t="shared" ca="1" si="6"/>
        <v>0.2414602719077763</v>
      </c>
      <c r="G213" s="25">
        <f t="shared" ca="1" si="7"/>
        <v>0.31332258364370175</v>
      </c>
      <c r="L213" s="25"/>
    </row>
    <row r="214" spans="1:12" x14ac:dyDescent="0.2">
      <c r="A214" s="24">
        <v>33</v>
      </c>
      <c r="B214" s="24">
        <v>1</v>
      </c>
      <c r="C214" s="24">
        <f ca="1"/>
        <v>44</v>
      </c>
      <c r="D214" s="25">
        <f ca="1"/>
        <v>30.905842504948971</v>
      </c>
      <c r="E214" s="25">
        <f t="shared" ca="1" si="6"/>
        <v>-2.0941574950510287</v>
      </c>
      <c r="G214" s="25">
        <f t="shared" ca="1" si="7"/>
        <v>7.8406519233685218E-2</v>
      </c>
      <c r="L214" s="25"/>
    </row>
    <row r="215" spans="1:12" x14ac:dyDescent="0.2">
      <c r="A215" s="24">
        <v>21</v>
      </c>
      <c r="B215" s="24">
        <v>1</v>
      </c>
      <c r="C215" s="24">
        <f ca="1"/>
        <v>29</v>
      </c>
      <c r="D215" s="25">
        <f ca="1"/>
        <v>20.657555830168075</v>
      </c>
      <c r="E215" s="25">
        <f t="shared" ca="1" si="6"/>
        <v>-0.34244416983192494</v>
      </c>
      <c r="G215" s="25">
        <f t="shared" ca="1" si="7"/>
        <v>0.30746337812452051</v>
      </c>
      <c r="L215" s="25"/>
    </row>
    <row r="216" spans="1:12" x14ac:dyDescent="0.2">
      <c r="A216" s="24">
        <v>19</v>
      </c>
      <c r="B216" s="24">
        <v>1</v>
      </c>
      <c r="C216" s="24">
        <f ca="1"/>
        <v>26</v>
      </c>
      <c r="D216" s="25">
        <f ca="1"/>
        <v>18.607898495211895</v>
      </c>
      <c r="E216" s="25">
        <f t="shared" ca="1" si="6"/>
        <v>-0.3921015047881049</v>
      </c>
      <c r="G216" s="25">
        <f t="shared" ca="1" si="7"/>
        <v>0.30389387162696274</v>
      </c>
      <c r="L216" s="25"/>
    </row>
    <row r="217" spans="1:12" x14ac:dyDescent="0.2">
      <c r="A217" s="24">
        <v>22</v>
      </c>
      <c r="B217" s="24">
        <v>1</v>
      </c>
      <c r="C217" s="24">
        <f ca="1"/>
        <v>29</v>
      </c>
      <c r="D217" s="25">
        <f ca="1"/>
        <v>20.657555830168075</v>
      </c>
      <c r="E217" s="25">
        <f t="shared" ca="1" si="6"/>
        <v>-1.3424441698319249</v>
      </c>
      <c r="G217" s="25">
        <f t="shared" ca="1" si="7"/>
        <v>0.17927994451859014</v>
      </c>
      <c r="L217" s="25"/>
    </row>
    <row r="218" spans="1:12" x14ac:dyDescent="0.2">
      <c r="A218" s="24">
        <v>21</v>
      </c>
      <c r="B218" s="24">
        <v>1</v>
      </c>
      <c r="C218" s="24">
        <f ca="1"/>
        <v>29</v>
      </c>
      <c r="D218" s="25">
        <f ca="1"/>
        <v>20.657555830168075</v>
      </c>
      <c r="E218" s="25">
        <f t="shared" ca="1" si="6"/>
        <v>-0.34244416983192494</v>
      </c>
      <c r="G218" s="25">
        <f t="shared" ca="1" si="7"/>
        <v>0.30746337812452051</v>
      </c>
      <c r="L218" s="25"/>
    </row>
    <row r="219" spans="1:12" x14ac:dyDescent="0.2">
      <c r="A219" s="24">
        <v>21</v>
      </c>
      <c r="B219" s="24">
        <v>1</v>
      </c>
      <c r="C219" s="24">
        <f ca="1"/>
        <v>29</v>
      </c>
      <c r="D219" s="25">
        <f ca="1"/>
        <v>20.657555830168075</v>
      </c>
      <c r="E219" s="25">
        <f t="shared" ca="1" si="6"/>
        <v>-0.34244416983192494</v>
      </c>
      <c r="G219" s="25">
        <f t="shared" ca="1" si="7"/>
        <v>0.30746337812452051</v>
      </c>
      <c r="L219" s="25"/>
    </row>
    <row r="220" spans="1:12" x14ac:dyDescent="0.2">
      <c r="A220" s="24">
        <v>21</v>
      </c>
      <c r="B220" s="24">
        <v>1</v>
      </c>
      <c r="C220" s="24">
        <f ca="1"/>
        <v>29</v>
      </c>
      <c r="D220" s="25">
        <f ca="1"/>
        <v>20.657555830168075</v>
      </c>
      <c r="E220" s="25">
        <f t="shared" ca="1" si="6"/>
        <v>-0.34244416983192494</v>
      </c>
      <c r="G220" s="25">
        <f t="shared" ca="1" si="7"/>
        <v>0.30746337812452051</v>
      </c>
      <c r="L220" s="25"/>
    </row>
    <row r="221" spans="1:12" x14ac:dyDescent="0.2">
      <c r="A221" s="24">
        <v>16</v>
      </c>
      <c r="B221" s="24">
        <v>1</v>
      </c>
      <c r="C221" s="24">
        <f ca="1"/>
        <v>23</v>
      </c>
      <c r="D221" s="25">
        <f ca="1"/>
        <v>16.558241160255715</v>
      </c>
      <c r="E221" s="25">
        <f t="shared" ca="1" si="6"/>
        <v>0.55824116025571513</v>
      </c>
      <c r="G221" s="25">
        <f t="shared" ca="1" si="7"/>
        <v>0.28891457937292003</v>
      </c>
      <c r="L221" s="25"/>
    </row>
    <row r="222" spans="1:12" x14ac:dyDescent="0.2">
      <c r="A222" s="24">
        <v>17</v>
      </c>
      <c r="B222" s="24">
        <v>1</v>
      </c>
      <c r="C222" s="24">
        <f ca="1"/>
        <v>24</v>
      </c>
      <c r="D222" s="25">
        <f ca="1"/>
        <v>17.241460271907776</v>
      </c>
      <c r="E222" s="25">
        <f t="shared" ca="1" si="6"/>
        <v>0.2414602719077763</v>
      </c>
      <c r="G222" s="25">
        <f t="shared" ca="1" si="7"/>
        <v>0.31332258364370175</v>
      </c>
      <c r="L222" s="25"/>
    </row>
    <row r="223" spans="1:12" x14ac:dyDescent="0.2">
      <c r="A223" s="24">
        <v>35</v>
      </c>
      <c r="B223" s="24">
        <v>1</v>
      </c>
      <c r="C223" s="24">
        <f ca="1"/>
        <v>44</v>
      </c>
      <c r="D223" s="25">
        <f ca="1"/>
        <v>30.905842504948971</v>
      </c>
      <c r="E223" s="25">
        <f t="shared" ca="1" si="6"/>
        <v>-4.0941574950510287</v>
      </c>
      <c r="G223" s="25">
        <f t="shared" ca="1" si="7"/>
        <v>1.4912266665311721E-3</v>
      </c>
      <c r="L223" s="25"/>
    </row>
    <row r="224" spans="1:12" x14ac:dyDescent="0.2">
      <c r="A224" s="24">
        <v>29</v>
      </c>
      <c r="B224" s="24">
        <v>1</v>
      </c>
      <c r="C224" s="24">
        <f ca="1"/>
        <v>41</v>
      </c>
      <c r="D224" s="25">
        <f ca="1"/>
        <v>28.856185169992791</v>
      </c>
      <c r="E224" s="25">
        <f t="shared" ca="1" si="6"/>
        <v>-0.14381483000720863</v>
      </c>
      <c r="G224" s="25">
        <f t="shared" ca="1" si="7"/>
        <v>0.31711903972216288</v>
      </c>
      <c r="L224" s="25"/>
    </row>
    <row r="225" spans="1:12" x14ac:dyDescent="0.2">
      <c r="A225" s="24">
        <v>21</v>
      </c>
      <c r="B225" s="24">
        <v>1</v>
      </c>
      <c r="C225" s="24">
        <f ca="1"/>
        <v>29</v>
      </c>
      <c r="D225" s="25">
        <f ca="1"/>
        <v>20.657555830168075</v>
      </c>
      <c r="E225" s="25">
        <f t="shared" ca="1" si="6"/>
        <v>-0.34244416983192494</v>
      </c>
      <c r="G225" s="25">
        <f t="shared" ca="1" si="7"/>
        <v>0.30746337812452051</v>
      </c>
      <c r="L225" s="25"/>
    </row>
    <row r="226" spans="1:12" x14ac:dyDescent="0.2">
      <c r="A226" s="24">
        <v>19</v>
      </c>
      <c r="B226" s="24">
        <v>1</v>
      </c>
      <c r="C226" s="24">
        <f ca="1"/>
        <v>26</v>
      </c>
      <c r="D226" s="25">
        <f ca="1"/>
        <v>18.607898495211895</v>
      </c>
      <c r="E226" s="25">
        <f t="shared" ca="1" si="6"/>
        <v>-0.3921015047881049</v>
      </c>
      <c r="G226" s="25">
        <f t="shared" ca="1" si="7"/>
        <v>0.30389387162696274</v>
      </c>
      <c r="L226" s="25"/>
    </row>
    <row r="227" spans="1:12" x14ac:dyDescent="0.2">
      <c r="A227" s="24">
        <v>20</v>
      </c>
      <c r="B227" s="24">
        <v>1</v>
      </c>
      <c r="C227" s="24">
        <f ca="1"/>
        <v>28</v>
      </c>
      <c r="D227" s="25">
        <f ca="1"/>
        <v>19.974336718516017</v>
      </c>
      <c r="E227" s="25">
        <f t="shared" ca="1" si="6"/>
        <v>-2.5663281483982558E-2</v>
      </c>
      <c r="G227" s="25">
        <f t="shared" ca="1" si="7"/>
        <v>0.31915849397187074</v>
      </c>
      <c r="L227" s="25"/>
    </row>
    <row r="228" spans="1:12" x14ac:dyDescent="0.2">
      <c r="A228" s="24">
        <v>20</v>
      </c>
      <c r="B228" s="24">
        <v>1</v>
      </c>
      <c r="C228" s="24">
        <f ca="1"/>
        <v>29</v>
      </c>
      <c r="D228" s="25">
        <f ca="1"/>
        <v>20.657555830168075</v>
      </c>
      <c r="E228" s="25">
        <f t="shared" ca="1" si="6"/>
        <v>0.65755583016807506</v>
      </c>
      <c r="G228" s="25">
        <f t="shared" ca="1" si="7"/>
        <v>0.2779593195039412</v>
      </c>
      <c r="L228" s="25"/>
    </row>
    <row r="229" spans="1:12" x14ac:dyDescent="0.2">
      <c r="A229" s="24">
        <v>21</v>
      </c>
      <c r="B229" s="24">
        <v>1</v>
      </c>
      <c r="C229" s="24">
        <f ca="1"/>
        <v>29</v>
      </c>
      <c r="D229" s="25">
        <f ca="1"/>
        <v>20.657555830168075</v>
      </c>
      <c r="E229" s="25">
        <f t="shared" ca="1" si="6"/>
        <v>-0.34244416983192494</v>
      </c>
      <c r="G229" s="25">
        <f t="shared" ca="1" si="7"/>
        <v>0.30746337812452051</v>
      </c>
      <c r="L229" s="25"/>
    </row>
    <row r="230" spans="1:12" x14ac:dyDescent="0.2">
      <c r="A230" s="24">
        <v>18</v>
      </c>
      <c r="B230" s="24">
        <v>1</v>
      </c>
      <c r="C230" s="24">
        <f ca="1"/>
        <v>29</v>
      </c>
      <c r="D230" s="25">
        <f ca="1"/>
        <v>20.657555830168075</v>
      </c>
      <c r="E230" s="25">
        <f t="shared" ca="1" si="6"/>
        <v>2.6575558301680751</v>
      </c>
      <c r="G230" s="25">
        <f t="shared" ca="1" si="7"/>
        <v>3.327632904268165E-2</v>
      </c>
      <c r="L230" s="25"/>
    </row>
    <row r="231" spans="1:12" x14ac:dyDescent="0.2">
      <c r="A231" s="24">
        <v>19</v>
      </c>
      <c r="B231" s="24">
        <v>1</v>
      </c>
      <c r="C231" s="24">
        <f ca="1"/>
        <v>28</v>
      </c>
      <c r="D231" s="25">
        <f ca="1"/>
        <v>19.974336718516017</v>
      </c>
      <c r="E231" s="25">
        <f t="shared" ca="1" si="6"/>
        <v>0.97433671851601744</v>
      </c>
      <c r="G231" s="25">
        <f t="shared" ca="1" si="7"/>
        <v>0.23556229359930655</v>
      </c>
      <c r="L231" s="25"/>
    </row>
    <row r="232" spans="1:12" x14ac:dyDescent="0.2">
      <c r="A232" s="24">
        <v>21</v>
      </c>
      <c r="B232" s="24">
        <v>1</v>
      </c>
      <c r="C232" s="24">
        <f ca="1"/>
        <v>29</v>
      </c>
      <c r="D232" s="25">
        <f ca="1"/>
        <v>20.657555830168075</v>
      </c>
      <c r="E232" s="25">
        <f t="shared" ca="1" si="6"/>
        <v>-0.34244416983192494</v>
      </c>
      <c r="G232" s="25">
        <f t="shared" ca="1" si="7"/>
        <v>0.30746337812452051</v>
      </c>
      <c r="L232" s="25"/>
    </row>
    <row r="233" spans="1:12" x14ac:dyDescent="0.2">
      <c r="A233" s="24">
        <v>16</v>
      </c>
      <c r="B233" s="24">
        <v>1</v>
      </c>
      <c r="C233" s="24">
        <f ca="1"/>
        <v>26</v>
      </c>
      <c r="D233" s="25">
        <f ca="1"/>
        <v>18.607898495211895</v>
      </c>
      <c r="E233" s="25">
        <f t="shared" ca="1" si="6"/>
        <v>2.6078984952118951</v>
      </c>
      <c r="G233" s="25">
        <f t="shared" ca="1" si="7"/>
        <v>3.6181717224349638E-2</v>
      </c>
      <c r="L233" s="25"/>
    </row>
    <row r="234" spans="1:12" x14ac:dyDescent="0.2">
      <c r="A234" s="24">
        <v>18</v>
      </c>
      <c r="B234" s="24">
        <v>1</v>
      </c>
      <c r="C234" s="24">
        <f ca="1"/>
        <v>26</v>
      </c>
      <c r="D234" s="25">
        <f ca="1"/>
        <v>18.607898495211895</v>
      </c>
      <c r="E234" s="25">
        <f t="shared" ca="1" si="6"/>
        <v>0.6078984952118951</v>
      </c>
      <c r="G234" s="25">
        <f t="shared" ca="1" si="7"/>
        <v>0.28360781451993688</v>
      </c>
      <c r="L234" s="25"/>
    </row>
    <row r="235" spans="1:12" x14ac:dyDescent="0.2">
      <c r="A235" s="24">
        <v>17</v>
      </c>
      <c r="B235" s="24">
        <v>1</v>
      </c>
      <c r="C235" s="24">
        <f ca="1"/>
        <v>26</v>
      </c>
      <c r="D235" s="25">
        <f ca="1"/>
        <v>18.607898495211895</v>
      </c>
      <c r="E235" s="25">
        <f t="shared" ca="1" si="6"/>
        <v>1.6078984952118951</v>
      </c>
      <c r="G235" s="25">
        <f t="shared" ca="1" si="7"/>
        <v>0.13952132892333158</v>
      </c>
      <c r="L235" s="2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167</v>
      </c>
    </row>
    <row r="4" spans="2:4" x14ac:dyDescent="0.3">
      <c r="B4" s="1" t="s">
        <v>168</v>
      </c>
    </row>
    <row r="5" spans="2:4" x14ac:dyDescent="0.3">
      <c r="B5" s="9" t="s">
        <v>175</v>
      </c>
    </row>
    <row r="6" spans="2:4" x14ac:dyDescent="0.3">
      <c r="B6" s="9"/>
    </row>
    <row r="7" spans="2:4" x14ac:dyDescent="0.3">
      <c r="C7" s="1" t="s">
        <v>173</v>
      </c>
    </row>
    <row r="8" spans="2:4" x14ac:dyDescent="0.3">
      <c r="C8" s="1">
        <v>2.2999999999999998</v>
      </c>
      <c r="D8" s="1" t="s">
        <v>169</v>
      </c>
    </row>
    <row r="9" spans="2:4" x14ac:dyDescent="0.3">
      <c r="C9" s="1">
        <v>3.1</v>
      </c>
      <c r="D9" s="1" t="s">
        <v>170</v>
      </c>
    </row>
    <row r="10" spans="2:4" x14ac:dyDescent="0.3">
      <c r="C10" s="1">
        <v>3.2</v>
      </c>
      <c r="D10" s="1" t="s">
        <v>171</v>
      </c>
    </row>
    <row r="12" spans="2:4" x14ac:dyDescent="0.3">
      <c r="C12" s="1" t="s">
        <v>174</v>
      </c>
    </row>
    <row r="13" spans="2:4" x14ac:dyDescent="0.3">
      <c r="C13" s="1">
        <v>3.5</v>
      </c>
      <c r="D13" s="1" t="s">
        <v>11</v>
      </c>
    </row>
    <row r="14" spans="2:4" x14ac:dyDescent="0.3">
      <c r="C14" s="1">
        <v>2.2000000000000002</v>
      </c>
      <c r="D14" s="1" t="s">
        <v>172</v>
      </c>
    </row>
    <row r="16" spans="2:4" x14ac:dyDescent="0.3">
      <c r="B16" s="1" t="s">
        <v>176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E9"/>
  <sheetViews>
    <sheetView workbookViewId="0"/>
  </sheetViews>
  <sheetFormatPr baseColWidth="10" defaultRowHeight="26" x14ac:dyDescent="0.3"/>
  <cols>
    <col min="1" max="2" width="10.83203125" style="1"/>
    <col min="3" max="3" width="39.1640625" style="1" bestFit="1" customWidth="1"/>
    <col min="4" max="16384" width="10.83203125" style="1"/>
  </cols>
  <sheetData>
    <row r="2" spans="2:5" x14ac:dyDescent="0.3">
      <c r="C2" s="1" t="s">
        <v>178</v>
      </c>
      <c r="D2" s="1" t="s">
        <v>179</v>
      </c>
    </row>
    <row r="3" spans="2:5" x14ac:dyDescent="0.3">
      <c r="B3" s="1">
        <v>1</v>
      </c>
      <c r="C3" s="1" t="s">
        <v>248</v>
      </c>
      <c r="D3" s="1">
        <v>5</v>
      </c>
    </row>
    <row r="4" spans="2:5" x14ac:dyDescent="0.3">
      <c r="B4" s="1">
        <v>2</v>
      </c>
      <c r="C4" s="1" t="s">
        <v>249</v>
      </c>
      <c r="D4" s="1">
        <v>15</v>
      </c>
    </row>
    <row r="5" spans="2:5" x14ac:dyDescent="0.3">
      <c r="B5" s="1">
        <v>3</v>
      </c>
      <c r="C5" s="1" t="s">
        <v>250</v>
      </c>
      <c r="D5" s="1">
        <v>5</v>
      </c>
    </row>
    <row r="6" spans="2:5" x14ac:dyDescent="0.3">
      <c r="B6" s="1">
        <v>4</v>
      </c>
      <c r="C6" s="1" t="s">
        <v>251</v>
      </c>
      <c r="D6" s="1">
        <v>10</v>
      </c>
    </row>
    <row r="7" spans="2:5" x14ac:dyDescent="0.3">
      <c r="B7" s="1">
        <v>5</v>
      </c>
      <c r="C7" s="1" t="s">
        <v>237</v>
      </c>
      <c r="D7" s="1">
        <v>5</v>
      </c>
    </row>
    <row r="8" spans="2:5" x14ac:dyDescent="0.3">
      <c r="B8" s="1">
        <v>6</v>
      </c>
      <c r="C8" s="1" t="s">
        <v>252</v>
      </c>
      <c r="D8" s="1">
        <v>10</v>
      </c>
    </row>
    <row r="9" spans="2:5" x14ac:dyDescent="0.3">
      <c r="C9" s="1" t="s">
        <v>149</v>
      </c>
      <c r="D9" s="1">
        <v>5</v>
      </c>
      <c r="E9" s="1" t="s">
        <v>253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2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7</v>
      </c>
    </row>
    <row r="7" spans="1:3" x14ac:dyDescent="0.3">
      <c r="B7" s="1" t="s">
        <v>8</v>
      </c>
    </row>
    <row r="8" spans="1:3" x14ac:dyDescent="0.3">
      <c r="B8" s="1" t="s">
        <v>220</v>
      </c>
    </row>
    <row r="9" spans="1:3" x14ac:dyDescent="0.3">
      <c r="A9" s="1">
        <v>1</v>
      </c>
      <c r="B9" s="1" t="s">
        <v>10</v>
      </c>
    </row>
    <row r="10" spans="1:3" x14ac:dyDescent="0.3">
      <c r="A10" s="1">
        <v>2</v>
      </c>
      <c r="B10" s="1" t="s">
        <v>227</v>
      </c>
    </row>
    <row r="11" spans="1:3" x14ac:dyDescent="0.3">
      <c r="A11" s="1">
        <v>3</v>
      </c>
      <c r="B11" s="1" t="s">
        <v>228</v>
      </c>
    </row>
    <row r="12" spans="1:3" x14ac:dyDescent="0.3">
      <c r="A12" s="1">
        <v>4</v>
      </c>
      <c r="B12" s="1" t="s">
        <v>229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C5188-9DFD-3449-ADBC-A3275424FBF1}">
  <sheetPr codeName="Sheet45">
    <tabColor rgb="FFFFFF00"/>
  </sheetPr>
  <dimension ref="A2:C12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218</v>
      </c>
    </row>
    <row r="4" spans="1:3" x14ac:dyDescent="0.3">
      <c r="B4" s="1" t="s">
        <v>162</v>
      </c>
    </row>
    <row r="5" spans="1:3" x14ac:dyDescent="0.3">
      <c r="B5" s="1" t="s">
        <v>6</v>
      </c>
    </row>
    <row r="6" spans="1:3" x14ac:dyDescent="0.3">
      <c r="B6" s="1" t="s">
        <v>230</v>
      </c>
    </row>
    <row r="7" spans="1:3" x14ac:dyDescent="0.3">
      <c r="B7" s="31" t="s">
        <v>231</v>
      </c>
    </row>
    <row r="8" spans="1:3" x14ac:dyDescent="0.3">
      <c r="B8" s="1" t="s">
        <v>220</v>
      </c>
    </row>
    <row r="9" spans="1:3" x14ac:dyDescent="0.3">
      <c r="A9" s="1">
        <v>1</v>
      </c>
      <c r="B9" s="1" t="s">
        <v>10</v>
      </c>
    </row>
    <row r="10" spans="1:3" x14ac:dyDescent="0.3">
      <c r="A10" s="1">
        <v>2</v>
      </c>
      <c r="B10" s="1" t="s">
        <v>227</v>
      </c>
    </row>
    <row r="11" spans="1:3" x14ac:dyDescent="0.3">
      <c r="A11" s="1">
        <v>3</v>
      </c>
      <c r="B11" s="1" t="s">
        <v>228</v>
      </c>
    </row>
    <row r="12" spans="1:3" x14ac:dyDescent="0.3">
      <c r="A12" s="1">
        <v>4</v>
      </c>
      <c r="B12" s="1" t="s">
        <v>229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>
    <tabColor rgb="FFFFFF00"/>
  </sheetPr>
  <dimension ref="B2:C10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221</v>
      </c>
    </row>
    <row r="3" spans="2:3" x14ac:dyDescent="0.3">
      <c r="B3" s="1" t="s">
        <v>223</v>
      </c>
    </row>
    <row r="4" spans="2:3" x14ac:dyDescent="0.3">
      <c r="B4" s="1" t="s">
        <v>222</v>
      </c>
    </row>
    <row r="5" spans="2:3" x14ac:dyDescent="0.3">
      <c r="B5" s="1" t="s">
        <v>224</v>
      </c>
    </row>
    <row r="6" spans="2:3" x14ac:dyDescent="0.3">
      <c r="B6" s="1" t="s">
        <v>225</v>
      </c>
    </row>
    <row r="7" spans="2:3" x14ac:dyDescent="0.3">
      <c r="B7" s="1" t="s">
        <v>226</v>
      </c>
    </row>
    <row r="9" spans="2:3" x14ac:dyDescent="0.3">
      <c r="B9" s="1">
        <v>1</v>
      </c>
      <c r="C9" s="30">
        <v>-0.6039436967019185</v>
      </c>
    </row>
    <row r="10" spans="2:3" x14ac:dyDescent="0.3">
      <c r="B10" s="1">
        <v>2</v>
      </c>
      <c r="C10" s="30">
        <v>-1.6719175344733632</v>
      </c>
    </row>
    <row r="11" spans="2:3" x14ac:dyDescent="0.3">
      <c r="B11" s="1">
        <v>3</v>
      </c>
      <c r="C11" s="30">
        <v>0.40184913502282832</v>
      </c>
    </row>
    <row r="12" spans="2:3" x14ac:dyDescent="0.3">
      <c r="B12" s="1">
        <v>4</v>
      </c>
      <c r="C12" s="30">
        <v>0.30727823657017334</v>
      </c>
    </row>
    <row r="13" spans="2:3" x14ac:dyDescent="0.3">
      <c r="B13" s="1">
        <v>5</v>
      </c>
      <c r="C13" s="30">
        <v>-0.37368465819349961</v>
      </c>
    </row>
    <row r="14" spans="2:3" x14ac:dyDescent="0.3">
      <c r="B14" s="1">
        <v>6</v>
      </c>
      <c r="C14" s="30">
        <v>-9.366883694402816E-3</v>
      </c>
    </row>
    <row r="15" spans="2:3" x14ac:dyDescent="0.3">
      <c r="B15" s="1">
        <v>7</v>
      </c>
      <c r="C15" s="30">
        <v>1.3117169310061875E-2</v>
      </c>
    </row>
    <row r="16" spans="2:3" x14ac:dyDescent="0.3">
      <c r="B16" s="1">
        <v>8</v>
      </c>
      <c r="C16" s="30">
        <v>-0.78256316224714573</v>
      </c>
    </row>
    <row r="17" spans="2:3" x14ac:dyDescent="0.3">
      <c r="B17" s="1">
        <v>9</v>
      </c>
      <c r="C17" s="30">
        <v>1.1190604961988084</v>
      </c>
    </row>
    <row r="18" spans="2:3" x14ac:dyDescent="0.3">
      <c r="B18" s="1">
        <v>10</v>
      </c>
      <c r="C18" s="30">
        <v>-0.54240730588938257</v>
      </c>
    </row>
    <row r="19" spans="2:3" x14ac:dyDescent="0.3">
      <c r="B19" s="1">
        <v>11</v>
      </c>
      <c r="C19" s="30">
        <v>1.1382095813233741</v>
      </c>
    </row>
    <row r="20" spans="2:3" x14ac:dyDescent="0.3">
      <c r="B20" s="1">
        <v>12</v>
      </c>
      <c r="C20" s="30">
        <v>1.086176184091405</v>
      </c>
    </row>
    <row r="21" spans="2:3" x14ac:dyDescent="0.3">
      <c r="B21" s="1">
        <v>13</v>
      </c>
      <c r="C21" s="30">
        <v>0.30080586523694103</v>
      </c>
    </row>
    <row r="22" spans="2:3" x14ac:dyDescent="0.3">
      <c r="B22" s="1">
        <v>14</v>
      </c>
      <c r="C22" s="30">
        <v>0.85210131981163384</v>
      </c>
    </row>
    <row r="23" spans="2:3" x14ac:dyDescent="0.3">
      <c r="B23" s="1">
        <v>15</v>
      </c>
      <c r="C23" s="30">
        <v>1.5313934981064063</v>
      </c>
    </row>
    <row r="24" spans="2:3" x14ac:dyDescent="0.3">
      <c r="B24" s="1">
        <v>16</v>
      </c>
      <c r="C24" s="30">
        <v>0.22909420674449005</v>
      </c>
    </row>
    <row r="25" spans="2:3" x14ac:dyDescent="0.3">
      <c r="B25" s="1">
        <v>17</v>
      </c>
      <c r="C25" s="30">
        <v>0.69050010917315396</v>
      </c>
    </row>
    <row r="26" spans="2:3" x14ac:dyDescent="0.3">
      <c r="B26" s="1">
        <v>18</v>
      </c>
      <c r="C26" s="30">
        <v>-1.4584581126924541</v>
      </c>
    </row>
    <row r="27" spans="2:3" x14ac:dyDescent="0.3">
      <c r="B27" s="1">
        <v>19</v>
      </c>
      <c r="C27" s="30">
        <v>0.16339404004900512</v>
      </c>
    </row>
    <row r="28" spans="2:3" x14ac:dyDescent="0.3">
      <c r="B28" s="1">
        <v>20</v>
      </c>
      <c r="C28" s="30">
        <v>1.688534338489323</v>
      </c>
    </row>
    <row r="29" spans="2:3" x14ac:dyDescent="0.3">
      <c r="B29" s="1">
        <v>21</v>
      </c>
      <c r="C29" s="30">
        <v>1.4265103216095973</v>
      </c>
    </row>
    <row r="30" spans="2:3" x14ac:dyDescent="0.3">
      <c r="B30" s="1">
        <v>22</v>
      </c>
      <c r="C30" s="30">
        <v>1.6225540843307062</v>
      </c>
    </row>
    <row r="31" spans="2:3" x14ac:dyDescent="0.3">
      <c r="B31" s="1">
        <v>23</v>
      </c>
      <c r="C31" s="30">
        <v>-1.6511983902123193</v>
      </c>
    </row>
    <row r="32" spans="2:3" x14ac:dyDescent="0.3">
      <c r="B32" s="1">
        <v>24</v>
      </c>
      <c r="C32" s="30">
        <v>1.4339490970789934</v>
      </c>
    </row>
    <row r="33" spans="2:3" x14ac:dyDescent="0.3">
      <c r="B33" s="1">
        <v>25</v>
      </c>
      <c r="C33" s="30">
        <v>1.5826514473398476</v>
      </c>
    </row>
    <row r="34" spans="2:3" x14ac:dyDescent="0.3">
      <c r="B34" s="1">
        <v>26</v>
      </c>
      <c r="C34" s="30">
        <v>-0.3877583632437076</v>
      </c>
    </row>
    <row r="35" spans="2:3" x14ac:dyDescent="0.3">
      <c r="B35" s="1">
        <v>27</v>
      </c>
      <c r="C35" s="30">
        <v>1.9519227914852793</v>
      </c>
    </row>
    <row r="36" spans="2:3" x14ac:dyDescent="0.3">
      <c r="B36" s="1">
        <v>28</v>
      </c>
      <c r="C36" s="30">
        <v>-0.21923111738203738</v>
      </c>
    </row>
    <row r="37" spans="2:3" x14ac:dyDescent="0.3">
      <c r="B37" s="1">
        <v>29</v>
      </c>
      <c r="C37" s="30">
        <v>0.44706942834262542</v>
      </c>
    </row>
    <row r="38" spans="2:3" x14ac:dyDescent="0.3">
      <c r="B38" s="1">
        <v>30</v>
      </c>
      <c r="C38" s="30">
        <v>1.1670778206512564</v>
      </c>
    </row>
    <row r="39" spans="2:3" x14ac:dyDescent="0.3">
      <c r="B39" s="1">
        <v>31</v>
      </c>
      <c r="C39" s="30">
        <v>-1.6377830981553103</v>
      </c>
    </row>
    <row r="40" spans="2:3" x14ac:dyDescent="0.3">
      <c r="B40" s="1">
        <v>32</v>
      </c>
      <c r="C40" s="30">
        <v>-0.66922881349782881</v>
      </c>
    </row>
    <row r="41" spans="2:3" x14ac:dyDescent="0.3">
      <c r="B41" s="1">
        <v>33</v>
      </c>
      <c r="C41" s="30">
        <v>1.1017245715247261</v>
      </c>
    </row>
    <row r="42" spans="2:3" x14ac:dyDescent="0.3">
      <c r="B42" s="1">
        <v>34</v>
      </c>
      <c r="C42" s="30">
        <v>-1.7715162847138961</v>
      </c>
    </row>
    <row r="43" spans="2:3" x14ac:dyDescent="0.3">
      <c r="B43" s="1">
        <v>35</v>
      </c>
      <c r="C43" s="30">
        <v>1.1363992110244576</v>
      </c>
    </row>
    <row r="44" spans="2:3" x14ac:dyDescent="0.3">
      <c r="B44" s="1">
        <v>36</v>
      </c>
      <c r="C44" s="30">
        <v>0.1709868338989711</v>
      </c>
    </row>
    <row r="45" spans="2:3" x14ac:dyDescent="0.3">
      <c r="B45" s="1">
        <v>37</v>
      </c>
      <c r="C45" s="30">
        <v>-0.97789827071903102</v>
      </c>
    </row>
    <row r="46" spans="2:3" x14ac:dyDescent="0.3">
      <c r="B46" s="1">
        <v>38</v>
      </c>
      <c r="C46" s="30">
        <v>1.3176057454926744</v>
      </c>
    </row>
    <row r="47" spans="2:3" x14ac:dyDescent="0.3">
      <c r="B47" s="1">
        <v>39</v>
      </c>
      <c r="C47" s="30">
        <v>1.5033528202910642</v>
      </c>
    </row>
    <row r="48" spans="2:3" x14ac:dyDescent="0.3">
      <c r="B48" s="1">
        <v>40</v>
      </c>
      <c r="C48" s="30">
        <v>-2.4536430837855581</v>
      </c>
    </row>
    <row r="49" spans="2:3" x14ac:dyDescent="0.3">
      <c r="B49" s="1">
        <v>41</v>
      </c>
      <c r="C49" s="30">
        <v>-1.1534538846038771</v>
      </c>
    </row>
    <row r="50" spans="2:3" x14ac:dyDescent="0.3">
      <c r="B50" s="1">
        <v>42</v>
      </c>
      <c r="C50" s="30">
        <v>1.3168391353737636</v>
      </c>
    </row>
    <row r="51" spans="2:3" x14ac:dyDescent="0.3">
      <c r="B51" s="1">
        <v>43</v>
      </c>
      <c r="C51" s="30">
        <v>2.6229915304728881</v>
      </c>
    </row>
    <row r="52" spans="2:3" x14ac:dyDescent="0.3">
      <c r="B52" s="1">
        <v>44</v>
      </c>
      <c r="C52" s="30">
        <v>1.1337392047868535</v>
      </c>
    </row>
    <row r="53" spans="2:3" x14ac:dyDescent="0.3">
      <c r="B53" s="1">
        <v>45</v>
      </c>
      <c r="C53" s="30">
        <v>0.3392056214691086</v>
      </c>
    </row>
    <row r="54" spans="2:3" x14ac:dyDescent="0.3">
      <c r="B54" s="1">
        <v>46</v>
      </c>
      <c r="C54" s="30">
        <v>-0.40571829237770435</v>
      </c>
    </row>
    <row r="55" spans="2:3" x14ac:dyDescent="0.3">
      <c r="B55" s="1">
        <v>47</v>
      </c>
      <c r="C55" s="30">
        <v>-0.11373444136668834</v>
      </c>
    </row>
    <row r="56" spans="2:3" x14ac:dyDescent="0.3">
      <c r="B56" s="1">
        <v>48</v>
      </c>
      <c r="C56" s="30">
        <v>-0.59660740238593235</v>
      </c>
    </row>
    <row r="57" spans="2:3" x14ac:dyDescent="0.3">
      <c r="B57" s="1">
        <v>49</v>
      </c>
      <c r="C57" s="30">
        <v>0.24015693616367695</v>
      </c>
    </row>
    <row r="58" spans="2:3" x14ac:dyDescent="0.3">
      <c r="B58" s="1">
        <v>50</v>
      </c>
      <c r="C58" s="30">
        <v>-1.0406726848604984</v>
      </c>
    </row>
    <row r="59" spans="2:3" x14ac:dyDescent="0.3">
      <c r="B59" s="1">
        <v>51</v>
      </c>
      <c r="C59" s="30">
        <v>3.2978919145068009E-3</v>
      </c>
    </row>
    <row r="60" spans="2:3" x14ac:dyDescent="0.3">
      <c r="B60" s="1">
        <v>52</v>
      </c>
      <c r="C60" s="30">
        <v>0.39775657970409944</v>
      </c>
    </row>
    <row r="61" spans="2:3" x14ac:dyDescent="0.3">
      <c r="B61" s="1">
        <v>53</v>
      </c>
      <c r="C61" s="30">
        <v>-0.61276779582497198</v>
      </c>
    </row>
    <row r="62" spans="2:3" x14ac:dyDescent="0.3">
      <c r="B62" s="1">
        <v>54</v>
      </c>
      <c r="C62" s="30">
        <v>0.33936564570716987</v>
      </c>
    </row>
    <row r="63" spans="2:3" x14ac:dyDescent="0.3">
      <c r="B63" s="1">
        <v>55</v>
      </c>
      <c r="C63" s="30">
        <v>2.0353956645236679</v>
      </c>
    </row>
    <row r="64" spans="2:3" x14ac:dyDescent="0.3">
      <c r="B64" s="1">
        <v>56</v>
      </c>
      <c r="C64" s="30">
        <v>0.1687627338989578</v>
      </c>
    </row>
    <row r="65" spans="2:3" x14ac:dyDescent="0.3">
      <c r="B65" s="1">
        <v>57</v>
      </c>
      <c r="C65" s="30">
        <v>-0.5215958058513197</v>
      </c>
    </row>
    <row r="66" spans="2:3" x14ac:dyDescent="0.3">
      <c r="B66" s="1">
        <v>58</v>
      </c>
      <c r="C66" s="30">
        <v>-2.2905974847427357</v>
      </c>
    </row>
    <row r="67" spans="2:3" x14ac:dyDescent="0.3">
      <c r="B67" s="1">
        <v>59</v>
      </c>
      <c r="C67" s="30">
        <v>1.2845051514324732</v>
      </c>
    </row>
    <row r="68" spans="2:3" x14ac:dyDescent="0.3">
      <c r="B68" s="1">
        <v>60</v>
      </c>
      <c r="C68" s="30">
        <v>1.8999896902368685</v>
      </c>
    </row>
    <row r="69" spans="2:3" x14ac:dyDescent="0.3">
      <c r="B69" s="1">
        <v>61</v>
      </c>
      <c r="C69" s="30">
        <v>0.89328594622107627</v>
      </c>
    </row>
    <row r="70" spans="2:3" x14ac:dyDescent="0.3">
      <c r="B70" s="1">
        <v>62</v>
      </c>
      <c r="C70" s="30">
        <v>-0.27499733465051979</v>
      </c>
    </row>
    <row r="71" spans="2:3" x14ac:dyDescent="0.3">
      <c r="B71" s="1">
        <v>63</v>
      </c>
      <c r="C71" s="30">
        <v>1.4816817959120243</v>
      </c>
    </row>
    <row r="72" spans="2:3" x14ac:dyDescent="0.3">
      <c r="B72" s="1">
        <v>64</v>
      </c>
      <c r="C72" s="30">
        <v>0.3841737226896953</v>
      </c>
    </row>
    <row r="73" spans="2:3" x14ac:dyDescent="0.3">
      <c r="B73" s="1">
        <v>65</v>
      </c>
      <c r="C73" s="30">
        <v>-0.62219229397798825</v>
      </c>
    </row>
    <row r="74" spans="2:3" x14ac:dyDescent="0.3">
      <c r="B74" s="1">
        <v>66</v>
      </c>
      <c r="C74" s="30">
        <v>1.3075136557960287</v>
      </c>
    </row>
    <row r="75" spans="2:3" x14ac:dyDescent="0.3">
      <c r="B75" s="1">
        <v>67</v>
      </c>
      <c r="C75" s="30">
        <v>-0.99140328843756009</v>
      </c>
    </row>
    <row r="76" spans="2:3" x14ac:dyDescent="0.3">
      <c r="B76" s="1">
        <v>68</v>
      </c>
      <c r="C76" s="30">
        <v>-0.65389179628050809</v>
      </c>
    </row>
    <row r="77" spans="2:3" x14ac:dyDescent="0.3">
      <c r="B77" s="1">
        <v>69</v>
      </c>
      <c r="C77" s="30">
        <v>0.7602399069503547</v>
      </c>
    </row>
    <row r="78" spans="2:3" x14ac:dyDescent="0.3">
      <c r="B78" s="1">
        <v>70</v>
      </c>
      <c r="C78" s="30">
        <v>0.4479402070887965</v>
      </c>
    </row>
    <row r="79" spans="2:3" x14ac:dyDescent="0.3">
      <c r="B79" s="1">
        <v>71</v>
      </c>
      <c r="C79" s="30">
        <v>1.4667007574797188</v>
      </c>
    </row>
    <row r="80" spans="2:3" x14ac:dyDescent="0.3">
      <c r="B80" s="1">
        <v>72</v>
      </c>
      <c r="C80" s="30">
        <v>-0.57378300660521242</v>
      </c>
    </row>
    <row r="81" spans="2:3" x14ac:dyDescent="0.3">
      <c r="B81" s="1">
        <v>73</v>
      </c>
      <c r="C81" s="30">
        <v>-2.5962499819597875</v>
      </c>
    </row>
    <row r="82" spans="2:3" x14ac:dyDescent="0.3">
      <c r="B82" s="1">
        <v>74</v>
      </c>
      <c r="C82" s="30">
        <v>0.21375987066733493</v>
      </c>
    </row>
    <row r="83" spans="2:3" x14ac:dyDescent="0.3">
      <c r="B83" s="1">
        <v>75</v>
      </c>
      <c r="C83" s="30">
        <v>-0.12886101761210611</v>
      </c>
    </row>
    <row r="84" spans="2:3" x14ac:dyDescent="0.3">
      <c r="B84" s="1">
        <v>76</v>
      </c>
      <c r="C84" s="30">
        <v>-1.8018146831912518</v>
      </c>
    </row>
    <row r="85" spans="2:3" x14ac:dyDescent="0.3">
      <c r="B85" s="1">
        <v>77</v>
      </c>
      <c r="C85" s="30">
        <v>-1.2033782748269179</v>
      </c>
    </row>
    <row r="86" spans="2:3" x14ac:dyDescent="0.3">
      <c r="B86" s="1">
        <v>78</v>
      </c>
      <c r="C86" s="30">
        <v>-0.20157509384794314</v>
      </c>
    </row>
    <row r="87" spans="2:3" x14ac:dyDescent="0.3">
      <c r="B87" s="1">
        <v>79</v>
      </c>
      <c r="C87" s="30">
        <v>1.1112895334145017</v>
      </c>
    </row>
    <row r="88" spans="2:3" x14ac:dyDescent="0.3">
      <c r="B88" s="1">
        <v>80</v>
      </c>
      <c r="C88" s="30">
        <v>1.3531553986312159E-2</v>
      </c>
    </row>
    <row r="89" spans="2:3" x14ac:dyDescent="0.3">
      <c r="B89" s="1">
        <v>81</v>
      </c>
      <c r="C89" s="30">
        <v>-1.5181337043779473</v>
      </c>
    </row>
    <row r="90" spans="2:3" x14ac:dyDescent="0.3">
      <c r="B90" s="1">
        <v>82</v>
      </c>
      <c r="C90" s="30">
        <v>-1.2096819414205964</v>
      </c>
    </row>
    <row r="91" spans="2:3" x14ac:dyDescent="0.3">
      <c r="B91" s="1">
        <v>83</v>
      </c>
      <c r="C91" s="30">
        <v>0.2161409301087818</v>
      </c>
    </row>
    <row r="92" spans="2:3" x14ac:dyDescent="0.3">
      <c r="B92" s="1">
        <v>84</v>
      </c>
      <c r="C92" s="30">
        <v>-0.26281162152121301</v>
      </c>
    </row>
    <row r="93" spans="2:3" x14ac:dyDescent="0.3">
      <c r="B93" s="1">
        <v>85</v>
      </c>
      <c r="C93" s="30">
        <v>-0.73891083981780448</v>
      </c>
    </row>
    <row r="94" spans="2:3" x14ac:dyDescent="0.3">
      <c r="B94" s="1">
        <v>86</v>
      </c>
      <c r="C94" s="30">
        <v>-0.66307670220531834</v>
      </c>
    </row>
    <row r="95" spans="2:3" x14ac:dyDescent="0.3">
      <c r="B95" s="1">
        <v>87</v>
      </c>
      <c r="C95" s="30">
        <v>-0.72464605518553815</v>
      </c>
    </row>
    <row r="96" spans="2:3" x14ac:dyDescent="0.3">
      <c r="B96" s="1">
        <v>88</v>
      </c>
      <c r="C96" s="30">
        <v>0.65635646180014862</v>
      </c>
    </row>
    <row r="97" spans="2:3" x14ac:dyDescent="0.3">
      <c r="B97" s="1">
        <v>89</v>
      </c>
      <c r="C97" s="30">
        <v>-0.57421648132073655</v>
      </c>
    </row>
    <row r="98" spans="2:3" x14ac:dyDescent="0.3">
      <c r="B98" s="1">
        <v>90</v>
      </c>
      <c r="C98" s="30">
        <v>0.56953608868411698</v>
      </c>
    </row>
    <row r="99" spans="2:3" x14ac:dyDescent="0.3">
      <c r="B99" s="1">
        <v>91</v>
      </c>
      <c r="C99" s="30">
        <v>1.4101529132191695</v>
      </c>
    </row>
    <row r="100" spans="2:3" x14ac:dyDescent="0.3">
      <c r="B100" s="1">
        <v>92</v>
      </c>
      <c r="C100" s="30">
        <v>0.43531590604033632</v>
      </c>
    </row>
    <row r="101" spans="2:3" x14ac:dyDescent="0.3">
      <c r="B101" s="1">
        <v>93</v>
      </c>
      <c r="C101" s="30">
        <v>1.2938999536699074</v>
      </c>
    </row>
    <row r="102" spans="2:3" x14ac:dyDescent="0.3">
      <c r="B102" s="1">
        <v>94</v>
      </c>
      <c r="C102" s="30">
        <v>-1.6524609731671758</v>
      </c>
    </row>
    <row r="103" spans="2:3" x14ac:dyDescent="0.3">
      <c r="B103" s="1">
        <v>95</v>
      </c>
      <c r="C103" s="30">
        <v>-0.24531940792583806</v>
      </c>
    </row>
    <row r="104" spans="2:3" x14ac:dyDescent="0.3">
      <c r="B104" s="1">
        <v>96</v>
      </c>
      <c r="C104" s="30">
        <v>-1.5081609068602533</v>
      </c>
    </row>
    <row r="105" spans="2:3" x14ac:dyDescent="0.3">
      <c r="B105" s="1">
        <v>97</v>
      </c>
      <c r="C105" s="30">
        <v>-2.1609866763750989</v>
      </c>
    </row>
    <row r="106" spans="2:3" x14ac:dyDescent="0.3">
      <c r="B106" s="1">
        <v>98</v>
      </c>
      <c r="C106" s="30">
        <v>0.62520857562536558</v>
      </c>
    </row>
    <row r="107" spans="2:3" x14ac:dyDescent="0.3">
      <c r="B107" s="1">
        <v>99</v>
      </c>
      <c r="C107" s="30">
        <v>0.62460945265742029</v>
      </c>
    </row>
    <row r="108" spans="2:3" x14ac:dyDescent="0.3">
      <c r="B108" s="1">
        <v>100</v>
      </c>
      <c r="C108" s="30">
        <v>9.0332779371269878E-2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A9F0-9F8B-6F42-8D46-1C3ED7687E6A}">
  <sheetPr>
    <tabColor rgb="FFFFFF00"/>
  </sheetPr>
  <dimension ref="A2:C9"/>
  <sheetViews>
    <sheetView workbookViewId="0">
      <selection activeCell="B10" sqref="B10"/>
    </sheetView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245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246</v>
      </c>
    </row>
    <row r="9" spans="1:3" x14ac:dyDescent="0.3">
      <c r="A9" s="1">
        <v>3</v>
      </c>
      <c r="B9" s="1" t="s">
        <v>247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237</v>
      </c>
    </row>
    <row r="3" spans="2:5" x14ac:dyDescent="0.25">
      <c r="B3" s="9" t="s">
        <v>239</v>
      </c>
      <c r="C3" s="9"/>
    </row>
    <row r="4" spans="2:5" x14ac:dyDescent="0.25">
      <c r="B4" s="8" t="s">
        <v>240</v>
      </c>
    </row>
    <row r="5" spans="2:5" x14ac:dyDescent="0.25">
      <c r="B5" s="8" t="s">
        <v>241</v>
      </c>
    </row>
    <row r="7" spans="2:5" x14ac:dyDescent="0.25">
      <c r="B7" s="10" t="s">
        <v>17</v>
      </c>
      <c r="C7" s="10" t="s">
        <v>18</v>
      </c>
      <c r="E7" s="10" t="s">
        <v>237</v>
      </c>
    </row>
    <row r="8" spans="2:5" x14ac:dyDescent="0.25">
      <c r="B8" s="8" t="s">
        <v>22</v>
      </c>
      <c r="C8" s="8" t="s">
        <v>23</v>
      </c>
      <c r="E8" s="11"/>
    </row>
    <row r="9" spans="2:5" x14ac:dyDescent="0.25">
      <c r="B9" s="8" t="s">
        <v>23</v>
      </c>
      <c r="C9" s="8" t="s">
        <v>22</v>
      </c>
    </row>
    <row r="10" spans="2:5" x14ac:dyDescent="0.25">
      <c r="B10" s="8" t="s">
        <v>22</v>
      </c>
      <c r="C10" s="8" t="s">
        <v>23</v>
      </c>
    </row>
    <row r="11" spans="2:5" x14ac:dyDescent="0.25">
      <c r="B11" s="8" t="s">
        <v>22</v>
      </c>
      <c r="C11" s="8" t="s">
        <v>22</v>
      </c>
    </row>
    <row r="12" spans="2:5" x14ac:dyDescent="0.25">
      <c r="B12" s="8" t="s">
        <v>23</v>
      </c>
      <c r="C12" s="8" t="s">
        <v>23</v>
      </c>
    </row>
    <row r="13" spans="2:5" x14ac:dyDescent="0.25">
      <c r="B13" s="8" t="s">
        <v>23</v>
      </c>
      <c r="C13" s="8" t="s">
        <v>22</v>
      </c>
    </row>
    <row r="14" spans="2:5" x14ac:dyDescent="0.25">
      <c r="B14" s="8" t="s">
        <v>22</v>
      </c>
      <c r="C14" s="8" t="s">
        <v>22</v>
      </c>
    </row>
    <row r="15" spans="2:5" x14ac:dyDescent="0.25">
      <c r="B15" s="8" t="s">
        <v>23</v>
      </c>
      <c r="C15" s="8" t="s">
        <v>22</v>
      </c>
    </row>
    <row r="16" spans="2:5" x14ac:dyDescent="0.25">
      <c r="B16" s="8" t="s">
        <v>22</v>
      </c>
      <c r="C16" s="8" t="s">
        <v>23</v>
      </c>
    </row>
    <row r="17" spans="2:4" x14ac:dyDescent="0.25">
      <c r="B17" s="8" t="s">
        <v>23</v>
      </c>
      <c r="C17" s="8" t="s">
        <v>23</v>
      </c>
    </row>
    <row r="18" spans="2:4" x14ac:dyDescent="0.25">
      <c r="B18" s="8" t="s">
        <v>22</v>
      </c>
      <c r="C18" s="8" t="s">
        <v>22</v>
      </c>
      <c r="D18" s="8" t="s">
        <v>24</v>
      </c>
    </row>
    <row r="19" spans="2:4" x14ac:dyDescent="0.25">
      <c r="B19" s="8" t="s">
        <v>23</v>
      </c>
      <c r="C19" s="8" t="s">
        <v>23</v>
      </c>
    </row>
    <row r="20" spans="2:4" x14ac:dyDescent="0.25">
      <c r="B20" s="8" t="s">
        <v>22</v>
      </c>
      <c r="C20" s="8" t="s">
        <v>22</v>
      </c>
    </row>
    <row r="21" spans="2:4" x14ac:dyDescent="0.25">
      <c r="B21" s="8" t="s">
        <v>23</v>
      </c>
      <c r="C21" s="8" t="s">
        <v>23</v>
      </c>
    </row>
    <row r="22" spans="2:4" x14ac:dyDescent="0.25">
      <c r="B22" s="8" t="s">
        <v>23</v>
      </c>
      <c r="C22" s="8" t="s">
        <v>22</v>
      </c>
    </row>
    <row r="23" spans="2:4" x14ac:dyDescent="0.25">
      <c r="B23" s="8" t="s">
        <v>23</v>
      </c>
      <c r="C23" s="8" t="s">
        <v>22</v>
      </c>
    </row>
    <row r="24" spans="2:4" x14ac:dyDescent="0.25">
      <c r="B24" s="8" t="s">
        <v>22</v>
      </c>
      <c r="C24" s="8" t="s">
        <v>23</v>
      </c>
    </row>
    <row r="25" spans="2:4" x14ac:dyDescent="0.25">
      <c r="B25" s="8" t="s">
        <v>23</v>
      </c>
      <c r="C25" s="8" t="s">
        <v>23</v>
      </c>
    </row>
    <row r="26" spans="2:4" x14ac:dyDescent="0.25">
      <c r="B26" s="8" t="s">
        <v>22</v>
      </c>
      <c r="C26" s="8" t="s">
        <v>22</v>
      </c>
    </row>
    <row r="27" spans="2:4" x14ac:dyDescent="0.25">
      <c r="B27" s="8" t="s">
        <v>23</v>
      </c>
      <c r="C27" s="8" t="s">
        <v>23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244</v>
      </c>
    </row>
    <row r="4" spans="1:3" x14ac:dyDescent="0.3">
      <c r="C4" s="1" t="s">
        <v>219</v>
      </c>
    </row>
    <row r="5" spans="1:3" x14ac:dyDescent="0.3">
      <c r="B5" s="1" t="s">
        <v>25</v>
      </c>
    </row>
    <row r="6" spans="1:3" x14ac:dyDescent="0.3">
      <c r="B6" s="1" t="s">
        <v>220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243</v>
      </c>
    </row>
    <row r="9" spans="1:3" x14ac:dyDescent="0.3">
      <c r="B9" s="1" t="s">
        <v>180</v>
      </c>
    </row>
    <row r="10" spans="1:3" x14ac:dyDescent="0.3">
      <c r="B10" s="1" t="s">
        <v>242</v>
      </c>
    </row>
    <row r="11" spans="1:3" x14ac:dyDescent="0.3">
      <c r="B11" s="1" t="s">
        <v>232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9</v>
      </c>
    </row>
    <row r="3" spans="1:2" x14ac:dyDescent="0.3">
      <c r="B3" s="1" t="s">
        <v>163</v>
      </c>
    </row>
    <row r="4" spans="1:2" x14ac:dyDescent="0.3">
      <c r="B4" s="1" t="s">
        <v>164</v>
      </c>
    </row>
    <row r="5" spans="1:2" x14ac:dyDescent="0.3">
      <c r="B5" s="1" t="s">
        <v>220</v>
      </c>
    </row>
    <row r="6" spans="1:2" x14ac:dyDescent="0.3">
      <c r="A6" s="28">
        <v>1</v>
      </c>
      <c r="B6" s="28" t="s">
        <v>10</v>
      </c>
    </row>
    <row r="7" spans="1:2" x14ac:dyDescent="0.3">
      <c r="A7" s="28">
        <v>2</v>
      </c>
      <c r="B7" s="28" t="s">
        <v>165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191</v>
      </c>
      <c r="B1" t="s">
        <v>190</v>
      </c>
      <c r="C1" t="s">
        <v>189</v>
      </c>
      <c r="D1" t="s">
        <v>188</v>
      </c>
      <c r="E1" t="s">
        <v>187</v>
      </c>
      <c r="F1" t="s">
        <v>186</v>
      </c>
      <c r="G1" t="s">
        <v>185</v>
      </c>
    </row>
    <row r="2" spans="1:7" x14ac:dyDescent="0.2">
      <c r="A2">
        <v>12500</v>
      </c>
      <c r="B2">
        <v>0.17269999999999999</v>
      </c>
      <c r="C2" t="s">
        <v>181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181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183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181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181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183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183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181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181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181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181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183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181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183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181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181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181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183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181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181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181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181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183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183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182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182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181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181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181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181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181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183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181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181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181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181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181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183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181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181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182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181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181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182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181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181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183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182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181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181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182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181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183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182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181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183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183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183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183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183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181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182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183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181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181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181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183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183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181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183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183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181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181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181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181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183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181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183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182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181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182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183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181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181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181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181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181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183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183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181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181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181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181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183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181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181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182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183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181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181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181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181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182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183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181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181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181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181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181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181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181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181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181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181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181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181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181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181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183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182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181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183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181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181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181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183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182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181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181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181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183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183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181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183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181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183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183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183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183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181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181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181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183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183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183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183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183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181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181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182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183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183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183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183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181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183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183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181</v>
      </c>
      <c r="D159" s="2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183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183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183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183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182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183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183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181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181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183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183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183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183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181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183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183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183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181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181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181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183</v>
      </c>
      <c r="D180" s="29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183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181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181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183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183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181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183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183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181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181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183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182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183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182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181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182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183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183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183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181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181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182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182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181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183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183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181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181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181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181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183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183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183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182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183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181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183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183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183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181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183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181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183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183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183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183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183</v>
      </c>
      <c r="D227" s="29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183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183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182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181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183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183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182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183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182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183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181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183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181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183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181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183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183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181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183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181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181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181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183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183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181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183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183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183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183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183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183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183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183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181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181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181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183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183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181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183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181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183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181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183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182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181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183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183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183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183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183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183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182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181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183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183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181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181</v>
      </c>
      <c r="D285" s="29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181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182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181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183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183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181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181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183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183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181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183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183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181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181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182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181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181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183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183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181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183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183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181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183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181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181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183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183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181</v>
      </c>
      <c r="D314" s="29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182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183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181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183</v>
      </c>
      <c r="D318" s="29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181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183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181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183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183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183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181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181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183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183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183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183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181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181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181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181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183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183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183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183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181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183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183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183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183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183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181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183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181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183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181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183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183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181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183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183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183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183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181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183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183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181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181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183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183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183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183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181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181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183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183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183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181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183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183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181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181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183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183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183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183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181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181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183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183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183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181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182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181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183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183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181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183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183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183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181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183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181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182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181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183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183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182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183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181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183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183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182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183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181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181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181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183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182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181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183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181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183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181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183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183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183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183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183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181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183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183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183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181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181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183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181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183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181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183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183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181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181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181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181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183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181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183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183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183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181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181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183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181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181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181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181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183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181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181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183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183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181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183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183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183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181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183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181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183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181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183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181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183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183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181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183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181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183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183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183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183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183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182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183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182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183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181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183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183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181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182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183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183</v>
      </c>
      <c r="D487" s="29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181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182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181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183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181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181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183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183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183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183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183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183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181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183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183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183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181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181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183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183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183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183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181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181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183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181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181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181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183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181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181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183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183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181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183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182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183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183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181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181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183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181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181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183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181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181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181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183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183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183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183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183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181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183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183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183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181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182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183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183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181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181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183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181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183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183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181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181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183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183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183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182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181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183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181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181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183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181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181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181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181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183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183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181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181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181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182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181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183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181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183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183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183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181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181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182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183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181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182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181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181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181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183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181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183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183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182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181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183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181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181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183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183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181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183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181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181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181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181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183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181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181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183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181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183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181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181</v>
      </c>
      <c r="D614" s="29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183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183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181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181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183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181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181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181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182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183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181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181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183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183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181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181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183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183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181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183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181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182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182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181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182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181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183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181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181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183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181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181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181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181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182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183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183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181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181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183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181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183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183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183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181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183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183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183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181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183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183</v>
      </c>
      <c r="D665" s="29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183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182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183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183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181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181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183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183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183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183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181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181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183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183</v>
      </c>
      <c r="D679" s="2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182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181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183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183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181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182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182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181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181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183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183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182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181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182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183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181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183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182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181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182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182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183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183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181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183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183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181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183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183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181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183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183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181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182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181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181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181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183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181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183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183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182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183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181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183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181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183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183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183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183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181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181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181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183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181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181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182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181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183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183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183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182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181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183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183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181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181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181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181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181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183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183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181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181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181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182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182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183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183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181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181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182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181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182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181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182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183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181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181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181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181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181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181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183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183</v>
      </c>
      <c r="D774" s="29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183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181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181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183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183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181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181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181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181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181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183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181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183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181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181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183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182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181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181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181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183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181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183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183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181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183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183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181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181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183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181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181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181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183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181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183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181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183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182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181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183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181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182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183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181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183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182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182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183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183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181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181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183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181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181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181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181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181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181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183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183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183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181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182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183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181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183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181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181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182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183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183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183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181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183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181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181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183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183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181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183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181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183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183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181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181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181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181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183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181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183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183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183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183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181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182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181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183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181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181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181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183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181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181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181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181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183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183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183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183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181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181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183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183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183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181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183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183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181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181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181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181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183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183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181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183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183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183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182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183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181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183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182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183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181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181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183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183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183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183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183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182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181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183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181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181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182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181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181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182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181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183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181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181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183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181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182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181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182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181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181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183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183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181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181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183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183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181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183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183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183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183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183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181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181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181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183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181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181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181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181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181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182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183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183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183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183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183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181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181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181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183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183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181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181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181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183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183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181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181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183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181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183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182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183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181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183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183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181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183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181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181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181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183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183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182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181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181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181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181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183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181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183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181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183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183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181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183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183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183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181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183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181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181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181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183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182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183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183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181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181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183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181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181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183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183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181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183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181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183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183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183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181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181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183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183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181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183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181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183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183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183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181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181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183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183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183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182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183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181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181</v>
      </c>
      <c r="D1045" s="29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181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183</v>
      </c>
      <c r="D1047" s="29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183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182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181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181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181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181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183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183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183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181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183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182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181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181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181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183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181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182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183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181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183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181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183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181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183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181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183</v>
      </c>
      <c r="D1074" s="29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181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183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183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183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183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183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183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181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181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182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183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181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183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183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181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183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181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183</v>
      </c>
      <c r="D1092" s="29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181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181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181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183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183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182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183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181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181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181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183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183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183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181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181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183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183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181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183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183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183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181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181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183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182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183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183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181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183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183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183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181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182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181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181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181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183</v>
      </c>
      <c r="D1129" s="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181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183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182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181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183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181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183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183</v>
      </c>
      <c r="D1137" s="29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181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181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182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182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183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181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181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183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183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183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183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183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181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183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183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183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181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181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181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183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181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181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183</v>
      </c>
      <c r="D1160" s="29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183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183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183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183</v>
      </c>
      <c r="D1164" s="29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181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181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183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181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183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181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183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181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181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181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181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181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183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183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181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183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183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183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183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183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183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183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181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181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181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183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181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183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181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181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183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183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183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183</v>
      </c>
      <c r="D1198" s="29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181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183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181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181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181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181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183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181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181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183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183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182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183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183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183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182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183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183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181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181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183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181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183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183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183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181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183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183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181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182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183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181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183</v>
      </c>
      <c r="D1231" s="29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183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181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183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181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183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181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183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183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181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183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183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183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181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183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183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183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181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181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181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183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181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181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181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181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183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183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181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181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181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181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181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181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181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183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183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182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183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181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181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181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181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183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181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181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183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181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182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181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181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181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183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183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183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183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181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181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182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183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181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183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183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183</v>
      </c>
      <c r="D1293" s="29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181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181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183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183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183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181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182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181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181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183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181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181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181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181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183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181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183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183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181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183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183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181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183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181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181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183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181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181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183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183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183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183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181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183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183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181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181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183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183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183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181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183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181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181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183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181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182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183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183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183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183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181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181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181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183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183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181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182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183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183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181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183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183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183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182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181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183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183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183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182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181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183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181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181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181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183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181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182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183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181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183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183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181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181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181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183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181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181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183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183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183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183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181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181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181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181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183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181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181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181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181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181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183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181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183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181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181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181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183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183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183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183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183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183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181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181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182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181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181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181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183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181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183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181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183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181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183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181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183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183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181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183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181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181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183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183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181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183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183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183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181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181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181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181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183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183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181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183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181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183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183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181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183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181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183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181</v>
      </c>
      <c r="D1449" s="2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181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182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181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181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183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181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182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183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181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183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183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183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183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181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183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181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183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181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181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181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183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183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182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183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181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181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183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181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181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183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181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183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183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182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181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183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181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181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183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183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182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183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181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181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181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183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183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181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181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181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183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181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181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183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181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181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181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181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182</v>
      </c>
      <c r="D1508" s="29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181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181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181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182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181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181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181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181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183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182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183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181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183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183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181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181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181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183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183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181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181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182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183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183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183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181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181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183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183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181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183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182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183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183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181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181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181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183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182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183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183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183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182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183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183</v>
      </c>
      <c r="D1553" s="29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181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181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181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181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183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181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181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183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181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182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181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181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181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181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181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181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183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183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183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183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181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181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181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181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182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182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181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182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181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181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181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181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181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182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183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181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181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183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181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182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181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181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183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181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183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183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181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181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181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181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183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181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181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181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183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183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181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181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183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181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183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181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181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182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183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181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183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183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182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183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183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181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181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181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183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181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183</v>
      </c>
      <c r="D1630" s="29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183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181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181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183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181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181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183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184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181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181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181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181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181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181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183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183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181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183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181</v>
      </c>
      <c r="D1649" s="2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181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181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181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183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181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183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181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183</v>
      </c>
      <c r="D1657" s="29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181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181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183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181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181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181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181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181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181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183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182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181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183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181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183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183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181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181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181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183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183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183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183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181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181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181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181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181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182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181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181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181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183</v>
      </c>
      <c r="D1690" s="29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181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183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183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181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181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181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181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181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181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183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183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181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181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183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181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181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183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181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183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181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183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181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181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183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181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183</v>
      </c>
      <c r="D1716" s="29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183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183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181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183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183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181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183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181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183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183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182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183</v>
      </c>
      <c r="D1728" s="29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181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184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181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181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181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183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182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181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183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183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183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183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182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181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183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183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183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181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181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183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181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181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183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183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181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182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181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183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181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183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181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181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183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181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183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183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181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181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183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181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181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181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181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183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181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181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181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183</v>
      </c>
      <c r="D1776" s="29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183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181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181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181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181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182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183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181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183</v>
      </c>
      <c r="D1785" s="29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181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183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184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181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183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184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182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181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183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181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181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181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183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181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181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181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181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181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183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181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182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181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181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183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183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183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181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181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181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183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181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183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182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182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183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183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181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181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181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183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181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181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181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181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183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181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181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183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181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181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181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181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181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183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183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183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181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181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183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182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181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181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181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181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181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181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182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181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181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181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181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181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181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183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181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183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181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181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183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181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181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183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184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183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181</v>
      </c>
      <c r="D1870" s="29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183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183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182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181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182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181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181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181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181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181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181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183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183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181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182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182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181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181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181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181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181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181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181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181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181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183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183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181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181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183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183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182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181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183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182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183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183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181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181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183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181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183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183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183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182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183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182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182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183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183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183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183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181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181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183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181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183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183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183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183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183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181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181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181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181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183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181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183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181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181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183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181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181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183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183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181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181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181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183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181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181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181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183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181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181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183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183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183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183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183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183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181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181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182</v>
      </c>
      <c r="D1964" s="29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181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183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183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183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183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183</v>
      </c>
      <c r="D1970" s="29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183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183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181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183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181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183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183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181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182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181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183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181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181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183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183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181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181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181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181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182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183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183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181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183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183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181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183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183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183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181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181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183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182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183</v>
      </c>
      <c r="D2004" s="29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181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182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183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183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182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181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183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183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182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182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181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183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183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183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183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183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183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183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181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183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181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181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183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181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183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181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182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182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182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181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183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181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181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182</v>
      </c>
      <c r="D2038" s="29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181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183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181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181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183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183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183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181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183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183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181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183</v>
      </c>
      <c r="D2050" s="29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183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183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181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183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183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181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183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183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181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183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181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183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181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181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183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181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181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181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181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183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183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181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181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183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183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183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181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183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181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183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181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181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181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181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181</v>
      </c>
      <c r="D2085" s="29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181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181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183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183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183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181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183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183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181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183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181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183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183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183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181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181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183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181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183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183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183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182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181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183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183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181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183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183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183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183</v>
      </c>
      <c r="D2115" s="29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181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183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181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183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183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181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181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183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183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181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183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183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182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183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183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181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183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183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181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183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181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181</v>
      </c>
      <c r="D2137" s="29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183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183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183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183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182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181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183</v>
      </c>
      <c r="D2144" s="29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181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181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183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183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183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181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181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182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181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183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183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183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181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181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181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181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183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181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181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183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182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183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183</v>
      </c>
      <c r="D2167" s="29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181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183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183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182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183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181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181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181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183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181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183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183</v>
      </c>
      <c r="D2179" s="2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181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181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181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181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181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181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181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182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183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182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183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183</v>
      </c>
      <c r="D2191" s="29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183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181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183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183</v>
      </c>
      <c r="D2195" s="29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183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181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181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183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182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181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181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183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183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182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183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182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181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181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183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183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183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183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183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182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182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183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183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183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183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181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183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181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183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183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183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183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181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182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183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183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183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181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182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183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183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183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183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183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181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183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181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183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181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183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183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183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181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183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183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183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183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181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181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181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183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181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182</v>
      </c>
      <c r="D2258" s="29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183</v>
      </c>
      <c r="D2259" s="2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183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183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181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181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182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181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183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183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183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183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181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182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181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181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181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183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183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181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183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182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183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181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181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182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182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183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182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181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183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183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183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183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183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183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183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183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181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182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181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183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181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182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183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183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183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181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183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181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183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183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183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183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181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183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182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183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183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182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183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182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181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181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181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183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183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183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181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181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183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183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181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181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183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181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182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182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181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183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181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181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182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182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181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183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182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181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181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181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181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182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183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183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181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183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181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183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183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183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181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183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181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181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182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183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183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183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183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183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181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182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181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181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183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181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181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183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181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181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183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183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183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181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183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181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181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181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183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183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183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181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183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183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183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183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183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183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183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183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183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181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183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181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183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182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181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183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183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183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183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181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183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182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181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183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181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181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183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183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183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181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183</v>
      </c>
      <c r="D2420" s="29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181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181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183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183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181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183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181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183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183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183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181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181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183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181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183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181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183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181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183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181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181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181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183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181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183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181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183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181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181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183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183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181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183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183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183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183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181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183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183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181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181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181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181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182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181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181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183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181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183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183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183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183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183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183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181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183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183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181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183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183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183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181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183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183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181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183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183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183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183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181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182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181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181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181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183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181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183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181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183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183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183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183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181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183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182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183</v>
      </c>
      <c r="D2506" s="29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183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183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183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183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181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181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183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181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183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182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183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181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182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181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183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181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181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183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183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181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183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183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181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182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183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181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181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183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183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181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183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183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183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183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183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183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181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183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181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183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183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182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183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183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183</v>
      </c>
      <c r="D2551" s="29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183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181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183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183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181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181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183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182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181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181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182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183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183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183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181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183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181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183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181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183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181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181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181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183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183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183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183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181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182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181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181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182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182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181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183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181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181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183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183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183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182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181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181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183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183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181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181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181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183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183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183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183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181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183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183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183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183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183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183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181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181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183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181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183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183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183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181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181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183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181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183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183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183</v>
      </c>
      <c r="D2624" s="29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183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181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181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181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181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181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183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181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181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181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183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181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182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181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182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181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181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183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183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181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182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181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181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181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183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183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183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181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183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183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182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182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183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183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181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181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183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183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183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183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183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183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182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183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183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183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181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183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183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181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182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181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181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182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182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182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181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183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183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183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183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183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183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182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183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183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183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183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181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181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183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181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181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181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181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182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181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181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181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182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183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183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181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181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181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182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181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181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183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181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181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181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183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181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183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183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181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183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181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183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183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183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183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183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183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181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181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181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181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181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181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181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183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183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183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181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182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181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183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181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183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181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183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183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182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181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183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182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181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181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183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182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183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181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181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183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183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182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181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181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183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181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183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183</v>
      </c>
      <c r="D2768" s="29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181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183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183</v>
      </c>
      <c r="D2771" s="29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181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183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183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181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183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181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181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183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181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181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183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182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181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181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183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183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181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183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183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183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181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181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183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183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183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183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183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182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183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183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183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183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181</v>
      </c>
      <c r="D2804" s="29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181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183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182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181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183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183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183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183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181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183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183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183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183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183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183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181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183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183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181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183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183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183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183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183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183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183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181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183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183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181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181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181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183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183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181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183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181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183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182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182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183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181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183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183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181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183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181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181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183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183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181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181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181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181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181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183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183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183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183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181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183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181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181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183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182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183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181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181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183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183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183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183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181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181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181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182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183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183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183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183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181</v>
      </c>
      <c r="D2885" s="29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183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183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183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183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182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183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183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183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181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183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181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181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183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181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181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183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181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181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183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183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181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183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183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181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183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183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183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182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183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183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183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183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181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183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183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183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181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181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183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183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183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183</v>
      </c>
      <c r="D2927" s="29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181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183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183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181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183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182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182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181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183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183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183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183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181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183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181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181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183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183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181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183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183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183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182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181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183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181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181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182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183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181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183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181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181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181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181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183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181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183</v>
      </c>
      <c r="D2965" s="29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181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183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182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182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183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181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183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181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181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183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182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181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183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181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183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183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181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181</v>
      </c>
      <c r="D2983" s="29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183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183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181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181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183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183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181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183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183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181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181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183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181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182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181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183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182</v>
      </c>
      <c r="D3000" s="29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183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183</v>
      </c>
      <c r="D3002" s="29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181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183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183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183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183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181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181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183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182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181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181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181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183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181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181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181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181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183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183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183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183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183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183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181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182</v>
      </c>
      <c r="D3027" s="29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181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181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181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181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181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181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183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183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183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183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181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183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183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181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183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183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181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183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183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183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182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183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183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182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181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183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181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183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181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181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182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181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183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181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182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183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183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181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183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183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181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181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183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182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181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181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183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183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182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183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182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183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183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183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181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183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182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183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183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181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183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183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183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183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181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183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181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181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181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183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181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182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181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183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183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183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181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182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183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183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183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183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181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183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183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181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183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183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181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181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183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183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183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183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183</v>
      </c>
      <c r="D3122" s="29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181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183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183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183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183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183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183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181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183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183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181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183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181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183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183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183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181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183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183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182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183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183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183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181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183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181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183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183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181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183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181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183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183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183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183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183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183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181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183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182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181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181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181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183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183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183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181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181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183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183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183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183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181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181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183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183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182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181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181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183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181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183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182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181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183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181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183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181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181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181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183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183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181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181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181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183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181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181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181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182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183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183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183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183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181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181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183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181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182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183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181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182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181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181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183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183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181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183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183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181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181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181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183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181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183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182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183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182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183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183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183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183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181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183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181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181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183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183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183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183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183</v>
      </c>
      <c r="D3243" s="29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181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183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181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183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181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181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183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183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183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181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183</v>
      </c>
      <c r="D3254" s="29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183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183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181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181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183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181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183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183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183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183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181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181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183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181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182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183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183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183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181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183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181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181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181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183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181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183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181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181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183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181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183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183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183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183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183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183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183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183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183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181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181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181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181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181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181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183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183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181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183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181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181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183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181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183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183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183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183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183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183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183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181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183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183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183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181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183</v>
      </c>
      <c r="D3320" s="29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183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183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181</v>
      </c>
      <c r="D3323" s="29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181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183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181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181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182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181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181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183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183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181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183</v>
      </c>
      <c r="D3334" s="29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181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183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183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181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181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183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183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181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181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182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183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183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183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183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183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183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183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183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183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181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181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181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181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181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181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183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181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181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182</v>
      </c>
      <c r="D3363" s="29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182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183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183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181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181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181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182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183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183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181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181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183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181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183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181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183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181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183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181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181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183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183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181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183</v>
      </c>
      <c r="D3387" s="29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181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183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183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181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183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183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183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183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183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183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183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181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181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183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183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183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183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183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183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181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183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183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181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183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181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183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183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183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183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183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181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182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181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183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182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183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183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183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181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181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183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181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181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183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181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182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181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182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183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183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183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181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183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181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183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183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181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183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181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183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183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183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181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181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181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181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183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181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183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183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183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181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181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183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181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183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181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181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183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183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181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181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183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181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182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181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183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181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183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181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183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183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183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183</v>
      </c>
      <c r="D3481" s="29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183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183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183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181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181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183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181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181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182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181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183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183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181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183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183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183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183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181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183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181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181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182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183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183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183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181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183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181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183</v>
      </c>
      <c r="D3510" s="29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183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183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181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183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181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181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183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183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183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183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183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183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182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183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181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182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183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183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183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183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181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181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181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181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183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181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183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182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183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183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181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181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183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181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181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181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183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183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181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181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181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183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181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181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183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183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181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181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183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183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183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183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183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183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183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183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181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181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181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181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183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181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183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183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183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183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183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181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181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183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181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181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181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183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181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183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183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183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183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181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181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181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181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183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183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183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181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181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183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183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183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183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183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183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183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182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182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183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182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183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181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183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183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182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182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181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183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181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183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183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183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181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181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183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181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183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181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182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181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181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183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183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181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183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181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183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181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181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183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183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181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181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182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183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181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182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183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181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183</v>
      </c>
      <c r="D3649" s="2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181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181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182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183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183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183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181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181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183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181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183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182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183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183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181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183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183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181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181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181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181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183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183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181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183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183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181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183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183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181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183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181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181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181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181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181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183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183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183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181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181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182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183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183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182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181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181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182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181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181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181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183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181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183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181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183</v>
      </c>
      <c r="D3705" s="29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182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183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183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182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182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183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181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181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183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181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183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182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182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181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183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183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181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181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181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183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183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183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183</v>
      </c>
      <c r="D3728" s="29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181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181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183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181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181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183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183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181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181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183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181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183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183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182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183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183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183</v>
      </c>
      <c r="D3745" s="29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183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183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183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181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181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183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183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181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181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183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182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181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183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183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183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181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183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181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181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181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183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183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183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183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183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183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183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183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181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183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182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183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181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183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181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181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183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183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183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181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181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183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183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183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183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183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181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183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181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181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183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181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183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181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183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183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181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183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183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181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183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183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181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181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183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181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183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183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181</v>
      </c>
      <c r="D3814" s="29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182</v>
      </c>
      <c r="D3815" s="29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181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181</v>
      </c>
      <c r="D3817" s="29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181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182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183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181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181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183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181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183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181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181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183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182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181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181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183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181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183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181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183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183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181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183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181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182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181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183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181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183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181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183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183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181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181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182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183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183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183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183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183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183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183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183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181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183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183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181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183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181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181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183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183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181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183</v>
      </c>
      <c r="D3870" s="29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181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183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183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183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182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183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183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183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181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181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181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183</v>
      </c>
      <c r="D3882" s="29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183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183</v>
      </c>
      <c r="D3884" s="29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183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183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181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182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183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183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183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181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181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181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181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181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181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181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183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181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181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182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181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183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181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181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181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183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183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181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181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182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183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181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181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183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181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183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181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182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181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183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183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181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181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181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183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183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183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182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182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183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181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181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181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181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183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183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183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183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181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181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183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183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183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181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183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183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181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183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183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183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183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183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181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181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183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181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182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181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183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183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181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181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181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181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183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183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181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182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181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181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181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183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183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183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181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183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181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183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181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181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181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183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181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183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183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181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181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183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181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182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183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181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183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181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183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181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183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181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183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183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181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182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181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183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181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182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183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181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183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181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183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181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183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181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181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183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181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183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181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181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182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183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183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183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182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183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182</v>
      </c>
      <c r="D4029" s="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181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181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183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181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183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183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183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181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183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181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183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181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181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183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183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183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181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183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183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183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183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181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183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183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181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183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181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183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183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181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181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183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181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181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183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181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182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183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183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183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183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181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183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181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181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183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181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183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183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181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183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181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181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183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181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183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181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181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183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183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181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183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181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183</v>
      </c>
      <c r="D4093" s="29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181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183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181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181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181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181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181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181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181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183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183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183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181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183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181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183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181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182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181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183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181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183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183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182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181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183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183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183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183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181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182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183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181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182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181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183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183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183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183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182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181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181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181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181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183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181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183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181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183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181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181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181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181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183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183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183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181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183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183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183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183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183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181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183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183</v>
      </c>
      <c r="D4158" s="29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181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183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181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181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181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181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183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182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183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183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183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181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181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181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183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181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181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183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181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182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183</v>
      </c>
      <c r="D4179" s="2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183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183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183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181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183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181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181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181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181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181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181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181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182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181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183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181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181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181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181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183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181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181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183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181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183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183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181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181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181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183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181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181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181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183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183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183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183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181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183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181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181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183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183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183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181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181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183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183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181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182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181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183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182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183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181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183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181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181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183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181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183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183</v>
      </c>
      <c r="D4241" s="29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183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181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183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181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181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181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183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182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183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181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181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181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181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183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181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183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181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181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181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183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183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183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181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181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181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183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183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182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183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183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183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181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183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183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183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181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183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181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181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181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183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181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181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181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181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183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181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183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183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181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181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183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183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181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183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181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183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181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183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181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183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181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183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183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183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181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181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183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183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181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183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183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183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182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183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183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183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183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183</v>
      </c>
      <c r="D4320" s="29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183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181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183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181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183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181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183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183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183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182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183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183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183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183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183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181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181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183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181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182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183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181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183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183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181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182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181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181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183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183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183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183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181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182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183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181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181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183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181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183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183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181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182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181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183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181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181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183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183</v>
      </c>
      <c r="D4369" s="2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183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181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181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181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183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182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182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183</v>
      </c>
      <c r="D4377" s="29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183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181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183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181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181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181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183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183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183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181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183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183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181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182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183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183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181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181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181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183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181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183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181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183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181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183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182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183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181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182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183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183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183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183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183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181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181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183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181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181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181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181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183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183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183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181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183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181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182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181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181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182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181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183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181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181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181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181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183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183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181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183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183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183</v>
      </c>
      <c r="D4441" s="29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183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182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181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183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183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183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181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183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181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183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181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183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183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181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183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181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183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183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183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183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181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181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182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183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183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183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183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181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181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181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181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183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183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182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181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183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183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181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181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183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183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181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183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181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181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181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182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183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181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181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182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181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183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183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183</v>
      </c>
      <c r="D4496" s="29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183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181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181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182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181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181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183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183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183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183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183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181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181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181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181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181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181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183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181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181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183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181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183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181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181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181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181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183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183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182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183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183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183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183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183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181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183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183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181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181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181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183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182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181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182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183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182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183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183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183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183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183</v>
      </c>
      <c r="D4548" s="29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181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183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182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183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181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181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181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183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181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181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183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182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183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183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182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183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183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181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181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183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183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183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181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181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181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182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183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183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182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181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183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183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181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183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181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181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183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182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182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182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183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181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183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183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183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181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181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183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183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181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183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183</v>
      </c>
      <c r="D4600" s="29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182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183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183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181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183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182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181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183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183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183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181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181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183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181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183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181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182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181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183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183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181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181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183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181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183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183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183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183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182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181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183</v>
      </c>
      <c r="D4631" s="29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183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181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183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182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181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182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183</v>
      </c>
      <c r="D4638" s="29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183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181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181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181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183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182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183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182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183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181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181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181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181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182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183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183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181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181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183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181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181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183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181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183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183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181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181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181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181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181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181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182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181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181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183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183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183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181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183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183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183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181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181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183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183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181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183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181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183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183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181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181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183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181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181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182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181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183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183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183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181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181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181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183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183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183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183</v>
      </c>
      <c r="D4705" s="29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181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181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181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183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183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183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181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181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183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183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183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183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183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183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183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183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183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183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181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183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183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183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182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183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181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183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183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181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181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183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183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181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181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183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181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183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181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183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183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181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183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183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183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183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183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182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181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183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181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183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183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182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181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183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181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183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181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181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183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183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181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181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181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183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183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183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181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183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183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183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182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181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183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181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183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181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183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183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183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182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183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183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183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183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181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183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181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183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183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181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181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183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181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181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183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183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183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183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181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181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181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183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183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181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181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183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183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181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181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181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181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183</v>
      </c>
      <c r="D4817" s="29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181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181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183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182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183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181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183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181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183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181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183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183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181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183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183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183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183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183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183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183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183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183</v>
      </c>
      <c r="D4839" s="2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181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181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183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181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183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182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181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183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183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181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183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183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181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181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182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181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183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181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181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183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183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181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181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183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181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183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181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181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183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181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183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183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183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181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183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183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181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181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181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181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181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181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183</v>
      </c>
      <c r="D4882" s="29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181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183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183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183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183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183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183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182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181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183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183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181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181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181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181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183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181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183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183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181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181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181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183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181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183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181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183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181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183</v>
      </c>
      <c r="D4911" s="29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181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183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183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181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183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183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181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183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183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183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183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181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181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183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181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183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183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181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181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183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181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183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181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182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183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183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181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181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181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183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183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183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183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182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183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183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181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182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183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181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181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181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183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183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181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183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183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183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181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183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183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183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183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183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183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183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181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183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181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181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183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181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183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183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183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183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183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182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183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183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181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183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181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181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183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183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181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181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181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183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181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182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183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183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183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183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183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183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183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183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181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183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181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183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181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181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182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183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183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183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181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181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181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183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183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183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183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181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181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181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183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183</v>
      </c>
      <c r="D5023" s="29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183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183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181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183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181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183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183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183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181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183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183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181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183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181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182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183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182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183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181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181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181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183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183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183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181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183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183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181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183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181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183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181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183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183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181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181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181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183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183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182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183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181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183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183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183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182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181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183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183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183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181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181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183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181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183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183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181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183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181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183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183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183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181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183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183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183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183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183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183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181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181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183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183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183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183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181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181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181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181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181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181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182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181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183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183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181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181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183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181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183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182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183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181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182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182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182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183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181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183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183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183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181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183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181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183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183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181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183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183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181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183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183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183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183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183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183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183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182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183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182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183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182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181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181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181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181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183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183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183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183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183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181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181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181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181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183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181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183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183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183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183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183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181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181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181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181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183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181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183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181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183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182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181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181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183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181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181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181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181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183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183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183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181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181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183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181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183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183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183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181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181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181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183</v>
      </c>
      <c r="D5196" s="29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183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183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183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183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183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181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182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183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181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183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183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181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183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181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183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183</v>
      </c>
      <c r="D5212" s="29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183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181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183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181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183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183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183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181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181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183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181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182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181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181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181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181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183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183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181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181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183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181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183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183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183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181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181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183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183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183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183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181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183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183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181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183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181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181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181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183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181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181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183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183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183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183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181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181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181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181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183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181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183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183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183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183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181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183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181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183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183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181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183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181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183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183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183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183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181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183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183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183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182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182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183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183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183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181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183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182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181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183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183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183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181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183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183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181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181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181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181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181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183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183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181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183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181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181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183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181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183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181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181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181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183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181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183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183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181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181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181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181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183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183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183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183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183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181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181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183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182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181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183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183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183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181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183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183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183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181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183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181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183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183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183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183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183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183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181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183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181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183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183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183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181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183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181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183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183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183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181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181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183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181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183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181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183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183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183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183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181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183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183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183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181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183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183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183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181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183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183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183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181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181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181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183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181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183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181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183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182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181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181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181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183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181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183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183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183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183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181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181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183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181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183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183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181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183</v>
      </c>
      <c r="D5410" s="29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183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183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181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183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182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183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181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181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181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181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183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183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183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183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183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183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183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181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183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183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183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183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181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183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183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183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181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181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183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183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183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182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181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183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181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181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183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181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181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181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181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183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183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183</v>
      </c>
      <c r="D5454" s="29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181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183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181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183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183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181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182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183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183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183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183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181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181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181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183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181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183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181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182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183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182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181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182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181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183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181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181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181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181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183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183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181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181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181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181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183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183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183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183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183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183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183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181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183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181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183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183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182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181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183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181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181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183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181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183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183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183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183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183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181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181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181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183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183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181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183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183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183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183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183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183</v>
      </c>
      <c r="D5525" s="29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183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183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183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183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181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183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181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181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183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183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182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183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181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183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183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183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182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183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183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183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181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183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181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183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182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181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183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181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181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181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183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183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183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183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181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183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181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183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181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183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183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183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182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183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181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181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183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183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181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183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181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181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181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183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181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181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183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183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181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183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183</v>
      </c>
      <c r="D5586" s="29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182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181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183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181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181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181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181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181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182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182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181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181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183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183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181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183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183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183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181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183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183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181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183</v>
      </c>
      <c r="D5609" s="2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183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181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181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183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181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181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183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183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181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183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183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181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183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181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183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183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181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183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181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183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181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183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183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181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181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181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181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183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183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181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181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181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183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181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181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183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183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183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183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182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183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181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183</v>
      </c>
      <c r="D5652" s="29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181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183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183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181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183</v>
      </c>
      <c r="D5657" s="29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183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181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181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181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182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183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181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183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183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181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183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181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183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183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183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183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183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183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181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181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183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181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183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183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183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181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181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183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181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181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181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183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181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181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183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183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181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183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181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183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184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181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183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183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181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181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181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183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183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183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181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183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181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181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183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181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181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184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183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183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182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181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183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183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181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181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181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181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183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182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183</v>
      </c>
      <c r="D5728" s="29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181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183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181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183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181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183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183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183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183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181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183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183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183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181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181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181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182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181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181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181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183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181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183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183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182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183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183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181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183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181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183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181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181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183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183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183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183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181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181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181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184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184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181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181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181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183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181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181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183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183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181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183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183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183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183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181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181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181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183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183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181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183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183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181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183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181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181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183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183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181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182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181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181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181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183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183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183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181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181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183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181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182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183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183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182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183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183</v>
      </c>
      <c r="D5815" s="29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181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183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181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183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181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181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181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181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183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183</v>
      </c>
      <c r="D5825" s="29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181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183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182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181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181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183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183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182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181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183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183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182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181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183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183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182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183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182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181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181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183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183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183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181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183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181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183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183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181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181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182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181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182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181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181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181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181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181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181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181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183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183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182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183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181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183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183</v>
      </c>
      <c r="D5872" s="29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181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183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183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183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181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181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183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183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183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181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183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182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183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181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183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181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183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183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181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183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181</v>
      </c>
      <c r="D5893" s="29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181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181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183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183</v>
      </c>
      <c r="D5897" s="29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181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181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182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181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183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183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181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181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182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183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181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181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181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181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183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183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181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181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183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183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183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182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181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183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181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183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181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181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183</v>
      </c>
      <c r="D5926" s="29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181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183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181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183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181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182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183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181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181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181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181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181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183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181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183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183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181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181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181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183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183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183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183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182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183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183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183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183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183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183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183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181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183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182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183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183</v>
      </c>
      <c r="D5962" s="29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183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181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183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181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183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181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183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182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182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183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181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181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181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181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183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182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183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183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183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181</v>
      </c>
      <c r="D5982" s="29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183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183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183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181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183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181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181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181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183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181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183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181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182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181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183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181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181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183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183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181</v>
      </c>
      <c r="D6002" s="29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181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183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183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182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183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183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181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181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181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183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183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183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182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181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183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181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181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181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183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181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181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181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181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181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181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181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181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183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183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183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181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183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181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181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183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181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183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181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181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183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183</v>
      </c>
      <c r="D6043" s="29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183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181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181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181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181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182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182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181</v>
      </c>
      <c r="D6051" s="29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183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183</v>
      </c>
      <c r="D6053" s="29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183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183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183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183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181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181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181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181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181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181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181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183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181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183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183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181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181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183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183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183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182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183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183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181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181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183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181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182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183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181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183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181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183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183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181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182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183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181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183</v>
      </c>
      <c r="D6092" s="29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181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183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181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181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183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183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183</v>
      </c>
      <c r="D6099" s="29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181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183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181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183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181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181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181</v>
      </c>
      <c r="D6106" s="29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181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183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181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181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183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181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181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183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181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181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183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183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183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181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183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183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181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181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183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183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183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181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181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183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181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182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181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182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181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181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183</v>
      </c>
      <c r="D6137" s="29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183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183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181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181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181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183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183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181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181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181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181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183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181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182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181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183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181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181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183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183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183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181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183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183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181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182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181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181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183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181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181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183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183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181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183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181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183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181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183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183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183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182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181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183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183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182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181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182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183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181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183</v>
      </c>
      <c r="D6188" s="29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181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183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181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183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183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183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183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181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182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183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183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183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181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183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183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181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183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181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183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182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181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181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181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183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183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183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183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181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181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183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181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181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183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181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183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181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183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181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181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183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183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181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181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181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183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183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183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181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183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181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181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181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183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183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182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183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183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183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182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183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182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183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181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181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181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181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183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181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182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183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182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183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181</v>
      </c>
      <c r="D6261" s="29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181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181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183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183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181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183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183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181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183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181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181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181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181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183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183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183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183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181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181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183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181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183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181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181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183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183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183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181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181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183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183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181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183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181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183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183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183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181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181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181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181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182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182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181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181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181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181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183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183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183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182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181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181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181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183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181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181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182</v>
      </c>
      <c r="D6319" s="2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181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183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183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181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183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183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183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181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181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181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183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181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183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183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181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181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183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182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181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183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183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183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183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181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181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183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183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181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181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183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183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183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183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183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183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182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183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183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181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181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183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181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183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183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183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183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181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183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181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181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181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181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181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181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182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181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183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181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181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181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183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183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182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181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181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181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182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183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181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183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181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181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181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182</v>
      </c>
      <c r="D6393" s="29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181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181</v>
      </c>
      <c r="D6395" s="29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181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181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183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182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183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183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183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181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183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181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183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181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183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181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181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183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181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183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183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183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181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183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181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183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182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181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181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181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183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183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182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181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183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183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181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183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181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183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183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183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183</v>
      </c>
      <c r="D6436" s="29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181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183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181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181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183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181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183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181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183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182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183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181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182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183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183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183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181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183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183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183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181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183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182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181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183</v>
      </c>
      <c r="D6461" s="29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181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181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181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181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183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183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181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183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181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183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181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183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181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183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183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183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181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183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183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181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183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182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183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181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181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183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181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183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181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181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183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183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181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183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182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181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183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183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181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183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183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181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181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182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181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181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181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181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182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182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183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181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182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181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183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183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181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181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183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181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183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181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182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181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182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183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183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183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183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182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181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183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181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181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181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183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181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181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183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183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181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183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182</v>
      </c>
      <c r="D6544" s="29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182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181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181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182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181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183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181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183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181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181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181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181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183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183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182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181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183</v>
      </c>
      <c r="D6561" s="29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181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183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183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183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183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183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181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183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183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181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181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183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183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181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181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183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182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183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181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183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181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181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181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181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183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183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183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181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183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182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181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181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183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183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181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181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183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181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183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183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183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183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181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181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183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183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183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181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183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183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182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181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181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181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183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181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181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181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183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181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182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181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183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183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183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183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182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183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181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181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181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181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183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183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183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183</v>
      </c>
      <c r="D6637" s="29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181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181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181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182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183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183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181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183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181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183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181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183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181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183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183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183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181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181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181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181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183</v>
      </c>
      <c r="D6658" s="29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182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183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183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183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181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182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181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181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183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181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181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183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181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183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183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181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183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182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183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181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183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183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181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181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181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181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181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183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183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183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181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181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182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181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181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181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182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181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181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181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182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182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181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181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183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183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183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182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183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183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183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183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181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181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183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181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183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183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183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183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182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183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181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181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181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183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181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183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182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181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181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181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181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181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181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183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181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183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183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181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182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183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183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183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181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183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181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181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183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181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181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182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181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181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181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181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181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182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183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181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181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181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181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183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181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183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181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181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181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183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181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181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183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183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181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183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183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183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181</v>
      </c>
      <c r="D6777" s="29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183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183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183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181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181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183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181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181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183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183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183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181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183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181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183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181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183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181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183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183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183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183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181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183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181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182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181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181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181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181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183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183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183</v>
      </c>
      <c r="D6810" s="29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183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183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181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181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183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181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181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181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181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183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183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183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181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181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183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182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181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181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183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182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183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181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183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181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182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181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183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182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183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181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181</v>
      </c>
      <c r="D6841" s="29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183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183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183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183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181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181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181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183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181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181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183</v>
      </c>
      <c r="D6852" s="29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181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181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183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183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183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183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181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181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183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181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183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183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181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181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182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183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181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181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181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183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183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181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181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181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181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181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181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182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183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181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181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181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183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183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181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181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182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182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183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181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183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183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181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181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181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183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183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181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181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181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181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181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181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181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183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183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181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182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181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183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182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181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181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181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182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183</v>
      </c>
      <c r="D6918" s="29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181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183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183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183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181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183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183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181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183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181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181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181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183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183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181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181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183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181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183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182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181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183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181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183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183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183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183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181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183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183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182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181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183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183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181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181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183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183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181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181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183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183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181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183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183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183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183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183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181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181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181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181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182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183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183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181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182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183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182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181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183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181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183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182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182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181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181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183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183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182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181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183</v>
      </c>
      <c r="D6990" s="29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181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183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183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181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182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183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183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183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181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183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183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183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183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182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183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183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183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181</v>
      </c>
      <c r="D7008" s="29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183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183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181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181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181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183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183</v>
      </c>
      <c r="D7015" s="29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181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183</v>
      </c>
      <c r="D7017" s="29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183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183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182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183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181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183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182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183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183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181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183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181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183</v>
      </c>
      <c r="D7030" s="29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181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183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183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181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183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181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181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183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181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183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181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183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181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181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181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183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183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183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183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183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183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181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183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183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181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183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181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183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182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181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183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183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183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181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183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183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183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181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181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183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183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181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181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181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183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182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181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181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181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181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181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183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183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183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181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181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181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183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181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181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183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183</v>
      </c>
      <c r="D7092" s="29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181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183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183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183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183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181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183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181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181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181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183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181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183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181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183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183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181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183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183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183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181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183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181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181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182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183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183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181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183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183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183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181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183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181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183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183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183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181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183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181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181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181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183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183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181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182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183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183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181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183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181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183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182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182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181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183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183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183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181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183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181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181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181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183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183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181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181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183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181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183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183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183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183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181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182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181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182</v>
      </c>
      <c r="D7169" s="2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181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183</v>
      </c>
      <c r="D7171" s="29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181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181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183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181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183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181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181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183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181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181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181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181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182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181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183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183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182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181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181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183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183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183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183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181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181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183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183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183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181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181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181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182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183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183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181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181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183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181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181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181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183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182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183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181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182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181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181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183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183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181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183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181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181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183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181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181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183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181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183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181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181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181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183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183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182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183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181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183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181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181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181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181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181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181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181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181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181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183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181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183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183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181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183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183</v>
      </c>
      <c r="D7255" s="29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181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181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181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181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183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181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183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183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181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181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181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183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183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181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181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183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181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183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183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181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181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181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181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181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183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183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181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181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183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183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181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181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183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183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183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183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183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183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183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181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181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183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183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181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183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183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183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181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183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183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183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183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181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181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183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181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183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183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183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183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183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181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183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183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181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183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183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183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181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183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183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182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181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183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183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181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183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182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181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181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182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183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181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183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182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182</v>
      </c>
      <c r="D7341" s="29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183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181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181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183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181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183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181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181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183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181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181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181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183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181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183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183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181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181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181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183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183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183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181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183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181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183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181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183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182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181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183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181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181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183</v>
      </c>
      <c r="D7375" s="29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182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181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181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181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183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183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182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183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183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181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181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181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181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183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181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183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183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181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181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183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181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181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181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181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181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182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181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183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183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181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181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181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183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181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181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181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183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181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183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183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181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181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182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181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181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181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183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181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181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181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183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181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183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183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181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183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182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181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181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182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183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183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181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181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181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183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183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183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181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181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181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183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183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181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183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183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181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183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181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181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181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181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181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182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182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183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181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183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181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183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181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181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183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181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183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182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181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182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181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181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181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183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181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183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181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183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181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181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181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183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181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183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181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183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183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183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181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183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183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181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183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183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181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183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181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181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181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181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181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181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181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181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183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181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183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181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181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181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182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183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181</v>
      </c>
      <c r="D7516" s="29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183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183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183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181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181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181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181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181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181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183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181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181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183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183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183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181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183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181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183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181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183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182</v>
      </c>
      <c r="D7538" s="29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182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183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183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181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183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181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181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183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181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181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181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183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183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183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183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183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181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181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181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183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181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183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183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181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181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181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182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181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183</v>
      </c>
      <c r="D7567" s="29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181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181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183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183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182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182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183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181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181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181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181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182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183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183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181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183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181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183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181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183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181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183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181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181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181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181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181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181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183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182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183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181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181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181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183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181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181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181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183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181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182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181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182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181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183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183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181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181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181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183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183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181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183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183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181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183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181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181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183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182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181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181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181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181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183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181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181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181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183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182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181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181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181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181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181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181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181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183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183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181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181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181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181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183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181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181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181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182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181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181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181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181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181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183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181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183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183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181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181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183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183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183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181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183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181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183</v>
      </c>
      <c r="D7673" s="29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183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183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181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183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181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181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183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182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183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181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181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181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183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181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183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183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181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183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183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182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183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181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183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183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181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181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181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181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181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181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181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183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183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183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182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182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183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182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183</v>
      </c>
      <c r="D7712" s="29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181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183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183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181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181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181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183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183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181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181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183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183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181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181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183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183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183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181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183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183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181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181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181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181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183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181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183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183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182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181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181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183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183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181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183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182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183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183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183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183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183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182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182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183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181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183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182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181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183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182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181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183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181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182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181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183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183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182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182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182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181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183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181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183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183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183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181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181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181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181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181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183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183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181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183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183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183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183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181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183</v>
      </c>
      <c r="D7792" s="29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181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181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183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183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181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181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183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181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181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181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183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181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181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183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183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181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183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183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181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181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183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183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183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183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181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183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182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183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183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183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183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181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183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183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181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183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183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182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181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182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183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182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181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183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182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181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181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183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181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183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183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183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183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183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183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181</v>
      </c>
      <c r="D7848" s="29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181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183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183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182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182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181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183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181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181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181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183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181</v>
      </c>
      <c r="D7860" s="29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181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183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183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183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183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181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183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183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183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183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183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183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181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181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182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183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181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181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183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182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183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181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181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183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182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183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183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182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181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183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181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181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183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183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183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181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183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183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183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181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183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181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181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183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181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183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183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183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181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181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183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183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183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183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181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183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182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183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181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181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183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183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183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183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181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181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183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181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183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181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181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183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183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183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183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181</v>
      </c>
      <c r="D7936" s="29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181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183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181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181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183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183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183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181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182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181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183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182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183</v>
      </c>
      <c r="D7949" s="2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181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183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181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183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183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181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183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183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181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183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182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183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181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183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183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181</v>
      </c>
      <c r="D7965" s="29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183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183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181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182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183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183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183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183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183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183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183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181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181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183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183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181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183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181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183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181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183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181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181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183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182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183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183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183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183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183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183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183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183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182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183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182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183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182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183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181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181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181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181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183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183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183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181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183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183</v>
      </c>
      <c r="D8014" s="29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181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181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183</v>
      </c>
      <c r="D8017" s="29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182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183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183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183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181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181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183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183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181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182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182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183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183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183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181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182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183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181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183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181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183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183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182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183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181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183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183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181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183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183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183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181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183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181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183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183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183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183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181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181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183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181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183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183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183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183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183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182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183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181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183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183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183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182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183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181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182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183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183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181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181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183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181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183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182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181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183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181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183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181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183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183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183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183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183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183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183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181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181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183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181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181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183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181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183</v>
      </c>
      <c r="D8102" s="29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181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181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183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183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182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183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181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183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183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181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182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181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181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181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183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181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183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182</v>
      </c>
      <c r="D8120" s="29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181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183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181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183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183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183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183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183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181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181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183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183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181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181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183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183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183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183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183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181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183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183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181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183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181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182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182</v>
      </c>
      <c r="D8147" s="29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181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182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181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183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183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183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183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183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183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183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183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181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183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183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183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183</v>
      </c>
      <c r="D8163" s="29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183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183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181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183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183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183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183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183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181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182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183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182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183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181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182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181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183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183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183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183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181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183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181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183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183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182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183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181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183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181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183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183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183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182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181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181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181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181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181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183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182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181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181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181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183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183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181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183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183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183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183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183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181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181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181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183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183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181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181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181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181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183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181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183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183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181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181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181</v>
      </c>
      <c r="D8231" s="29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181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181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182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181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183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181</v>
      </c>
      <c r="D8237" s="29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183</v>
      </c>
      <c r="D8238" s="29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183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183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181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183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183</v>
      </c>
      <c r="D8243" s="29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183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181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183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182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182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183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183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181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181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183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183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183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181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181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183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183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181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181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182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181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181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183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182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182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181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183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182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183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182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182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181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183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181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183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181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182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183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181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181</v>
      </c>
      <c r="D8282" s="29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181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183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181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182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181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181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182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183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181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181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183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183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183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181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183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181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181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181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183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181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181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182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183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183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183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183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182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183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182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183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183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182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183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183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182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183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183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183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183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182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181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183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183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183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183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183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183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183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181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183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183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181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181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183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183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181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183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181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181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181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182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183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183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183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182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182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183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181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181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181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183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181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183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183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183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181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181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183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183</v>
      </c>
      <c r="D8361" s="29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183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181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182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183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183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183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183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181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183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181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183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181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183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181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182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183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183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183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183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181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182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181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183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183</v>
      </c>
      <c r="D8385" s="29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183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182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181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181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183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181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181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181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183</v>
      </c>
      <c r="D8394" s="29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183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183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181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183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181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181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182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181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181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183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183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181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183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181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183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183</v>
      </c>
      <c r="D8410" s="29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183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181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183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183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181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183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183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183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183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181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181</v>
      </c>
      <c r="D8421" s="29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183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181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181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181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183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181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183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183</v>
      </c>
      <c r="D8429" s="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183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183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181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183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183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182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183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181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181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181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181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181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183</v>
      </c>
      <c r="D8442" s="29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181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181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183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183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183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182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182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183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183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181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181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181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183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181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181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181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183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183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181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181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183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181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181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182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181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181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183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183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182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183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181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181</v>
      </c>
      <c r="D8474" s="29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183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183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181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183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181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183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183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181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183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181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183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183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181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183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183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181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183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182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183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182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182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182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183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182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181</v>
      </c>
      <c r="D8499" s="2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181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183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181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183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183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183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181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181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181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181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183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181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183</v>
      </c>
      <c r="D8512" s="29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181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182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183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181</v>
      </c>
      <c r="D8516" s="29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183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182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183</v>
      </c>
      <c r="D8519" s="2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181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183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183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183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183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181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181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183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181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181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183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182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183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181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181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181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183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183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181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181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183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183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183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181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181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182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183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183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181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181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183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181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181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183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181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181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181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183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182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183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183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183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183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183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183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181</v>
      </c>
      <c r="D8565" s="29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183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181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183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181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181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181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183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183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181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183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181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183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183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181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183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181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181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183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181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181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181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183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182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183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181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181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182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183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183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181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183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183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183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181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182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183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181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183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181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183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183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183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181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183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181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183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183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181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183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181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181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181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183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183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183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183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181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181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183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183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183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181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181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181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182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181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181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181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181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181</v>
      </c>
      <c r="D8635" s="29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181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183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183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183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183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182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182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183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183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183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181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183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183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183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181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181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182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183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183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181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181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183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181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183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181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183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181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182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181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183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183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181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181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183</v>
      </c>
      <c r="D8669" s="2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183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181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182</v>
      </c>
      <c r="D8672" s="29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183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181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183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183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181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183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181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181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183</v>
      </c>
      <c r="D8681" s="29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181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183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181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181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181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182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183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181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181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183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181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183</v>
      </c>
      <c r="D8693" s="29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181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181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181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182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183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183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183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183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181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183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181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181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182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182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183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181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182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183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181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183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183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183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182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181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183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183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181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181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181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182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183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183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183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183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183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181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182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182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181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181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182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181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181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183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181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183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181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181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181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181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181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183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183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181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181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183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181</v>
      </c>
      <c r="D8750" s="29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181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181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183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182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183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183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183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181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183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183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181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183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183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183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181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181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183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183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181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181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183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183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181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183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181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181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181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182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183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183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181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181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183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181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183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183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181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181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183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183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181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183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183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183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181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181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181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181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183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181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183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182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183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183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183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183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181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183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181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183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183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183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183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181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183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181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183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182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181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181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181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181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183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181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183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183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183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183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181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181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181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183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183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183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183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181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181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183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183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181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183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183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181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183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183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183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183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183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183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181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183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183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181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181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183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182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183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181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182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181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181</v>
      </c>
      <c r="D8861" s="29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183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183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181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183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181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181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182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183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183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183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182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183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183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181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183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183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181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181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181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181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181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183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183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181</v>
      </c>
      <c r="D8885" s="29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181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181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181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181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183</v>
      </c>
      <c r="D8890" s="29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181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183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181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181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181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183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181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181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183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183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183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183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181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183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183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183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181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182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181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183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182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181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181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183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183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183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182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183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183</v>
      </c>
      <c r="D8919" s="2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181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183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181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183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183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183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183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183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183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181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183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181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181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181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181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183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183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181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181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181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181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181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183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181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181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183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183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183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181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183</v>
      </c>
      <c r="D8949" s="2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181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183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181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183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181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183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183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183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183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181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183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183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181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183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181</v>
      </c>
      <c r="D8964" s="29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183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183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183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183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183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183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183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183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181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183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181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183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183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183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182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181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181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181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182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181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181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181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183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182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183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181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183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183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181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181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183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183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183</v>
      </c>
      <c r="D8997" s="29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181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183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181</v>
      </c>
      <c r="D9000" s="29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181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181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182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181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181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182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182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183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181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183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183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183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181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183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183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181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183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183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181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182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183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181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183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181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181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181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183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181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183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181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181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183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183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183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182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181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183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183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183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183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181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181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183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183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181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182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182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181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183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181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181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181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181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181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181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183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183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183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181</v>
      </c>
      <c r="D9059" s="2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182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183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181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183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182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181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181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183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183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183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181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181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181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181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181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183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181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183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183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181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183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183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183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181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181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183</v>
      </c>
      <c r="D9085" s="29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183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181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183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183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182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183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183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181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183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183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183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183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183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181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182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183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183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183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183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183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181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181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181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181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181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181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181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181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182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181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181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181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183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181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183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183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181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181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181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182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183</v>
      </c>
      <c r="D9126" s="29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181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183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181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183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181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181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183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183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183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183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181</v>
      </c>
      <c r="D9137" s="29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183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183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183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181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183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183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183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182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181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183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183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182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183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183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183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183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181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181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183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181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183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183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181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183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182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183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183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183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183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183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181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181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181</v>
      </c>
      <c r="D9170" s="29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181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181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183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181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183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183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181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183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183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181</v>
      </c>
      <c r="D9180" s="29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181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181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183</v>
      </c>
      <c r="D9183" s="29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183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183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181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183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183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181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181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181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181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183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181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183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181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183</v>
      </c>
      <c r="D9197" s="29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181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181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183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183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183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183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181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183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183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183</v>
      </c>
      <c r="D9207" s="29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183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183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183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181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183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183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181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183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181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183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183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181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183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182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181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183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181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181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183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182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183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181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183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181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182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183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183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183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181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183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183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182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183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183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183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182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183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183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181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183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181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181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181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181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181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183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183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181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181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183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181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183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181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182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183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183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183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182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181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183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181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182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181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181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181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182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183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181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181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181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183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181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183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181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181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181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183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183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181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183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183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181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183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181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183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183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183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183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183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182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183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183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181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181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181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183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181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181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181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181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181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181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183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183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181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183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183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181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183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181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183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181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182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181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183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181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181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182</v>
      </c>
      <c r="D9325" s="29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181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183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182</v>
      </c>
      <c r="D9328" s="29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181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183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181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181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183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183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183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183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183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182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181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183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181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181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181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181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183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181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181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181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181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181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183</v>
      </c>
      <c r="D9351" s="29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183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183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181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181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181</v>
      </c>
      <c r="D9356" s="29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182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183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183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183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183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183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182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181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183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181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181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183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182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183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181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183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181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183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181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183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181</v>
      </c>
      <c r="D9377" s="29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183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183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181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183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181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183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183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183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181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181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181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183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183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183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181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183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181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183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183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183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183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183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181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181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182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183</v>
      </c>
      <c r="D9403" s="29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181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182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183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183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181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181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182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181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183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181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183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181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183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181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181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181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181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181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181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181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181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183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183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181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183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183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181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181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183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181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181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183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183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183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181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181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183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181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181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182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181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183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182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181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182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182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183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181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181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183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181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181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181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181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183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183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183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181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182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183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183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181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183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181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181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183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181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183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183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181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181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183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181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183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183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181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183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183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183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182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183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183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181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181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181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183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183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183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183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183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183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183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181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183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181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183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181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182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183</v>
      </c>
      <c r="D9502" s="29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183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181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183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183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181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181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183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183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183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183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182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181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183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183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181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183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181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181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183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183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181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183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182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183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181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183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183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183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183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182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181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183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183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181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181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183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183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181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181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182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181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183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183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181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181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183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183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183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181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183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183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183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181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181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181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181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182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181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183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183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181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181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183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181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183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183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183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181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183</v>
      </c>
      <c r="D9571" s="29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181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181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183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182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183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183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183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183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183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183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181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181</v>
      </c>
      <c r="D9583" s="29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182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181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183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181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183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183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183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181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182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181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181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181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183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181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183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183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183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183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183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181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181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181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183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181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181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183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183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183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181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183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183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183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181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182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183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181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183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183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181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181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181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183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183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181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181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183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183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183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181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183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183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183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183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183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181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182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183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181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183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181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181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183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181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183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183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183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181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181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181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181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181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183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183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181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181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183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181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182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182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181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183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181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183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181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183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183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181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183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182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181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183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181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182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183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183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183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181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181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183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183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181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183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181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181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183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183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183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183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181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183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182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181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183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183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182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183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182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182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183</v>
      </c>
      <c r="D9702" s="29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182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181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182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183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183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182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181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183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181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181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183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183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181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181</v>
      </c>
      <c r="D9716" s="29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183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183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183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183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181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183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183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181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183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181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183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183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183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183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181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183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183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181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181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183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183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183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183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183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181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181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181</v>
      </c>
      <c r="D9743" s="29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183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183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181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183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183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181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183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181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183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183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183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183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183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183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181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181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183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182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183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181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181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183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183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181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181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181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183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183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183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181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181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183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181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181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181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181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181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181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181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183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183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181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181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183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181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183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183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183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181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182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181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183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183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181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183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183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181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183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183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183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181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183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181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183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181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183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183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183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181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183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183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181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183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183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181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183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181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182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183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182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182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183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183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181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181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181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183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181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183</v>
      </c>
      <c r="D9832" s="29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181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183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183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181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182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183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181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181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183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181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183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183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181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183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183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181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181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183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183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182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183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181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182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181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181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183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183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181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181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183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181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183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183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183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181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183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183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183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182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183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181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183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181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181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183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183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181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183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181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183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183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183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183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183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181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183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182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183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183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183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181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183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183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183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183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183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181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181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182</v>
      </c>
      <c r="D9901" s="29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181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183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183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181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182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181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181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183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183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183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181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181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183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183</v>
      </c>
      <c r="D9915" s="29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182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181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181</v>
      </c>
      <c r="D9918" s="29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183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182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183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183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182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182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183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182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183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183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183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181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181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183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181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182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182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183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183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183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181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182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183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181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183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183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183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181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181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183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183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181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181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183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181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183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183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183</v>
      </c>
      <c r="D9956" s="29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183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181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183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183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181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181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183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183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183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183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181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183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181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181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183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183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181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181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183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183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183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183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182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183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181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183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183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181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181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183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183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182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181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181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183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183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183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183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183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181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183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181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183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182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181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183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181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181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183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181</v>
      </c>
      <c r="D10006" s="29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183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181</v>
      </c>
      <c r="D10008" s="29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182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183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183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183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181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183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181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182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183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183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181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183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183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183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181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181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183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181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183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183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181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183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183</v>
      </c>
      <c r="D10031" s="29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181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181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183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181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183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183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182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183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181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181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182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183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181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183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183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181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181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181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183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182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181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183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181</v>
      </c>
      <c r="D10054" s="29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182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182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181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183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183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183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183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181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183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181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182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183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183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183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183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181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183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181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181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182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181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181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183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181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183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183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183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183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181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183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181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181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181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183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183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183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181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182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183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183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183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181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183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183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183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183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183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182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181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181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181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181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181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181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183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183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181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183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183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181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183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181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183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181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181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183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183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181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183</v>
      </c>
      <c r="D10123" s="29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181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183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181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183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183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183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181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182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181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182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181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183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181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183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181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183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182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183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183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181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182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182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183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181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183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182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183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183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183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183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183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181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183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181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183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181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183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183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183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183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183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183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183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183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183</v>
      </c>
      <c r="D10168" s="29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181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183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181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183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181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181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183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182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183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183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182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183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183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181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181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183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181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183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181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181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181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182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183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183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183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181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182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183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183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183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183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181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183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181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183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181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181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183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183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181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183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183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181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183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183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181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181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181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183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183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182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183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182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183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181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181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182</v>
      </c>
      <c r="D10225" s="29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183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181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183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183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183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183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181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183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181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183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181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181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183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183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181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181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182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181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183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182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181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183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183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183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183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183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182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182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183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183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181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181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181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183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183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181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183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181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181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183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183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181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181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181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182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183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181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183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181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182</v>
      </c>
      <c r="D10275" s="29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181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182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182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181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183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183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183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183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183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181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183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183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183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181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183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183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181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181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183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181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183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183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183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181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183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183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181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183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181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182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183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183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181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181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181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181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181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183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183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181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181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183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183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181</v>
      </c>
      <c r="D10319" s="2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182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181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183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183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181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181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183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181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183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183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181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183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181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183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181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181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181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183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181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181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181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181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183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181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183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183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183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183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181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182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183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181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182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183</v>
      </c>
      <c r="D10353" s="29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183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181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181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183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183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181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183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181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183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183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181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183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181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183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183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183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183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181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181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183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181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181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183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181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181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183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181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183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181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183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181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181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181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181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181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181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183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183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183</v>
      </c>
      <c r="D10392" s="29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181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183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183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183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181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182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181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181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183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181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181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181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181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183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183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183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183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182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183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181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183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181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183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181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181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183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183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183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183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182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181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183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181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181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181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181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181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181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181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181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183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183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183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182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181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181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183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181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181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181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181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181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183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182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183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181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181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183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181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183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183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181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181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183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183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183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181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183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182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183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181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182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183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181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183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181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181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181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182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183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183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183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183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183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181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181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181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183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182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181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183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181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183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183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183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181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183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181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183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183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181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183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183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183</v>
      </c>
      <c r="D10496" s="29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182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183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182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181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183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181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183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183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183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181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183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183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183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181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183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183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182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181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183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183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181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181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182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183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181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181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183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182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181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181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183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183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183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183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183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181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181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183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181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182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181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183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183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183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183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181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181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181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181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183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183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183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181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181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183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182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183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183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183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183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181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183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183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183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183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181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183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183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183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183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182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181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183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183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183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183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183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183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183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182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183</v>
      </c>
      <c r="D10577" s="29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183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183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182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181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183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183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181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183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181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183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181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181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183</v>
      </c>
      <c r="D10590" s="29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183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183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183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183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183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183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183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183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183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183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183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181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182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183</v>
      </c>
      <c r="D10604" s="29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181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183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181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183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181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183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182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181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182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181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183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183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183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182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181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181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183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183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183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183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183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181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181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181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183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183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183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183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181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183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181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181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183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183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181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181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181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181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181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183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183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183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183</v>
      </c>
      <c r="D10647" s="29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181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181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183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181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181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181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183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181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183</v>
      </c>
      <c r="D10656" s="29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181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181</v>
      </c>
      <c r="D10658" s="29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183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183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181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181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183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183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181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183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183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183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182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183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183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183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181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183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183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183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183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183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181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183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183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183</v>
      </c>
      <c r="D10682" s="29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181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181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182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183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181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183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181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181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183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183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181</v>
      </c>
      <c r="D10693" s="29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183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183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183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183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183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183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181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183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183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181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181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181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183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183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183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183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182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183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181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183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183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182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183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181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181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183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183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181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183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183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183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181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181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183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183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182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183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181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181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181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183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183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183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181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183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183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183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181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183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181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183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182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181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181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183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183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183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183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183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183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182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183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181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182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181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183</v>
      </c>
      <c r="D10759" s="2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183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181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183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181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183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181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183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183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181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183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181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183</v>
      </c>
      <c r="D10771" s="29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182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181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181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181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183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183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183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183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183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181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183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183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183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181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182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183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181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181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181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181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181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181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181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183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183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183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183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183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181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182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183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183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183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181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181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181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181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181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183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183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181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183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183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183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181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183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183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183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183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183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183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183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181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183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181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181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181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183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183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182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181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181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183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183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183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183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183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181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181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183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183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183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183</v>
      </c>
      <c r="D10844" s="29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183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182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181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181</v>
      </c>
      <c r="D10848" s="29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181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183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183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183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181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181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183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183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181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181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181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183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181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182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181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183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181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182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181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183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183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183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182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182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182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181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181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181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183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181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181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183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181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183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183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183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183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183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181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181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183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181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181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181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183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183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183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181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183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183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181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181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183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183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183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183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183</v>
      </c>
      <c r="D10905" s="29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181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181</v>
      </c>
      <c r="D10907" s="29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183</v>
      </c>
      <c r="D10908" s="29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183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183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183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181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183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183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183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183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183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183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183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183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181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183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181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181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183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183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181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182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181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183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183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181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181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181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183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183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183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183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183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183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182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181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183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183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181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183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181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181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183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182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183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181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181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183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183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183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181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181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181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183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181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183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181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181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182</v>
      </c>
      <c r="D10965" s="29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182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181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182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183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183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183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181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183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182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183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181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181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181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183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181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183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183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182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181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183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183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182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183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183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183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181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181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183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183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182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183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181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181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181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183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181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183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183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183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183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183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183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183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181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183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181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181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183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182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183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182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181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183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181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182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182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181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183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182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181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183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182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181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182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181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183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183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181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181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183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181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181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183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183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183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181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183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182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181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183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183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183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181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183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183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183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181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183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181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181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183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183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183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183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183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183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183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183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183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181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182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183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182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182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181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181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183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183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183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183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183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181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181</v>
      </c>
      <c r="D11078" s="29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181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183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183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183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183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181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181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183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181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183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183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181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183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183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183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183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183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181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183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181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181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181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183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181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181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183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183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181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181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181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181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183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181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181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182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181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181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183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183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183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181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181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183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181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183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183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183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181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181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182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181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182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181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181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183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181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182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181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183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183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183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183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182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183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181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182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181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181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181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183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183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183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183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183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181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181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183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183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183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181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181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183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183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183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183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181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183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183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183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181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181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181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183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183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183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183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183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181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183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182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182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183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183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183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181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181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182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181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181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183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183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183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183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182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183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183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181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183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183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181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183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183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181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181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183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183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183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183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181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183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181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182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181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181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181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181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181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181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181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181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181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181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181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183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183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183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183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181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181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181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182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183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181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183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183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181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182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181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181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181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181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183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183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183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183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181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181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183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181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183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181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181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181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183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181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181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183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182</v>
      </c>
      <c r="D11256" s="29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182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181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183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183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182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183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181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183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183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183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181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181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183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183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181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183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182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181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183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182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183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181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181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181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181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183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183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183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181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181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182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183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182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181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181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181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183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182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181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181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183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183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183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181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182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183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181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183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183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183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183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183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183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183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181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183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183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181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181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183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182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183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183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181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181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182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181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181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181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181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183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183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183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181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181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183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182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183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181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181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183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183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183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183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183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183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182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181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183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183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183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182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181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181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181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181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183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181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183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181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181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181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182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183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183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183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181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181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181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183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183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183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183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181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181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183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181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181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181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181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181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181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183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183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181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181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183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181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183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183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182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183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183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183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183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183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183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183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183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183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183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183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183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181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183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181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183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181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183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181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181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183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183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183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181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182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181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182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181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181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181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181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181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181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183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181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183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183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183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183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181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183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181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183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183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181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183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183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183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181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181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183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181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183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181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183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183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183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183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181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183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183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181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183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181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183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181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182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183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181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181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181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183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181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183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183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183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183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181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181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183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183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183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183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182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181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181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181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181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183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181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183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181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183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183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183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181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181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181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181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181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183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183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183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182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183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181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183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181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183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181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181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182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183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183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183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183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183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181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183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183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181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181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183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182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181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183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181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183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183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183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181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183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181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183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182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181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183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183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183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181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181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182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181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182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183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183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181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183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181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183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183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183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181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181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183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181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181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181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181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183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183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181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181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182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181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183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181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182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182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183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181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183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181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183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181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183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183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183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183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183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183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183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183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182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183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183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183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183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183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181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183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183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181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181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181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181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183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181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183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183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181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181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181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183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182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181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181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183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183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181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183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181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183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183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181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181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183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183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183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182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181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183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183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181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183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181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183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183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181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181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183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181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183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181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183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182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181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183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182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183</v>
      </c>
      <c r="D11627" s="29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183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182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181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183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181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181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183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181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183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182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183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183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181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183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181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181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181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183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181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181</v>
      </c>
      <c r="D11647" s="29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182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181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181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183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181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183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181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183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181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181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181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183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183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183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181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183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183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183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183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182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183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183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183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183</v>
      </c>
      <c r="D11671" s="29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181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181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183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182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182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181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181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183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183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183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181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183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182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183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183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183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181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181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183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181</v>
      </c>
      <c r="D11691" s="29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181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181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183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183</v>
      </c>
      <c r="D11695" s="29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182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182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183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183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183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181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182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182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183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181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183</v>
      </c>
      <c r="D11706" s="29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181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182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181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181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183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183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181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181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183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183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183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183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183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183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183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181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181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183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183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181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183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183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183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181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183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181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181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181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182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181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181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183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183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181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183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183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181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183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183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183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183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181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182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181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182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183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183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181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183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183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181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181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181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183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183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183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183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182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181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181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183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181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181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183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181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183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181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181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183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183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181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181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181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181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181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183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181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183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181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183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181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183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181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183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183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183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183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183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182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181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183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182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183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183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183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183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181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182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181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183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182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183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181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181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181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181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183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181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181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183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181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181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181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181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183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181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183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181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181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183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183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183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181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182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183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181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181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183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183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183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183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183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181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183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182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183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183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183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181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183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183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183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181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181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183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183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183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183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182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183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182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181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183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181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181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183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182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182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181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181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181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183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183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181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183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181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182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183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183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181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181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182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183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181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183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183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183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183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181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181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183</v>
      </c>
      <c r="D11887" s="29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183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181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183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181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181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182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181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183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181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183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183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181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183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182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181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183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182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181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181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183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181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181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183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183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183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181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181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181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182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183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183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183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181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181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183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182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183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183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181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183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181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183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183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183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181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183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181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181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181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181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183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182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183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181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182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183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181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183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181</v>
      </c>
      <c r="D11946" s="29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183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183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181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183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183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183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181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182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183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183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181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181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183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181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183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181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181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181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183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181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183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181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181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183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183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181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183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183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183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183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183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182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181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183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181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181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181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183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183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181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183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181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183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183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181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181</v>
      </c>
      <c r="D11992" s="29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183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181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181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183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181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181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183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183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181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181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181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183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183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183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181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183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182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181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181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181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183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183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183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181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181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183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181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181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181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181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183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183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183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181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183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181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181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181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181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183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183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181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183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183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183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181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181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183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181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181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183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183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181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183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183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183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181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181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183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183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181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183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183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181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181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181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183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181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183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183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182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181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183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181</v>
      </c>
      <c r="D12066" s="29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183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181</v>
      </c>
      <c r="D12068" s="29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181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181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183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183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183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182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181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183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183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181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183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182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181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183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183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181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181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181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181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183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183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183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183</v>
      </c>
      <c r="D12091" s="29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181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183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183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183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181</v>
      </c>
      <c r="D12096" s="29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182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183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181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183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183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182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181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181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182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183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183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183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182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183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183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182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183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183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183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181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181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183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183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181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181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181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183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182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181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183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182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183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182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183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183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182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181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181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183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183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181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183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181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181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181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183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181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183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183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181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181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181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183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183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183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183</v>
      </c>
      <c r="D12152" s="29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183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183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183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183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181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183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183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183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181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181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181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181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182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183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183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182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181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181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183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183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181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181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183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182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181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183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181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181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182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181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183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181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181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183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183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181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183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183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183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181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181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183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183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181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181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183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183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183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181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183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182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183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181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183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183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182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183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183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181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181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183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183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181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181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183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183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183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181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181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183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181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181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181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181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182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181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183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183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181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181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183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181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183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181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181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183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182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183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181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181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183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183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183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183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181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183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181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181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181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182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183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183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182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181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181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183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183</v>
      </c>
      <c r="D12259" s="2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182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182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181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217</v>
      </c>
      <c r="B1" t="s">
        <v>216</v>
      </c>
      <c r="C1" t="s">
        <v>215</v>
      </c>
      <c r="D1" t="s">
        <v>214</v>
      </c>
      <c r="E1" t="s">
        <v>213</v>
      </c>
      <c r="F1" t="s">
        <v>212</v>
      </c>
      <c r="G1" t="s">
        <v>211</v>
      </c>
      <c r="H1" t="s">
        <v>210</v>
      </c>
      <c r="I1" t="s">
        <v>209</v>
      </c>
      <c r="J1" t="s">
        <v>208</v>
      </c>
      <c r="K1" t="s">
        <v>207</v>
      </c>
      <c r="L1" t="s">
        <v>206</v>
      </c>
      <c r="M1" t="s">
        <v>205</v>
      </c>
      <c r="N1" t="s">
        <v>204</v>
      </c>
      <c r="O1" t="s">
        <v>203</v>
      </c>
      <c r="P1" t="s">
        <v>202</v>
      </c>
      <c r="Q1" t="s">
        <v>201</v>
      </c>
      <c r="R1" t="s">
        <v>200</v>
      </c>
      <c r="S1" t="s">
        <v>199</v>
      </c>
      <c r="T1" t="s">
        <v>198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193</v>
      </c>
      <c r="O2" t="s">
        <v>195</v>
      </c>
      <c r="P2">
        <v>446</v>
      </c>
      <c r="Q2">
        <v>33</v>
      </c>
      <c r="R2">
        <v>20</v>
      </c>
      <c r="S2" t="s">
        <v>197</v>
      </c>
      <c r="T2" t="s">
        <v>193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196</v>
      </c>
      <c r="O3" t="s">
        <v>194</v>
      </c>
      <c r="P3">
        <v>632</v>
      </c>
      <c r="Q3">
        <v>43</v>
      </c>
      <c r="R3">
        <v>10</v>
      </c>
      <c r="S3">
        <v>475</v>
      </c>
      <c r="T3" t="s">
        <v>196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193</v>
      </c>
      <c r="O4" t="s">
        <v>194</v>
      </c>
      <c r="P4">
        <v>880</v>
      </c>
      <c r="Q4">
        <v>82</v>
      </c>
      <c r="R4">
        <v>14</v>
      </c>
      <c r="S4">
        <v>480</v>
      </c>
      <c r="T4" t="s">
        <v>193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196</v>
      </c>
      <c r="O5" t="s">
        <v>195</v>
      </c>
      <c r="P5">
        <v>200</v>
      </c>
      <c r="Q5">
        <v>11</v>
      </c>
      <c r="R5">
        <v>3</v>
      </c>
      <c r="S5">
        <v>500</v>
      </c>
      <c r="T5" t="s">
        <v>196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196</v>
      </c>
      <c r="O6" t="s">
        <v>195</v>
      </c>
      <c r="P6">
        <v>805</v>
      </c>
      <c r="Q6">
        <v>40</v>
      </c>
      <c r="R6">
        <v>4</v>
      </c>
      <c r="S6">
        <v>91.5</v>
      </c>
      <c r="T6" t="s">
        <v>196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193</v>
      </c>
      <c r="O7" t="s">
        <v>194</v>
      </c>
      <c r="P7">
        <v>282</v>
      </c>
      <c r="Q7">
        <v>421</v>
      </c>
      <c r="R7">
        <v>25</v>
      </c>
      <c r="S7">
        <v>750</v>
      </c>
      <c r="T7" t="s">
        <v>193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196</v>
      </c>
      <c r="O8" t="s">
        <v>195</v>
      </c>
      <c r="P8">
        <v>76</v>
      </c>
      <c r="Q8">
        <v>127</v>
      </c>
      <c r="R8">
        <v>7</v>
      </c>
      <c r="S8">
        <v>70</v>
      </c>
      <c r="T8" t="s">
        <v>193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193</v>
      </c>
      <c r="O9" t="s">
        <v>194</v>
      </c>
      <c r="P9">
        <v>121</v>
      </c>
      <c r="Q9">
        <v>283</v>
      </c>
      <c r="R9">
        <v>9</v>
      </c>
      <c r="S9">
        <v>100</v>
      </c>
      <c r="T9" t="s">
        <v>193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196</v>
      </c>
      <c r="O10" t="s">
        <v>194</v>
      </c>
      <c r="P10">
        <v>143</v>
      </c>
      <c r="Q10">
        <v>290</v>
      </c>
      <c r="R10">
        <v>19</v>
      </c>
      <c r="S10">
        <v>75</v>
      </c>
      <c r="T10" t="s">
        <v>196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193</v>
      </c>
      <c r="O11" t="s">
        <v>195</v>
      </c>
      <c r="P11">
        <v>0</v>
      </c>
      <c r="Q11">
        <v>0</v>
      </c>
      <c r="R11">
        <v>0</v>
      </c>
      <c r="S11">
        <v>1100</v>
      </c>
      <c r="T11" t="s">
        <v>193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193</v>
      </c>
      <c r="O12" t="s">
        <v>195</v>
      </c>
      <c r="P12">
        <v>238</v>
      </c>
      <c r="Q12">
        <v>445</v>
      </c>
      <c r="R12">
        <v>22</v>
      </c>
      <c r="S12">
        <v>517.14300000000003</v>
      </c>
      <c r="T12" t="s">
        <v>193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196</v>
      </c>
      <c r="O13" t="s">
        <v>194</v>
      </c>
      <c r="P13">
        <v>304</v>
      </c>
      <c r="Q13">
        <v>45</v>
      </c>
      <c r="R13">
        <v>11</v>
      </c>
      <c r="S13">
        <v>512.5</v>
      </c>
      <c r="T13" t="s">
        <v>196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196</v>
      </c>
      <c r="O14" t="s">
        <v>195</v>
      </c>
      <c r="P14">
        <v>211</v>
      </c>
      <c r="Q14">
        <v>11</v>
      </c>
      <c r="R14">
        <v>7</v>
      </c>
      <c r="S14">
        <v>550</v>
      </c>
      <c r="T14" t="s">
        <v>196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193</v>
      </c>
      <c r="O15" t="s">
        <v>195</v>
      </c>
      <c r="P15">
        <v>121</v>
      </c>
      <c r="Q15">
        <v>151</v>
      </c>
      <c r="R15">
        <v>6</v>
      </c>
      <c r="S15">
        <v>700</v>
      </c>
      <c r="T15" t="s">
        <v>193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196</v>
      </c>
      <c r="O16" t="s">
        <v>195</v>
      </c>
      <c r="P16">
        <v>80</v>
      </c>
      <c r="Q16">
        <v>45</v>
      </c>
      <c r="R16">
        <v>8</v>
      </c>
      <c r="S16">
        <v>240</v>
      </c>
      <c r="T16" t="s">
        <v>196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193</v>
      </c>
      <c r="O17" t="s">
        <v>194</v>
      </c>
      <c r="P17">
        <v>118</v>
      </c>
      <c r="Q17">
        <v>0</v>
      </c>
      <c r="R17">
        <v>0</v>
      </c>
      <c r="S17" t="s">
        <v>197</v>
      </c>
      <c r="T17" t="s">
        <v>193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196</v>
      </c>
      <c r="O18" t="s">
        <v>194</v>
      </c>
      <c r="P18">
        <v>105</v>
      </c>
      <c r="Q18">
        <v>290</v>
      </c>
      <c r="R18">
        <v>10</v>
      </c>
      <c r="S18">
        <v>775</v>
      </c>
      <c r="T18" t="s">
        <v>196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193</v>
      </c>
      <c r="O19" t="s">
        <v>194</v>
      </c>
      <c r="P19">
        <v>102</v>
      </c>
      <c r="Q19">
        <v>177</v>
      </c>
      <c r="R19">
        <v>16</v>
      </c>
      <c r="S19">
        <v>175</v>
      </c>
      <c r="T19" t="s">
        <v>193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193</v>
      </c>
      <c r="O20" t="s">
        <v>194</v>
      </c>
      <c r="P20">
        <v>912</v>
      </c>
      <c r="Q20">
        <v>88</v>
      </c>
      <c r="R20">
        <v>9</v>
      </c>
      <c r="S20" t="s">
        <v>197</v>
      </c>
      <c r="T20" t="s">
        <v>193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196</v>
      </c>
      <c r="O21" t="s">
        <v>194</v>
      </c>
      <c r="P21">
        <v>202</v>
      </c>
      <c r="Q21">
        <v>22</v>
      </c>
      <c r="R21">
        <v>2</v>
      </c>
      <c r="S21">
        <v>135</v>
      </c>
      <c r="T21" t="s">
        <v>196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196</v>
      </c>
      <c r="O22" t="s">
        <v>195</v>
      </c>
      <c r="P22">
        <v>280</v>
      </c>
      <c r="Q22">
        <v>9</v>
      </c>
      <c r="R22">
        <v>5</v>
      </c>
      <c r="S22">
        <v>100</v>
      </c>
      <c r="T22" t="s">
        <v>196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193</v>
      </c>
      <c r="O23" t="s">
        <v>194</v>
      </c>
      <c r="P23">
        <v>361</v>
      </c>
      <c r="Q23">
        <v>22</v>
      </c>
      <c r="R23">
        <v>2</v>
      </c>
      <c r="S23">
        <v>115</v>
      </c>
      <c r="T23" t="s">
        <v>196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193</v>
      </c>
      <c r="O24" t="s">
        <v>194</v>
      </c>
      <c r="P24">
        <v>812</v>
      </c>
      <c r="Q24">
        <v>84</v>
      </c>
      <c r="R24">
        <v>11</v>
      </c>
      <c r="S24" t="s">
        <v>197</v>
      </c>
      <c r="T24" t="s">
        <v>193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196</v>
      </c>
      <c r="O25" t="s">
        <v>194</v>
      </c>
      <c r="P25">
        <v>518</v>
      </c>
      <c r="Q25">
        <v>55</v>
      </c>
      <c r="R25">
        <v>3</v>
      </c>
      <c r="S25">
        <v>600</v>
      </c>
      <c r="T25" t="s">
        <v>196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193</v>
      </c>
      <c r="O26" t="s">
        <v>195</v>
      </c>
      <c r="P26">
        <v>1067</v>
      </c>
      <c r="Q26">
        <v>157</v>
      </c>
      <c r="R26">
        <v>14</v>
      </c>
      <c r="S26">
        <v>776.66700000000003</v>
      </c>
      <c r="T26" t="s">
        <v>193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193</v>
      </c>
      <c r="O27" t="s">
        <v>195</v>
      </c>
      <c r="P27">
        <v>434</v>
      </c>
      <c r="Q27">
        <v>9</v>
      </c>
      <c r="R27">
        <v>3</v>
      </c>
      <c r="S27">
        <v>765</v>
      </c>
      <c r="T27" t="s">
        <v>193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196</v>
      </c>
      <c r="O28" t="s">
        <v>195</v>
      </c>
      <c r="P28">
        <v>222</v>
      </c>
      <c r="Q28">
        <v>3</v>
      </c>
      <c r="R28">
        <v>3</v>
      </c>
      <c r="S28">
        <v>708.33299999999997</v>
      </c>
      <c r="T28" t="s">
        <v>196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196</v>
      </c>
      <c r="O29" t="s">
        <v>194</v>
      </c>
      <c r="P29">
        <v>732</v>
      </c>
      <c r="Q29">
        <v>83</v>
      </c>
      <c r="R29">
        <v>13</v>
      </c>
      <c r="S29">
        <v>750</v>
      </c>
      <c r="T29" t="s">
        <v>196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196</v>
      </c>
      <c r="O30" t="s">
        <v>194</v>
      </c>
      <c r="P30">
        <v>262</v>
      </c>
      <c r="Q30">
        <v>329</v>
      </c>
      <c r="R30">
        <v>16</v>
      </c>
      <c r="S30">
        <v>625</v>
      </c>
      <c r="T30" t="s">
        <v>196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193</v>
      </c>
      <c r="O31" t="s">
        <v>194</v>
      </c>
      <c r="P31">
        <v>267</v>
      </c>
      <c r="Q31">
        <v>5</v>
      </c>
      <c r="R31">
        <v>3</v>
      </c>
      <c r="S31">
        <v>900</v>
      </c>
      <c r="T31" t="s">
        <v>193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193</v>
      </c>
      <c r="O32" t="s">
        <v>194</v>
      </c>
      <c r="P32">
        <v>127</v>
      </c>
      <c r="Q32">
        <v>221</v>
      </c>
      <c r="R32">
        <v>7</v>
      </c>
      <c r="S32" t="s">
        <v>197</v>
      </c>
      <c r="T32" t="s">
        <v>193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196</v>
      </c>
      <c r="O33" t="s">
        <v>194</v>
      </c>
      <c r="P33">
        <v>226</v>
      </c>
      <c r="Q33">
        <v>7</v>
      </c>
      <c r="R33">
        <v>4</v>
      </c>
      <c r="S33">
        <v>110</v>
      </c>
      <c r="T33" t="s">
        <v>196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196</v>
      </c>
      <c r="O34" t="s">
        <v>194</v>
      </c>
      <c r="P34">
        <v>1378</v>
      </c>
      <c r="Q34">
        <v>102</v>
      </c>
      <c r="R34">
        <v>8</v>
      </c>
      <c r="S34" t="s">
        <v>197</v>
      </c>
      <c r="T34" t="s">
        <v>196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193</v>
      </c>
      <c r="O35" t="s">
        <v>195</v>
      </c>
      <c r="P35">
        <v>109</v>
      </c>
      <c r="Q35">
        <v>292</v>
      </c>
      <c r="R35">
        <v>25</v>
      </c>
      <c r="S35">
        <v>612.5</v>
      </c>
      <c r="T35" t="s">
        <v>193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193</v>
      </c>
      <c r="O36" t="s">
        <v>194</v>
      </c>
      <c r="P36">
        <v>419</v>
      </c>
      <c r="Q36">
        <v>46</v>
      </c>
      <c r="R36">
        <v>5</v>
      </c>
      <c r="S36">
        <v>300</v>
      </c>
      <c r="T36" t="s">
        <v>193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196</v>
      </c>
      <c r="O37" t="s">
        <v>194</v>
      </c>
      <c r="P37">
        <v>72</v>
      </c>
      <c r="Q37">
        <v>170</v>
      </c>
      <c r="R37">
        <v>24</v>
      </c>
      <c r="S37">
        <v>850</v>
      </c>
      <c r="T37" t="s">
        <v>196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193</v>
      </c>
      <c r="O38" t="s">
        <v>195</v>
      </c>
      <c r="P38">
        <v>70</v>
      </c>
      <c r="Q38">
        <v>149</v>
      </c>
      <c r="R38">
        <v>12</v>
      </c>
      <c r="S38" t="s">
        <v>197</v>
      </c>
      <c r="T38" t="s">
        <v>193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196</v>
      </c>
      <c r="O39" t="s">
        <v>194</v>
      </c>
      <c r="P39">
        <v>442</v>
      </c>
      <c r="Q39">
        <v>59</v>
      </c>
      <c r="R39">
        <v>6</v>
      </c>
      <c r="S39">
        <v>90</v>
      </c>
      <c r="T39" t="s">
        <v>196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193</v>
      </c>
      <c r="O40" t="s">
        <v>195</v>
      </c>
      <c r="P40">
        <v>0</v>
      </c>
      <c r="Q40">
        <v>0</v>
      </c>
      <c r="R40">
        <v>0</v>
      </c>
      <c r="S40" t="s">
        <v>197</v>
      </c>
      <c r="T40" t="s">
        <v>193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196</v>
      </c>
      <c r="O41" t="s">
        <v>194</v>
      </c>
      <c r="P41">
        <v>166</v>
      </c>
      <c r="Q41">
        <v>172</v>
      </c>
      <c r="R41">
        <v>10</v>
      </c>
      <c r="S41" t="s">
        <v>197</v>
      </c>
      <c r="T41" t="s">
        <v>196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193</v>
      </c>
      <c r="O42" t="s">
        <v>195</v>
      </c>
      <c r="P42">
        <v>326</v>
      </c>
      <c r="Q42">
        <v>29</v>
      </c>
      <c r="R42">
        <v>5</v>
      </c>
      <c r="S42">
        <v>67.5</v>
      </c>
      <c r="T42" t="s">
        <v>193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196</v>
      </c>
      <c r="O43" t="s">
        <v>194</v>
      </c>
      <c r="P43">
        <v>103</v>
      </c>
      <c r="Q43">
        <v>84</v>
      </c>
      <c r="R43">
        <v>5</v>
      </c>
      <c r="S43" t="s">
        <v>197</v>
      </c>
      <c r="T43" t="s">
        <v>196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196</v>
      </c>
      <c r="O44" t="s">
        <v>194</v>
      </c>
      <c r="P44">
        <v>69</v>
      </c>
      <c r="Q44">
        <v>1</v>
      </c>
      <c r="R44">
        <v>1</v>
      </c>
      <c r="S44" t="s">
        <v>197</v>
      </c>
      <c r="T44" t="s">
        <v>196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193</v>
      </c>
      <c r="O45" t="s">
        <v>195</v>
      </c>
      <c r="P45">
        <v>307</v>
      </c>
      <c r="Q45">
        <v>25</v>
      </c>
      <c r="R45">
        <v>1</v>
      </c>
      <c r="S45">
        <v>180</v>
      </c>
      <c r="T45" t="s">
        <v>193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193</v>
      </c>
      <c r="O46" t="s">
        <v>195</v>
      </c>
      <c r="P46">
        <v>325</v>
      </c>
      <c r="Q46">
        <v>22</v>
      </c>
      <c r="R46">
        <v>2</v>
      </c>
      <c r="S46" t="s">
        <v>197</v>
      </c>
      <c r="T46" t="s">
        <v>193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193</v>
      </c>
      <c r="O47" t="s">
        <v>195</v>
      </c>
      <c r="P47">
        <v>359</v>
      </c>
      <c r="Q47">
        <v>30</v>
      </c>
      <c r="R47">
        <v>4</v>
      </c>
      <c r="S47">
        <v>305</v>
      </c>
      <c r="T47" t="s">
        <v>193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196</v>
      </c>
      <c r="O48" t="s">
        <v>194</v>
      </c>
      <c r="P48">
        <v>73</v>
      </c>
      <c r="Q48">
        <v>177</v>
      </c>
      <c r="R48">
        <v>18</v>
      </c>
      <c r="S48">
        <v>215</v>
      </c>
      <c r="T48" t="s">
        <v>196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193</v>
      </c>
      <c r="O49" t="s">
        <v>195</v>
      </c>
      <c r="P49">
        <v>58</v>
      </c>
      <c r="Q49">
        <v>4</v>
      </c>
      <c r="R49">
        <v>4</v>
      </c>
      <c r="S49">
        <v>247.5</v>
      </c>
      <c r="T49" t="s">
        <v>193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193</v>
      </c>
      <c r="O50" t="s">
        <v>195</v>
      </c>
      <c r="P50">
        <v>697</v>
      </c>
      <c r="Q50">
        <v>61</v>
      </c>
      <c r="R50">
        <v>9</v>
      </c>
      <c r="S50" t="s">
        <v>197</v>
      </c>
      <c r="T50" t="s">
        <v>193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196</v>
      </c>
      <c r="O51" t="s">
        <v>194</v>
      </c>
      <c r="P51">
        <v>303</v>
      </c>
      <c r="Q51">
        <v>9</v>
      </c>
      <c r="R51">
        <v>9</v>
      </c>
      <c r="S51">
        <v>815</v>
      </c>
      <c r="T51" t="s">
        <v>196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193</v>
      </c>
      <c r="O52" t="s">
        <v>194</v>
      </c>
      <c r="P52">
        <v>389</v>
      </c>
      <c r="Q52">
        <v>39</v>
      </c>
      <c r="R52">
        <v>4</v>
      </c>
      <c r="S52">
        <v>875</v>
      </c>
      <c r="T52" t="s">
        <v>193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196</v>
      </c>
      <c r="O53" t="s">
        <v>195</v>
      </c>
      <c r="P53">
        <v>109</v>
      </c>
      <c r="Q53">
        <v>7</v>
      </c>
      <c r="R53">
        <v>3</v>
      </c>
      <c r="S53">
        <v>70</v>
      </c>
      <c r="T53" t="s">
        <v>196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193</v>
      </c>
      <c r="O54" t="s">
        <v>195</v>
      </c>
      <c r="P54">
        <v>0</v>
      </c>
      <c r="Q54">
        <v>0</v>
      </c>
      <c r="R54">
        <v>0</v>
      </c>
      <c r="S54" t="s">
        <v>197</v>
      </c>
      <c r="T54" t="s">
        <v>193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193</v>
      </c>
      <c r="O55" t="s">
        <v>194</v>
      </c>
      <c r="P55">
        <v>67</v>
      </c>
      <c r="Q55">
        <v>147</v>
      </c>
      <c r="R55">
        <v>4</v>
      </c>
      <c r="S55">
        <v>1200</v>
      </c>
      <c r="T55" t="s">
        <v>193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193</v>
      </c>
      <c r="O56" t="s">
        <v>195</v>
      </c>
      <c r="P56">
        <v>316</v>
      </c>
      <c r="Q56">
        <v>6</v>
      </c>
      <c r="R56">
        <v>5</v>
      </c>
      <c r="S56">
        <v>675</v>
      </c>
      <c r="T56" t="s">
        <v>193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196</v>
      </c>
      <c r="O57" t="s">
        <v>194</v>
      </c>
      <c r="P57">
        <v>161</v>
      </c>
      <c r="Q57">
        <v>10</v>
      </c>
      <c r="R57">
        <v>3</v>
      </c>
      <c r="S57">
        <v>415</v>
      </c>
      <c r="T57" t="s">
        <v>196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196</v>
      </c>
      <c r="O58" t="s">
        <v>194</v>
      </c>
      <c r="P58">
        <v>142</v>
      </c>
      <c r="Q58">
        <v>14</v>
      </c>
      <c r="R58">
        <v>2</v>
      </c>
      <c r="S58">
        <v>340</v>
      </c>
      <c r="T58" t="s">
        <v>196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193</v>
      </c>
      <c r="O59" t="s">
        <v>195</v>
      </c>
      <c r="P59">
        <v>425</v>
      </c>
      <c r="Q59">
        <v>43</v>
      </c>
      <c r="R59">
        <v>4</v>
      </c>
      <c r="S59" t="s">
        <v>197</v>
      </c>
      <c r="T59" t="s">
        <v>193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196</v>
      </c>
      <c r="O60" t="s">
        <v>194</v>
      </c>
      <c r="P60">
        <v>106</v>
      </c>
      <c r="Q60">
        <v>206</v>
      </c>
      <c r="R60">
        <v>7</v>
      </c>
      <c r="S60">
        <v>416.66699999999997</v>
      </c>
      <c r="T60" t="s">
        <v>196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193</v>
      </c>
      <c r="O61" t="s">
        <v>195</v>
      </c>
      <c r="P61">
        <v>240</v>
      </c>
      <c r="Q61">
        <v>482</v>
      </c>
      <c r="R61">
        <v>13</v>
      </c>
      <c r="S61">
        <v>1350</v>
      </c>
      <c r="T61" t="s">
        <v>193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193</v>
      </c>
      <c r="O62" t="s">
        <v>195</v>
      </c>
      <c r="P62">
        <v>203</v>
      </c>
      <c r="Q62">
        <v>70</v>
      </c>
      <c r="R62">
        <v>10</v>
      </c>
      <c r="S62">
        <v>90</v>
      </c>
      <c r="T62" t="s">
        <v>193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196</v>
      </c>
      <c r="O63" t="s">
        <v>195</v>
      </c>
      <c r="P63">
        <v>53</v>
      </c>
      <c r="Q63">
        <v>88</v>
      </c>
      <c r="R63">
        <v>3</v>
      </c>
      <c r="S63">
        <v>275</v>
      </c>
      <c r="T63" t="s">
        <v>196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193</v>
      </c>
      <c r="O64" t="s">
        <v>194</v>
      </c>
      <c r="P64">
        <v>125</v>
      </c>
      <c r="Q64">
        <v>199</v>
      </c>
      <c r="R64">
        <v>13</v>
      </c>
      <c r="S64">
        <v>230</v>
      </c>
      <c r="T64" t="s">
        <v>193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196</v>
      </c>
      <c r="O65" t="s">
        <v>194</v>
      </c>
      <c r="P65">
        <v>73</v>
      </c>
      <c r="Q65">
        <v>152</v>
      </c>
      <c r="R65">
        <v>11</v>
      </c>
      <c r="S65">
        <v>225</v>
      </c>
      <c r="T65" t="s">
        <v>196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193</v>
      </c>
      <c r="O66" t="s">
        <v>194</v>
      </c>
      <c r="P66">
        <v>80</v>
      </c>
      <c r="Q66">
        <v>4</v>
      </c>
      <c r="R66">
        <v>0</v>
      </c>
      <c r="S66" t="s">
        <v>197</v>
      </c>
      <c r="T66" t="s">
        <v>193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193</v>
      </c>
      <c r="O67" t="s">
        <v>195</v>
      </c>
      <c r="P67">
        <v>0</v>
      </c>
      <c r="Q67">
        <v>0</v>
      </c>
      <c r="R67">
        <v>0</v>
      </c>
      <c r="S67">
        <v>950</v>
      </c>
      <c r="T67" t="s">
        <v>193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196</v>
      </c>
      <c r="O68" t="s">
        <v>195</v>
      </c>
      <c r="P68">
        <v>391</v>
      </c>
      <c r="Q68">
        <v>38</v>
      </c>
      <c r="R68">
        <v>8</v>
      </c>
      <c r="S68" t="s">
        <v>197</v>
      </c>
      <c r="T68" t="s">
        <v>196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193</v>
      </c>
      <c r="O69" t="s">
        <v>194</v>
      </c>
      <c r="P69">
        <v>152</v>
      </c>
      <c r="Q69">
        <v>3</v>
      </c>
      <c r="R69">
        <v>5</v>
      </c>
      <c r="S69">
        <v>75</v>
      </c>
      <c r="T69" t="s">
        <v>193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193</v>
      </c>
      <c r="O70" t="s">
        <v>195</v>
      </c>
      <c r="P70">
        <v>107</v>
      </c>
      <c r="Q70">
        <v>242</v>
      </c>
      <c r="R70">
        <v>23</v>
      </c>
      <c r="S70">
        <v>105</v>
      </c>
      <c r="T70" t="s">
        <v>193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193</v>
      </c>
      <c r="O71" t="s">
        <v>195</v>
      </c>
      <c r="P71">
        <v>211</v>
      </c>
      <c r="Q71">
        <v>2</v>
      </c>
      <c r="R71">
        <v>1</v>
      </c>
      <c r="S71" t="s">
        <v>197</v>
      </c>
      <c r="T71" t="s">
        <v>193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196</v>
      </c>
      <c r="O72" t="s">
        <v>194</v>
      </c>
      <c r="P72">
        <v>153</v>
      </c>
      <c r="Q72">
        <v>223</v>
      </c>
      <c r="R72">
        <v>10</v>
      </c>
      <c r="S72">
        <v>320</v>
      </c>
      <c r="T72" t="s">
        <v>196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196</v>
      </c>
      <c r="O73" t="s">
        <v>195</v>
      </c>
      <c r="P73">
        <v>244</v>
      </c>
      <c r="Q73">
        <v>21</v>
      </c>
      <c r="R73">
        <v>4</v>
      </c>
      <c r="S73" t="s">
        <v>197</v>
      </c>
      <c r="T73" t="s">
        <v>196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193</v>
      </c>
      <c r="O74" t="s">
        <v>194</v>
      </c>
      <c r="P74">
        <v>119</v>
      </c>
      <c r="Q74">
        <v>216</v>
      </c>
      <c r="R74">
        <v>12</v>
      </c>
      <c r="S74">
        <v>850</v>
      </c>
      <c r="T74" t="s">
        <v>193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193</v>
      </c>
      <c r="O75" t="s">
        <v>195</v>
      </c>
      <c r="P75">
        <v>808</v>
      </c>
      <c r="Q75">
        <v>108</v>
      </c>
      <c r="R75">
        <v>2</v>
      </c>
      <c r="S75">
        <v>535</v>
      </c>
      <c r="T75" t="s">
        <v>193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193</v>
      </c>
      <c r="O76" t="s">
        <v>195</v>
      </c>
      <c r="P76">
        <v>280</v>
      </c>
      <c r="Q76">
        <v>10</v>
      </c>
      <c r="R76">
        <v>5</v>
      </c>
      <c r="S76">
        <v>933.33299999999997</v>
      </c>
      <c r="T76" t="s">
        <v>193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193</v>
      </c>
      <c r="O77" t="s">
        <v>195</v>
      </c>
      <c r="P77">
        <v>224</v>
      </c>
      <c r="Q77">
        <v>286</v>
      </c>
      <c r="R77">
        <v>8</v>
      </c>
      <c r="S77">
        <v>850</v>
      </c>
      <c r="T77" t="s">
        <v>196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196</v>
      </c>
      <c r="O78" t="s">
        <v>194</v>
      </c>
      <c r="P78">
        <v>226</v>
      </c>
      <c r="Q78">
        <v>7</v>
      </c>
      <c r="R78">
        <v>3</v>
      </c>
      <c r="S78">
        <v>210</v>
      </c>
      <c r="T78" t="s">
        <v>193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196</v>
      </c>
      <c r="O79" t="s">
        <v>195</v>
      </c>
      <c r="P79">
        <v>83</v>
      </c>
      <c r="Q79">
        <v>2</v>
      </c>
      <c r="R79">
        <v>1</v>
      </c>
      <c r="S79" t="s">
        <v>197</v>
      </c>
      <c r="T79" t="s">
        <v>196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193</v>
      </c>
      <c r="O80" t="s">
        <v>194</v>
      </c>
      <c r="P80">
        <v>182</v>
      </c>
      <c r="Q80">
        <v>9</v>
      </c>
      <c r="R80">
        <v>4</v>
      </c>
      <c r="S80">
        <v>325</v>
      </c>
      <c r="T80" t="s">
        <v>193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193</v>
      </c>
      <c r="O81" t="s">
        <v>194</v>
      </c>
      <c r="P81">
        <v>104</v>
      </c>
      <c r="Q81">
        <v>213</v>
      </c>
      <c r="R81">
        <v>9</v>
      </c>
      <c r="S81">
        <v>275</v>
      </c>
      <c r="T81" t="s">
        <v>193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193</v>
      </c>
      <c r="O82" t="s">
        <v>194</v>
      </c>
      <c r="P82">
        <v>463</v>
      </c>
      <c r="Q82">
        <v>32</v>
      </c>
      <c r="R82">
        <v>8</v>
      </c>
      <c r="S82" t="s">
        <v>197</v>
      </c>
      <c r="T82" t="s">
        <v>193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196</v>
      </c>
      <c r="O83" t="s">
        <v>195</v>
      </c>
      <c r="P83">
        <v>51</v>
      </c>
      <c r="Q83">
        <v>54</v>
      </c>
      <c r="R83">
        <v>8</v>
      </c>
      <c r="S83">
        <v>450</v>
      </c>
      <c r="T83" t="s">
        <v>196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193</v>
      </c>
      <c r="O84" t="s">
        <v>195</v>
      </c>
      <c r="P84">
        <v>1377</v>
      </c>
      <c r="Q84">
        <v>100</v>
      </c>
      <c r="R84">
        <v>6</v>
      </c>
      <c r="S84">
        <v>1975</v>
      </c>
      <c r="T84" t="s">
        <v>193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193</v>
      </c>
      <c r="O85" t="s">
        <v>194</v>
      </c>
      <c r="P85">
        <v>92</v>
      </c>
      <c r="Q85">
        <v>2</v>
      </c>
      <c r="R85">
        <v>2</v>
      </c>
      <c r="S85" t="s">
        <v>197</v>
      </c>
      <c r="T85" t="s">
        <v>193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196</v>
      </c>
      <c r="O86" t="s">
        <v>194</v>
      </c>
      <c r="P86">
        <v>303</v>
      </c>
      <c r="Q86">
        <v>6</v>
      </c>
      <c r="R86">
        <v>6</v>
      </c>
      <c r="S86">
        <v>1900</v>
      </c>
      <c r="T86" t="s">
        <v>196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193</v>
      </c>
      <c r="O87" t="s">
        <v>194</v>
      </c>
      <c r="P87">
        <v>276</v>
      </c>
      <c r="Q87">
        <v>6</v>
      </c>
      <c r="R87">
        <v>2</v>
      </c>
      <c r="S87">
        <v>600</v>
      </c>
      <c r="T87" t="s">
        <v>193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196</v>
      </c>
      <c r="O88" t="s">
        <v>194</v>
      </c>
      <c r="P88">
        <v>278</v>
      </c>
      <c r="Q88">
        <v>9</v>
      </c>
      <c r="R88">
        <v>9</v>
      </c>
      <c r="S88">
        <v>1041.6669999999999</v>
      </c>
      <c r="T88" t="s">
        <v>196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193</v>
      </c>
      <c r="O89" t="s">
        <v>195</v>
      </c>
      <c r="P89">
        <v>148</v>
      </c>
      <c r="Q89">
        <v>4</v>
      </c>
      <c r="R89">
        <v>2</v>
      </c>
      <c r="S89">
        <v>110</v>
      </c>
      <c r="T89" t="s">
        <v>193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193</v>
      </c>
      <c r="O90" t="s">
        <v>194</v>
      </c>
      <c r="P90">
        <v>165</v>
      </c>
      <c r="Q90">
        <v>9</v>
      </c>
      <c r="R90">
        <v>1</v>
      </c>
      <c r="S90">
        <v>260</v>
      </c>
      <c r="T90" t="s">
        <v>193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193</v>
      </c>
      <c r="O91" t="s">
        <v>194</v>
      </c>
      <c r="P91">
        <v>246</v>
      </c>
      <c r="Q91">
        <v>389</v>
      </c>
      <c r="R91">
        <v>18</v>
      </c>
      <c r="S91">
        <v>475</v>
      </c>
      <c r="T91" t="s">
        <v>193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193</v>
      </c>
      <c r="O92" t="s">
        <v>194</v>
      </c>
      <c r="P92">
        <v>533</v>
      </c>
      <c r="Q92">
        <v>40</v>
      </c>
      <c r="R92">
        <v>4</v>
      </c>
      <c r="S92">
        <v>431.5</v>
      </c>
      <c r="T92" t="s">
        <v>193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196</v>
      </c>
      <c r="O93" t="s">
        <v>195</v>
      </c>
      <c r="P93">
        <v>226</v>
      </c>
      <c r="Q93">
        <v>10</v>
      </c>
      <c r="R93">
        <v>6</v>
      </c>
      <c r="S93">
        <v>1220</v>
      </c>
      <c r="T93" t="s">
        <v>196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193</v>
      </c>
      <c r="O94" t="s">
        <v>195</v>
      </c>
      <c r="P94">
        <v>45</v>
      </c>
      <c r="Q94">
        <v>122</v>
      </c>
      <c r="R94">
        <v>26</v>
      </c>
      <c r="S94">
        <v>70</v>
      </c>
      <c r="T94" t="s">
        <v>193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193</v>
      </c>
      <c r="O95" t="s">
        <v>194</v>
      </c>
      <c r="P95">
        <v>157</v>
      </c>
      <c r="Q95">
        <v>7</v>
      </c>
      <c r="R95">
        <v>8</v>
      </c>
      <c r="S95">
        <v>145</v>
      </c>
      <c r="T95" t="s">
        <v>193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196</v>
      </c>
      <c r="O96" t="s">
        <v>194</v>
      </c>
      <c r="P96">
        <v>142</v>
      </c>
      <c r="Q96">
        <v>210</v>
      </c>
      <c r="R96">
        <v>10</v>
      </c>
      <c r="S96" t="s">
        <v>197</v>
      </c>
      <c r="T96" t="s">
        <v>196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196</v>
      </c>
      <c r="O97" t="s">
        <v>194</v>
      </c>
      <c r="P97">
        <v>59</v>
      </c>
      <c r="Q97">
        <v>156</v>
      </c>
      <c r="R97">
        <v>9</v>
      </c>
      <c r="S97">
        <v>595</v>
      </c>
      <c r="T97" t="s">
        <v>196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193</v>
      </c>
      <c r="O98" t="s">
        <v>195</v>
      </c>
      <c r="P98">
        <v>292</v>
      </c>
      <c r="Q98">
        <v>9</v>
      </c>
      <c r="R98">
        <v>5</v>
      </c>
      <c r="S98">
        <v>1861.46</v>
      </c>
      <c r="T98" t="s">
        <v>193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196</v>
      </c>
      <c r="O99" t="s">
        <v>194</v>
      </c>
      <c r="P99">
        <v>360</v>
      </c>
      <c r="Q99">
        <v>32</v>
      </c>
      <c r="R99">
        <v>5</v>
      </c>
      <c r="S99" t="s">
        <v>197</v>
      </c>
      <c r="T99" t="s">
        <v>196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196</v>
      </c>
      <c r="O100" t="s">
        <v>194</v>
      </c>
      <c r="P100">
        <v>274</v>
      </c>
      <c r="Q100">
        <v>2</v>
      </c>
      <c r="R100">
        <v>7</v>
      </c>
      <c r="S100">
        <v>300</v>
      </c>
      <c r="T100" t="s">
        <v>196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196</v>
      </c>
      <c r="O101" t="s">
        <v>194</v>
      </c>
      <c r="P101">
        <v>292</v>
      </c>
      <c r="Q101">
        <v>6</v>
      </c>
      <c r="R101">
        <v>3</v>
      </c>
      <c r="S101">
        <v>490</v>
      </c>
      <c r="T101" t="s">
        <v>196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193</v>
      </c>
      <c r="O102" t="s">
        <v>195</v>
      </c>
      <c r="P102">
        <v>1045</v>
      </c>
      <c r="Q102">
        <v>88</v>
      </c>
      <c r="R102">
        <v>13</v>
      </c>
      <c r="S102">
        <v>2460</v>
      </c>
      <c r="T102" t="s">
        <v>193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193</v>
      </c>
      <c r="O103" t="s">
        <v>195</v>
      </c>
      <c r="P103">
        <v>212</v>
      </c>
      <c r="Q103">
        <v>327</v>
      </c>
      <c r="R103">
        <v>20</v>
      </c>
      <c r="S103" t="s">
        <v>197</v>
      </c>
      <c r="T103" t="s">
        <v>193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193</v>
      </c>
      <c r="O104" t="s">
        <v>195</v>
      </c>
      <c r="P104">
        <v>102</v>
      </c>
      <c r="Q104">
        <v>132</v>
      </c>
      <c r="R104">
        <v>10</v>
      </c>
      <c r="S104">
        <v>375</v>
      </c>
      <c r="T104" t="s">
        <v>193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193</v>
      </c>
      <c r="O105" t="s">
        <v>195</v>
      </c>
      <c r="P105">
        <v>709</v>
      </c>
      <c r="Q105">
        <v>41</v>
      </c>
      <c r="R105">
        <v>7</v>
      </c>
      <c r="S105" t="s">
        <v>197</v>
      </c>
      <c r="T105" t="s">
        <v>193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193</v>
      </c>
      <c r="O106" t="s">
        <v>195</v>
      </c>
      <c r="P106">
        <v>244</v>
      </c>
      <c r="Q106">
        <v>2</v>
      </c>
      <c r="R106">
        <v>4</v>
      </c>
      <c r="S106" t="s">
        <v>197</v>
      </c>
      <c r="T106" t="s">
        <v>193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193</v>
      </c>
      <c r="O107" t="s">
        <v>195</v>
      </c>
      <c r="P107">
        <v>40</v>
      </c>
      <c r="Q107">
        <v>115</v>
      </c>
      <c r="R107">
        <v>15</v>
      </c>
      <c r="S107" t="s">
        <v>197</v>
      </c>
      <c r="T107" t="s">
        <v>193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196</v>
      </c>
      <c r="O108" t="s">
        <v>194</v>
      </c>
      <c r="P108">
        <v>206</v>
      </c>
      <c r="Q108">
        <v>10</v>
      </c>
      <c r="R108">
        <v>7</v>
      </c>
      <c r="S108" t="s">
        <v>197</v>
      </c>
      <c r="T108" t="s">
        <v>196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193</v>
      </c>
      <c r="O109" t="s">
        <v>194</v>
      </c>
      <c r="P109">
        <v>316</v>
      </c>
      <c r="Q109">
        <v>439</v>
      </c>
      <c r="R109">
        <v>10</v>
      </c>
      <c r="S109">
        <v>750</v>
      </c>
      <c r="T109" t="s">
        <v>193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193</v>
      </c>
      <c r="O110" t="s">
        <v>195</v>
      </c>
      <c r="P110">
        <v>269</v>
      </c>
      <c r="Q110">
        <v>17</v>
      </c>
      <c r="R110">
        <v>10</v>
      </c>
      <c r="S110">
        <v>1175</v>
      </c>
      <c r="T110" t="s">
        <v>193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193</v>
      </c>
      <c r="O111" t="s">
        <v>195</v>
      </c>
      <c r="P111">
        <v>116</v>
      </c>
      <c r="Q111">
        <v>5</v>
      </c>
      <c r="R111">
        <v>12</v>
      </c>
      <c r="S111">
        <v>70</v>
      </c>
      <c r="T111" t="s">
        <v>193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193</v>
      </c>
      <c r="O112" t="s">
        <v>194</v>
      </c>
      <c r="P112">
        <v>97</v>
      </c>
      <c r="Q112">
        <v>218</v>
      </c>
      <c r="R112">
        <v>16</v>
      </c>
      <c r="S112">
        <v>1500</v>
      </c>
      <c r="T112" t="s">
        <v>193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196</v>
      </c>
      <c r="O113" t="s">
        <v>194</v>
      </c>
      <c r="P113">
        <v>726</v>
      </c>
      <c r="Q113">
        <v>87</v>
      </c>
      <c r="R113">
        <v>3</v>
      </c>
      <c r="S113">
        <v>385</v>
      </c>
      <c r="T113" t="s">
        <v>193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196</v>
      </c>
      <c r="O114" t="s">
        <v>195</v>
      </c>
      <c r="P114">
        <v>869</v>
      </c>
      <c r="Q114">
        <v>62</v>
      </c>
      <c r="R114">
        <v>8</v>
      </c>
      <c r="S114">
        <v>1925.5709999999999</v>
      </c>
      <c r="T114" t="s">
        <v>196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196</v>
      </c>
      <c r="O115" t="s">
        <v>194</v>
      </c>
      <c r="P115">
        <v>1253</v>
      </c>
      <c r="Q115">
        <v>111</v>
      </c>
      <c r="R115">
        <v>11</v>
      </c>
      <c r="S115">
        <v>215</v>
      </c>
      <c r="T115" t="s">
        <v>196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196</v>
      </c>
      <c r="O116" t="s">
        <v>195</v>
      </c>
      <c r="P116">
        <v>96</v>
      </c>
      <c r="Q116">
        <v>4</v>
      </c>
      <c r="R116">
        <v>4</v>
      </c>
      <c r="S116" t="s">
        <v>197</v>
      </c>
      <c r="T116" t="s">
        <v>196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193</v>
      </c>
      <c r="O117" t="s">
        <v>194</v>
      </c>
      <c r="P117">
        <v>118</v>
      </c>
      <c r="Q117">
        <v>334</v>
      </c>
      <c r="R117">
        <v>21</v>
      </c>
      <c r="S117">
        <v>900</v>
      </c>
      <c r="T117" t="s">
        <v>193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193</v>
      </c>
      <c r="O118" t="s">
        <v>194</v>
      </c>
      <c r="P118">
        <v>228</v>
      </c>
      <c r="Q118">
        <v>377</v>
      </c>
      <c r="R118">
        <v>26</v>
      </c>
      <c r="S118">
        <v>155</v>
      </c>
      <c r="T118" t="s">
        <v>193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193</v>
      </c>
      <c r="O119" t="s">
        <v>194</v>
      </c>
      <c r="P119">
        <v>144</v>
      </c>
      <c r="Q119">
        <v>6</v>
      </c>
      <c r="R119">
        <v>5</v>
      </c>
      <c r="S119">
        <v>700</v>
      </c>
      <c r="T119" t="s">
        <v>193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196</v>
      </c>
      <c r="O120" t="s">
        <v>194</v>
      </c>
      <c r="P120">
        <v>282</v>
      </c>
      <c r="Q120">
        <v>487</v>
      </c>
      <c r="R120">
        <v>19</v>
      </c>
      <c r="S120">
        <v>535</v>
      </c>
      <c r="T120" t="s">
        <v>196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193</v>
      </c>
      <c r="O121" t="s">
        <v>195</v>
      </c>
      <c r="P121">
        <v>91</v>
      </c>
      <c r="Q121">
        <v>185</v>
      </c>
      <c r="R121">
        <v>12</v>
      </c>
      <c r="S121">
        <v>362.5</v>
      </c>
      <c r="T121" t="s">
        <v>193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196</v>
      </c>
      <c r="O122" t="s">
        <v>195</v>
      </c>
      <c r="P122">
        <v>137</v>
      </c>
      <c r="Q122">
        <v>5</v>
      </c>
      <c r="R122">
        <v>9</v>
      </c>
      <c r="S122">
        <v>733.33299999999997</v>
      </c>
      <c r="T122" t="s">
        <v>196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196</v>
      </c>
      <c r="O123" t="s">
        <v>194</v>
      </c>
      <c r="P123">
        <v>83</v>
      </c>
      <c r="Q123">
        <v>174</v>
      </c>
      <c r="R123">
        <v>16</v>
      </c>
      <c r="S123">
        <v>200</v>
      </c>
      <c r="T123" t="s">
        <v>196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193</v>
      </c>
      <c r="O124" t="s">
        <v>194</v>
      </c>
      <c r="P124">
        <v>462</v>
      </c>
      <c r="Q124">
        <v>9</v>
      </c>
      <c r="R124">
        <v>7</v>
      </c>
      <c r="S124">
        <v>400</v>
      </c>
      <c r="T124" t="s">
        <v>193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196</v>
      </c>
      <c r="O125" t="s">
        <v>195</v>
      </c>
      <c r="P125">
        <v>185</v>
      </c>
      <c r="Q125">
        <v>8</v>
      </c>
      <c r="R125">
        <v>4</v>
      </c>
      <c r="S125">
        <v>400</v>
      </c>
      <c r="T125" t="s">
        <v>193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196</v>
      </c>
      <c r="O126" t="s">
        <v>194</v>
      </c>
      <c r="P126">
        <v>207</v>
      </c>
      <c r="Q126">
        <v>358</v>
      </c>
      <c r="R126">
        <v>20</v>
      </c>
      <c r="S126">
        <v>737.5</v>
      </c>
      <c r="T126" t="s">
        <v>196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193</v>
      </c>
      <c r="O127" t="s">
        <v>194</v>
      </c>
      <c r="P127">
        <v>0</v>
      </c>
      <c r="Q127">
        <v>0</v>
      </c>
      <c r="R127">
        <v>0</v>
      </c>
      <c r="S127" t="s">
        <v>197</v>
      </c>
      <c r="T127" t="s">
        <v>193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193</v>
      </c>
      <c r="O128" t="s">
        <v>194</v>
      </c>
      <c r="P128">
        <v>670</v>
      </c>
      <c r="Q128">
        <v>57</v>
      </c>
      <c r="R128">
        <v>5</v>
      </c>
      <c r="S128">
        <v>500</v>
      </c>
      <c r="T128" t="s">
        <v>193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193</v>
      </c>
      <c r="O129" t="s">
        <v>194</v>
      </c>
      <c r="P129">
        <v>237</v>
      </c>
      <c r="Q129">
        <v>8</v>
      </c>
      <c r="R129">
        <v>1</v>
      </c>
      <c r="S129">
        <v>600</v>
      </c>
      <c r="T129" t="s">
        <v>193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196</v>
      </c>
      <c r="O130" t="s">
        <v>195</v>
      </c>
      <c r="P130">
        <v>331</v>
      </c>
      <c r="Q130">
        <v>20</v>
      </c>
      <c r="R130">
        <v>4</v>
      </c>
      <c r="S130">
        <v>662.5</v>
      </c>
      <c r="T130" t="s">
        <v>196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193</v>
      </c>
      <c r="O131" t="s">
        <v>194</v>
      </c>
      <c r="P131">
        <v>295</v>
      </c>
      <c r="Q131">
        <v>15</v>
      </c>
      <c r="R131">
        <v>5</v>
      </c>
      <c r="S131">
        <v>950</v>
      </c>
      <c r="T131" t="s">
        <v>193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196</v>
      </c>
      <c r="O132" t="s">
        <v>195</v>
      </c>
      <c r="P132">
        <v>116</v>
      </c>
      <c r="Q132">
        <v>222</v>
      </c>
      <c r="R132">
        <v>15</v>
      </c>
      <c r="S132">
        <v>750</v>
      </c>
      <c r="T132" t="s">
        <v>196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196</v>
      </c>
      <c r="O133" t="s">
        <v>195</v>
      </c>
      <c r="P133">
        <v>50</v>
      </c>
      <c r="Q133">
        <v>136</v>
      </c>
      <c r="R133">
        <v>20</v>
      </c>
      <c r="S133">
        <v>297.5</v>
      </c>
      <c r="T133" t="s">
        <v>196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193</v>
      </c>
      <c r="O134" t="s">
        <v>194</v>
      </c>
      <c r="P134">
        <v>0</v>
      </c>
      <c r="Q134">
        <v>0</v>
      </c>
      <c r="R134">
        <v>0</v>
      </c>
      <c r="S134">
        <v>325</v>
      </c>
      <c r="T134" t="s">
        <v>193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193</v>
      </c>
      <c r="O135" t="s">
        <v>194</v>
      </c>
      <c r="P135">
        <v>278</v>
      </c>
      <c r="Q135">
        <v>415</v>
      </c>
      <c r="R135">
        <v>16</v>
      </c>
      <c r="S135">
        <v>87.5</v>
      </c>
      <c r="T135" t="s">
        <v>193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196</v>
      </c>
      <c r="O136" t="s">
        <v>194</v>
      </c>
      <c r="P136">
        <v>138</v>
      </c>
      <c r="Q136">
        <v>15</v>
      </c>
      <c r="R136">
        <v>1</v>
      </c>
      <c r="S136">
        <v>175</v>
      </c>
      <c r="T136" t="s">
        <v>196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196</v>
      </c>
      <c r="O137" t="s">
        <v>195</v>
      </c>
      <c r="P137">
        <v>97</v>
      </c>
      <c r="Q137">
        <v>2</v>
      </c>
      <c r="R137">
        <v>2</v>
      </c>
      <c r="S137">
        <v>90</v>
      </c>
      <c r="T137" t="s">
        <v>196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193</v>
      </c>
      <c r="O138" t="s">
        <v>195</v>
      </c>
      <c r="P138">
        <v>368</v>
      </c>
      <c r="Q138">
        <v>20</v>
      </c>
      <c r="R138">
        <v>3</v>
      </c>
      <c r="S138">
        <v>1237.5</v>
      </c>
      <c r="T138" t="s">
        <v>193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193</v>
      </c>
      <c r="O139" t="s">
        <v>195</v>
      </c>
      <c r="P139">
        <v>211</v>
      </c>
      <c r="Q139">
        <v>56</v>
      </c>
      <c r="R139">
        <v>13</v>
      </c>
      <c r="S139">
        <v>430</v>
      </c>
      <c r="T139" t="s">
        <v>193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193</v>
      </c>
      <c r="O140" t="s">
        <v>195</v>
      </c>
      <c r="P140">
        <v>122</v>
      </c>
      <c r="Q140">
        <v>140</v>
      </c>
      <c r="R140">
        <v>5</v>
      </c>
      <c r="S140" t="s">
        <v>197</v>
      </c>
      <c r="T140" t="s">
        <v>196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193</v>
      </c>
      <c r="O141" t="s">
        <v>194</v>
      </c>
      <c r="P141">
        <v>276</v>
      </c>
      <c r="Q141">
        <v>7</v>
      </c>
      <c r="R141">
        <v>9</v>
      </c>
      <c r="S141">
        <v>100</v>
      </c>
      <c r="T141" t="s">
        <v>196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193</v>
      </c>
      <c r="O142" t="s">
        <v>194</v>
      </c>
      <c r="P142">
        <v>319</v>
      </c>
      <c r="Q142">
        <v>4</v>
      </c>
      <c r="R142">
        <v>14</v>
      </c>
      <c r="S142">
        <v>165</v>
      </c>
      <c r="T142" t="s">
        <v>193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193</v>
      </c>
      <c r="O143" t="s">
        <v>195</v>
      </c>
      <c r="P143">
        <v>241</v>
      </c>
      <c r="Q143">
        <v>8</v>
      </c>
      <c r="R143">
        <v>6</v>
      </c>
      <c r="S143">
        <v>250</v>
      </c>
      <c r="T143" t="s">
        <v>193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196</v>
      </c>
      <c r="O144" t="s">
        <v>195</v>
      </c>
      <c r="P144">
        <v>623</v>
      </c>
      <c r="Q144">
        <v>35</v>
      </c>
      <c r="R144">
        <v>3</v>
      </c>
      <c r="S144">
        <v>1300</v>
      </c>
      <c r="T144" t="s">
        <v>196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196</v>
      </c>
      <c r="O145" t="s">
        <v>194</v>
      </c>
      <c r="P145">
        <v>237</v>
      </c>
      <c r="Q145">
        <v>5</v>
      </c>
      <c r="R145">
        <v>4</v>
      </c>
      <c r="S145">
        <v>773.33299999999997</v>
      </c>
      <c r="T145" t="s">
        <v>196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193</v>
      </c>
      <c r="O146" t="s">
        <v>194</v>
      </c>
      <c r="P146">
        <v>132</v>
      </c>
      <c r="Q146">
        <v>205</v>
      </c>
      <c r="R146">
        <v>5</v>
      </c>
      <c r="S146" t="s">
        <v>197</v>
      </c>
      <c r="T146" t="s">
        <v>193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196</v>
      </c>
      <c r="O147" t="s">
        <v>195</v>
      </c>
      <c r="P147">
        <v>885</v>
      </c>
      <c r="Q147">
        <v>105</v>
      </c>
      <c r="R147">
        <v>8</v>
      </c>
      <c r="S147">
        <v>1008.333</v>
      </c>
      <c r="T147" t="s">
        <v>196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193</v>
      </c>
      <c r="O148" t="s">
        <v>195</v>
      </c>
      <c r="P148">
        <v>33</v>
      </c>
      <c r="Q148">
        <v>3</v>
      </c>
      <c r="R148">
        <v>0</v>
      </c>
      <c r="S148">
        <v>275</v>
      </c>
      <c r="T148" t="s">
        <v>193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193</v>
      </c>
      <c r="O149" t="s">
        <v>195</v>
      </c>
      <c r="P149">
        <v>231</v>
      </c>
      <c r="Q149">
        <v>374</v>
      </c>
      <c r="R149">
        <v>18</v>
      </c>
      <c r="S149">
        <v>775</v>
      </c>
      <c r="T149" t="s">
        <v>193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193</v>
      </c>
      <c r="O150" t="s">
        <v>195</v>
      </c>
      <c r="P150">
        <v>304</v>
      </c>
      <c r="Q150">
        <v>347</v>
      </c>
      <c r="R150">
        <v>10</v>
      </c>
      <c r="S150">
        <v>850</v>
      </c>
      <c r="T150" t="s">
        <v>193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193</v>
      </c>
      <c r="O151" t="s">
        <v>195</v>
      </c>
      <c r="P151">
        <v>0</v>
      </c>
      <c r="Q151">
        <v>0</v>
      </c>
      <c r="R151">
        <v>0</v>
      </c>
      <c r="S151">
        <v>365</v>
      </c>
      <c r="T151" t="s">
        <v>193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193</v>
      </c>
      <c r="O152" t="s">
        <v>194</v>
      </c>
      <c r="P152">
        <v>132</v>
      </c>
      <c r="Q152">
        <v>9</v>
      </c>
      <c r="R152">
        <v>0</v>
      </c>
      <c r="S152" t="s">
        <v>197</v>
      </c>
      <c r="T152" t="s">
        <v>193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193</v>
      </c>
      <c r="O153" t="s">
        <v>194</v>
      </c>
      <c r="P153">
        <v>28</v>
      </c>
      <c r="Q153">
        <v>56</v>
      </c>
      <c r="R153">
        <v>2</v>
      </c>
      <c r="S153">
        <v>95</v>
      </c>
      <c r="T153" t="s">
        <v>193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196</v>
      </c>
      <c r="O154" t="s">
        <v>194</v>
      </c>
      <c r="P154">
        <v>102</v>
      </c>
      <c r="Q154">
        <v>4</v>
      </c>
      <c r="R154">
        <v>2</v>
      </c>
      <c r="S154">
        <v>110</v>
      </c>
      <c r="T154" t="s">
        <v>196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196</v>
      </c>
      <c r="O155" t="s">
        <v>194</v>
      </c>
      <c r="P155">
        <v>158</v>
      </c>
      <c r="Q155">
        <v>4</v>
      </c>
      <c r="R155">
        <v>5</v>
      </c>
      <c r="S155">
        <v>100</v>
      </c>
      <c r="T155" t="s">
        <v>196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196</v>
      </c>
      <c r="O156" t="s">
        <v>195</v>
      </c>
      <c r="P156">
        <v>92</v>
      </c>
      <c r="Q156">
        <v>257</v>
      </c>
      <c r="R156">
        <v>20</v>
      </c>
      <c r="S156">
        <v>277.5</v>
      </c>
      <c r="T156" t="s">
        <v>196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193</v>
      </c>
      <c r="O157" t="s">
        <v>194</v>
      </c>
      <c r="P157">
        <v>211</v>
      </c>
      <c r="Q157">
        <v>9</v>
      </c>
      <c r="R157">
        <v>3</v>
      </c>
      <c r="S157">
        <v>80</v>
      </c>
      <c r="T157" t="s">
        <v>193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196</v>
      </c>
      <c r="O158" t="s">
        <v>195</v>
      </c>
      <c r="P158">
        <v>161</v>
      </c>
      <c r="Q158">
        <v>3</v>
      </c>
      <c r="R158">
        <v>3</v>
      </c>
      <c r="S158">
        <v>600</v>
      </c>
      <c r="T158" t="s">
        <v>196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196</v>
      </c>
      <c r="O159" t="s">
        <v>195</v>
      </c>
      <c r="P159">
        <v>193</v>
      </c>
      <c r="Q159">
        <v>11</v>
      </c>
      <c r="R159">
        <v>4</v>
      </c>
      <c r="S159" t="s">
        <v>197</v>
      </c>
      <c r="T159" t="s">
        <v>196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193</v>
      </c>
      <c r="O160" t="s">
        <v>194</v>
      </c>
      <c r="P160">
        <v>0</v>
      </c>
      <c r="Q160">
        <v>0</v>
      </c>
      <c r="R160">
        <v>0</v>
      </c>
      <c r="S160" t="s">
        <v>197</v>
      </c>
      <c r="T160" t="s">
        <v>193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193</v>
      </c>
      <c r="O161" t="s">
        <v>194</v>
      </c>
      <c r="P161">
        <v>110</v>
      </c>
      <c r="Q161">
        <v>308</v>
      </c>
      <c r="R161">
        <v>15</v>
      </c>
      <c r="S161">
        <v>200</v>
      </c>
      <c r="T161" t="s">
        <v>193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193</v>
      </c>
      <c r="O162" t="s">
        <v>194</v>
      </c>
      <c r="P162">
        <v>260</v>
      </c>
      <c r="Q162">
        <v>58</v>
      </c>
      <c r="R162">
        <v>4</v>
      </c>
      <c r="S162" t="s">
        <v>197</v>
      </c>
      <c r="T162" t="s">
        <v>193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196</v>
      </c>
      <c r="O163" t="s">
        <v>195</v>
      </c>
      <c r="P163">
        <v>280</v>
      </c>
      <c r="Q163">
        <v>479</v>
      </c>
      <c r="R163">
        <v>5</v>
      </c>
      <c r="S163">
        <v>657</v>
      </c>
      <c r="T163" t="s">
        <v>196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193</v>
      </c>
      <c r="O164" t="s">
        <v>194</v>
      </c>
      <c r="P164">
        <v>332</v>
      </c>
      <c r="Q164">
        <v>19</v>
      </c>
      <c r="R164">
        <v>2</v>
      </c>
      <c r="S164">
        <v>75</v>
      </c>
      <c r="T164" t="s">
        <v>196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193</v>
      </c>
      <c r="O165" t="s">
        <v>195</v>
      </c>
      <c r="P165">
        <v>330</v>
      </c>
      <c r="Q165">
        <v>16</v>
      </c>
      <c r="R165">
        <v>8</v>
      </c>
      <c r="S165">
        <v>2412.5</v>
      </c>
      <c r="T165" t="s">
        <v>193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196</v>
      </c>
      <c r="O166" t="s">
        <v>194</v>
      </c>
      <c r="P166">
        <v>87</v>
      </c>
      <c r="Q166">
        <v>166</v>
      </c>
      <c r="R166">
        <v>14</v>
      </c>
      <c r="S166">
        <v>250</v>
      </c>
      <c r="T166" t="s">
        <v>193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196</v>
      </c>
      <c r="O167" t="s">
        <v>195</v>
      </c>
      <c r="P167">
        <v>498</v>
      </c>
      <c r="Q167">
        <v>39</v>
      </c>
      <c r="R167">
        <v>13</v>
      </c>
      <c r="S167">
        <v>155</v>
      </c>
      <c r="T167" t="s">
        <v>196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196</v>
      </c>
      <c r="O168" t="s">
        <v>195</v>
      </c>
      <c r="P168">
        <v>290</v>
      </c>
      <c r="Q168">
        <v>440</v>
      </c>
      <c r="R168">
        <v>25</v>
      </c>
      <c r="S168">
        <v>640</v>
      </c>
      <c r="T168" t="s">
        <v>196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193</v>
      </c>
      <c r="O169" t="s">
        <v>195</v>
      </c>
      <c r="P169">
        <v>222</v>
      </c>
      <c r="Q169">
        <v>5</v>
      </c>
      <c r="R169">
        <v>5</v>
      </c>
      <c r="S169">
        <v>300</v>
      </c>
      <c r="T169" t="s">
        <v>193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193</v>
      </c>
      <c r="O170" t="s">
        <v>194</v>
      </c>
      <c r="P170">
        <v>227</v>
      </c>
      <c r="Q170">
        <v>15</v>
      </c>
      <c r="R170">
        <v>3</v>
      </c>
      <c r="S170">
        <v>110</v>
      </c>
      <c r="T170" t="s">
        <v>193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196</v>
      </c>
      <c r="O171" t="s">
        <v>195</v>
      </c>
      <c r="P171">
        <v>103</v>
      </c>
      <c r="Q171">
        <v>8</v>
      </c>
      <c r="R171">
        <v>2</v>
      </c>
      <c r="S171" t="s">
        <v>197</v>
      </c>
      <c r="T171" t="s">
        <v>196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193</v>
      </c>
      <c r="O172" t="s">
        <v>194</v>
      </c>
      <c r="P172">
        <v>686</v>
      </c>
      <c r="Q172">
        <v>46</v>
      </c>
      <c r="R172">
        <v>4</v>
      </c>
      <c r="S172">
        <v>825</v>
      </c>
      <c r="T172" t="s">
        <v>196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193</v>
      </c>
      <c r="O173" t="s">
        <v>195</v>
      </c>
      <c r="P173">
        <v>243</v>
      </c>
      <c r="Q173">
        <v>23</v>
      </c>
      <c r="R173">
        <v>5</v>
      </c>
      <c r="S173" t="s">
        <v>197</v>
      </c>
      <c r="T173" t="s">
        <v>193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196</v>
      </c>
      <c r="O174" t="s">
        <v>194</v>
      </c>
      <c r="P174">
        <v>249</v>
      </c>
      <c r="Q174">
        <v>444</v>
      </c>
      <c r="R174">
        <v>16</v>
      </c>
      <c r="S174">
        <v>195</v>
      </c>
      <c r="T174" t="s">
        <v>196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193</v>
      </c>
      <c r="O175" t="s">
        <v>194</v>
      </c>
      <c r="P175">
        <v>300</v>
      </c>
      <c r="Q175">
        <v>12</v>
      </c>
      <c r="R175">
        <v>2</v>
      </c>
      <c r="S175" t="s">
        <v>197</v>
      </c>
      <c r="T175" t="s">
        <v>193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196</v>
      </c>
      <c r="O176" t="s">
        <v>194</v>
      </c>
      <c r="P176">
        <v>49</v>
      </c>
      <c r="Q176">
        <v>2</v>
      </c>
      <c r="R176">
        <v>0</v>
      </c>
      <c r="S176">
        <v>450</v>
      </c>
      <c r="T176" t="s">
        <v>196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196</v>
      </c>
      <c r="O177" t="s">
        <v>194</v>
      </c>
      <c r="P177">
        <v>303</v>
      </c>
      <c r="Q177">
        <v>12</v>
      </c>
      <c r="R177">
        <v>5</v>
      </c>
      <c r="S177">
        <v>630</v>
      </c>
      <c r="T177" t="s">
        <v>196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196</v>
      </c>
      <c r="O178" t="s">
        <v>194</v>
      </c>
      <c r="P178">
        <v>88</v>
      </c>
      <c r="Q178">
        <v>0</v>
      </c>
      <c r="R178">
        <v>3</v>
      </c>
      <c r="S178">
        <v>86.5</v>
      </c>
      <c r="T178" t="s">
        <v>196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193</v>
      </c>
      <c r="O179" t="s">
        <v>195</v>
      </c>
      <c r="P179">
        <v>190</v>
      </c>
      <c r="Q179">
        <v>2</v>
      </c>
      <c r="R179">
        <v>2</v>
      </c>
      <c r="S179">
        <v>1300</v>
      </c>
      <c r="T179" t="s">
        <v>193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193</v>
      </c>
      <c r="O180" t="s">
        <v>195</v>
      </c>
      <c r="P180">
        <v>96</v>
      </c>
      <c r="Q180">
        <v>5</v>
      </c>
      <c r="R180">
        <v>3</v>
      </c>
      <c r="S180">
        <v>1000</v>
      </c>
      <c r="T180" t="s">
        <v>196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196</v>
      </c>
      <c r="O181" t="s">
        <v>195</v>
      </c>
      <c r="P181">
        <v>1199</v>
      </c>
      <c r="Q181">
        <v>149</v>
      </c>
      <c r="R181">
        <v>5</v>
      </c>
      <c r="S181">
        <v>1800</v>
      </c>
      <c r="T181" t="s">
        <v>196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193</v>
      </c>
      <c r="O182" t="s">
        <v>194</v>
      </c>
      <c r="P182">
        <v>1218</v>
      </c>
      <c r="Q182">
        <v>104</v>
      </c>
      <c r="R182">
        <v>10</v>
      </c>
      <c r="S182">
        <v>1310</v>
      </c>
      <c r="T182" t="s">
        <v>193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196</v>
      </c>
      <c r="O183" t="s">
        <v>194</v>
      </c>
      <c r="P183">
        <v>145</v>
      </c>
      <c r="Q183">
        <v>5</v>
      </c>
      <c r="R183">
        <v>7</v>
      </c>
      <c r="S183">
        <v>737.5</v>
      </c>
      <c r="T183" t="s">
        <v>196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196</v>
      </c>
      <c r="O184" t="s">
        <v>194</v>
      </c>
      <c r="P184">
        <v>332</v>
      </c>
      <c r="Q184">
        <v>9</v>
      </c>
      <c r="R184">
        <v>8</v>
      </c>
      <c r="S184">
        <v>625</v>
      </c>
      <c r="T184" t="s">
        <v>196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196</v>
      </c>
      <c r="O185" t="s">
        <v>195</v>
      </c>
      <c r="P185">
        <v>145</v>
      </c>
      <c r="Q185">
        <v>59</v>
      </c>
      <c r="R185">
        <v>8</v>
      </c>
      <c r="S185">
        <v>125</v>
      </c>
      <c r="T185" t="s">
        <v>196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196</v>
      </c>
      <c r="O186" t="s">
        <v>195</v>
      </c>
      <c r="P186">
        <v>181</v>
      </c>
      <c r="Q186">
        <v>13</v>
      </c>
      <c r="R186">
        <v>4</v>
      </c>
      <c r="S186">
        <v>1043.3330000000001</v>
      </c>
      <c r="T186" t="s">
        <v>196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196</v>
      </c>
      <c r="O187" t="s">
        <v>194</v>
      </c>
      <c r="P187">
        <v>65</v>
      </c>
      <c r="Q187">
        <v>258</v>
      </c>
      <c r="R187">
        <v>8</v>
      </c>
      <c r="S187">
        <v>725</v>
      </c>
      <c r="T187" t="s">
        <v>196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193</v>
      </c>
      <c r="O188" t="s">
        <v>194</v>
      </c>
      <c r="P188">
        <v>0</v>
      </c>
      <c r="Q188">
        <v>0</v>
      </c>
      <c r="R188">
        <v>0</v>
      </c>
      <c r="S188">
        <v>300</v>
      </c>
      <c r="T188" t="s">
        <v>193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193</v>
      </c>
      <c r="O189" t="s">
        <v>194</v>
      </c>
      <c r="P189">
        <v>429</v>
      </c>
      <c r="Q189">
        <v>8</v>
      </c>
      <c r="R189">
        <v>6</v>
      </c>
      <c r="S189">
        <v>365</v>
      </c>
      <c r="T189" t="s">
        <v>193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196</v>
      </c>
      <c r="O190" t="s">
        <v>194</v>
      </c>
      <c r="P190">
        <v>107</v>
      </c>
      <c r="Q190">
        <v>205</v>
      </c>
      <c r="R190">
        <v>16</v>
      </c>
      <c r="S190">
        <v>75</v>
      </c>
      <c r="T190" t="s">
        <v>196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196</v>
      </c>
      <c r="O191" t="s">
        <v>195</v>
      </c>
      <c r="P191">
        <v>1231</v>
      </c>
      <c r="Q191">
        <v>80</v>
      </c>
      <c r="R191">
        <v>7</v>
      </c>
      <c r="S191">
        <v>1183.3330000000001</v>
      </c>
      <c r="T191" t="s">
        <v>196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196</v>
      </c>
      <c r="O192" t="s">
        <v>195</v>
      </c>
      <c r="P192">
        <v>283</v>
      </c>
      <c r="Q192">
        <v>8</v>
      </c>
      <c r="R192">
        <v>3</v>
      </c>
      <c r="S192">
        <v>202.5</v>
      </c>
      <c r="T192" t="s">
        <v>196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193</v>
      </c>
      <c r="O193" t="s">
        <v>195</v>
      </c>
      <c r="P193">
        <v>156</v>
      </c>
      <c r="Q193">
        <v>2</v>
      </c>
      <c r="R193">
        <v>2</v>
      </c>
      <c r="S193">
        <v>225</v>
      </c>
      <c r="T193" t="s">
        <v>193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193</v>
      </c>
      <c r="O194" t="s">
        <v>195</v>
      </c>
      <c r="P194">
        <v>239</v>
      </c>
      <c r="Q194">
        <v>8</v>
      </c>
      <c r="R194">
        <v>2</v>
      </c>
      <c r="S194">
        <v>525</v>
      </c>
      <c r="T194" t="s">
        <v>193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196</v>
      </c>
      <c r="O195" t="s">
        <v>194</v>
      </c>
      <c r="P195">
        <v>235</v>
      </c>
      <c r="Q195">
        <v>22</v>
      </c>
      <c r="R195">
        <v>5</v>
      </c>
      <c r="S195">
        <v>265</v>
      </c>
      <c r="T195" t="s">
        <v>196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193</v>
      </c>
      <c r="O196" t="s">
        <v>195</v>
      </c>
      <c r="P196">
        <v>371</v>
      </c>
      <c r="Q196">
        <v>6</v>
      </c>
      <c r="R196">
        <v>6</v>
      </c>
      <c r="S196">
        <v>787.5</v>
      </c>
      <c r="T196" t="s">
        <v>193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193</v>
      </c>
      <c r="O197" t="s">
        <v>195</v>
      </c>
      <c r="P197">
        <v>483</v>
      </c>
      <c r="Q197">
        <v>48</v>
      </c>
      <c r="R197">
        <v>6</v>
      </c>
      <c r="S197">
        <v>800</v>
      </c>
      <c r="T197" t="s">
        <v>196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193</v>
      </c>
      <c r="O198" t="s">
        <v>194</v>
      </c>
      <c r="P198">
        <v>0</v>
      </c>
      <c r="Q198">
        <v>0</v>
      </c>
      <c r="R198">
        <v>0</v>
      </c>
      <c r="S198">
        <v>587.5</v>
      </c>
      <c r="T198" t="s">
        <v>193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196</v>
      </c>
      <c r="O199" t="s">
        <v>195</v>
      </c>
      <c r="P199">
        <v>64</v>
      </c>
      <c r="Q199">
        <v>119</v>
      </c>
      <c r="R199">
        <v>9</v>
      </c>
      <c r="S199" t="s">
        <v>197</v>
      </c>
      <c r="T199" t="s">
        <v>196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193</v>
      </c>
      <c r="O200" t="s">
        <v>195</v>
      </c>
      <c r="P200">
        <v>0</v>
      </c>
      <c r="Q200">
        <v>0</v>
      </c>
      <c r="R200">
        <v>0</v>
      </c>
      <c r="S200">
        <v>145</v>
      </c>
      <c r="T200" t="s">
        <v>193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193</v>
      </c>
      <c r="O201" t="s">
        <v>194</v>
      </c>
      <c r="P201">
        <v>245</v>
      </c>
      <c r="Q201">
        <v>5</v>
      </c>
      <c r="R201">
        <v>9</v>
      </c>
      <c r="S201" t="s">
        <v>197</v>
      </c>
      <c r="T201" t="s">
        <v>193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193</v>
      </c>
      <c r="O202" t="s">
        <v>195</v>
      </c>
      <c r="P202">
        <v>276</v>
      </c>
      <c r="Q202">
        <v>421</v>
      </c>
      <c r="R202">
        <v>11</v>
      </c>
      <c r="S202">
        <v>420</v>
      </c>
      <c r="T202" t="s">
        <v>193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196</v>
      </c>
      <c r="O203" t="s">
        <v>194</v>
      </c>
      <c r="P203">
        <v>317</v>
      </c>
      <c r="Q203">
        <v>36</v>
      </c>
      <c r="R203">
        <v>1</v>
      </c>
      <c r="S203">
        <v>75</v>
      </c>
      <c r="T203" t="s">
        <v>196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193</v>
      </c>
      <c r="O204" t="s">
        <v>195</v>
      </c>
      <c r="P204">
        <v>303</v>
      </c>
      <c r="Q204">
        <v>450</v>
      </c>
      <c r="R204">
        <v>14</v>
      </c>
      <c r="S204">
        <v>575</v>
      </c>
      <c r="T204" t="s">
        <v>193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196</v>
      </c>
      <c r="O205" t="s">
        <v>195</v>
      </c>
      <c r="P205">
        <v>107</v>
      </c>
      <c r="Q205">
        <v>3</v>
      </c>
      <c r="R205">
        <v>3</v>
      </c>
      <c r="S205" t="s">
        <v>197</v>
      </c>
      <c r="T205" t="s">
        <v>196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193</v>
      </c>
      <c r="O206" t="s">
        <v>194</v>
      </c>
      <c r="P206">
        <v>310</v>
      </c>
      <c r="Q206">
        <v>9</v>
      </c>
      <c r="R206">
        <v>9</v>
      </c>
      <c r="S206">
        <v>780</v>
      </c>
      <c r="T206" t="s">
        <v>193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196</v>
      </c>
      <c r="O207" t="s">
        <v>195</v>
      </c>
      <c r="P207">
        <v>201</v>
      </c>
      <c r="Q207">
        <v>6</v>
      </c>
      <c r="R207">
        <v>3</v>
      </c>
      <c r="S207">
        <v>90</v>
      </c>
      <c r="T207" t="s">
        <v>196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196</v>
      </c>
      <c r="O208" t="s">
        <v>194</v>
      </c>
      <c r="P208">
        <v>172</v>
      </c>
      <c r="Q208">
        <v>317</v>
      </c>
      <c r="R208">
        <v>25</v>
      </c>
      <c r="S208">
        <v>150</v>
      </c>
      <c r="T208" t="s">
        <v>196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193</v>
      </c>
      <c r="O209" t="s">
        <v>195</v>
      </c>
      <c r="P209">
        <v>0</v>
      </c>
      <c r="Q209">
        <v>0</v>
      </c>
      <c r="R209">
        <v>0</v>
      </c>
      <c r="S209">
        <v>700</v>
      </c>
      <c r="T209" t="s">
        <v>196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196</v>
      </c>
      <c r="O210" t="s">
        <v>195</v>
      </c>
      <c r="P210">
        <v>415</v>
      </c>
      <c r="Q210">
        <v>35</v>
      </c>
      <c r="R210">
        <v>3</v>
      </c>
      <c r="S210" t="s">
        <v>197</v>
      </c>
      <c r="T210" t="s">
        <v>196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193</v>
      </c>
      <c r="O211" t="s">
        <v>195</v>
      </c>
      <c r="P211">
        <v>233</v>
      </c>
      <c r="Q211">
        <v>7</v>
      </c>
      <c r="R211">
        <v>7</v>
      </c>
      <c r="S211">
        <v>550</v>
      </c>
      <c r="T211" t="s">
        <v>193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193</v>
      </c>
      <c r="O212" t="s">
        <v>194</v>
      </c>
      <c r="P212">
        <v>220</v>
      </c>
      <c r="Q212">
        <v>16</v>
      </c>
      <c r="R212">
        <v>4</v>
      </c>
      <c r="S212" t="s">
        <v>197</v>
      </c>
      <c r="T212" t="s">
        <v>193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196</v>
      </c>
      <c r="O213" t="s">
        <v>195</v>
      </c>
      <c r="P213">
        <v>259</v>
      </c>
      <c r="Q213">
        <v>30</v>
      </c>
      <c r="R213">
        <v>10</v>
      </c>
      <c r="S213">
        <v>650</v>
      </c>
      <c r="T213" t="s">
        <v>193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193</v>
      </c>
      <c r="O214" t="s">
        <v>194</v>
      </c>
      <c r="P214">
        <v>102</v>
      </c>
      <c r="Q214">
        <v>6</v>
      </c>
      <c r="R214">
        <v>3</v>
      </c>
      <c r="S214">
        <v>68</v>
      </c>
      <c r="T214" t="s">
        <v>193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196</v>
      </c>
      <c r="O215" t="s">
        <v>195</v>
      </c>
      <c r="P215">
        <v>468</v>
      </c>
      <c r="Q215">
        <v>47</v>
      </c>
      <c r="R215">
        <v>6</v>
      </c>
      <c r="S215">
        <v>100</v>
      </c>
      <c r="T215" t="s">
        <v>196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196</v>
      </c>
      <c r="O216" t="s">
        <v>194</v>
      </c>
      <c r="P216">
        <v>149</v>
      </c>
      <c r="Q216">
        <v>8</v>
      </c>
      <c r="R216">
        <v>6</v>
      </c>
      <c r="S216">
        <v>670</v>
      </c>
      <c r="T216" t="s">
        <v>196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193</v>
      </c>
      <c r="O217" t="s">
        <v>195</v>
      </c>
      <c r="P217">
        <v>103</v>
      </c>
      <c r="Q217">
        <v>283</v>
      </c>
      <c r="R217">
        <v>19</v>
      </c>
      <c r="S217">
        <v>175</v>
      </c>
      <c r="T217" t="s">
        <v>193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193</v>
      </c>
      <c r="O218" t="s">
        <v>194</v>
      </c>
      <c r="P218">
        <v>358</v>
      </c>
      <c r="Q218">
        <v>32</v>
      </c>
      <c r="R218">
        <v>8</v>
      </c>
      <c r="S218">
        <v>137</v>
      </c>
      <c r="T218" t="s">
        <v>193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196</v>
      </c>
      <c r="O219" t="s">
        <v>195</v>
      </c>
      <c r="P219">
        <v>78</v>
      </c>
      <c r="Q219">
        <v>220</v>
      </c>
      <c r="R219">
        <v>6</v>
      </c>
      <c r="S219">
        <v>2127.3330000000001</v>
      </c>
      <c r="T219" t="s">
        <v>196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196</v>
      </c>
      <c r="O220" t="s">
        <v>194</v>
      </c>
      <c r="P220">
        <v>756</v>
      </c>
      <c r="Q220">
        <v>64</v>
      </c>
      <c r="R220">
        <v>15</v>
      </c>
      <c r="S220">
        <v>875</v>
      </c>
      <c r="T220" t="s">
        <v>196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193</v>
      </c>
      <c r="O221" t="s">
        <v>194</v>
      </c>
      <c r="P221">
        <v>463</v>
      </c>
      <c r="Q221">
        <v>32</v>
      </c>
      <c r="R221">
        <v>8</v>
      </c>
      <c r="S221">
        <v>120</v>
      </c>
      <c r="T221" t="s">
        <v>193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196</v>
      </c>
      <c r="O222" t="s">
        <v>195</v>
      </c>
      <c r="P222">
        <v>212</v>
      </c>
      <c r="Q222">
        <v>1</v>
      </c>
      <c r="R222">
        <v>2</v>
      </c>
      <c r="S222">
        <v>140</v>
      </c>
      <c r="T222" t="s">
        <v>196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196</v>
      </c>
      <c r="O223" t="s">
        <v>195</v>
      </c>
      <c r="P223">
        <v>325</v>
      </c>
      <c r="Q223">
        <v>12</v>
      </c>
      <c r="R223">
        <v>8</v>
      </c>
      <c r="S223">
        <v>210</v>
      </c>
      <c r="T223" t="s">
        <v>196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196</v>
      </c>
      <c r="O224" t="s">
        <v>195</v>
      </c>
      <c r="P224">
        <v>228</v>
      </c>
      <c r="Q224">
        <v>7</v>
      </c>
      <c r="R224">
        <v>5</v>
      </c>
      <c r="S224">
        <v>800</v>
      </c>
      <c r="T224" t="s">
        <v>196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196</v>
      </c>
      <c r="O225" t="s">
        <v>194</v>
      </c>
      <c r="P225">
        <v>203</v>
      </c>
      <c r="Q225">
        <v>3</v>
      </c>
      <c r="R225">
        <v>3</v>
      </c>
      <c r="S225">
        <v>240</v>
      </c>
      <c r="T225" t="s">
        <v>196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193</v>
      </c>
      <c r="O226" t="s">
        <v>195</v>
      </c>
      <c r="P226">
        <v>149</v>
      </c>
      <c r="Q226">
        <v>1</v>
      </c>
      <c r="R226">
        <v>6</v>
      </c>
      <c r="S226">
        <v>350</v>
      </c>
      <c r="T226" t="s">
        <v>193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196</v>
      </c>
      <c r="O227" t="s">
        <v>194</v>
      </c>
      <c r="P227">
        <v>512</v>
      </c>
      <c r="Q227">
        <v>30</v>
      </c>
      <c r="R227">
        <v>5</v>
      </c>
      <c r="S227" t="s">
        <v>197</v>
      </c>
      <c r="T227" t="s">
        <v>196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193</v>
      </c>
      <c r="O228" t="s">
        <v>194</v>
      </c>
      <c r="P228">
        <v>261</v>
      </c>
      <c r="Q228">
        <v>459</v>
      </c>
      <c r="R228">
        <v>22</v>
      </c>
      <c r="S228">
        <v>175</v>
      </c>
      <c r="T228" t="s">
        <v>193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193</v>
      </c>
      <c r="O229" t="s">
        <v>194</v>
      </c>
      <c r="P229">
        <v>325</v>
      </c>
      <c r="Q229">
        <v>13</v>
      </c>
      <c r="R229">
        <v>3</v>
      </c>
      <c r="S229">
        <v>200</v>
      </c>
      <c r="T229" t="s">
        <v>193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196</v>
      </c>
      <c r="O230" t="s">
        <v>194</v>
      </c>
      <c r="P230">
        <v>151</v>
      </c>
      <c r="Q230">
        <v>8</v>
      </c>
      <c r="R230">
        <v>5</v>
      </c>
      <c r="S230" t="s">
        <v>197</v>
      </c>
      <c r="T230" t="s">
        <v>196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196</v>
      </c>
      <c r="O231" t="s">
        <v>195</v>
      </c>
      <c r="P231">
        <v>229</v>
      </c>
      <c r="Q231">
        <v>453</v>
      </c>
      <c r="R231">
        <v>15</v>
      </c>
      <c r="S231">
        <v>1940</v>
      </c>
      <c r="T231" t="s">
        <v>196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196</v>
      </c>
      <c r="O232" t="s">
        <v>194</v>
      </c>
      <c r="P232">
        <v>682</v>
      </c>
      <c r="Q232">
        <v>93</v>
      </c>
      <c r="R232">
        <v>13</v>
      </c>
      <c r="S232">
        <v>700</v>
      </c>
      <c r="T232" t="s">
        <v>196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193</v>
      </c>
      <c r="O233" t="s">
        <v>194</v>
      </c>
      <c r="P233">
        <v>250</v>
      </c>
      <c r="Q233">
        <v>11</v>
      </c>
      <c r="R233">
        <v>1</v>
      </c>
      <c r="S233">
        <v>750</v>
      </c>
      <c r="T233" t="s">
        <v>193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196</v>
      </c>
      <c r="O234" t="s">
        <v>194</v>
      </c>
      <c r="P234">
        <v>58</v>
      </c>
      <c r="Q234">
        <v>141</v>
      </c>
      <c r="R234">
        <v>23</v>
      </c>
      <c r="S234">
        <v>450</v>
      </c>
      <c r="T234" t="s">
        <v>196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193</v>
      </c>
      <c r="O235" t="s">
        <v>194</v>
      </c>
      <c r="P235">
        <v>157</v>
      </c>
      <c r="Q235">
        <v>6</v>
      </c>
      <c r="R235">
        <v>14</v>
      </c>
      <c r="S235">
        <v>172</v>
      </c>
      <c r="T235" t="s">
        <v>193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193</v>
      </c>
      <c r="O236" t="s">
        <v>195</v>
      </c>
      <c r="P236">
        <v>82</v>
      </c>
      <c r="Q236">
        <v>170</v>
      </c>
      <c r="R236">
        <v>15</v>
      </c>
      <c r="S236">
        <v>1260</v>
      </c>
      <c r="T236" t="s">
        <v>193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193</v>
      </c>
      <c r="O237" t="s">
        <v>194</v>
      </c>
      <c r="P237">
        <v>1224</v>
      </c>
      <c r="Q237">
        <v>115</v>
      </c>
      <c r="R237">
        <v>11</v>
      </c>
      <c r="S237" t="s">
        <v>197</v>
      </c>
      <c r="T237" t="s">
        <v>193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196</v>
      </c>
      <c r="O238" t="s">
        <v>194</v>
      </c>
      <c r="P238">
        <v>523</v>
      </c>
      <c r="Q238">
        <v>43</v>
      </c>
      <c r="R238">
        <v>6</v>
      </c>
      <c r="S238">
        <v>750</v>
      </c>
      <c r="T238" t="s">
        <v>196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193</v>
      </c>
      <c r="O239" t="s">
        <v>195</v>
      </c>
      <c r="P239">
        <v>172</v>
      </c>
      <c r="Q239">
        <v>1</v>
      </c>
      <c r="R239">
        <v>4</v>
      </c>
      <c r="S239">
        <v>190</v>
      </c>
      <c r="T239" t="s">
        <v>193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193</v>
      </c>
      <c r="O240" t="s">
        <v>195</v>
      </c>
      <c r="P240">
        <v>846</v>
      </c>
      <c r="Q240">
        <v>84</v>
      </c>
      <c r="R240">
        <v>9</v>
      </c>
      <c r="S240">
        <v>580</v>
      </c>
      <c r="T240" t="s">
        <v>193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196</v>
      </c>
      <c r="O241" t="s">
        <v>195</v>
      </c>
      <c r="P241">
        <v>117</v>
      </c>
      <c r="Q241">
        <v>269</v>
      </c>
      <c r="R241">
        <v>12</v>
      </c>
      <c r="S241">
        <v>130</v>
      </c>
      <c r="T241" t="s">
        <v>196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193</v>
      </c>
      <c r="O242" t="s">
        <v>194</v>
      </c>
      <c r="P242">
        <v>62</v>
      </c>
      <c r="Q242">
        <v>90</v>
      </c>
      <c r="R242">
        <v>3</v>
      </c>
      <c r="S242">
        <v>450</v>
      </c>
      <c r="T242" t="s">
        <v>193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193</v>
      </c>
      <c r="O243" t="s">
        <v>194</v>
      </c>
      <c r="P243">
        <v>167</v>
      </c>
      <c r="Q243">
        <v>2</v>
      </c>
      <c r="R243">
        <v>4</v>
      </c>
      <c r="S243">
        <v>300</v>
      </c>
      <c r="T243" t="s">
        <v>193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193</v>
      </c>
      <c r="O244" t="s">
        <v>195</v>
      </c>
      <c r="P244">
        <v>391</v>
      </c>
      <c r="Q244">
        <v>44</v>
      </c>
      <c r="R244">
        <v>4</v>
      </c>
      <c r="S244">
        <v>250</v>
      </c>
      <c r="T244" t="s">
        <v>193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196</v>
      </c>
      <c r="O245" t="s">
        <v>195</v>
      </c>
      <c r="P245">
        <v>41</v>
      </c>
      <c r="Q245">
        <v>118</v>
      </c>
      <c r="R245">
        <v>8</v>
      </c>
      <c r="S245">
        <v>1050</v>
      </c>
      <c r="T245" t="s">
        <v>193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193</v>
      </c>
      <c r="O246" t="s">
        <v>195</v>
      </c>
      <c r="P246">
        <v>286</v>
      </c>
      <c r="Q246">
        <v>8</v>
      </c>
      <c r="R246">
        <v>8</v>
      </c>
      <c r="S246">
        <v>215</v>
      </c>
      <c r="T246" t="s">
        <v>193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193</v>
      </c>
      <c r="O247" t="s">
        <v>195</v>
      </c>
      <c r="P247">
        <v>659</v>
      </c>
      <c r="Q247">
        <v>53</v>
      </c>
      <c r="R247">
        <v>7</v>
      </c>
      <c r="S247">
        <v>400</v>
      </c>
      <c r="T247" t="s">
        <v>193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193</v>
      </c>
      <c r="O248" t="s">
        <v>195</v>
      </c>
      <c r="P248">
        <v>866</v>
      </c>
      <c r="Q248">
        <v>65</v>
      </c>
      <c r="R248">
        <v>6</v>
      </c>
      <c r="S248" t="s">
        <v>197</v>
      </c>
      <c r="T248" t="s">
        <v>193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193</v>
      </c>
      <c r="O249" t="s">
        <v>195</v>
      </c>
      <c r="P249">
        <v>251</v>
      </c>
      <c r="Q249">
        <v>9</v>
      </c>
      <c r="R249">
        <v>4</v>
      </c>
      <c r="S249">
        <v>560</v>
      </c>
      <c r="T249" t="s">
        <v>193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193</v>
      </c>
      <c r="O250" t="s">
        <v>195</v>
      </c>
      <c r="P250">
        <v>426</v>
      </c>
      <c r="Q250">
        <v>4</v>
      </c>
      <c r="R250">
        <v>6</v>
      </c>
      <c r="S250">
        <v>1670</v>
      </c>
      <c r="T250" t="s">
        <v>193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193</v>
      </c>
      <c r="O251" t="s">
        <v>194</v>
      </c>
      <c r="P251">
        <v>0</v>
      </c>
      <c r="Q251">
        <v>0</v>
      </c>
      <c r="R251">
        <v>0</v>
      </c>
      <c r="S251">
        <v>487.5</v>
      </c>
      <c r="T251" t="s">
        <v>193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193</v>
      </c>
      <c r="O252" t="s">
        <v>194</v>
      </c>
      <c r="P252">
        <v>205</v>
      </c>
      <c r="Q252">
        <v>5</v>
      </c>
      <c r="R252">
        <v>4</v>
      </c>
      <c r="S252" t="s">
        <v>197</v>
      </c>
      <c r="T252" t="s">
        <v>193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193</v>
      </c>
      <c r="O253" t="s">
        <v>194</v>
      </c>
      <c r="P253">
        <v>0</v>
      </c>
      <c r="Q253">
        <v>0</v>
      </c>
      <c r="R253">
        <v>0</v>
      </c>
      <c r="S253">
        <v>425</v>
      </c>
      <c r="T253" t="s">
        <v>193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196</v>
      </c>
      <c r="O254" t="s">
        <v>195</v>
      </c>
      <c r="P254">
        <v>88</v>
      </c>
      <c r="Q254">
        <v>204</v>
      </c>
      <c r="R254">
        <v>16</v>
      </c>
      <c r="S254">
        <v>500</v>
      </c>
      <c r="T254" t="s">
        <v>193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196</v>
      </c>
      <c r="O255" t="s">
        <v>194</v>
      </c>
      <c r="P255">
        <v>99</v>
      </c>
      <c r="Q255">
        <v>3</v>
      </c>
      <c r="R255">
        <v>1</v>
      </c>
      <c r="S255" t="s">
        <v>197</v>
      </c>
      <c r="T255" t="s">
        <v>196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193</v>
      </c>
      <c r="O256" t="s">
        <v>194</v>
      </c>
      <c r="P256">
        <v>145</v>
      </c>
      <c r="Q256">
        <v>2</v>
      </c>
      <c r="R256">
        <v>2</v>
      </c>
      <c r="S256" t="s">
        <v>197</v>
      </c>
      <c r="T256" t="s">
        <v>193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193</v>
      </c>
      <c r="O257" t="s">
        <v>195</v>
      </c>
      <c r="P257">
        <v>44</v>
      </c>
      <c r="Q257">
        <v>0</v>
      </c>
      <c r="R257">
        <v>1</v>
      </c>
      <c r="S257">
        <v>250</v>
      </c>
      <c r="T257" t="s">
        <v>193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193</v>
      </c>
      <c r="O258" t="s">
        <v>195</v>
      </c>
      <c r="P258">
        <v>155</v>
      </c>
      <c r="Q258">
        <v>3</v>
      </c>
      <c r="R258">
        <v>2</v>
      </c>
      <c r="S258">
        <v>400</v>
      </c>
      <c r="T258" t="s">
        <v>193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193</v>
      </c>
      <c r="O259" t="s">
        <v>195</v>
      </c>
      <c r="P259">
        <v>60</v>
      </c>
      <c r="Q259">
        <v>176</v>
      </c>
      <c r="R259">
        <v>6</v>
      </c>
      <c r="S259">
        <v>450</v>
      </c>
      <c r="T259" t="s">
        <v>193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196</v>
      </c>
      <c r="O260" t="s">
        <v>194</v>
      </c>
      <c r="P260">
        <v>367</v>
      </c>
      <c r="Q260">
        <v>475</v>
      </c>
      <c r="R260">
        <v>19</v>
      </c>
      <c r="S260">
        <v>750</v>
      </c>
      <c r="T260" t="s">
        <v>196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193</v>
      </c>
      <c r="O261" t="s">
        <v>195</v>
      </c>
      <c r="P261">
        <v>86</v>
      </c>
      <c r="Q261">
        <v>150</v>
      </c>
      <c r="R261">
        <v>15</v>
      </c>
      <c r="S261">
        <v>70</v>
      </c>
      <c r="T261" t="s">
        <v>193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196</v>
      </c>
      <c r="O262" t="s">
        <v>194</v>
      </c>
      <c r="P262">
        <v>155</v>
      </c>
      <c r="Q262">
        <v>371</v>
      </c>
      <c r="R262">
        <v>29</v>
      </c>
      <c r="S262">
        <v>875</v>
      </c>
      <c r="T262" t="s">
        <v>196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196</v>
      </c>
      <c r="O263" t="s">
        <v>195</v>
      </c>
      <c r="P263">
        <v>190</v>
      </c>
      <c r="Q263">
        <v>2</v>
      </c>
      <c r="R263">
        <v>9</v>
      </c>
      <c r="S263">
        <v>190</v>
      </c>
      <c r="T263" t="s">
        <v>196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196</v>
      </c>
      <c r="O264" t="s">
        <v>195</v>
      </c>
      <c r="P264">
        <v>181</v>
      </c>
      <c r="Q264">
        <v>3</v>
      </c>
      <c r="R264">
        <v>2</v>
      </c>
      <c r="S264">
        <v>191</v>
      </c>
      <c r="T264" t="s">
        <v>196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196</v>
      </c>
      <c r="O265" t="s">
        <v>195</v>
      </c>
      <c r="P265">
        <v>309</v>
      </c>
      <c r="Q265">
        <v>492</v>
      </c>
      <c r="R265">
        <v>5</v>
      </c>
      <c r="S265">
        <v>740</v>
      </c>
      <c r="T265" t="s">
        <v>196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196</v>
      </c>
      <c r="O266" t="s">
        <v>195</v>
      </c>
      <c r="P266">
        <v>203</v>
      </c>
      <c r="Q266">
        <v>369</v>
      </c>
      <c r="R266">
        <v>16</v>
      </c>
      <c r="S266">
        <v>250</v>
      </c>
      <c r="T266" t="s">
        <v>196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196</v>
      </c>
      <c r="O267" t="s">
        <v>195</v>
      </c>
      <c r="P267">
        <v>42</v>
      </c>
      <c r="Q267">
        <v>94</v>
      </c>
      <c r="R267">
        <v>13</v>
      </c>
      <c r="S267">
        <v>140</v>
      </c>
      <c r="T267" t="s">
        <v>196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193</v>
      </c>
      <c r="O268" t="s">
        <v>194</v>
      </c>
      <c r="P268">
        <v>200</v>
      </c>
      <c r="Q268">
        <v>7</v>
      </c>
      <c r="R268">
        <v>6</v>
      </c>
      <c r="S268">
        <v>97.5</v>
      </c>
      <c r="T268" t="s">
        <v>193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193</v>
      </c>
      <c r="O269" t="s">
        <v>194</v>
      </c>
      <c r="P269">
        <v>0</v>
      </c>
      <c r="Q269">
        <v>0</v>
      </c>
      <c r="R269">
        <v>0</v>
      </c>
      <c r="S269">
        <v>740</v>
      </c>
      <c r="T269" t="s">
        <v>193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196</v>
      </c>
      <c r="O270" t="s">
        <v>194</v>
      </c>
      <c r="P270">
        <v>255</v>
      </c>
      <c r="Q270">
        <v>450</v>
      </c>
      <c r="R270">
        <v>17</v>
      </c>
      <c r="S270">
        <v>140</v>
      </c>
      <c r="T270" t="s">
        <v>196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193</v>
      </c>
      <c r="O271" t="s">
        <v>194</v>
      </c>
      <c r="P271">
        <v>135</v>
      </c>
      <c r="Q271">
        <v>257</v>
      </c>
      <c r="R271">
        <v>7</v>
      </c>
      <c r="S271">
        <v>341.66699999999997</v>
      </c>
      <c r="T271" t="s">
        <v>193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196</v>
      </c>
      <c r="O272" t="s">
        <v>194</v>
      </c>
      <c r="P272">
        <v>179</v>
      </c>
      <c r="Q272">
        <v>5</v>
      </c>
      <c r="R272">
        <v>3</v>
      </c>
      <c r="S272" t="s">
        <v>197</v>
      </c>
      <c r="T272" t="s">
        <v>196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193</v>
      </c>
      <c r="O273" t="s">
        <v>195</v>
      </c>
      <c r="P273">
        <v>352</v>
      </c>
      <c r="Q273">
        <v>9</v>
      </c>
      <c r="R273">
        <v>1</v>
      </c>
      <c r="S273">
        <v>1000</v>
      </c>
      <c r="T273" t="s">
        <v>193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193</v>
      </c>
      <c r="O274" t="s">
        <v>194</v>
      </c>
      <c r="P274">
        <v>1236</v>
      </c>
      <c r="Q274">
        <v>98</v>
      </c>
      <c r="R274">
        <v>18</v>
      </c>
      <c r="S274">
        <v>100</v>
      </c>
      <c r="T274" t="s">
        <v>193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193</v>
      </c>
      <c r="O275" t="s">
        <v>194</v>
      </c>
      <c r="P275">
        <v>281</v>
      </c>
      <c r="Q275">
        <v>21</v>
      </c>
      <c r="R275">
        <v>3</v>
      </c>
      <c r="S275">
        <v>90</v>
      </c>
      <c r="T275" t="s">
        <v>193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196</v>
      </c>
      <c r="O276" t="s">
        <v>195</v>
      </c>
      <c r="P276">
        <v>1320</v>
      </c>
      <c r="Q276">
        <v>166</v>
      </c>
      <c r="R276">
        <v>17</v>
      </c>
      <c r="S276">
        <v>200</v>
      </c>
      <c r="T276" t="s">
        <v>196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193</v>
      </c>
      <c r="O277" t="s">
        <v>194</v>
      </c>
      <c r="P277">
        <v>111</v>
      </c>
      <c r="Q277">
        <v>226</v>
      </c>
      <c r="R277">
        <v>11</v>
      </c>
      <c r="S277">
        <v>135</v>
      </c>
      <c r="T277" t="s">
        <v>193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196</v>
      </c>
      <c r="O278" t="s">
        <v>195</v>
      </c>
      <c r="P278">
        <v>320</v>
      </c>
      <c r="Q278">
        <v>465</v>
      </c>
      <c r="R278">
        <v>32</v>
      </c>
      <c r="S278">
        <v>155</v>
      </c>
      <c r="T278" t="s">
        <v>196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193</v>
      </c>
      <c r="O279" t="s">
        <v>194</v>
      </c>
      <c r="P279">
        <v>196</v>
      </c>
      <c r="Q279">
        <v>354</v>
      </c>
      <c r="R279">
        <v>15</v>
      </c>
      <c r="S279">
        <v>475</v>
      </c>
      <c r="T279" t="s">
        <v>193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196</v>
      </c>
      <c r="O280" t="s">
        <v>194</v>
      </c>
      <c r="P280">
        <v>1160</v>
      </c>
      <c r="Q280">
        <v>53</v>
      </c>
      <c r="R280">
        <v>7</v>
      </c>
      <c r="S280">
        <v>1450</v>
      </c>
      <c r="T280" t="s">
        <v>196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196</v>
      </c>
      <c r="O281" t="s">
        <v>195</v>
      </c>
      <c r="P281">
        <v>229</v>
      </c>
      <c r="Q281">
        <v>406</v>
      </c>
      <c r="R281">
        <v>22</v>
      </c>
      <c r="S281">
        <v>150</v>
      </c>
      <c r="T281" t="s">
        <v>196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193</v>
      </c>
      <c r="O282" t="s">
        <v>194</v>
      </c>
      <c r="P282">
        <v>289</v>
      </c>
      <c r="Q282">
        <v>407</v>
      </c>
      <c r="R282">
        <v>6</v>
      </c>
      <c r="S282">
        <v>105</v>
      </c>
      <c r="T282" t="s">
        <v>193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193</v>
      </c>
      <c r="O283" t="s">
        <v>194</v>
      </c>
      <c r="P283">
        <v>209</v>
      </c>
      <c r="Q283">
        <v>372</v>
      </c>
      <c r="R283">
        <v>17</v>
      </c>
      <c r="S283">
        <v>350</v>
      </c>
      <c r="T283" t="s">
        <v>193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196</v>
      </c>
      <c r="O284" t="s">
        <v>194</v>
      </c>
      <c r="P284">
        <v>367</v>
      </c>
      <c r="Q284">
        <v>432</v>
      </c>
      <c r="R284">
        <v>16</v>
      </c>
      <c r="S284">
        <v>90</v>
      </c>
      <c r="T284" t="s">
        <v>196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193</v>
      </c>
      <c r="O285" t="s">
        <v>195</v>
      </c>
      <c r="P285">
        <v>247</v>
      </c>
      <c r="Q285">
        <v>4</v>
      </c>
      <c r="R285">
        <v>8</v>
      </c>
      <c r="S285" t="s">
        <v>197</v>
      </c>
      <c r="T285" t="s">
        <v>193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193</v>
      </c>
      <c r="O286" t="s">
        <v>195</v>
      </c>
      <c r="P286">
        <v>351</v>
      </c>
      <c r="Q286">
        <v>442</v>
      </c>
      <c r="R286">
        <v>17</v>
      </c>
      <c r="S286">
        <v>530</v>
      </c>
      <c r="T286" t="s">
        <v>193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193</v>
      </c>
      <c r="O287" t="s">
        <v>195</v>
      </c>
      <c r="P287">
        <v>106</v>
      </c>
      <c r="Q287">
        <v>144</v>
      </c>
      <c r="R287">
        <v>7</v>
      </c>
      <c r="S287">
        <v>341.66699999999997</v>
      </c>
      <c r="T287" t="s">
        <v>193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193</v>
      </c>
      <c r="O288" t="s">
        <v>194</v>
      </c>
      <c r="P288">
        <v>315</v>
      </c>
      <c r="Q288">
        <v>10</v>
      </c>
      <c r="R288">
        <v>6</v>
      </c>
      <c r="S288">
        <v>940</v>
      </c>
      <c r="T288" t="s">
        <v>193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193</v>
      </c>
      <c r="O289" t="s">
        <v>195</v>
      </c>
      <c r="P289">
        <v>294</v>
      </c>
      <c r="Q289">
        <v>445</v>
      </c>
      <c r="R289">
        <v>13</v>
      </c>
      <c r="S289">
        <v>350</v>
      </c>
      <c r="T289" t="s">
        <v>193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196</v>
      </c>
      <c r="O290" t="s">
        <v>194</v>
      </c>
      <c r="P290">
        <v>209</v>
      </c>
      <c r="Q290">
        <v>246</v>
      </c>
      <c r="R290">
        <v>3</v>
      </c>
      <c r="S290">
        <v>326.66699999999997</v>
      </c>
      <c r="T290" t="s">
        <v>196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196</v>
      </c>
      <c r="O291" t="s">
        <v>195</v>
      </c>
      <c r="P291">
        <v>81</v>
      </c>
      <c r="Q291">
        <v>147</v>
      </c>
      <c r="R291">
        <v>4</v>
      </c>
      <c r="S291">
        <v>250</v>
      </c>
      <c r="T291" t="s">
        <v>196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196</v>
      </c>
      <c r="O292" t="s">
        <v>194</v>
      </c>
      <c r="P292">
        <v>337</v>
      </c>
      <c r="Q292">
        <v>19</v>
      </c>
      <c r="R292">
        <v>4</v>
      </c>
      <c r="S292">
        <v>740</v>
      </c>
      <c r="T292" t="s">
        <v>196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196</v>
      </c>
      <c r="O293" t="s">
        <v>194</v>
      </c>
      <c r="P293">
        <v>92</v>
      </c>
      <c r="Q293">
        <v>5</v>
      </c>
      <c r="R293">
        <v>3</v>
      </c>
      <c r="S293">
        <v>425</v>
      </c>
      <c r="T293" t="s">
        <v>193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193</v>
      </c>
      <c r="O294" t="s">
        <v>194</v>
      </c>
      <c r="P294">
        <v>166</v>
      </c>
      <c r="Q294">
        <v>211</v>
      </c>
      <c r="R294">
        <v>7</v>
      </c>
      <c r="S294" t="s">
        <v>197</v>
      </c>
      <c r="T294" t="s">
        <v>193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196</v>
      </c>
      <c r="O295" t="s">
        <v>195</v>
      </c>
      <c r="P295">
        <v>352</v>
      </c>
      <c r="Q295">
        <v>414</v>
      </c>
      <c r="R295">
        <v>9</v>
      </c>
      <c r="S295">
        <v>925</v>
      </c>
      <c r="T295" t="s">
        <v>196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193</v>
      </c>
      <c r="O296" t="s">
        <v>194</v>
      </c>
      <c r="P296">
        <v>70</v>
      </c>
      <c r="Q296">
        <v>144</v>
      </c>
      <c r="R296">
        <v>11</v>
      </c>
      <c r="S296">
        <v>185</v>
      </c>
      <c r="T296" t="s">
        <v>193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196</v>
      </c>
      <c r="O297" t="s">
        <v>194</v>
      </c>
      <c r="P297">
        <v>692</v>
      </c>
      <c r="Q297">
        <v>70</v>
      </c>
      <c r="R297">
        <v>8</v>
      </c>
      <c r="S297">
        <v>920</v>
      </c>
      <c r="T297" t="s">
        <v>193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196</v>
      </c>
      <c r="O298" t="s">
        <v>195</v>
      </c>
      <c r="P298">
        <v>131</v>
      </c>
      <c r="Q298">
        <v>6</v>
      </c>
      <c r="R298">
        <v>1</v>
      </c>
      <c r="S298">
        <v>286.66699999999997</v>
      </c>
      <c r="T298" t="s">
        <v>196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193</v>
      </c>
      <c r="O299" t="s">
        <v>194</v>
      </c>
      <c r="P299">
        <v>299</v>
      </c>
      <c r="Q299">
        <v>13</v>
      </c>
      <c r="R299">
        <v>5</v>
      </c>
      <c r="S299">
        <v>245</v>
      </c>
      <c r="T299" t="s">
        <v>193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193</v>
      </c>
      <c r="O300" t="s">
        <v>195</v>
      </c>
      <c r="P300">
        <v>37</v>
      </c>
      <c r="Q300">
        <v>98</v>
      </c>
      <c r="R300">
        <v>9</v>
      </c>
      <c r="S300" t="s">
        <v>197</v>
      </c>
      <c r="T300" t="s">
        <v>193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193</v>
      </c>
      <c r="O301" t="s">
        <v>194</v>
      </c>
      <c r="P301">
        <v>178</v>
      </c>
      <c r="Q301">
        <v>45</v>
      </c>
      <c r="R301">
        <v>4</v>
      </c>
      <c r="S301">
        <v>235</v>
      </c>
      <c r="T301" t="s">
        <v>193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196</v>
      </c>
      <c r="O302" t="s">
        <v>195</v>
      </c>
      <c r="P302">
        <v>810</v>
      </c>
      <c r="Q302">
        <v>99</v>
      </c>
      <c r="R302">
        <v>18</v>
      </c>
      <c r="S302">
        <v>1150</v>
      </c>
      <c r="T302" t="s">
        <v>196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196</v>
      </c>
      <c r="O303" t="s">
        <v>195</v>
      </c>
      <c r="P303">
        <v>133</v>
      </c>
      <c r="Q303">
        <v>371</v>
      </c>
      <c r="R303">
        <v>20</v>
      </c>
      <c r="S303">
        <v>160</v>
      </c>
      <c r="T303" t="s">
        <v>196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196</v>
      </c>
      <c r="O304" t="s">
        <v>194</v>
      </c>
      <c r="P304">
        <v>398</v>
      </c>
      <c r="Q304">
        <v>29</v>
      </c>
      <c r="R304">
        <v>7</v>
      </c>
      <c r="S304" t="s">
        <v>197</v>
      </c>
      <c r="T304" t="s">
        <v>196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193</v>
      </c>
      <c r="O305" t="s">
        <v>194</v>
      </c>
      <c r="P305">
        <v>160</v>
      </c>
      <c r="Q305">
        <v>290</v>
      </c>
      <c r="R305">
        <v>11</v>
      </c>
      <c r="S305">
        <v>425</v>
      </c>
      <c r="T305" t="s">
        <v>193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196</v>
      </c>
      <c r="O306" t="s">
        <v>194</v>
      </c>
      <c r="P306">
        <v>65</v>
      </c>
      <c r="Q306">
        <v>0</v>
      </c>
      <c r="R306">
        <v>0</v>
      </c>
      <c r="S306">
        <v>900</v>
      </c>
      <c r="T306" t="s">
        <v>196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196</v>
      </c>
      <c r="O307" t="s">
        <v>195</v>
      </c>
      <c r="P307">
        <v>270</v>
      </c>
      <c r="Q307">
        <v>13</v>
      </c>
      <c r="R307">
        <v>6</v>
      </c>
      <c r="S307" t="s">
        <v>197</v>
      </c>
      <c r="T307" t="s">
        <v>196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196</v>
      </c>
      <c r="O308" t="s">
        <v>194</v>
      </c>
      <c r="P308">
        <v>167</v>
      </c>
      <c r="Q308">
        <v>18</v>
      </c>
      <c r="R308">
        <v>6</v>
      </c>
      <c r="S308">
        <v>500</v>
      </c>
      <c r="T308" t="s">
        <v>196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196</v>
      </c>
      <c r="O309" t="s">
        <v>195</v>
      </c>
      <c r="P309">
        <v>133</v>
      </c>
      <c r="Q309">
        <v>173</v>
      </c>
      <c r="R309">
        <v>9</v>
      </c>
      <c r="S309">
        <v>277.5</v>
      </c>
      <c r="T309" t="s">
        <v>196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196</v>
      </c>
      <c r="O310" t="s">
        <v>195</v>
      </c>
      <c r="P310">
        <v>94</v>
      </c>
      <c r="Q310">
        <v>270</v>
      </c>
      <c r="R310">
        <v>16</v>
      </c>
      <c r="S310">
        <v>750</v>
      </c>
      <c r="T310" t="s">
        <v>196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196</v>
      </c>
      <c r="O311" t="s">
        <v>195</v>
      </c>
      <c r="P311">
        <v>300</v>
      </c>
      <c r="Q311">
        <v>12</v>
      </c>
      <c r="R311">
        <v>9</v>
      </c>
      <c r="S311">
        <v>160</v>
      </c>
      <c r="T311" t="s">
        <v>196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196</v>
      </c>
      <c r="O312" t="s">
        <v>195</v>
      </c>
      <c r="P312">
        <v>1182</v>
      </c>
      <c r="Q312">
        <v>96</v>
      </c>
      <c r="R312">
        <v>13</v>
      </c>
      <c r="S312">
        <v>1300</v>
      </c>
      <c r="T312" t="s">
        <v>196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196</v>
      </c>
      <c r="O313" t="s">
        <v>195</v>
      </c>
      <c r="P313">
        <v>170</v>
      </c>
      <c r="Q313">
        <v>284</v>
      </c>
      <c r="R313">
        <v>3</v>
      </c>
      <c r="S313">
        <v>525</v>
      </c>
      <c r="T313" t="s">
        <v>196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196</v>
      </c>
      <c r="O314" t="s">
        <v>195</v>
      </c>
      <c r="P314">
        <v>186</v>
      </c>
      <c r="Q314">
        <v>290</v>
      </c>
      <c r="R314">
        <v>17</v>
      </c>
      <c r="S314">
        <v>550</v>
      </c>
      <c r="T314" t="s">
        <v>196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193</v>
      </c>
      <c r="O315" t="s">
        <v>195</v>
      </c>
      <c r="P315">
        <v>121</v>
      </c>
      <c r="Q315">
        <v>267</v>
      </c>
      <c r="R315">
        <v>19</v>
      </c>
      <c r="S315">
        <v>1600</v>
      </c>
      <c r="T315" t="s">
        <v>193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196</v>
      </c>
      <c r="O316" t="s">
        <v>194</v>
      </c>
      <c r="P316">
        <v>942</v>
      </c>
      <c r="Q316">
        <v>72</v>
      </c>
      <c r="R316">
        <v>11</v>
      </c>
      <c r="S316">
        <v>120</v>
      </c>
      <c r="T316" t="s">
        <v>196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193</v>
      </c>
      <c r="O317" t="s">
        <v>194</v>
      </c>
      <c r="P317">
        <v>1222</v>
      </c>
      <c r="Q317">
        <v>139</v>
      </c>
      <c r="R317">
        <v>15</v>
      </c>
      <c r="S317">
        <v>165</v>
      </c>
      <c r="T317" t="s">
        <v>193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196</v>
      </c>
      <c r="O318" t="s">
        <v>195</v>
      </c>
      <c r="P318">
        <v>325</v>
      </c>
      <c r="Q318">
        <v>58</v>
      </c>
      <c r="R318">
        <v>6</v>
      </c>
      <c r="S318" t="s">
        <v>197</v>
      </c>
      <c r="T318" t="s">
        <v>196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196</v>
      </c>
      <c r="O319" t="s">
        <v>195</v>
      </c>
      <c r="P319">
        <v>325</v>
      </c>
      <c r="Q319">
        <v>9</v>
      </c>
      <c r="R319">
        <v>3</v>
      </c>
      <c r="S319">
        <v>700</v>
      </c>
      <c r="T319" t="s">
        <v>196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193</v>
      </c>
      <c r="O320" t="s">
        <v>195</v>
      </c>
      <c r="P320">
        <v>313</v>
      </c>
      <c r="Q320">
        <v>381</v>
      </c>
      <c r="R320">
        <v>20</v>
      </c>
      <c r="S320">
        <v>875</v>
      </c>
      <c r="T320" t="s">
        <v>193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193</v>
      </c>
      <c r="O321" t="s">
        <v>194</v>
      </c>
      <c r="P321">
        <v>37</v>
      </c>
      <c r="Q321">
        <v>113</v>
      </c>
      <c r="R321">
        <v>7</v>
      </c>
      <c r="S321">
        <v>385</v>
      </c>
      <c r="T321" t="s">
        <v>193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193</v>
      </c>
      <c r="O322" t="s">
        <v>195</v>
      </c>
      <c r="P322">
        <v>1314</v>
      </c>
      <c r="Q322">
        <v>131</v>
      </c>
      <c r="R322">
        <v>12</v>
      </c>
      <c r="S322">
        <v>960</v>
      </c>
      <c r="T322" t="s">
        <v>193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193</v>
      </c>
      <c r="O323" t="s">
        <v>194</v>
      </c>
      <c r="P323">
        <v>408</v>
      </c>
      <c r="Q323">
        <v>4</v>
      </c>
      <c r="R323">
        <v>3</v>
      </c>
      <c r="S323">
        <v>1000</v>
      </c>
      <c r="T323" t="s">
        <v>193</v>
      </c>
    </row>
  </sheetData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F6A36-35DA-3145-82D4-B60BF9C4CEBB}">
  <sheetPr>
    <tabColor rgb="FF00B0F0"/>
  </sheetPr>
  <dimension ref="A1:F264"/>
  <sheetViews>
    <sheetView workbookViewId="0"/>
  </sheetViews>
  <sheetFormatPr baseColWidth="10" defaultRowHeight="16" x14ac:dyDescent="0.2"/>
  <sheetData>
    <row r="1" spans="1:6" x14ac:dyDescent="0.2">
      <c r="A1" t="s">
        <v>216</v>
      </c>
      <c r="B1" t="s">
        <v>215</v>
      </c>
      <c r="C1" t="s">
        <v>214</v>
      </c>
      <c r="D1" t="s">
        <v>213</v>
      </c>
      <c r="E1" t="s">
        <v>211</v>
      </c>
      <c r="F1" t="s">
        <v>199</v>
      </c>
    </row>
    <row r="2" spans="1:6" x14ac:dyDescent="0.2">
      <c r="A2">
        <v>-0.59454190723035805</v>
      </c>
      <c r="B2">
        <v>-0.52754539565204095</v>
      </c>
      <c r="C2">
        <v>-1.20381633190768</v>
      </c>
      <c r="D2">
        <v>-0.52106946237293705</v>
      </c>
      <c r="E2">
        <v>1.3952333746225201</v>
      </c>
      <c r="F2">
        <v>-0.13505510796936199</v>
      </c>
    </row>
    <row r="3" spans="1:6" x14ac:dyDescent="0.2">
      <c r="A3">
        <v>0.49132282611397698</v>
      </c>
      <c r="B3">
        <v>0.72857709786347702</v>
      </c>
      <c r="C3">
        <v>0.44067478882596101</v>
      </c>
      <c r="D3">
        <v>0.79254856202480894</v>
      </c>
      <c r="E3">
        <v>-0.89948530234333901</v>
      </c>
      <c r="F3">
        <v>-0.12397155010779599</v>
      </c>
    </row>
    <row r="4" spans="1:6" x14ac:dyDescent="0.2">
      <c r="A4">
        <v>0.73508837849739905</v>
      </c>
      <c r="B4">
        <v>0.95696300577538895</v>
      </c>
      <c r="C4">
        <v>0.40152023833230299</v>
      </c>
      <c r="D4">
        <v>1.0243635075067601</v>
      </c>
      <c r="E4">
        <v>0.76940100817728296</v>
      </c>
      <c r="F4">
        <v>-7.9637318661530995E-2</v>
      </c>
    </row>
    <row r="5" spans="1:6" x14ac:dyDescent="0.2">
      <c r="A5">
        <v>-0.46157887865758301</v>
      </c>
      <c r="B5">
        <v>-0.18496653378417199</v>
      </c>
      <c r="C5">
        <v>-0.61649807450280603</v>
      </c>
      <c r="D5">
        <v>-0.36652616538496702</v>
      </c>
      <c r="E5">
        <v>-1.1080960911584199</v>
      </c>
      <c r="F5">
        <v>-0.98516399595149096</v>
      </c>
    </row>
    <row r="6" spans="1:6" x14ac:dyDescent="0.2">
      <c r="A6">
        <v>1.3555825118370199</v>
      </c>
      <c r="B6">
        <v>-0.87012425751990896</v>
      </c>
      <c r="C6">
        <v>0.753911192775226</v>
      </c>
      <c r="D6">
        <v>-1.8803747162034298E-2</v>
      </c>
      <c r="E6">
        <v>0.76940100817728296</v>
      </c>
      <c r="F6">
        <v>0.47454057441677999</v>
      </c>
    </row>
    <row r="7" spans="1:6" x14ac:dyDescent="0.2">
      <c r="A7">
        <v>-1.56960411676405</v>
      </c>
      <c r="B7">
        <v>-1.21270311938778</v>
      </c>
      <c r="C7">
        <v>-1.2429708824013399</v>
      </c>
      <c r="D7">
        <v>-1.6801441897827101</v>
      </c>
      <c r="E7">
        <v>-1.1080960911584199</v>
      </c>
      <c r="F7">
        <v>-1.0328232947562299</v>
      </c>
    </row>
    <row r="8" spans="1:6" x14ac:dyDescent="0.2">
      <c r="A8">
        <v>-0.77182594532739301</v>
      </c>
      <c r="B8">
        <v>-1.3268960733437301</v>
      </c>
      <c r="C8">
        <v>-1.20381633190768</v>
      </c>
      <c r="D8">
        <v>-1.0619710018308299</v>
      </c>
      <c r="E8">
        <v>-0.89948530234333901</v>
      </c>
      <c r="F8">
        <v>-0.96632194758682799</v>
      </c>
    </row>
    <row r="9" spans="1:6" x14ac:dyDescent="0.2">
      <c r="A9">
        <v>-0.59454190723035805</v>
      </c>
      <c r="B9">
        <v>-0.64173834960799703</v>
      </c>
      <c r="C9">
        <v>-1.12550723092036</v>
      </c>
      <c r="D9">
        <v>-0.75288440785489297</v>
      </c>
      <c r="E9">
        <v>-1.1080960911584199</v>
      </c>
      <c r="F9">
        <v>-1.0217397368946599</v>
      </c>
    </row>
    <row r="10" spans="1:6" x14ac:dyDescent="0.2">
      <c r="A10">
        <v>-0.35077635484693598</v>
      </c>
      <c r="B10">
        <v>0.61438414390752005</v>
      </c>
      <c r="C10">
        <v>-0.224952569566226</v>
      </c>
      <c r="D10">
        <v>0.56073361654285403</v>
      </c>
      <c r="E10">
        <v>1.18662258580744</v>
      </c>
      <c r="F10">
        <v>1.2503896247264099</v>
      </c>
    </row>
    <row r="11" spans="1:6" x14ac:dyDescent="0.2">
      <c r="A11">
        <v>1.1339774642157301</v>
      </c>
      <c r="B11">
        <v>1.07115595973134</v>
      </c>
      <c r="C11">
        <v>2.0460113590659401</v>
      </c>
      <c r="D11">
        <v>0.90845603476578696</v>
      </c>
      <c r="E11">
        <v>0.56079021936220497</v>
      </c>
      <c r="F11">
        <v>-4.1636232177365E-2</v>
      </c>
    </row>
    <row r="12" spans="1:6" x14ac:dyDescent="0.2">
      <c r="A12">
        <v>-1.21503604056998</v>
      </c>
      <c r="B12">
        <v>-0.87012425751990896</v>
      </c>
      <c r="C12">
        <v>-0.92973447845207102</v>
      </c>
      <c r="D12">
        <v>-0.98469935333684799</v>
      </c>
      <c r="E12">
        <v>0.35217943054712703</v>
      </c>
      <c r="F12">
        <v>-5.1928424007615402E-2</v>
      </c>
    </row>
    <row r="13" spans="1:6" x14ac:dyDescent="0.2">
      <c r="A13">
        <v>0.114594245157779</v>
      </c>
      <c r="B13">
        <v>0.15761232808369599</v>
      </c>
      <c r="C13">
        <v>-0.26410712005988402</v>
      </c>
      <c r="D13">
        <v>0.36755449530789103</v>
      </c>
      <c r="E13">
        <v>-0.69087451352826101</v>
      </c>
      <c r="F13">
        <v>3.11982599541312E-2</v>
      </c>
    </row>
    <row r="14" spans="1:6" x14ac:dyDescent="0.2">
      <c r="A14">
        <v>-1.0599125072350699</v>
      </c>
      <c r="B14">
        <v>-1.3268960733437301</v>
      </c>
      <c r="C14">
        <v>-0.96888902894572904</v>
      </c>
      <c r="D14">
        <v>-1.5642367170417399</v>
      </c>
      <c r="E14">
        <v>-0.27365293589810602</v>
      </c>
      <c r="F14">
        <v>0.36370499580111698</v>
      </c>
    </row>
    <row r="15" spans="1:6" x14ac:dyDescent="0.2">
      <c r="A15">
        <v>-1.4366410881912699</v>
      </c>
      <c r="B15">
        <v>-0.52754539565204095</v>
      </c>
      <c r="C15">
        <v>-1.00804357943939</v>
      </c>
      <c r="D15">
        <v>-0.94606352908985503</v>
      </c>
      <c r="E15">
        <v>1.18662258580744</v>
      </c>
      <c r="F15">
        <v>-0.65598232746297402</v>
      </c>
    </row>
    <row r="16" spans="1:6" x14ac:dyDescent="0.2">
      <c r="A16">
        <v>1.1118169594536</v>
      </c>
      <c r="B16">
        <v>0.95696300577538895</v>
      </c>
      <c r="C16">
        <v>1.3412294501801001</v>
      </c>
      <c r="D16">
        <v>0.90845603476578696</v>
      </c>
      <c r="E16">
        <v>1.60384416343759</v>
      </c>
      <c r="F16">
        <v>0.52995836372461103</v>
      </c>
    </row>
    <row r="17" spans="1:6" x14ac:dyDescent="0.2">
      <c r="A17">
        <v>-1.37015957390488</v>
      </c>
      <c r="B17">
        <v>-1.0985101654318199</v>
      </c>
      <c r="C17">
        <v>-1.20381633190768</v>
      </c>
      <c r="D17">
        <v>-1.6801441897827101</v>
      </c>
      <c r="E17">
        <v>-0.48226372471318302</v>
      </c>
      <c r="F17">
        <v>-0.800068579663335</v>
      </c>
    </row>
    <row r="18" spans="1:6" x14ac:dyDescent="0.2">
      <c r="A18">
        <v>-1.68040664057469</v>
      </c>
      <c r="B18">
        <v>-0.41335244169608398</v>
      </c>
      <c r="C18">
        <v>-1.5170527358569399</v>
      </c>
      <c r="D18">
        <v>-1.1392426503248201</v>
      </c>
      <c r="E18">
        <v>0.14356864173205</v>
      </c>
      <c r="F18">
        <v>-0.88873704255586405</v>
      </c>
    </row>
    <row r="19" spans="1:6" x14ac:dyDescent="0.2">
      <c r="A19">
        <v>-0.35077635484693598</v>
      </c>
      <c r="B19">
        <v>0.50019118995156397</v>
      </c>
      <c r="C19">
        <v>0.67560209178790998</v>
      </c>
      <c r="D19">
        <v>-0.13471121990301199</v>
      </c>
      <c r="E19">
        <v>-1.31670687997349</v>
      </c>
      <c r="F19">
        <v>-0.96632194758682799</v>
      </c>
    </row>
    <row r="20" spans="1:6" x14ac:dyDescent="0.2">
      <c r="A20">
        <v>2.5952226109261799E-2</v>
      </c>
      <c r="B20">
        <v>-0.98431721147586504</v>
      </c>
      <c r="C20">
        <v>9.9747333957227197E-3</v>
      </c>
      <c r="D20">
        <v>-0.32789034113797499</v>
      </c>
      <c r="E20">
        <v>-1.31670687997349</v>
      </c>
      <c r="F20">
        <v>-0.93307127400212897</v>
      </c>
    </row>
    <row r="21" spans="1:6" x14ac:dyDescent="0.2">
      <c r="A21">
        <v>0.18107575944416701</v>
      </c>
      <c r="B21">
        <v>0.50019118995156397</v>
      </c>
      <c r="C21">
        <v>0.20574748586401301</v>
      </c>
      <c r="D21">
        <v>0.40619031955488399</v>
      </c>
      <c r="E21">
        <v>-0.27365293589810602</v>
      </c>
      <c r="F21">
        <v>0.14203383856979299</v>
      </c>
    </row>
    <row r="22" spans="1:6" x14ac:dyDescent="0.2">
      <c r="A22">
        <v>1.3334220070748899</v>
      </c>
      <c r="B22">
        <v>0.72857709786347702</v>
      </c>
      <c r="C22">
        <v>0.71475664228156799</v>
      </c>
      <c r="D22">
        <v>1.95162328943459</v>
      </c>
      <c r="E22">
        <v>2.22967652988283</v>
      </c>
      <c r="F22">
        <v>0.53365362191565702</v>
      </c>
    </row>
    <row r="23" spans="1:6" x14ac:dyDescent="0.2">
      <c r="A23">
        <v>1.2226194832642401</v>
      </c>
      <c r="B23">
        <v>-0.87012425751990896</v>
      </c>
      <c r="C23">
        <v>1.45869310166107</v>
      </c>
      <c r="D23">
        <v>-1.8803747162034298E-2</v>
      </c>
      <c r="E23">
        <v>-0.27365293589810602</v>
      </c>
      <c r="F23">
        <v>0.50779124800147801</v>
      </c>
    </row>
    <row r="24" spans="1:6" x14ac:dyDescent="0.2">
      <c r="A24">
        <v>-0.77182594532739301</v>
      </c>
      <c r="B24">
        <v>-0.87012425751990896</v>
      </c>
      <c r="C24">
        <v>-0.89057992795841301</v>
      </c>
      <c r="D24">
        <v>-1.29378594731279</v>
      </c>
      <c r="E24">
        <v>-6.5042147083028107E-2</v>
      </c>
      <c r="F24">
        <v>0.382176853333204</v>
      </c>
    </row>
    <row r="25" spans="1:6" x14ac:dyDescent="0.2">
      <c r="A25">
        <v>0.46916232135184799</v>
      </c>
      <c r="B25">
        <v>-0.18496653378417199</v>
      </c>
      <c r="C25">
        <v>-0.18579801907256799</v>
      </c>
      <c r="D25">
        <v>0.174375374072928</v>
      </c>
      <c r="E25">
        <v>0.56079021936220497</v>
      </c>
      <c r="F25">
        <v>0.47454057441677999</v>
      </c>
    </row>
    <row r="26" spans="1:6" x14ac:dyDescent="0.2">
      <c r="A26">
        <v>0.97885393088082095</v>
      </c>
      <c r="B26">
        <v>-0.64173834960799703</v>
      </c>
      <c r="C26">
        <v>1.45869310166107</v>
      </c>
      <c r="D26">
        <v>-0.55970528661993002</v>
      </c>
      <c r="E26">
        <v>-0.48226372471318302</v>
      </c>
      <c r="F26">
        <v>0.19745162787762399</v>
      </c>
    </row>
    <row r="27" spans="1:6" x14ac:dyDescent="0.2">
      <c r="A27">
        <v>0.64644635944888196</v>
      </c>
      <c r="B27">
        <v>0.95696300577538895</v>
      </c>
      <c r="C27">
        <v>1.38038400067376</v>
      </c>
      <c r="D27">
        <v>1.68117251970564</v>
      </c>
      <c r="E27">
        <v>1.3952333746225201</v>
      </c>
      <c r="F27">
        <v>0.80704731026376597</v>
      </c>
    </row>
    <row r="28" spans="1:6" x14ac:dyDescent="0.2">
      <c r="A28">
        <v>3.79172134713246E-3</v>
      </c>
      <c r="B28">
        <v>-0.64173834960799703</v>
      </c>
      <c r="C28">
        <v>9.9747333957227197E-3</v>
      </c>
      <c r="D28">
        <v>-0.59834111086692199</v>
      </c>
      <c r="E28">
        <v>-0.89948530234333901</v>
      </c>
      <c r="F28">
        <v>-0.94415483186369598</v>
      </c>
    </row>
    <row r="29" spans="1:6" x14ac:dyDescent="0.2">
      <c r="A29">
        <v>1.3334220070748899</v>
      </c>
      <c r="B29">
        <v>0.61438414390752005</v>
      </c>
      <c r="C29">
        <v>1.10630214721815</v>
      </c>
      <c r="D29">
        <v>1.10163515600075</v>
      </c>
      <c r="E29">
        <v>-0.48226372471318302</v>
      </c>
      <c r="F29">
        <v>0.169742733223709</v>
      </c>
    </row>
    <row r="30" spans="1:6" x14ac:dyDescent="0.2">
      <c r="A30">
        <v>-1.3036780596185</v>
      </c>
      <c r="B30">
        <v>-0.64173834960799703</v>
      </c>
      <c r="C30">
        <v>-1.2429708824013399</v>
      </c>
      <c r="D30">
        <v>-1.02333517758384</v>
      </c>
      <c r="E30">
        <v>-6.5042147083028107E-2</v>
      </c>
      <c r="F30">
        <v>-0.52297963312417906</v>
      </c>
    </row>
    <row r="31" spans="1:6" x14ac:dyDescent="0.2">
      <c r="A31">
        <v>-4.0529288177126102E-2</v>
      </c>
      <c r="B31">
        <v>-0.18496653378417199</v>
      </c>
      <c r="C31">
        <v>-0.65565262499646404</v>
      </c>
      <c r="D31">
        <v>0.328918671060899</v>
      </c>
      <c r="E31">
        <v>1.3952333746225201</v>
      </c>
      <c r="F31">
        <v>0.69621173164810402</v>
      </c>
    </row>
    <row r="32" spans="1:6" x14ac:dyDescent="0.2">
      <c r="A32">
        <v>-1.0599125072350699</v>
      </c>
      <c r="B32">
        <v>-0.75593130356395299</v>
      </c>
      <c r="C32">
        <v>-1.20381633190768</v>
      </c>
      <c r="D32">
        <v>-1.02333517758384</v>
      </c>
      <c r="E32">
        <v>-1.1080960911584199</v>
      </c>
      <c r="F32">
        <v>-0.98848906330996</v>
      </c>
    </row>
    <row r="33" spans="1:6" x14ac:dyDescent="0.2">
      <c r="A33">
        <v>-1.48096209771553</v>
      </c>
      <c r="B33">
        <v>-1.21270311938778</v>
      </c>
      <c r="C33">
        <v>-1.5562072863506</v>
      </c>
      <c r="D33">
        <v>-1.1778784745718101</v>
      </c>
      <c r="E33">
        <v>-1.1080960911584199</v>
      </c>
      <c r="F33">
        <v>-1.03836507368701</v>
      </c>
    </row>
    <row r="34" spans="1:6" x14ac:dyDescent="0.2">
      <c r="A34">
        <v>-1.37015957390488</v>
      </c>
      <c r="B34">
        <v>-0.52754539565204095</v>
      </c>
      <c r="C34">
        <v>-0.89057992795841301</v>
      </c>
      <c r="D34">
        <v>-1.2551501230658</v>
      </c>
      <c r="E34">
        <v>-0.69087451352826101</v>
      </c>
      <c r="F34">
        <v>-0.78898502180176899</v>
      </c>
    </row>
    <row r="35" spans="1:6" x14ac:dyDescent="0.2">
      <c r="A35">
        <v>-0.88262846913803905</v>
      </c>
      <c r="B35">
        <v>-1.0985101654318199</v>
      </c>
      <c r="C35">
        <v>-1.0471981299330499</v>
      </c>
      <c r="D35">
        <v>-0.98469935333684799</v>
      </c>
      <c r="E35">
        <v>-0.27365293589810602</v>
      </c>
      <c r="F35">
        <v>-0.51189607526261305</v>
      </c>
    </row>
    <row r="36" spans="1:6" x14ac:dyDescent="0.2">
      <c r="A36">
        <v>0.53564383563823503</v>
      </c>
      <c r="B36">
        <v>-0.52754539565204095</v>
      </c>
      <c r="C36">
        <v>8.8283834383038898E-2</v>
      </c>
      <c r="D36">
        <v>-9.6075395656019399E-2</v>
      </c>
      <c r="E36">
        <v>-0.89948530234333901</v>
      </c>
      <c r="F36">
        <v>-0.71140011677080495</v>
      </c>
    </row>
    <row r="37" spans="1:6" x14ac:dyDescent="0.2">
      <c r="A37">
        <v>-1.1263940215214601</v>
      </c>
      <c r="B37">
        <v>-0.41335244169608398</v>
      </c>
      <c r="C37">
        <v>-0.81227082697109698</v>
      </c>
      <c r="D37">
        <v>-0.75288440785489297</v>
      </c>
      <c r="E37">
        <v>-0.48226372471318302</v>
      </c>
      <c r="F37">
        <v>-0.63935699067062501</v>
      </c>
    </row>
    <row r="38" spans="1:6" x14ac:dyDescent="0.2">
      <c r="A38">
        <v>0.84589090230804498</v>
      </c>
      <c r="B38">
        <v>0.15761232808369599</v>
      </c>
      <c r="C38">
        <v>0.63644754129425196</v>
      </c>
      <c r="D38">
        <v>0.71527691353082401</v>
      </c>
      <c r="E38">
        <v>-0.27365293589810602</v>
      </c>
      <c r="F38">
        <v>0.61862682661713997</v>
      </c>
    </row>
    <row r="39" spans="1:6" x14ac:dyDescent="0.2">
      <c r="A39">
        <v>-0.15133181198777301</v>
      </c>
      <c r="B39">
        <v>0.27180528203965199</v>
      </c>
      <c r="C39">
        <v>-0.49903442302183199</v>
      </c>
      <c r="D39">
        <v>0.44482614380187602</v>
      </c>
      <c r="E39">
        <v>2.0210657410677499</v>
      </c>
      <c r="F39">
        <v>0.75162952095593505</v>
      </c>
    </row>
    <row r="40" spans="1:6" x14ac:dyDescent="0.2">
      <c r="A40">
        <v>-1.21503604056998</v>
      </c>
      <c r="B40">
        <v>-1.0985101654318199</v>
      </c>
      <c r="C40">
        <v>-0.96888902894572904</v>
      </c>
      <c r="D40">
        <v>-0.86879188059586998</v>
      </c>
      <c r="E40">
        <v>-1.1080960911584199</v>
      </c>
      <c r="F40">
        <v>-1.0328232947562299</v>
      </c>
    </row>
    <row r="41" spans="1:6" x14ac:dyDescent="0.2">
      <c r="A41">
        <v>1.3334220070748899</v>
      </c>
      <c r="B41">
        <v>0.84277005181943299</v>
      </c>
      <c r="C41">
        <v>0.98883849573717397</v>
      </c>
      <c r="D41">
        <v>0.79254856202480894</v>
      </c>
      <c r="E41">
        <v>0.35217943054712703</v>
      </c>
      <c r="F41">
        <v>1.47206078195774</v>
      </c>
    </row>
    <row r="42" spans="1:6" x14ac:dyDescent="0.2">
      <c r="A42">
        <v>-0.15133181198777301</v>
      </c>
      <c r="B42">
        <v>4.3419374127740003E-2</v>
      </c>
      <c r="C42">
        <v>-0.381570771540858</v>
      </c>
      <c r="D42">
        <v>5.8467901331950803E-2</v>
      </c>
      <c r="E42">
        <v>0.97801179699235996</v>
      </c>
      <c r="F42">
        <v>0.308287206493286</v>
      </c>
    </row>
    <row r="43" spans="1:6" x14ac:dyDescent="0.2">
      <c r="A43">
        <v>-0.12917130722564299</v>
      </c>
      <c r="B43">
        <v>0.72857709786347702</v>
      </c>
      <c r="C43">
        <v>-0.224952569566226</v>
      </c>
      <c r="D43">
        <v>1.2948142772357101</v>
      </c>
      <c r="E43">
        <v>-0.27365293589810602</v>
      </c>
      <c r="F43">
        <v>-0.26805780230815701</v>
      </c>
    </row>
    <row r="44" spans="1:6" x14ac:dyDescent="0.2">
      <c r="A44">
        <v>-1.10423351675933</v>
      </c>
      <c r="B44">
        <v>-0.29915948774012802</v>
      </c>
      <c r="C44">
        <v>-1.0471981299330499</v>
      </c>
      <c r="D44">
        <v>-1.02333517758384</v>
      </c>
      <c r="E44">
        <v>-0.69087451352826101</v>
      </c>
      <c r="F44">
        <v>-0.43431117023165</v>
      </c>
    </row>
    <row r="45" spans="1:6" x14ac:dyDescent="0.2">
      <c r="A45">
        <v>-0.66102342151674598</v>
      </c>
      <c r="B45">
        <v>-0.64173834960799703</v>
      </c>
      <c r="C45">
        <v>-0.89057992795841301</v>
      </c>
      <c r="D45">
        <v>-0.40516198963195998</v>
      </c>
      <c r="E45">
        <v>0.97801179699235996</v>
      </c>
      <c r="F45">
        <v>-0.26436254411711002</v>
      </c>
    </row>
    <row r="46" spans="1:6" x14ac:dyDescent="0.2">
      <c r="A46">
        <v>1.5328665499340499</v>
      </c>
      <c r="B46">
        <v>1.5279277755551699</v>
      </c>
      <c r="C46">
        <v>1.6936204046230201</v>
      </c>
      <c r="D46">
        <v>1.14027098024774</v>
      </c>
      <c r="E46">
        <v>-0.27365293589810602</v>
      </c>
      <c r="F46">
        <v>1.80456751780473</v>
      </c>
    </row>
    <row r="47" spans="1:6" x14ac:dyDescent="0.2">
      <c r="A47">
        <v>0.114594245157779</v>
      </c>
      <c r="B47">
        <v>1.41373482159921</v>
      </c>
      <c r="C47">
        <v>0.12743838487669701</v>
      </c>
      <c r="D47">
        <v>0.67664108928383104</v>
      </c>
      <c r="E47">
        <v>-1.31670687997349</v>
      </c>
      <c r="F47">
        <v>-0.98848906330996</v>
      </c>
    </row>
    <row r="48" spans="1:6" x14ac:dyDescent="0.2">
      <c r="A48">
        <v>-1.4144805834291401</v>
      </c>
      <c r="B48">
        <v>-0.64173834960799703</v>
      </c>
      <c r="C48">
        <v>-1.3212799833886499</v>
      </c>
      <c r="D48">
        <v>-1.1006068260778299</v>
      </c>
      <c r="E48">
        <v>1.8124549522526701</v>
      </c>
      <c r="F48">
        <v>-0.57839742243201098</v>
      </c>
    </row>
    <row r="49" spans="1:6" x14ac:dyDescent="0.2">
      <c r="A49">
        <v>-1.1485545262835899</v>
      </c>
      <c r="B49">
        <v>-1.3268960733437301</v>
      </c>
      <c r="C49">
        <v>-1.0863526804267001</v>
      </c>
      <c r="D49">
        <v>-1.4096934200537701</v>
      </c>
      <c r="E49">
        <v>-0.69087451352826101</v>
      </c>
      <c r="F49">
        <v>-0.67814944318610604</v>
      </c>
    </row>
    <row r="50" spans="1:6" x14ac:dyDescent="0.2">
      <c r="A50">
        <v>-1.21503604056998</v>
      </c>
      <c r="B50">
        <v>-1.21270311938778</v>
      </c>
      <c r="C50">
        <v>-0.92973447845207102</v>
      </c>
      <c r="D50">
        <v>-1.4096934200537701</v>
      </c>
      <c r="E50">
        <v>-0.69087451352826101</v>
      </c>
      <c r="F50">
        <v>-0.68923300104767304</v>
      </c>
    </row>
    <row r="51" spans="1:6" x14ac:dyDescent="0.2">
      <c r="A51">
        <v>0.69076736897313995</v>
      </c>
      <c r="B51">
        <v>2.2130854992909099</v>
      </c>
      <c r="C51">
        <v>1.4978476521547299</v>
      </c>
      <c r="D51">
        <v>1.64253669545865</v>
      </c>
      <c r="E51">
        <v>2.0210657410677499</v>
      </c>
      <c r="F51">
        <v>0.91788288887942804</v>
      </c>
    </row>
    <row r="52" spans="1:6" x14ac:dyDescent="0.2">
      <c r="A52">
        <v>-1.21503604056998</v>
      </c>
      <c r="B52">
        <v>-0.75593130356395299</v>
      </c>
      <c r="C52">
        <v>-1.00804357943939</v>
      </c>
      <c r="D52">
        <v>-1.1392426503248201</v>
      </c>
      <c r="E52">
        <v>-0.89948530234333901</v>
      </c>
      <c r="F52">
        <v>-1.0217397368946599</v>
      </c>
    </row>
    <row r="53" spans="1:6" x14ac:dyDescent="0.2">
      <c r="A53">
        <v>0.75724888325952799</v>
      </c>
      <c r="B53">
        <v>0.95696300577538895</v>
      </c>
      <c r="C53">
        <v>0.47982933931962002</v>
      </c>
      <c r="D53">
        <v>1.3334501014827</v>
      </c>
      <c r="E53">
        <v>-0.69087451352826101</v>
      </c>
      <c r="F53">
        <v>-0.95523838972526198</v>
      </c>
    </row>
    <row r="54" spans="1:6" x14ac:dyDescent="0.2">
      <c r="A54">
        <v>-0.59454190723035805</v>
      </c>
      <c r="B54">
        <v>-0.98431721147586504</v>
      </c>
      <c r="C54">
        <v>-0.49903442302183199</v>
      </c>
      <c r="D54">
        <v>-0.83015605634887801</v>
      </c>
      <c r="E54">
        <v>2.0210657410677499</v>
      </c>
      <c r="F54">
        <v>-0.47864540167791497</v>
      </c>
    </row>
    <row r="55" spans="1:6" x14ac:dyDescent="0.2">
      <c r="A55">
        <v>0.51348333087610598</v>
      </c>
      <c r="B55">
        <v>1.64212072951113</v>
      </c>
      <c r="C55">
        <v>0.55813844030693605</v>
      </c>
      <c r="D55">
        <v>1.7198083439526299</v>
      </c>
      <c r="E55">
        <v>1.3952333746225201</v>
      </c>
      <c r="F55">
        <v>0.69621173164810402</v>
      </c>
    </row>
    <row r="56" spans="1:6" x14ac:dyDescent="0.2">
      <c r="A56">
        <v>0.31403878801694302</v>
      </c>
      <c r="B56">
        <v>1.98469959137899</v>
      </c>
      <c r="C56">
        <v>0.91052939474985795</v>
      </c>
      <c r="D56">
        <v>1.2948142772357101</v>
      </c>
      <c r="E56">
        <v>2.22967652988283</v>
      </c>
      <c r="F56">
        <v>-2.0524136305674801E-3</v>
      </c>
    </row>
    <row r="57" spans="1:6" x14ac:dyDescent="0.2">
      <c r="A57">
        <v>0.64644635944888196</v>
      </c>
      <c r="B57">
        <v>1.64212072951113</v>
      </c>
      <c r="C57">
        <v>1.2237657986991199</v>
      </c>
      <c r="D57">
        <v>1.7584441681996199</v>
      </c>
      <c r="E57">
        <v>1.60384416343759</v>
      </c>
      <c r="F57">
        <v>0.88093695710368303</v>
      </c>
    </row>
    <row r="58" spans="1:6" x14ac:dyDescent="0.2">
      <c r="A58">
        <v>0.247557273730555</v>
      </c>
      <c r="B58">
        <v>-0.64173834960799703</v>
      </c>
      <c r="C58">
        <v>8.8283834383038898E-2</v>
      </c>
      <c r="D58">
        <v>-0.21198286839699701</v>
      </c>
      <c r="E58">
        <v>0.35217943054712703</v>
      </c>
      <c r="F58">
        <v>0.69621173164810402</v>
      </c>
    </row>
    <row r="59" spans="1:6" x14ac:dyDescent="0.2">
      <c r="A59">
        <v>-0.23997383103629</v>
      </c>
      <c r="B59">
        <v>-0.87012425751990896</v>
      </c>
      <c r="C59">
        <v>9.9747333957227197E-3</v>
      </c>
      <c r="D59">
        <v>-0.86879188059586998</v>
      </c>
      <c r="E59">
        <v>-0.69087451352826101</v>
      </c>
      <c r="F59">
        <v>-0.72248367463237095</v>
      </c>
    </row>
    <row r="60" spans="1:6" x14ac:dyDescent="0.2">
      <c r="A60">
        <v>-0.10701080246351399</v>
      </c>
      <c r="B60">
        <v>0.38599823599560801</v>
      </c>
      <c r="C60">
        <v>0.16659293537035499</v>
      </c>
      <c r="D60">
        <v>-0.17334704415000399</v>
      </c>
      <c r="E60">
        <v>-0.27365293589810602</v>
      </c>
      <c r="F60">
        <v>-0.46756184381634802</v>
      </c>
    </row>
    <row r="61" spans="1:6" x14ac:dyDescent="0.2">
      <c r="A61">
        <v>-0.26213433579841899</v>
      </c>
      <c r="B61">
        <v>-0.87012425751990896</v>
      </c>
      <c r="C61">
        <v>-0.69480717549012205</v>
      </c>
      <c r="D61">
        <v>-0.86879188059586998</v>
      </c>
      <c r="E61">
        <v>-0.69087451352826101</v>
      </c>
      <c r="F61">
        <v>-0.57839742243201098</v>
      </c>
    </row>
    <row r="62" spans="1:6" x14ac:dyDescent="0.2">
      <c r="A62">
        <v>-0.83830745961378095</v>
      </c>
      <c r="B62">
        <v>-0.52754539565204095</v>
      </c>
      <c r="C62">
        <v>-0.224952569566226</v>
      </c>
      <c r="D62">
        <v>-0.63697693511391495</v>
      </c>
      <c r="E62">
        <v>1.60384416343759</v>
      </c>
      <c r="F62">
        <v>-0.19047289727719299</v>
      </c>
    </row>
    <row r="63" spans="1:6" x14ac:dyDescent="0.2">
      <c r="A63">
        <v>2.88465734042394</v>
      </c>
      <c r="B63">
        <v>2.2130854992909099</v>
      </c>
      <c r="C63">
        <v>2.43755686400252</v>
      </c>
      <c r="D63">
        <v>2.3766173561514998</v>
      </c>
      <c r="E63">
        <v>-0.48226372471318302</v>
      </c>
      <c r="F63">
        <v>3.1900122505005002</v>
      </c>
    </row>
    <row r="64" spans="1:6" x14ac:dyDescent="0.2">
      <c r="A64">
        <v>1.2226194832642401</v>
      </c>
      <c r="B64">
        <v>1.98469959137899</v>
      </c>
      <c r="C64">
        <v>1.3412294501801001</v>
      </c>
      <c r="D64">
        <v>1.2175426287417299</v>
      </c>
      <c r="E64">
        <v>0.76940100817728296</v>
      </c>
      <c r="F64">
        <v>3.0237588825770101</v>
      </c>
    </row>
    <row r="65" spans="1:6" x14ac:dyDescent="0.2">
      <c r="A65">
        <v>-0.55022089770610005</v>
      </c>
      <c r="B65">
        <v>-0.29915948774012802</v>
      </c>
      <c r="C65">
        <v>-0.18579801907256799</v>
      </c>
      <c r="D65">
        <v>-0.48243363812594497</v>
      </c>
      <c r="E65">
        <v>0.35217943054712703</v>
      </c>
      <c r="F65">
        <v>0.14203383856979299</v>
      </c>
    </row>
    <row r="66" spans="1:6" x14ac:dyDescent="0.2">
      <c r="A66">
        <v>1.46638503564767</v>
      </c>
      <c r="B66">
        <v>2.2130854992909099</v>
      </c>
      <c r="C66">
        <v>1.3412294501801001</v>
      </c>
      <c r="D66">
        <v>2.4925248288924799</v>
      </c>
      <c r="E66">
        <v>1.3952333746225201</v>
      </c>
      <c r="F66">
        <v>1.1210821885786699</v>
      </c>
    </row>
    <row r="67" spans="1:6" x14ac:dyDescent="0.2">
      <c r="A67">
        <v>-0.57238140246822899</v>
      </c>
      <c r="B67">
        <v>0.50019118995156397</v>
      </c>
      <c r="C67">
        <v>-0.42072532203451601</v>
      </c>
      <c r="D67">
        <v>-0.25061869264399</v>
      </c>
      <c r="E67">
        <v>-1.1080960911584199</v>
      </c>
      <c r="F67">
        <v>-0.94415483186369598</v>
      </c>
    </row>
    <row r="68" spans="1:6" x14ac:dyDescent="0.2">
      <c r="A68">
        <v>-1.48096209771553</v>
      </c>
      <c r="B68">
        <v>4.3419374127740003E-2</v>
      </c>
      <c r="C68">
        <v>-1.3212799833886499</v>
      </c>
      <c r="D68">
        <v>-0.86879188059586998</v>
      </c>
      <c r="E68">
        <v>1.8124549522526701</v>
      </c>
      <c r="F68">
        <v>-0.611648096016709</v>
      </c>
    </row>
    <row r="69" spans="1:6" x14ac:dyDescent="0.2">
      <c r="A69">
        <v>0.13675474991990799</v>
      </c>
      <c r="B69">
        <v>0.15761232808369599</v>
      </c>
      <c r="C69">
        <v>0.47982933931962002</v>
      </c>
      <c r="D69">
        <v>0.21301119831992099</v>
      </c>
      <c r="E69">
        <v>-0.69087451352826101</v>
      </c>
      <c r="F69">
        <v>-0.13505510796936199</v>
      </c>
    </row>
    <row r="70" spans="1:6" x14ac:dyDescent="0.2">
      <c r="A70">
        <v>-0.55022089770610005</v>
      </c>
      <c r="B70">
        <v>0.15761232808369599</v>
      </c>
      <c r="C70">
        <v>-0.61649807450280603</v>
      </c>
      <c r="D70">
        <v>-0.21198286839699701</v>
      </c>
      <c r="E70">
        <v>-0.48226372471318302</v>
      </c>
      <c r="F70">
        <v>-0.231482061364988</v>
      </c>
    </row>
    <row r="71" spans="1:6" x14ac:dyDescent="0.2">
      <c r="A71">
        <v>0.33619929277907201</v>
      </c>
      <c r="B71">
        <v>1.7563136834670801</v>
      </c>
      <c r="C71">
        <v>0.83222029376254203</v>
      </c>
      <c r="D71">
        <v>1.60390087121165</v>
      </c>
      <c r="E71">
        <v>-0.69087451352826101</v>
      </c>
      <c r="F71">
        <v>1.5163950134040001</v>
      </c>
    </row>
    <row r="72" spans="1:6" x14ac:dyDescent="0.2">
      <c r="A72">
        <v>-0.66102342151674598</v>
      </c>
      <c r="B72">
        <v>-0.52754539565204095</v>
      </c>
      <c r="C72">
        <v>-0.77311627647743897</v>
      </c>
      <c r="D72">
        <v>-0.63697693511391495</v>
      </c>
      <c r="E72">
        <v>-1.31670687997349</v>
      </c>
      <c r="F72">
        <v>-1.0328232947562299</v>
      </c>
    </row>
    <row r="73" spans="1:6" x14ac:dyDescent="0.2">
      <c r="A73">
        <v>0.66860686421101101</v>
      </c>
      <c r="B73">
        <v>1.5279277755551699</v>
      </c>
      <c r="C73">
        <v>0.83222029376254203</v>
      </c>
      <c r="D73">
        <v>1.7198083439526299</v>
      </c>
      <c r="E73">
        <v>-0.89948530234333901</v>
      </c>
      <c r="F73">
        <v>-0.86656992683273204</v>
      </c>
    </row>
    <row r="74" spans="1:6" x14ac:dyDescent="0.2">
      <c r="A74">
        <v>0.247557273730555</v>
      </c>
      <c r="B74">
        <v>0.15761232808369599</v>
      </c>
      <c r="C74">
        <v>-2.9179817097935299E-2</v>
      </c>
      <c r="D74">
        <v>0.25164702256691401</v>
      </c>
      <c r="E74">
        <v>0.97801179699235996</v>
      </c>
      <c r="F74">
        <v>0.13095028070822701</v>
      </c>
    </row>
    <row r="75" spans="1:6" x14ac:dyDescent="0.2">
      <c r="A75">
        <v>0.89021191183230397</v>
      </c>
      <c r="B75">
        <v>1.41373482159921</v>
      </c>
      <c r="C75">
        <v>1.38038400067376</v>
      </c>
      <c r="D75">
        <v>2.0288949379285701</v>
      </c>
      <c r="E75">
        <v>1.3952333746225201</v>
      </c>
      <c r="F75">
        <v>2.9383268185800602</v>
      </c>
    </row>
    <row r="76" spans="1:6" x14ac:dyDescent="0.2">
      <c r="A76">
        <v>0.15891525468203699</v>
      </c>
      <c r="B76">
        <v>1.7563136834670801</v>
      </c>
      <c r="C76">
        <v>1.65446585412936</v>
      </c>
      <c r="D76">
        <v>0.75391273777781698</v>
      </c>
      <c r="E76">
        <v>-0.89948530234333901</v>
      </c>
      <c r="F76">
        <v>-0.52297963312417906</v>
      </c>
    </row>
    <row r="77" spans="1:6" x14ac:dyDescent="0.2">
      <c r="A77">
        <v>4.8112730871391E-2</v>
      </c>
      <c r="B77">
        <v>0.38599823599560801</v>
      </c>
      <c r="C77">
        <v>0.59729299080059395</v>
      </c>
      <c r="D77">
        <v>-0.17334704415000399</v>
      </c>
      <c r="E77">
        <v>-6.5042147083028107E-2</v>
      </c>
      <c r="F77">
        <v>-0.101804434384663</v>
      </c>
    </row>
    <row r="78" spans="1:6" x14ac:dyDescent="0.2">
      <c r="A78">
        <v>0.95669342611869201</v>
      </c>
      <c r="B78">
        <v>0.61438414390752005</v>
      </c>
      <c r="C78">
        <v>0.24490203635767099</v>
      </c>
      <c r="D78">
        <v>1.2561784529887201</v>
      </c>
      <c r="E78">
        <v>0.56079021936220497</v>
      </c>
      <c r="F78">
        <v>4.2651173630724202</v>
      </c>
    </row>
    <row r="79" spans="1:6" x14ac:dyDescent="0.2">
      <c r="A79">
        <v>-1.3036780596185</v>
      </c>
      <c r="B79">
        <v>-1.0985101654318199</v>
      </c>
      <c r="C79">
        <v>-0.53818897351549</v>
      </c>
      <c r="D79">
        <v>-1.1006068260778299</v>
      </c>
      <c r="E79">
        <v>0.14356864173205</v>
      </c>
      <c r="F79">
        <v>-0.35672626520068601</v>
      </c>
    </row>
    <row r="80" spans="1:6" x14ac:dyDescent="0.2">
      <c r="A80">
        <v>1.0231749404050801</v>
      </c>
      <c r="B80">
        <v>1.1853489136873001</v>
      </c>
      <c r="C80">
        <v>0.83222029376254203</v>
      </c>
      <c r="D80">
        <v>1.2561784529887201</v>
      </c>
      <c r="E80">
        <v>1.3952333746225201</v>
      </c>
      <c r="F80">
        <v>0.47454057441677999</v>
      </c>
    </row>
    <row r="81" spans="1:6" x14ac:dyDescent="0.2">
      <c r="A81">
        <v>1.9982371499387701</v>
      </c>
      <c r="B81">
        <v>2.2130854992909099</v>
      </c>
      <c r="C81">
        <v>1.81108405610399</v>
      </c>
      <c r="D81">
        <v>2.1834382349165402</v>
      </c>
      <c r="E81">
        <v>-0.48226372471318302</v>
      </c>
      <c r="F81">
        <v>1.41664299264991</v>
      </c>
    </row>
    <row r="82" spans="1:6" x14ac:dyDescent="0.2">
      <c r="A82">
        <v>-1.2593570500942399</v>
      </c>
      <c r="B82">
        <v>-0.87012425751990896</v>
      </c>
      <c r="C82">
        <v>-1.39958908437597</v>
      </c>
      <c r="D82">
        <v>-1.29378594731279</v>
      </c>
      <c r="E82">
        <v>-1.31670687997349</v>
      </c>
      <c r="F82">
        <v>-1.0328232947562299</v>
      </c>
    </row>
    <row r="83" spans="1:6" x14ac:dyDescent="0.2">
      <c r="A83">
        <v>0.44700181658971799</v>
      </c>
      <c r="B83">
        <v>0.50019118995156397</v>
      </c>
      <c r="C83">
        <v>0.59729299080059395</v>
      </c>
      <c r="D83">
        <v>0.83118438627180202</v>
      </c>
      <c r="E83">
        <v>1.3952333746225201</v>
      </c>
      <c r="F83">
        <v>2.13707425365171</v>
      </c>
    </row>
    <row r="84" spans="1:6" x14ac:dyDescent="0.2">
      <c r="A84">
        <v>-0.70534443104100497</v>
      </c>
      <c r="B84">
        <v>0.50019118995156397</v>
      </c>
      <c r="C84">
        <v>-0.851425377464755</v>
      </c>
      <c r="D84">
        <v>1.9832077084958301E-2</v>
      </c>
      <c r="E84">
        <v>-0.48226372471318302</v>
      </c>
      <c r="F84">
        <v>-0.334559149477554</v>
      </c>
    </row>
    <row r="85" spans="1:6" x14ac:dyDescent="0.2">
      <c r="A85">
        <v>0.38052030230333</v>
      </c>
      <c r="B85">
        <v>1.41373482159921</v>
      </c>
      <c r="C85">
        <v>1.02799304623083</v>
      </c>
      <c r="D85">
        <v>2.0675307621755601</v>
      </c>
      <c r="E85">
        <v>1.18662258580744</v>
      </c>
      <c r="F85">
        <v>3.0804424141926301</v>
      </c>
    </row>
    <row r="86" spans="1:6" x14ac:dyDescent="0.2">
      <c r="A86">
        <v>0.97885393088082095</v>
      </c>
      <c r="B86">
        <v>2.2130854992909099</v>
      </c>
      <c r="C86">
        <v>1.4195385511674099</v>
      </c>
      <c r="D86">
        <v>1.91298746518759</v>
      </c>
      <c r="E86">
        <v>-0.89948530234333901</v>
      </c>
      <c r="F86">
        <v>-0.71140011677080495</v>
      </c>
    </row>
    <row r="87" spans="1:6" x14ac:dyDescent="0.2">
      <c r="A87">
        <v>1.39990352136128</v>
      </c>
      <c r="B87">
        <v>2.5556643611587702</v>
      </c>
      <c r="C87">
        <v>1.4195385511674099</v>
      </c>
      <c r="D87">
        <v>2.1834382349165402</v>
      </c>
      <c r="E87">
        <v>-0.27365293589810602</v>
      </c>
      <c r="F87">
        <v>0.80704731026376597</v>
      </c>
    </row>
    <row r="88" spans="1:6" x14ac:dyDescent="0.2">
      <c r="A88">
        <v>0.225396768968425</v>
      </c>
      <c r="B88">
        <v>4.3419374127740003E-2</v>
      </c>
      <c r="C88">
        <v>0.32321113734498702</v>
      </c>
      <c r="D88">
        <v>9.7103725578943298E-2</v>
      </c>
      <c r="E88">
        <v>-0.69087451352826101</v>
      </c>
      <c r="F88">
        <v>-0.84440281110960003</v>
      </c>
    </row>
    <row r="89" spans="1:6" x14ac:dyDescent="0.2">
      <c r="A89">
        <v>-0.68318392627887503</v>
      </c>
      <c r="B89">
        <v>0.27180528203965199</v>
      </c>
      <c r="C89">
        <v>-0.381570771540858</v>
      </c>
      <c r="D89">
        <v>-0.17334704415000399</v>
      </c>
      <c r="E89">
        <v>1.8124549522526701</v>
      </c>
      <c r="F89">
        <v>0.36370499580111698</v>
      </c>
    </row>
    <row r="90" spans="1:6" x14ac:dyDescent="0.2">
      <c r="A90">
        <v>-0.30645534532267799</v>
      </c>
      <c r="B90">
        <v>-0.87012425751990896</v>
      </c>
      <c r="C90">
        <v>-0.49903442302183199</v>
      </c>
      <c r="D90">
        <v>-0.59834111086692199</v>
      </c>
      <c r="E90">
        <v>0.35217943054712703</v>
      </c>
      <c r="F90">
        <v>-2.0524136305674801E-3</v>
      </c>
    </row>
    <row r="91" spans="1:6" x14ac:dyDescent="0.2">
      <c r="A91">
        <v>-0.50589988818184095</v>
      </c>
      <c r="B91">
        <v>-0.98431721147586504</v>
      </c>
      <c r="C91">
        <v>-0.96888902894572904</v>
      </c>
      <c r="D91">
        <v>-0.28925451689098203</v>
      </c>
      <c r="E91">
        <v>0.14356864173205</v>
      </c>
      <c r="F91">
        <v>-0.38443515985460203</v>
      </c>
    </row>
    <row r="92" spans="1:6" x14ac:dyDescent="0.2">
      <c r="A92">
        <v>-0.26213433579841899</v>
      </c>
      <c r="B92">
        <v>1.07115595973134</v>
      </c>
      <c r="C92">
        <v>-0.224952569566226</v>
      </c>
      <c r="D92">
        <v>-0.21198286839699701</v>
      </c>
      <c r="E92">
        <v>1.60384416343759</v>
      </c>
      <c r="F92">
        <v>0.43759464264103498</v>
      </c>
    </row>
    <row r="93" spans="1:6" x14ac:dyDescent="0.2">
      <c r="A93">
        <v>-0.68318392627887503</v>
      </c>
      <c r="B93">
        <v>0.50019118995156397</v>
      </c>
      <c r="C93">
        <v>-0.73396172598378095</v>
      </c>
      <c r="D93">
        <v>0.135739549825936</v>
      </c>
      <c r="E93">
        <v>2.64689810751298</v>
      </c>
      <c r="F93">
        <v>-0.74465079035550397</v>
      </c>
    </row>
    <row r="94" spans="1:6" x14ac:dyDescent="0.2">
      <c r="A94">
        <v>0.69076736897313995</v>
      </c>
      <c r="B94">
        <v>-0.75593130356395299</v>
      </c>
      <c r="C94">
        <v>1.4978476521547299</v>
      </c>
      <c r="D94">
        <v>0.25164702256691401</v>
      </c>
      <c r="E94">
        <v>-0.48226372471318302</v>
      </c>
      <c r="F94">
        <v>-0.30130847589285498</v>
      </c>
    </row>
    <row r="95" spans="1:6" x14ac:dyDescent="0.2">
      <c r="A95">
        <v>-0.52806039294397</v>
      </c>
      <c r="B95">
        <v>-7.0773579828216096E-2</v>
      </c>
      <c r="C95">
        <v>0.28405658685132901</v>
      </c>
      <c r="D95">
        <v>-0.7142485836079</v>
      </c>
      <c r="E95">
        <v>-0.48226372471318302</v>
      </c>
      <c r="F95">
        <v>-0.30130847589285498</v>
      </c>
    </row>
    <row r="96" spans="1:6" x14ac:dyDescent="0.2">
      <c r="A96">
        <v>0.40268080706546</v>
      </c>
      <c r="B96">
        <v>-1.0985101654318199</v>
      </c>
      <c r="C96">
        <v>-0.49903442302183199</v>
      </c>
      <c r="D96">
        <v>-0.28925451689098203</v>
      </c>
      <c r="E96">
        <v>0.76940100817728296</v>
      </c>
      <c r="F96">
        <v>0.44683167976286398</v>
      </c>
    </row>
    <row r="97" spans="1:6" x14ac:dyDescent="0.2">
      <c r="A97">
        <v>-0.66102342151674598</v>
      </c>
      <c r="B97">
        <v>0.15761232808369599</v>
      </c>
      <c r="C97">
        <v>-0.69480717549012205</v>
      </c>
      <c r="D97">
        <v>-1.8803747162034298E-2</v>
      </c>
      <c r="E97">
        <v>-0.48226372471318302</v>
      </c>
      <c r="F97">
        <v>-7.9637318661530995E-2</v>
      </c>
    </row>
    <row r="98" spans="1:6" x14ac:dyDescent="0.2">
      <c r="A98">
        <v>0.26971777849268402</v>
      </c>
      <c r="B98">
        <v>-0.75593130356395299</v>
      </c>
      <c r="C98">
        <v>-2.9179817097935299E-2</v>
      </c>
      <c r="D98">
        <v>-1.8803747162034298E-2</v>
      </c>
      <c r="E98">
        <v>0.14356864173205</v>
      </c>
      <c r="F98">
        <v>0.14203383856979299</v>
      </c>
    </row>
    <row r="99" spans="1:6" x14ac:dyDescent="0.2">
      <c r="A99">
        <v>1.1118169594536</v>
      </c>
      <c r="B99">
        <v>0.38599823599560801</v>
      </c>
      <c r="C99">
        <v>0.59729299080059395</v>
      </c>
      <c r="D99">
        <v>1.2561784529887201</v>
      </c>
      <c r="E99">
        <v>-0.48226372471318302</v>
      </c>
      <c r="F99">
        <v>0.28057831183937099</v>
      </c>
    </row>
    <row r="100" spans="1:6" x14ac:dyDescent="0.2">
      <c r="A100">
        <v>1.3555825118370199</v>
      </c>
      <c r="B100">
        <v>1.07115595973134</v>
      </c>
      <c r="C100">
        <v>0.67560209178790998</v>
      </c>
      <c r="D100">
        <v>1.41072174997669</v>
      </c>
      <c r="E100">
        <v>-6.5042147083028107E-2</v>
      </c>
      <c r="F100">
        <v>0.91788288887942804</v>
      </c>
    </row>
    <row r="101" spans="1:6" x14ac:dyDescent="0.2">
      <c r="A101">
        <v>-8.4850297701384705E-2</v>
      </c>
      <c r="B101">
        <v>0.27180528203965199</v>
      </c>
      <c r="C101">
        <v>-0.18579801907256799</v>
      </c>
      <c r="D101">
        <v>0.25164702256691401</v>
      </c>
      <c r="E101">
        <v>-6.5042147083028107E-2</v>
      </c>
      <c r="F101">
        <v>0.47454057441677999</v>
      </c>
    </row>
    <row r="102" spans="1:6" x14ac:dyDescent="0.2">
      <c r="A102">
        <v>-1.19287553580785</v>
      </c>
      <c r="B102">
        <v>-0.18496653378417199</v>
      </c>
      <c r="C102">
        <v>-0.96888902894572904</v>
      </c>
      <c r="D102">
        <v>-0.48243363812594497</v>
      </c>
      <c r="E102">
        <v>-0.48226372471318302</v>
      </c>
      <c r="F102">
        <v>-0.52852141205496295</v>
      </c>
    </row>
    <row r="103" spans="1:6" x14ac:dyDescent="0.2">
      <c r="A103">
        <v>-0.83830745961378095</v>
      </c>
      <c r="B103">
        <v>-0.52754539565204095</v>
      </c>
      <c r="C103">
        <v>-1.28212543289499</v>
      </c>
      <c r="D103">
        <v>-0.55970528661993002</v>
      </c>
      <c r="E103">
        <v>2.22967652988283</v>
      </c>
      <c r="F103">
        <v>-0.46756184381634802</v>
      </c>
    </row>
    <row r="104" spans="1:6" x14ac:dyDescent="0.2">
      <c r="A104">
        <v>-0.19565282151203101</v>
      </c>
      <c r="B104">
        <v>-1.21270311938778</v>
      </c>
      <c r="C104">
        <v>-0.34241622104719999</v>
      </c>
      <c r="D104">
        <v>-1.0619710018308299</v>
      </c>
      <c r="E104">
        <v>-0.69087451352826101</v>
      </c>
      <c r="F104">
        <v>-0.99403084224074301</v>
      </c>
    </row>
    <row r="105" spans="1:6" x14ac:dyDescent="0.2">
      <c r="A105">
        <v>-1.5252831072397901</v>
      </c>
      <c r="B105">
        <v>-0.75593130356395299</v>
      </c>
      <c r="C105">
        <v>-1.4387436348696301</v>
      </c>
      <c r="D105">
        <v>-0.83015605634887801</v>
      </c>
      <c r="E105">
        <v>0.35217943054712703</v>
      </c>
      <c r="F105">
        <v>-0.800068579663335</v>
      </c>
    </row>
    <row r="106" spans="1:6" x14ac:dyDescent="0.2">
      <c r="A106">
        <v>-1.5031226024776601</v>
      </c>
      <c r="B106">
        <v>-0.87012425751990896</v>
      </c>
      <c r="C106">
        <v>-1.2429708824013399</v>
      </c>
      <c r="D106">
        <v>-1.5642367170417399</v>
      </c>
      <c r="E106">
        <v>-0.89948530234333901</v>
      </c>
      <c r="F106">
        <v>-0.98848906330996</v>
      </c>
    </row>
    <row r="107" spans="1:6" x14ac:dyDescent="0.2">
      <c r="A107">
        <v>1.37774301659915</v>
      </c>
      <c r="B107">
        <v>3.2408220848945102</v>
      </c>
      <c r="C107">
        <v>2.0460113590659401</v>
      </c>
      <c r="D107">
        <v>2.1834382349165402</v>
      </c>
      <c r="E107">
        <v>-0.27365293589810602</v>
      </c>
      <c r="F107">
        <v>1.55518746591949</v>
      </c>
    </row>
    <row r="108" spans="1:6" x14ac:dyDescent="0.2">
      <c r="A108">
        <v>-0.10701080246351399</v>
      </c>
      <c r="B108">
        <v>-0.64173834960799703</v>
      </c>
      <c r="C108">
        <v>-0.26410712005988402</v>
      </c>
      <c r="D108">
        <v>-0.59834111086692199</v>
      </c>
      <c r="E108">
        <v>1.60384416343759</v>
      </c>
      <c r="F108">
        <v>-0.23480712872345799</v>
      </c>
    </row>
    <row r="109" spans="1:6" x14ac:dyDescent="0.2">
      <c r="A109">
        <v>-0.10701080246351399</v>
      </c>
      <c r="B109">
        <v>-1.0985101654318199</v>
      </c>
      <c r="C109">
        <v>0.40152023833230299</v>
      </c>
      <c r="D109">
        <v>-0.75288440785489297</v>
      </c>
      <c r="E109">
        <v>-1.1080960911584199</v>
      </c>
      <c r="F109">
        <v>-0.96632194758682799</v>
      </c>
    </row>
    <row r="110" spans="1:6" x14ac:dyDescent="0.2">
      <c r="A110">
        <v>0.80156989278378699</v>
      </c>
      <c r="B110">
        <v>2.4414714072028199</v>
      </c>
      <c r="C110">
        <v>1.18461124820546</v>
      </c>
      <c r="D110">
        <v>2.5311606531394699</v>
      </c>
      <c r="E110">
        <v>-1.1080960911584199</v>
      </c>
      <c r="F110">
        <v>-0.82223569538646701</v>
      </c>
    </row>
    <row r="111" spans="1:6" x14ac:dyDescent="0.2">
      <c r="A111">
        <v>2.04255815946303</v>
      </c>
      <c r="B111">
        <v>1.98469959137899</v>
      </c>
      <c r="C111">
        <v>2.0851659095596</v>
      </c>
      <c r="D111">
        <v>2.68570395012744</v>
      </c>
      <c r="E111">
        <v>-0.69087451352826101</v>
      </c>
      <c r="F111">
        <v>-0.63381521173984201</v>
      </c>
    </row>
    <row r="112" spans="1:6" x14ac:dyDescent="0.2">
      <c r="A112">
        <v>-1.1707150310457199</v>
      </c>
      <c r="B112">
        <v>-0.29915948774012802</v>
      </c>
      <c r="C112">
        <v>-0.81227082697109698</v>
      </c>
      <c r="D112">
        <v>-1.1006068260778299</v>
      </c>
      <c r="E112">
        <v>0.97801179699235996</v>
      </c>
      <c r="F112">
        <v>1.69373193918906</v>
      </c>
    </row>
    <row r="113" spans="1:6" x14ac:dyDescent="0.2">
      <c r="A113">
        <v>0.55780434040036497</v>
      </c>
      <c r="B113">
        <v>-0.18496653378417199</v>
      </c>
      <c r="C113">
        <v>-0.26410712005988402</v>
      </c>
      <c r="D113">
        <v>0.79254856202480894</v>
      </c>
      <c r="E113">
        <v>2.0210657410677499</v>
      </c>
      <c r="F113">
        <v>0.52626310553356404</v>
      </c>
    </row>
    <row r="114" spans="1:6" x14ac:dyDescent="0.2">
      <c r="A114">
        <v>0.53564383563823503</v>
      </c>
      <c r="B114">
        <v>1.07115595973134</v>
      </c>
      <c r="C114">
        <v>0.24490203635767099</v>
      </c>
      <c r="D114">
        <v>0.86982021051879399</v>
      </c>
      <c r="E114">
        <v>-0.27365293589810602</v>
      </c>
      <c r="F114">
        <v>1.0471903250271799</v>
      </c>
    </row>
    <row r="115" spans="1:6" x14ac:dyDescent="0.2">
      <c r="A115">
        <v>-1.5252831072397901</v>
      </c>
      <c r="B115">
        <v>-0.41335244169608398</v>
      </c>
      <c r="C115">
        <v>-1.4387436348696301</v>
      </c>
      <c r="D115">
        <v>-0.79152023210188505</v>
      </c>
      <c r="E115">
        <v>1.3952333746225201</v>
      </c>
      <c r="F115">
        <v>-0.57839742243201098</v>
      </c>
    </row>
    <row r="116" spans="1:6" x14ac:dyDescent="0.2">
      <c r="A116">
        <v>1.66582957850683</v>
      </c>
      <c r="B116">
        <v>-0.18496653378417199</v>
      </c>
      <c r="C116">
        <v>0.98883849573717397</v>
      </c>
      <c r="D116">
        <v>0.86982021051879399</v>
      </c>
      <c r="E116">
        <v>-0.48226372471318302</v>
      </c>
      <c r="F116">
        <v>0.52995836372461103</v>
      </c>
    </row>
    <row r="117" spans="1:6" x14ac:dyDescent="0.2">
      <c r="A117">
        <v>0.62428585468675302</v>
      </c>
      <c r="B117">
        <v>-0.52754539565204095</v>
      </c>
      <c r="C117">
        <v>0.12743838487669701</v>
      </c>
      <c r="D117">
        <v>-0.52106946237293705</v>
      </c>
      <c r="E117">
        <v>0.76940100817728296</v>
      </c>
      <c r="F117">
        <v>0.69621173164810402</v>
      </c>
    </row>
    <row r="118" spans="1:6" x14ac:dyDescent="0.2">
      <c r="A118">
        <v>-0.83830745961378095</v>
      </c>
      <c r="B118">
        <v>0.15761232808369599</v>
      </c>
      <c r="C118">
        <v>-0.89057992795841301</v>
      </c>
      <c r="D118">
        <v>-1.8803747162034298E-2</v>
      </c>
      <c r="E118">
        <v>1.60384416343759</v>
      </c>
      <c r="F118">
        <v>-0.37889338092381902</v>
      </c>
    </row>
    <row r="119" spans="1:6" x14ac:dyDescent="0.2">
      <c r="A119">
        <v>-1.48096209771553</v>
      </c>
      <c r="B119">
        <v>-0.87012425751990896</v>
      </c>
      <c r="C119">
        <v>-1.12550723092036</v>
      </c>
      <c r="D119">
        <v>-1.1778784745718101</v>
      </c>
      <c r="E119">
        <v>-1.1080960911584199</v>
      </c>
      <c r="F119">
        <v>-0.977405505448394</v>
      </c>
    </row>
    <row r="120" spans="1:6" x14ac:dyDescent="0.2">
      <c r="A120">
        <v>-0.48373938341971201</v>
      </c>
      <c r="B120">
        <v>-0.87012425751990896</v>
      </c>
      <c r="C120">
        <v>-0.851425377464755</v>
      </c>
      <c r="D120">
        <v>-0.52106946237293705</v>
      </c>
      <c r="E120">
        <v>-1.31670687997349</v>
      </c>
      <c r="F120">
        <v>-0.94415483186369598</v>
      </c>
    </row>
    <row r="121" spans="1:6" x14ac:dyDescent="0.2">
      <c r="A121">
        <v>-0.28429484056054799</v>
      </c>
      <c r="B121">
        <v>-0.64173834960799703</v>
      </c>
      <c r="C121">
        <v>-0.26410712005988402</v>
      </c>
      <c r="D121">
        <v>-0.36652616538496702</v>
      </c>
      <c r="E121">
        <v>0.56079021936220497</v>
      </c>
      <c r="F121">
        <v>-0.96632194758682799</v>
      </c>
    </row>
    <row r="122" spans="1:6" x14ac:dyDescent="0.2">
      <c r="A122">
        <v>0.86805140707017503</v>
      </c>
      <c r="B122">
        <v>1.29954186764326</v>
      </c>
      <c r="C122">
        <v>0.12743838487669701</v>
      </c>
      <c r="D122">
        <v>1.41072174997669</v>
      </c>
      <c r="E122">
        <v>0.56079021936220497</v>
      </c>
      <c r="F122">
        <v>-0.57285564350122697</v>
      </c>
    </row>
    <row r="123" spans="1:6" x14ac:dyDescent="0.2">
      <c r="A123">
        <v>-0.12917130722564299</v>
      </c>
      <c r="B123">
        <v>-0.98431721147586504</v>
      </c>
      <c r="C123">
        <v>4.9129283889380801E-2</v>
      </c>
      <c r="D123">
        <v>-0.67561275936090703</v>
      </c>
      <c r="E123">
        <v>-0.48226372471318302</v>
      </c>
      <c r="F123">
        <v>-1.0106561790330899</v>
      </c>
    </row>
    <row r="124" spans="1:6" x14ac:dyDescent="0.2">
      <c r="A124">
        <v>-0.30645534532267799</v>
      </c>
      <c r="B124">
        <v>-0.75593130356395299</v>
      </c>
      <c r="C124">
        <v>-0.69480717549012205</v>
      </c>
      <c r="D124">
        <v>-0.75288440785489297</v>
      </c>
      <c r="E124">
        <v>1.18662258580744</v>
      </c>
      <c r="F124">
        <v>0.14203383856979299</v>
      </c>
    </row>
    <row r="125" spans="1:6" x14ac:dyDescent="0.2">
      <c r="A125">
        <v>1.2226194832642401</v>
      </c>
      <c r="B125">
        <v>1.7563136834670801</v>
      </c>
      <c r="C125">
        <v>1.10630214721815</v>
      </c>
      <c r="D125">
        <v>2.1448024106695498</v>
      </c>
      <c r="E125">
        <v>-0.89948530234333901</v>
      </c>
      <c r="F125">
        <v>-0.74465079035550397</v>
      </c>
    </row>
    <row r="126" spans="1:6" x14ac:dyDescent="0.2">
      <c r="A126">
        <v>1.46638503564767</v>
      </c>
      <c r="B126">
        <v>-0.52754539565204095</v>
      </c>
      <c r="C126">
        <v>0.47982933931962002</v>
      </c>
      <c r="D126">
        <v>1.0243635075067601</v>
      </c>
      <c r="E126">
        <v>-0.27365293589810602</v>
      </c>
      <c r="F126">
        <v>0.268386398191648</v>
      </c>
    </row>
    <row r="127" spans="1:6" x14ac:dyDescent="0.2">
      <c r="A127">
        <v>-1.5252831072397901</v>
      </c>
      <c r="B127">
        <v>-1.0985101654318199</v>
      </c>
      <c r="C127">
        <v>-1.63451638733792</v>
      </c>
      <c r="D127">
        <v>-1.6415083655357201</v>
      </c>
      <c r="E127">
        <v>-0.89948530234333901</v>
      </c>
      <c r="F127">
        <v>-1.0217397368946599</v>
      </c>
    </row>
    <row r="128" spans="1:6" x14ac:dyDescent="0.2">
      <c r="A128">
        <v>2.04255815946303</v>
      </c>
      <c r="B128">
        <v>0.95696300577538895</v>
      </c>
      <c r="C128">
        <v>1.6936204046230201</v>
      </c>
      <c r="D128">
        <v>2.2607098834105299</v>
      </c>
      <c r="E128">
        <v>1.18662258580744</v>
      </c>
      <c r="F128">
        <v>4.1598235633875396</v>
      </c>
    </row>
    <row r="129" spans="1:6" x14ac:dyDescent="0.2">
      <c r="A129">
        <v>-0.92694947866229804</v>
      </c>
      <c r="B129">
        <v>-0.75593130356395299</v>
      </c>
      <c r="C129">
        <v>-0.92973447845207102</v>
      </c>
      <c r="D129">
        <v>-0.98469935333684799</v>
      </c>
      <c r="E129">
        <v>1.3952333746225201</v>
      </c>
      <c r="F129">
        <v>-0.63381521173984201</v>
      </c>
    </row>
    <row r="130" spans="1:6" x14ac:dyDescent="0.2">
      <c r="A130">
        <v>-0.70534443104100497</v>
      </c>
      <c r="B130">
        <v>0.15761232808369599</v>
      </c>
      <c r="C130">
        <v>-0.77311627647743897</v>
      </c>
      <c r="D130">
        <v>0.328918671060899</v>
      </c>
      <c r="E130">
        <v>-0.89948530234333901</v>
      </c>
      <c r="F130">
        <v>-0.84440281110960003</v>
      </c>
    </row>
    <row r="131" spans="1:6" x14ac:dyDescent="0.2">
      <c r="A131">
        <v>1.08965645469147</v>
      </c>
      <c r="B131">
        <v>0.50019118995156397</v>
      </c>
      <c r="C131">
        <v>1.38038400067376</v>
      </c>
      <c r="D131">
        <v>1.0243635075067601</v>
      </c>
      <c r="E131">
        <v>-0.69087451352826101</v>
      </c>
      <c r="F131">
        <v>0.23070230146232301</v>
      </c>
    </row>
    <row r="132" spans="1:6" x14ac:dyDescent="0.2">
      <c r="A132">
        <v>-0.35077635484693598</v>
      </c>
      <c r="B132">
        <v>-7.0773579828216096E-2</v>
      </c>
      <c r="C132">
        <v>-2.9179817097935299E-2</v>
      </c>
      <c r="D132">
        <v>-9.6075395656019399E-2</v>
      </c>
      <c r="E132">
        <v>-0.27365293589810602</v>
      </c>
      <c r="F132">
        <v>-0.52297963312417906</v>
      </c>
    </row>
    <row r="133" spans="1:6" x14ac:dyDescent="0.2">
      <c r="A133">
        <v>-0.77182594532739301</v>
      </c>
      <c r="B133">
        <v>-0.75593130356395299</v>
      </c>
      <c r="C133">
        <v>-1.2429708824013399</v>
      </c>
      <c r="D133">
        <v>-0.55970528661993002</v>
      </c>
      <c r="E133">
        <v>-0.69087451352826101</v>
      </c>
      <c r="F133">
        <v>-0.94415483186369598</v>
      </c>
    </row>
    <row r="134" spans="1:6" x14ac:dyDescent="0.2">
      <c r="A134">
        <v>-0.37293685960906497</v>
      </c>
      <c r="B134">
        <v>4.3419374127740003E-2</v>
      </c>
      <c r="C134">
        <v>-0.53818897351549</v>
      </c>
      <c r="D134">
        <v>-0.36652616538496702</v>
      </c>
      <c r="E134">
        <v>1.18662258580744</v>
      </c>
      <c r="F134">
        <v>0.64079394234027298</v>
      </c>
    </row>
    <row r="135" spans="1:6" x14ac:dyDescent="0.2">
      <c r="A135">
        <v>-0.15133181198777301</v>
      </c>
      <c r="B135">
        <v>-0.98431721147586504</v>
      </c>
      <c r="C135">
        <v>-0.34241622104719999</v>
      </c>
      <c r="D135">
        <v>-0.32789034113797499</v>
      </c>
      <c r="E135">
        <v>-0.89948530234333901</v>
      </c>
      <c r="F135">
        <v>-0.75573434821706997</v>
      </c>
    </row>
    <row r="136" spans="1:6" x14ac:dyDescent="0.2">
      <c r="A136">
        <v>-1.3479990691427499</v>
      </c>
      <c r="B136">
        <v>-0.75593130356395299</v>
      </c>
      <c r="C136">
        <v>-1.3604345338823101</v>
      </c>
      <c r="D136">
        <v>-0.90742770484286295</v>
      </c>
      <c r="E136">
        <v>0.76940100817728296</v>
      </c>
      <c r="F136">
        <v>-0.19047289727719299</v>
      </c>
    </row>
    <row r="137" spans="1:6" x14ac:dyDescent="0.2">
      <c r="A137">
        <v>1.6879900832689601</v>
      </c>
      <c r="B137">
        <v>0.95696300577538895</v>
      </c>
      <c r="C137">
        <v>1.10630214721815</v>
      </c>
      <c r="D137">
        <v>1.06299933175376</v>
      </c>
      <c r="E137">
        <v>-0.48226372471318302</v>
      </c>
      <c r="F137">
        <v>0.208535185739191</v>
      </c>
    </row>
    <row r="138" spans="1:6" x14ac:dyDescent="0.2">
      <c r="A138">
        <v>-1.10423351675933</v>
      </c>
      <c r="B138">
        <v>-0.64173834960799703</v>
      </c>
      <c r="C138">
        <v>-0.81227082697109698</v>
      </c>
      <c r="D138">
        <v>-1.1006068260778299</v>
      </c>
      <c r="E138">
        <v>-1.31670687997349</v>
      </c>
      <c r="F138">
        <v>-0.99624755381305696</v>
      </c>
    </row>
    <row r="139" spans="1:6" x14ac:dyDescent="0.2">
      <c r="A139">
        <v>0.225396768968425</v>
      </c>
      <c r="B139">
        <v>1.8705066374230399</v>
      </c>
      <c r="C139">
        <v>1.1454566977118099</v>
      </c>
      <c r="D139">
        <v>1.3334501014827</v>
      </c>
      <c r="E139">
        <v>0.14356864173205</v>
      </c>
      <c r="F139">
        <v>1.69373193918906</v>
      </c>
    </row>
    <row r="140" spans="1:6" x14ac:dyDescent="0.2">
      <c r="A140">
        <v>0.93453292135656296</v>
      </c>
      <c r="B140">
        <v>1.07115595973134</v>
      </c>
      <c r="C140">
        <v>0.55813844030693605</v>
      </c>
      <c r="D140">
        <v>0.25164702256691401</v>
      </c>
      <c r="E140">
        <v>1.3952333746225201</v>
      </c>
      <c r="F140">
        <v>1.02871846749509</v>
      </c>
    </row>
    <row r="141" spans="1:6" x14ac:dyDescent="0.2">
      <c r="A141">
        <v>1.39990352136128</v>
      </c>
      <c r="B141">
        <v>0.15761232808369599</v>
      </c>
      <c r="C141">
        <v>1.53700220264839</v>
      </c>
      <c r="D141">
        <v>1.2175426287417299</v>
      </c>
      <c r="E141">
        <v>1.18662258580744</v>
      </c>
      <c r="F141">
        <v>2.8020877253456802</v>
      </c>
    </row>
    <row r="142" spans="1:6" x14ac:dyDescent="0.2">
      <c r="A142">
        <v>0.86805140707017503</v>
      </c>
      <c r="B142">
        <v>1.98469959137899</v>
      </c>
      <c r="C142">
        <v>1.18461124820546</v>
      </c>
      <c r="D142">
        <v>1.5266292227176701</v>
      </c>
      <c r="E142">
        <v>-0.27365293589810602</v>
      </c>
      <c r="F142">
        <v>1.7158990549122</v>
      </c>
    </row>
    <row r="143" spans="1:6" x14ac:dyDescent="0.2">
      <c r="A143">
        <v>-0.74966544056526296</v>
      </c>
      <c r="B143">
        <v>-0.87012425751990896</v>
      </c>
      <c r="C143">
        <v>-0.81227082697109698</v>
      </c>
      <c r="D143">
        <v>-0.86879188059586998</v>
      </c>
      <c r="E143">
        <v>0.56079021936220497</v>
      </c>
      <c r="F143">
        <v>0.44683167976286398</v>
      </c>
    </row>
    <row r="144" spans="1:6" x14ac:dyDescent="0.2">
      <c r="A144">
        <v>1.17829847373998</v>
      </c>
      <c r="B144">
        <v>1.64212072951113</v>
      </c>
      <c r="C144">
        <v>1.3412294501801001</v>
      </c>
      <c r="D144">
        <v>1.7198083439526299</v>
      </c>
      <c r="E144">
        <v>-0.69087451352826101</v>
      </c>
      <c r="F144">
        <v>0.19745162787762399</v>
      </c>
    </row>
    <row r="145" spans="1:6" x14ac:dyDescent="0.2">
      <c r="A145">
        <v>-0.37293685960906497</v>
      </c>
      <c r="B145">
        <v>4.3419374127740003E-2</v>
      </c>
      <c r="C145">
        <v>-0.14664346857891</v>
      </c>
      <c r="D145">
        <v>-0.32789034113797499</v>
      </c>
      <c r="E145">
        <v>-1.1080960911584199</v>
      </c>
      <c r="F145">
        <v>-0.91090415827899696</v>
      </c>
    </row>
    <row r="146" spans="1:6" x14ac:dyDescent="0.2">
      <c r="A146">
        <v>1.1339774642157301</v>
      </c>
      <c r="B146">
        <v>4.3419374127740003E-2</v>
      </c>
      <c r="C146">
        <v>0.67560209178790998</v>
      </c>
      <c r="D146">
        <v>1.06299933175376</v>
      </c>
      <c r="E146">
        <v>0.35217943054712703</v>
      </c>
      <c r="F146">
        <v>1.12477523005814</v>
      </c>
    </row>
    <row r="147" spans="1:6" x14ac:dyDescent="0.2">
      <c r="A147">
        <v>0.62428585468675302</v>
      </c>
      <c r="B147">
        <v>-0.75593130356395299</v>
      </c>
      <c r="C147">
        <v>0.28405658685132901</v>
      </c>
      <c r="D147">
        <v>-0.13471121990301199</v>
      </c>
      <c r="E147">
        <v>0.56079021936220497</v>
      </c>
      <c r="F147">
        <v>0.41912278510894901</v>
      </c>
    </row>
    <row r="148" spans="1:6" x14ac:dyDescent="0.2">
      <c r="A148">
        <v>-0.50589988818184095</v>
      </c>
      <c r="B148">
        <v>1.41373482159921</v>
      </c>
      <c r="C148">
        <v>0.55813844030693605</v>
      </c>
      <c r="D148">
        <v>0.48346196804886898</v>
      </c>
      <c r="E148">
        <v>-6.5042147083028107E-2</v>
      </c>
      <c r="F148">
        <v>-0.52297963312417906</v>
      </c>
    </row>
    <row r="149" spans="1:6" x14ac:dyDescent="0.2">
      <c r="A149">
        <v>2.5522497689920001</v>
      </c>
      <c r="B149">
        <v>2.2130854992909099</v>
      </c>
      <c r="C149">
        <v>2.5158659649898398</v>
      </c>
      <c r="D149">
        <v>1.7198083439526299</v>
      </c>
      <c r="E149">
        <v>-0.89948530234333901</v>
      </c>
      <c r="F149">
        <v>-0.37889338092381902</v>
      </c>
    </row>
    <row r="150" spans="1:6" x14ac:dyDescent="0.2">
      <c r="A150">
        <v>-0.97127048818655604</v>
      </c>
      <c r="B150">
        <v>-1.3268960733437301</v>
      </c>
      <c r="C150">
        <v>-0.92973447845207102</v>
      </c>
      <c r="D150">
        <v>-0.98469935333684799</v>
      </c>
      <c r="E150">
        <v>-1.31670687997349</v>
      </c>
      <c r="F150">
        <v>-1.0217397368946599</v>
      </c>
    </row>
    <row r="151" spans="1:6" x14ac:dyDescent="0.2">
      <c r="A151">
        <v>0.424841311827589</v>
      </c>
      <c r="B151">
        <v>0.95696300577538895</v>
      </c>
      <c r="C151">
        <v>0.44067478882596101</v>
      </c>
      <c r="D151">
        <v>0.52209779229586095</v>
      </c>
      <c r="E151">
        <v>-6.5042147083028107E-2</v>
      </c>
      <c r="F151">
        <v>1.4351148501819899</v>
      </c>
    </row>
    <row r="152" spans="1:6" x14ac:dyDescent="0.2">
      <c r="A152">
        <v>0.424841311827589</v>
      </c>
      <c r="B152">
        <v>-0.41335244169608398</v>
      </c>
      <c r="C152">
        <v>0.87137484425620004</v>
      </c>
      <c r="D152">
        <v>-0.25061869264399</v>
      </c>
      <c r="E152">
        <v>-1.1080960911584199</v>
      </c>
      <c r="F152">
        <v>-0.73910901142472096</v>
      </c>
    </row>
    <row r="153" spans="1:6" x14ac:dyDescent="0.2">
      <c r="A153">
        <v>-0.83830745961378095</v>
      </c>
      <c r="B153">
        <v>-0.41335244169608398</v>
      </c>
      <c r="C153">
        <v>-0.851425377464755</v>
      </c>
      <c r="D153">
        <v>-0.55970528661993002</v>
      </c>
      <c r="E153">
        <v>0.97801179699235996</v>
      </c>
      <c r="F153">
        <v>-0.68923300104767304</v>
      </c>
    </row>
    <row r="154" spans="1:6" x14ac:dyDescent="0.2">
      <c r="A154">
        <v>0.73508837849739905</v>
      </c>
      <c r="B154">
        <v>-7.0773579828216096E-2</v>
      </c>
      <c r="C154">
        <v>0.87137484425620004</v>
      </c>
      <c r="D154">
        <v>-0.17334704415000399</v>
      </c>
      <c r="E154">
        <v>1.60384416343759</v>
      </c>
      <c r="F154">
        <v>-2.4219529353699899E-2</v>
      </c>
    </row>
    <row r="155" spans="1:6" x14ac:dyDescent="0.2">
      <c r="A155">
        <v>-1.2371965453321101</v>
      </c>
      <c r="B155">
        <v>-0.29915948774012802</v>
      </c>
      <c r="C155">
        <v>-1.12550723092036</v>
      </c>
      <c r="D155">
        <v>-0.90742770484286295</v>
      </c>
      <c r="E155">
        <v>-0.27365293589810602</v>
      </c>
      <c r="F155">
        <v>-0.60056453815514299</v>
      </c>
    </row>
    <row r="156" spans="1:6" x14ac:dyDescent="0.2">
      <c r="A156">
        <v>0.91237241659443302</v>
      </c>
      <c r="B156">
        <v>1.07115595973134</v>
      </c>
      <c r="C156">
        <v>1.3412294501801001</v>
      </c>
      <c r="D156">
        <v>1.3334501014827</v>
      </c>
      <c r="E156">
        <v>-6.5042147083028107E-2</v>
      </c>
      <c r="F156">
        <v>0.55766725837852604</v>
      </c>
    </row>
    <row r="157" spans="1:6" x14ac:dyDescent="0.2">
      <c r="A157">
        <v>-0.52806039294397</v>
      </c>
      <c r="B157">
        <v>1.1853489136873001</v>
      </c>
      <c r="C157">
        <v>-6.8334367591593406E-2</v>
      </c>
      <c r="D157">
        <v>0.40619031955488399</v>
      </c>
      <c r="E157">
        <v>0.56079021936220497</v>
      </c>
      <c r="F157">
        <v>0.58537615303244195</v>
      </c>
    </row>
    <row r="158" spans="1:6" x14ac:dyDescent="0.2">
      <c r="A158">
        <v>0.44700181658971799</v>
      </c>
      <c r="B158">
        <v>1.8705066374230399</v>
      </c>
      <c r="C158">
        <v>0.47982933931962002</v>
      </c>
      <c r="D158">
        <v>1.64253669545865</v>
      </c>
      <c r="E158">
        <v>1.18662258580744</v>
      </c>
      <c r="F158">
        <v>0.114324943915878</v>
      </c>
    </row>
    <row r="159" spans="1:6" x14ac:dyDescent="0.2">
      <c r="A159">
        <v>-0.35077635484693598</v>
      </c>
      <c r="B159">
        <v>0.72857709786347702</v>
      </c>
      <c r="C159">
        <v>-0.49903442302183199</v>
      </c>
      <c r="D159">
        <v>0.328918671060899</v>
      </c>
      <c r="E159">
        <v>-0.89948530234333901</v>
      </c>
      <c r="F159">
        <v>-0.86656992683273204</v>
      </c>
    </row>
    <row r="160" spans="1:6" x14ac:dyDescent="0.2">
      <c r="A160">
        <v>1.08965645469147</v>
      </c>
      <c r="B160">
        <v>0.95696300577538895</v>
      </c>
      <c r="C160">
        <v>1.5761567531420499</v>
      </c>
      <c r="D160">
        <v>0.83118438627180202</v>
      </c>
      <c r="E160">
        <v>0.56079021936220497</v>
      </c>
      <c r="F160">
        <v>-0.25697424444659001</v>
      </c>
    </row>
    <row r="161" spans="1:6" x14ac:dyDescent="0.2">
      <c r="A161">
        <v>-1.19287553580785</v>
      </c>
      <c r="B161">
        <v>-1.0985101654318199</v>
      </c>
      <c r="C161">
        <v>-1.0863526804267001</v>
      </c>
      <c r="D161">
        <v>-1.02333517758384</v>
      </c>
      <c r="E161">
        <v>-1.31670687997349</v>
      </c>
      <c r="F161">
        <v>-1.0217397368946599</v>
      </c>
    </row>
    <row r="162" spans="1:6" x14ac:dyDescent="0.2">
      <c r="A162">
        <v>1.57718755945831</v>
      </c>
      <c r="B162">
        <v>-0.87012425751990896</v>
      </c>
      <c r="C162">
        <v>1.53700220264839</v>
      </c>
      <c r="D162">
        <v>0.328918671060899</v>
      </c>
      <c r="E162">
        <v>-0.48226372471318302</v>
      </c>
      <c r="F162">
        <v>8.6616049261962202E-2</v>
      </c>
    </row>
    <row r="163" spans="1:6" x14ac:dyDescent="0.2">
      <c r="A163">
        <v>0.51348333087610598</v>
      </c>
      <c r="B163">
        <v>0.84277005181943299</v>
      </c>
      <c r="C163">
        <v>0.87137484425620004</v>
      </c>
      <c r="D163">
        <v>0.135739549825936</v>
      </c>
      <c r="E163">
        <v>-6.5042147083028107E-2</v>
      </c>
      <c r="F163">
        <v>0.54104192158617703</v>
      </c>
    </row>
    <row r="164" spans="1:6" x14ac:dyDescent="0.2">
      <c r="A164">
        <v>-1.1485545262835899</v>
      </c>
      <c r="B164">
        <v>4.3419374127740003E-2</v>
      </c>
      <c r="C164">
        <v>-1.28212543289499</v>
      </c>
      <c r="D164">
        <v>-0.59834111086692199</v>
      </c>
      <c r="E164">
        <v>-1.1080960911584199</v>
      </c>
      <c r="F164">
        <v>-0.98848906330996</v>
      </c>
    </row>
    <row r="165" spans="1:6" x14ac:dyDescent="0.2">
      <c r="A165">
        <v>-0.32861585008480698</v>
      </c>
      <c r="B165">
        <v>-0.41335244169608398</v>
      </c>
      <c r="C165">
        <v>-0.30326167055354197</v>
      </c>
      <c r="D165">
        <v>-0.83015605634887801</v>
      </c>
      <c r="E165">
        <v>-1.1080960911584199</v>
      </c>
      <c r="F165">
        <v>-0.85548636897116603</v>
      </c>
    </row>
    <row r="166" spans="1:6" x14ac:dyDescent="0.2">
      <c r="A166">
        <v>0.89021191183230397</v>
      </c>
      <c r="B166">
        <v>0.27180528203965199</v>
      </c>
      <c r="C166">
        <v>0.36236568783864498</v>
      </c>
      <c r="D166">
        <v>1.0243635075067601</v>
      </c>
      <c r="E166">
        <v>1.18662258580744</v>
      </c>
      <c r="F166">
        <v>0.36370499580111698</v>
      </c>
    </row>
    <row r="167" spans="1:6" x14ac:dyDescent="0.2">
      <c r="A167">
        <v>0.51348333087610598</v>
      </c>
      <c r="B167">
        <v>0.72857709786347702</v>
      </c>
      <c r="C167">
        <v>0.51898388981327803</v>
      </c>
      <c r="D167">
        <v>0.985727683259772</v>
      </c>
      <c r="E167">
        <v>-0.27365293589810602</v>
      </c>
      <c r="F167">
        <v>3.11982599541312E-2</v>
      </c>
    </row>
    <row r="168" spans="1:6" x14ac:dyDescent="0.2">
      <c r="A168">
        <v>-0.94910998342442698</v>
      </c>
      <c r="B168">
        <v>-0.41335244169608398</v>
      </c>
      <c r="C168">
        <v>-0.96888902894572904</v>
      </c>
      <c r="D168">
        <v>-0.59834111086692199</v>
      </c>
      <c r="E168">
        <v>0.35217943054712703</v>
      </c>
      <c r="F168">
        <v>0.25286941718545503</v>
      </c>
    </row>
    <row r="169" spans="1:6" x14ac:dyDescent="0.2">
      <c r="A169">
        <v>-1.19287553580785</v>
      </c>
      <c r="B169">
        <v>-0.98431721147586504</v>
      </c>
      <c r="C169">
        <v>-1.1646617814140201</v>
      </c>
      <c r="D169">
        <v>-1.44832924430076</v>
      </c>
      <c r="E169">
        <v>-1.31670687997349</v>
      </c>
      <c r="F169">
        <v>-1.0372567179008501</v>
      </c>
    </row>
    <row r="170" spans="1:6" x14ac:dyDescent="0.2">
      <c r="A170">
        <v>-0.81614695485165101</v>
      </c>
      <c r="B170">
        <v>-0.98431721147586504</v>
      </c>
      <c r="C170">
        <v>-1.4387436348696301</v>
      </c>
      <c r="D170">
        <v>-0.83015605634887801</v>
      </c>
      <c r="E170">
        <v>-0.89948530234333901</v>
      </c>
      <c r="F170">
        <v>-0.96632194758682799</v>
      </c>
    </row>
    <row r="171" spans="1:6" x14ac:dyDescent="0.2">
      <c r="A171">
        <v>-0.68318392627887503</v>
      </c>
      <c r="B171">
        <v>0.84277005181943299</v>
      </c>
      <c r="C171">
        <v>-0.30326167055354197</v>
      </c>
      <c r="D171">
        <v>5.8467901331950803E-2</v>
      </c>
      <c r="E171">
        <v>-0.27365293589810602</v>
      </c>
      <c r="F171">
        <v>0.29720364863172</v>
      </c>
    </row>
    <row r="172" spans="1:6" x14ac:dyDescent="0.2">
      <c r="A172">
        <v>0.26971777849268402</v>
      </c>
      <c r="B172">
        <v>1.8705066374230399</v>
      </c>
      <c r="C172">
        <v>0.63644754129425196</v>
      </c>
      <c r="D172">
        <v>0.75391273777781698</v>
      </c>
      <c r="E172">
        <v>-0.89948530234333901</v>
      </c>
      <c r="F172">
        <v>-0.800068579663335</v>
      </c>
    </row>
    <row r="173" spans="1:6" x14ac:dyDescent="0.2">
      <c r="A173">
        <v>-1.0599125072350699</v>
      </c>
      <c r="B173">
        <v>-0.41335244169608398</v>
      </c>
      <c r="C173">
        <v>-1.0471981299330499</v>
      </c>
      <c r="D173">
        <v>-0.7142485836079</v>
      </c>
      <c r="E173">
        <v>-0.89948530234333901</v>
      </c>
      <c r="F173">
        <v>-0.88430361941123803</v>
      </c>
    </row>
    <row r="174" spans="1:6" x14ac:dyDescent="0.2">
      <c r="A174">
        <v>-2.3673822882006998</v>
      </c>
      <c r="B174">
        <v>-1.3268960733437301</v>
      </c>
      <c r="C174">
        <v>-2.1435255437554699</v>
      </c>
      <c r="D174">
        <v>-1.98923078375865</v>
      </c>
      <c r="E174">
        <v>-1.1080960911584199</v>
      </c>
      <c r="F174">
        <v>3.5276905744457001</v>
      </c>
    </row>
    <row r="175" spans="1:6" x14ac:dyDescent="0.2">
      <c r="A175">
        <v>-0.30645534532267799</v>
      </c>
      <c r="B175">
        <v>-0.75593130356395299</v>
      </c>
      <c r="C175">
        <v>-0.73396172598378095</v>
      </c>
      <c r="D175">
        <v>-0.98469935333684799</v>
      </c>
      <c r="E175">
        <v>-6.5042147083028107E-2</v>
      </c>
      <c r="F175">
        <v>0.75162952095593505</v>
      </c>
    </row>
    <row r="176" spans="1:6" x14ac:dyDescent="0.2">
      <c r="A176">
        <v>-1.4366410881912699</v>
      </c>
      <c r="B176">
        <v>-0.18496653378417199</v>
      </c>
      <c r="C176">
        <v>-1.12550723092036</v>
      </c>
      <c r="D176">
        <v>-0.63697693511391495</v>
      </c>
      <c r="E176">
        <v>-0.89948530234333901</v>
      </c>
      <c r="F176">
        <v>-0.92198771614056296</v>
      </c>
    </row>
    <row r="177" spans="1:6" x14ac:dyDescent="0.2">
      <c r="A177">
        <v>-0.72750493580313402</v>
      </c>
      <c r="B177">
        <v>-0.64173834960799703</v>
      </c>
      <c r="C177">
        <v>-0.65565262499646404</v>
      </c>
      <c r="D177">
        <v>-1.1006068260778299</v>
      </c>
      <c r="E177">
        <v>-0.89948530234333901</v>
      </c>
      <c r="F177">
        <v>-0.87765348469429805</v>
      </c>
    </row>
    <row r="178" spans="1:6" x14ac:dyDescent="0.2">
      <c r="A178">
        <v>1.3112615023127601</v>
      </c>
      <c r="B178">
        <v>-0.41335244169608398</v>
      </c>
      <c r="C178">
        <v>1.3412294501801001</v>
      </c>
      <c r="D178">
        <v>-9.6075395656019399E-2</v>
      </c>
      <c r="E178">
        <v>-0.69087451352826101</v>
      </c>
      <c r="F178">
        <v>-0.72248367463237095</v>
      </c>
    </row>
    <row r="179" spans="1:6" x14ac:dyDescent="0.2">
      <c r="A179">
        <v>4.8112730871391E-2</v>
      </c>
      <c r="B179">
        <v>-0.29915948774012802</v>
      </c>
      <c r="C179">
        <v>0.24490203635767099</v>
      </c>
      <c r="D179">
        <v>-0.25061869264399</v>
      </c>
      <c r="E179">
        <v>-6.5042147083028107E-2</v>
      </c>
      <c r="F179">
        <v>0.58537615303244195</v>
      </c>
    </row>
    <row r="180" spans="1:6" x14ac:dyDescent="0.2">
      <c r="A180">
        <v>-0.70534443104100497</v>
      </c>
      <c r="B180">
        <v>-0.52754539565204095</v>
      </c>
      <c r="C180">
        <v>-0.81227082697109698</v>
      </c>
      <c r="D180">
        <v>-0.55970528661993002</v>
      </c>
      <c r="E180">
        <v>-0.69087451352826101</v>
      </c>
      <c r="F180">
        <v>-0.65598232746297402</v>
      </c>
    </row>
    <row r="181" spans="1:6" x14ac:dyDescent="0.2">
      <c r="A181">
        <v>-0.32861585008480698</v>
      </c>
      <c r="B181">
        <v>-0.29915948774012802</v>
      </c>
      <c r="C181">
        <v>-0.45987987252817403</v>
      </c>
      <c r="D181">
        <v>-0.36652616538496702</v>
      </c>
      <c r="E181">
        <v>-0.48226372471318302</v>
      </c>
      <c r="F181">
        <v>-0.41214405450851699</v>
      </c>
    </row>
    <row r="182" spans="1:6" x14ac:dyDescent="0.2">
      <c r="A182">
        <v>0.64644635944888196</v>
      </c>
      <c r="B182">
        <v>-1.0985101654318199</v>
      </c>
      <c r="C182">
        <v>0.12743838487669701</v>
      </c>
      <c r="D182">
        <v>-0.17334704415000399</v>
      </c>
      <c r="E182">
        <v>-1.1080960911584199</v>
      </c>
      <c r="F182">
        <v>-0.800068579663335</v>
      </c>
    </row>
    <row r="183" spans="1:6" x14ac:dyDescent="0.2">
      <c r="A183">
        <v>0.97885393088082095</v>
      </c>
      <c r="B183">
        <v>0.72857709786347702</v>
      </c>
      <c r="C183">
        <v>1.9677022580786301</v>
      </c>
      <c r="D183">
        <v>-9.6075395656019399E-2</v>
      </c>
      <c r="E183">
        <v>-1.1080960911584199</v>
      </c>
      <c r="F183">
        <v>-0.74465079035550397</v>
      </c>
    </row>
    <row r="184" spans="1:6" x14ac:dyDescent="0.2">
      <c r="A184">
        <v>0.80156989278378699</v>
      </c>
      <c r="B184">
        <v>-1.3268960733437301</v>
      </c>
      <c r="C184">
        <v>0.47982933931962002</v>
      </c>
      <c r="D184">
        <v>9.7103725578943298E-2</v>
      </c>
      <c r="E184">
        <v>0.35217943054712703</v>
      </c>
      <c r="F184">
        <v>3.1124273454695399</v>
      </c>
    </row>
    <row r="185" spans="1:6" x14ac:dyDescent="0.2">
      <c r="A185">
        <v>-0.61670241199248799</v>
      </c>
      <c r="B185">
        <v>0.38599823599560801</v>
      </c>
      <c r="C185">
        <v>-0.381570771540858</v>
      </c>
      <c r="D185">
        <v>-0.13471121990301199</v>
      </c>
      <c r="E185">
        <v>-6.5042147083028107E-2</v>
      </c>
      <c r="F185">
        <v>0.36370499580111698</v>
      </c>
    </row>
    <row r="186" spans="1:6" x14ac:dyDescent="0.2">
      <c r="A186">
        <v>1.2226194832642401</v>
      </c>
      <c r="B186">
        <v>4.3419374127740003E-2</v>
      </c>
      <c r="C186">
        <v>1.30207489968644</v>
      </c>
      <c r="D186">
        <v>-5.74395714090268E-2</v>
      </c>
      <c r="E186">
        <v>-0.69087451352826101</v>
      </c>
      <c r="F186">
        <v>0.47454057441677999</v>
      </c>
    </row>
    <row r="187" spans="1:6" x14ac:dyDescent="0.2">
      <c r="A187">
        <v>-0.55022089770610005</v>
      </c>
      <c r="B187">
        <v>-0.29915948774012802</v>
      </c>
      <c r="C187">
        <v>-0.45987987252817403</v>
      </c>
      <c r="D187">
        <v>-0.40516198963195998</v>
      </c>
      <c r="E187">
        <v>1.3952333746225201</v>
      </c>
      <c r="F187">
        <v>-0.19047289727719299</v>
      </c>
    </row>
    <row r="188" spans="1:6" x14ac:dyDescent="0.2">
      <c r="A188">
        <v>0.60212534992462297</v>
      </c>
      <c r="B188">
        <v>2.0988925453349498</v>
      </c>
      <c r="C188">
        <v>1.0671475967244901</v>
      </c>
      <c r="D188">
        <v>1.41072174997669</v>
      </c>
      <c r="E188">
        <v>-1.31670687997349</v>
      </c>
      <c r="F188">
        <v>-0.80671871438027398</v>
      </c>
    </row>
    <row r="189" spans="1:6" x14ac:dyDescent="0.2">
      <c r="A189">
        <v>0.33619929277907201</v>
      </c>
      <c r="B189">
        <v>-0.29915948774012802</v>
      </c>
      <c r="C189">
        <v>0.28405658685132901</v>
      </c>
      <c r="D189">
        <v>0.135739549825936</v>
      </c>
      <c r="E189">
        <v>0.35217943054712703</v>
      </c>
      <c r="F189">
        <v>1.6050634762965299</v>
      </c>
    </row>
    <row r="190" spans="1:6" x14ac:dyDescent="0.2">
      <c r="A190">
        <v>-1.2371965453321101</v>
      </c>
      <c r="B190">
        <v>-1.3268960733437301</v>
      </c>
      <c r="C190">
        <v>-1.5562072863506</v>
      </c>
      <c r="D190">
        <v>-1.02333517758384</v>
      </c>
      <c r="E190">
        <v>3.4813412627732898</v>
      </c>
      <c r="F190">
        <v>0.47454057441677999</v>
      </c>
    </row>
    <row r="191" spans="1:6" x14ac:dyDescent="0.2">
      <c r="A191">
        <v>-1.1485545262835899</v>
      </c>
      <c r="B191">
        <v>-0.64173834960799703</v>
      </c>
      <c r="C191">
        <v>-0.53818897351549</v>
      </c>
      <c r="D191">
        <v>-1.2551501230658</v>
      </c>
      <c r="E191">
        <v>-0.48226372471318302</v>
      </c>
      <c r="F191">
        <v>-0.76681790607863598</v>
      </c>
    </row>
    <row r="192" spans="1:6" x14ac:dyDescent="0.2">
      <c r="A192">
        <v>1.0231749404050801</v>
      </c>
      <c r="B192">
        <v>-0.64173834960799703</v>
      </c>
      <c r="C192">
        <v>0.24490203635767099</v>
      </c>
      <c r="D192">
        <v>-0.13471121990301199</v>
      </c>
      <c r="E192">
        <v>-0.27365293589810602</v>
      </c>
      <c r="F192">
        <v>9.7699607123528404E-2</v>
      </c>
    </row>
    <row r="193" spans="1:6" x14ac:dyDescent="0.2">
      <c r="A193">
        <v>-0.79398645008952196</v>
      </c>
      <c r="B193">
        <v>-1.3268960733437301</v>
      </c>
      <c r="C193">
        <v>-0.851425377464755</v>
      </c>
      <c r="D193">
        <v>-0.79152023210188505</v>
      </c>
      <c r="E193">
        <v>-0.48226372471318302</v>
      </c>
      <c r="F193">
        <v>-0.89982060041743095</v>
      </c>
    </row>
    <row r="194" spans="1:6" x14ac:dyDescent="0.2">
      <c r="A194">
        <v>-0.68318392627887503</v>
      </c>
      <c r="B194">
        <v>-0.75593130356395299</v>
      </c>
      <c r="C194">
        <v>-0.77311627647743897</v>
      </c>
      <c r="D194">
        <v>-0.86879188059586998</v>
      </c>
      <c r="E194">
        <v>0.97801179699235996</v>
      </c>
      <c r="F194">
        <v>-0.19047289727719299</v>
      </c>
    </row>
    <row r="195" spans="1:6" x14ac:dyDescent="0.2">
      <c r="A195">
        <v>-0.26213433579841899</v>
      </c>
      <c r="B195">
        <v>-0.52754539565204095</v>
      </c>
      <c r="C195">
        <v>-0.18579801907256799</v>
      </c>
      <c r="D195">
        <v>-0.25061869264399</v>
      </c>
      <c r="E195">
        <v>-0.48226372471318302</v>
      </c>
      <c r="F195">
        <v>-0.52297963312417906</v>
      </c>
    </row>
    <row r="196" spans="1:6" x14ac:dyDescent="0.2">
      <c r="A196">
        <v>-1.1485545262835899</v>
      </c>
      <c r="B196">
        <v>-0.87012425751990896</v>
      </c>
      <c r="C196">
        <v>-1.28212543289499</v>
      </c>
      <c r="D196">
        <v>-1.29378594731279</v>
      </c>
      <c r="E196">
        <v>0.97801179699235996</v>
      </c>
      <c r="F196">
        <v>-0.63381521173984201</v>
      </c>
    </row>
    <row r="197" spans="1:6" x14ac:dyDescent="0.2">
      <c r="A197">
        <v>-0.83830745961378095</v>
      </c>
      <c r="B197">
        <v>0.15761232808369599</v>
      </c>
      <c r="C197">
        <v>-0.49903442302183199</v>
      </c>
      <c r="D197">
        <v>-0.59834111086692199</v>
      </c>
      <c r="E197">
        <v>1.8124549522526701</v>
      </c>
      <c r="F197">
        <v>1.1395540461107501</v>
      </c>
    </row>
    <row r="198" spans="1:6" x14ac:dyDescent="0.2">
      <c r="A198">
        <v>3.79172134713246E-3</v>
      </c>
      <c r="B198">
        <v>2.4414714072028199</v>
      </c>
      <c r="C198">
        <v>0.79306574326888402</v>
      </c>
      <c r="D198">
        <v>1.3334501014827</v>
      </c>
      <c r="E198">
        <v>-0.89948530234333901</v>
      </c>
      <c r="F198">
        <v>-0.71140011677080495</v>
      </c>
    </row>
    <row r="199" spans="1:6" x14ac:dyDescent="0.2">
      <c r="A199">
        <v>-0.88262846913803905</v>
      </c>
      <c r="B199">
        <v>0.15761232808369599</v>
      </c>
      <c r="C199">
        <v>-0.49903442302183199</v>
      </c>
      <c r="D199">
        <v>-0.86879188059586998</v>
      </c>
      <c r="E199">
        <v>2.22967652988283</v>
      </c>
      <c r="F199">
        <v>-0.30130847589285498</v>
      </c>
    </row>
    <row r="200" spans="1:6" x14ac:dyDescent="0.2">
      <c r="A200">
        <v>4.8112730871391E-2</v>
      </c>
      <c r="B200">
        <v>-0.29915948774012802</v>
      </c>
      <c r="C200">
        <v>-0.381570771540858</v>
      </c>
      <c r="D200">
        <v>-9.6075395656019399E-2</v>
      </c>
      <c r="E200">
        <v>0.35217943054712703</v>
      </c>
      <c r="F200">
        <v>5.3365375677263599E-2</v>
      </c>
    </row>
    <row r="201" spans="1:6" x14ac:dyDescent="0.2">
      <c r="A201">
        <v>1.1561379689778599</v>
      </c>
      <c r="B201">
        <v>1.8705066374230399</v>
      </c>
      <c r="C201">
        <v>2.9465660204200801</v>
      </c>
      <c r="D201">
        <v>0.86982021051879399</v>
      </c>
      <c r="E201">
        <v>0.14356864173205</v>
      </c>
      <c r="F201">
        <v>2.51391522094496</v>
      </c>
    </row>
    <row r="202" spans="1:6" x14ac:dyDescent="0.2">
      <c r="A202">
        <v>-0.15133181198777301</v>
      </c>
      <c r="B202">
        <v>0.72857709786347702</v>
      </c>
      <c r="C202">
        <v>0.40152023833230299</v>
      </c>
      <c r="D202">
        <v>0.25164702256691401</v>
      </c>
      <c r="E202">
        <v>2.64689810751298</v>
      </c>
      <c r="F202">
        <v>-0.107346213315446</v>
      </c>
    </row>
    <row r="203" spans="1:6" x14ac:dyDescent="0.2">
      <c r="A203">
        <v>-0.57238140246822899</v>
      </c>
      <c r="B203">
        <v>1.07115595973134</v>
      </c>
      <c r="C203">
        <v>-0.49903442302183199</v>
      </c>
      <c r="D203">
        <v>0.328918671060899</v>
      </c>
      <c r="E203">
        <v>-0.48226372471318302</v>
      </c>
      <c r="F203">
        <v>-0.245890686585024</v>
      </c>
    </row>
    <row r="204" spans="1:6" x14ac:dyDescent="0.2">
      <c r="A204">
        <v>0.82373039754591604</v>
      </c>
      <c r="B204">
        <v>-7.0773579828216096E-2</v>
      </c>
      <c r="C204">
        <v>-0.14664346857891</v>
      </c>
      <c r="D204">
        <v>0.94709185901277904</v>
      </c>
      <c r="E204">
        <v>0.76940100817728296</v>
      </c>
      <c r="F204">
        <v>-7.9637318661530995E-2</v>
      </c>
    </row>
    <row r="205" spans="1:6" x14ac:dyDescent="0.2">
      <c r="A205">
        <v>-0.70534443104100497</v>
      </c>
      <c r="B205">
        <v>-0.75593130356395299</v>
      </c>
      <c r="C205">
        <v>-0.77311627647743897</v>
      </c>
      <c r="D205">
        <v>-0.48243363812594497</v>
      </c>
      <c r="E205">
        <v>-0.27365293589810602</v>
      </c>
      <c r="F205">
        <v>-0.63381521173984201</v>
      </c>
    </row>
    <row r="206" spans="1:6" x14ac:dyDescent="0.2">
      <c r="A206">
        <v>-1.2371965453321101</v>
      </c>
      <c r="B206">
        <v>-0.41335244169608398</v>
      </c>
      <c r="C206">
        <v>-0.92973447845207102</v>
      </c>
      <c r="D206">
        <v>-0.94606352908985503</v>
      </c>
      <c r="E206">
        <v>0.97801179699235996</v>
      </c>
      <c r="F206">
        <v>-0.30130847589285498</v>
      </c>
    </row>
    <row r="207" spans="1:6" x14ac:dyDescent="0.2">
      <c r="A207">
        <v>-0.39509736437119503</v>
      </c>
      <c r="B207">
        <v>-7.0773579828216096E-2</v>
      </c>
      <c r="C207">
        <v>-0.18579801907256799</v>
      </c>
      <c r="D207">
        <v>-0.25061869264399</v>
      </c>
      <c r="E207">
        <v>0.56079021936220497</v>
      </c>
      <c r="F207">
        <v>-0.19047289727719299</v>
      </c>
    </row>
    <row r="208" spans="1:6" x14ac:dyDescent="0.2">
      <c r="A208">
        <v>0.60212534992462297</v>
      </c>
      <c r="B208">
        <v>-0.41335244169608398</v>
      </c>
      <c r="C208">
        <v>-0.107488918085251</v>
      </c>
      <c r="D208">
        <v>-0.28925451689098203</v>
      </c>
      <c r="E208">
        <v>0.35217943054712703</v>
      </c>
      <c r="F208">
        <v>0.47454057441677999</v>
      </c>
    </row>
    <row r="209" spans="1:6" x14ac:dyDescent="0.2">
      <c r="A209">
        <v>-0.88262846913803905</v>
      </c>
      <c r="B209">
        <v>-1.0985101654318199</v>
      </c>
      <c r="C209">
        <v>-0.89057992795841301</v>
      </c>
      <c r="D209">
        <v>-1.1392426503248201</v>
      </c>
      <c r="E209">
        <v>-1.31670687997349</v>
      </c>
      <c r="F209">
        <v>-1.0328232947562299</v>
      </c>
    </row>
    <row r="210" spans="1:6" x14ac:dyDescent="0.2">
      <c r="A210">
        <v>0.247557273730555</v>
      </c>
      <c r="B210">
        <v>-0.41335244169608398</v>
      </c>
      <c r="C210">
        <v>8.8283834383038898E-2</v>
      </c>
      <c r="D210">
        <v>-0.7142485836079</v>
      </c>
      <c r="E210">
        <v>-6.5042147083028107E-2</v>
      </c>
      <c r="F210">
        <v>0.75162952095593505</v>
      </c>
    </row>
    <row r="211" spans="1:6" x14ac:dyDescent="0.2">
      <c r="A211">
        <v>-1.7912091643853401</v>
      </c>
      <c r="B211">
        <v>-0.98431721147586504</v>
      </c>
      <c r="C211">
        <v>-1.83028913980621</v>
      </c>
      <c r="D211">
        <v>-1.6028725412887299</v>
      </c>
      <c r="E211">
        <v>-0.69087451352826101</v>
      </c>
      <c r="F211">
        <v>-0.76681790607863598</v>
      </c>
    </row>
    <row r="212" spans="1:6" x14ac:dyDescent="0.2">
      <c r="A212">
        <v>-0.88262846913803905</v>
      </c>
      <c r="B212">
        <v>-0.75593130356395299</v>
      </c>
      <c r="C212">
        <v>-0.49903442302183199</v>
      </c>
      <c r="D212">
        <v>-0.36652616538496702</v>
      </c>
      <c r="E212">
        <v>-0.27365293589810602</v>
      </c>
      <c r="F212">
        <v>-0.76460119450632302</v>
      </c>
    </row>
    <row r="213" spans="1:6" x14ac:dyDescent="0.2">
      <c r="A213">
        <v>1.55502705469618</v>
      </c>
      <c r="B213">
        <v>0.27180528203965199</v>
      </c>
      <c r="C213">
        <v>0.51898388981327803</v>
      </c>
      <c r="D213">
        <v>0.94709185901277904</v>
      </c>
      <c r="E213">
        <v>-0.27365293589810602</v>
      </c>
      <c r="F213">
        <v>0.45237345869364698</v>
      </c>
    </row>
    <row r="214" spans="1:6" x14ac:dyDescent="0.2">
      <c r="A214">
        <v>-0.48373938341971201</v>
      </c>
      <c r="B214">
        <v>-1.21270311938778</v>
      </c>
      <c r="C214">
        <v>-0.65565262499646404</v>
      </c>
      <c r="D214">
        <v>-0.90742770484286295</v>
      </c>
      <c r="E214">
        <v>-0.69087451352826101</v>
      </c>
      <c r="F214">
        <v>-0.63381521173984201</v>
      </c>
    </row>
    <row r="215" spans="1:6" x14ac:dyDescent="0.2">
      <c r="A215">
        <v>-1.1263940215214601</v>
      </c>
      <c r="B215">
        <v>-0.41335244169608398</v>
      </c>
      <c r="C215">
        <v>-0.89057992795841301</v>
      </c>
      <c r="D215">
        <v>-1.02333517758384</v>
      </c>
      <c r="E215">
        <v>-0.89948530234333901</v>
      </c>
      <c r="F215">
        <v>-0.87765348469429805</v>
      </c>
    </row>
    <row r="216" spans="1:6" x14ac:dyDescent="0.2">
      <c r="A216">
        <v>-0.15133181198777301</v>
      </c>
      <c r="B216">
        <v>0.50019118995156397</v>
      </c>
      <c r="C216">
        <v>-0.18579801907256799</v>
      </c>
      <c r="D216">
        <v>0.135739549825936</v>
      </c>
      <c r="E216">
        <v>-1.31670687997349</v>
      </c>
      <c r="F216">
        <v>-0.97186372651761099</v>
      </c>
    </row>
    <row r="217" spans="1:6" x14ac:dyDescent="0.2">
      <c r="A217">
        <v>0.114594245157779</v>
      </c>
      <c r="B217">
        <v>0.95696300577538895</v>
      </c>
      <c r="C217">
        <v>0.16659293537035499</v>
      </c>
      <c r="D217">
        <v>0.21301119831992099</v>
      </c>
      <c r="E217">
        <v>0.97801179699235996</v>
      </c>
      <c r="F217">
        <v>0.45237345869364698</v>
      </c>
    </row>
    <row r="218" spans="1:6" x14ac:dyDescent="0.2">
      <c r="A218">
        <v>0.91237241659443302</v>
      </c>
      <c r="B218">
        <v>-0.52754539565204095</v>
      </c>
      <c r="C218">
        <v>0.71475664228156799</v>
      </c>
      <c r="D218">
        <v>-0.17334704415000399</v>
      </c>
      <c r="E218">
        <v>-1.31670687997349</v>
      </c>
      <c r="F218">
        <v>-0.87765348469429805</v>
      </c>
    </row>
    <row r="219" spans="1:6" x14ac:dyDescent="0.2">
      <c r="A219">
        <v>-0.99343099294868598</v>
      </c>
      <c r="B219">
        <v>-0.98431721147586504</v>
      </c>
      <c r="C219">
        <v>-1.1646617814140201</v>
      </c>
      <c r="D219">
        <v>-0.7142485836079</v>
      </c>
      <c r="E219">
        <v>0.56079021936220497</v>
      </c>
      <c r="F219">
        <v>-0.43061591204060401</v>
      </c>
    </row>
    <row r="220" spans="1:6" x14ac:dyDescent="0.2">
      <c r="A220">
        <v>1.2226194832642401</v>
      </c>
      <c r="B220">
        <v>-0.29915948774012802</v>
      </c>
      <c r="C220">
        <v>1.0671475967244901</v>
      </c>
      <c r="D220">
        <v>-0.21198286839699701</v>
      </c>
      <c r="E220">
        <v>1.18662258580744</v>
      </c>
      <c r="F220">
        <v>1.02871846749509</v>
      </c>
    </row>
    <row r="221" spans="1:6" x14ac:dyDescent="0.2">
      <c r="A221">
        <v>0.20323626420629601</v>
      </c>
      <c r="B221">
        <v>1.98469959137899</v>
      </c>
      <c r="C221">
        <v>-2.9179817097935299E-2</v>
      </c>
      <c r="D221">
        <v>1.41072174997669</v>
      </c>
      <c r="E221">
        <v>-0.27365293589810602</v>
      </c>
      <c r="F221">
        <v>-0.96632194758682799</v>
      </c>
    </row>
    <row r="222" spans="1:6" x14ac:dyDescent="0.2">
      <c r="A222">
        <v>-0.92694947866229804</v>
      </c>
      <c r="B222">
        <v>-0.75593130356395299</v>
      </c>
      <c r="C222">
        <v>-1.3604345338823101</v>
      </c>
      <c r="D222">
        <v>-0.90742770484286295</v>
      </c>
      <c r="E222">
        <v>-0.89948530234333901</v>
      </c>
      <c r="F222">
        <v>-0.98848906330996</v>
      </c>
    </row>
    <row r="223" spans="1:6" x14ac:dyDescent="0.2">
      <c r="A223">
        <v>0.71292787373527</v>
      </c>
      <c r="B223">
        <v>0.50019118995156397</v>
      </c>
      <c r="C223">
        <v>0.71475664228156799</v>
      </c>
      <c r="D223">
        <v>0.985727683259772</v>
      </c>
      <c r="E223">
        <v>-0.69087451352826101</v>
      </c>
      <c r="F223">
        <v>-0.74465079035550397</v>
      </c>
    </row>
    <row r="224" spans="1:6" x14ac:dyDescent="0.2">
      <c r="A224">
        <v>9.2433740395649597E-2</v>
      </c>
      <c r="B224">
        <v>0.72857709786347702</v>
      </c>
      <c r="C224">
        <v>-2.9179817097935299E-2</v>
      </c>
      <c r="D224">
        <v>9.7103725578943298E-2</v>
      </c>
      <c r="E224">
        <v>-1.1080960911584199</v>
      </c>
      <c r="F224">
        <v>-0.88873704255586405</v>
      </c>
    </row>
    <row r="225" spans="1:6" x14ac:dyDescent="0.2">
      <c r="A225">
        <v>0.82373039754591604</v>
      </c>
      <c r="B225">
        <v>0.61438414390752005</v>
      </c>
      <c r="C225">
        <v>0.44067478882596101</v>
      </c>
      <c r="D225">
        <v>0.63800526503683896</v>
      </c>
      <c r="E225">
        <v>-1.1080960911584199</v>
      </c>
      <c r="F225">
        <v>-0.84440281110960003</v>
      </c>
    </row>
    <row r="226" spans="1:6" x14ac:dyDescent="0.2">
      <c r="A226">
        <v>1.1339774642157301</v>
      </c>
      <c r="B226">
        <v>-0.98431721147586504</v>
      </c>
      <c r="C226">
        <v>1.0671475967244901</v>
      </c>
      <c r="D226">
        <v>-5.74395714090268E-2</v>
      </c>
      <c r="E226">
        <v>-0.27365293589810602</v>
      </c>
      <c r="F226">
        <v>-0.13505510796936199</v>
      </c>
    </row>
    <row r="227" spans="1:6" x14ac:dyDescent="0.2">
      <c r="A227">
        <v>0.75724888325952799</v>
      </c>
      <c r="B227">
        <v>1.07115595973134</v>
      </c>
      <c r="C227">
        <v>0.12743838487669701</v>
      </c>
      <c r="D227">
        <v>1.14027098024774</v>
      </c>
      <c r="E227">
        <v>2.22967652988283</v>
      </c>
      <c r="F227">
        <v>2.0262386750360499</v>
      </c>
    </row>
    <row r="228" spans="1:6" x14ac:dyDescent="0.2">
      <c r="A228">
        <v>-0.26213433579841899</v>
      </c>
      <c r="B228">
        <v>-1.3268960733437301</v>
      </c>
      <c r="C228">
        <v>-0.42072532203451601</v>
      </c>
      <c r="D228">
        <v>-0.59834111086692199</v>
      </c>
      <c r="E228">
        <v>-0.69087451352826101</v>
      </c>
      <c r="F228">
        <v>-0.85548636897116603</v>
      </c>
    </row>
    <row r="229" spans="1:6" x14ac:dyDescent="0.2">
      <c r="A229">
        <v>-0.10701080246351399</v>
      </c>
      <c r="B229">
        <v>-0.41335244169608398</v>
      </c>
      <c r="C229">
        <v>-6.8334367591593406E-2</v>
      </c>
      <c r="D229">
        <v>-0.7142485836079</v>
      </c>
      <c r="E229">
        <v>-1.1080960911584199</v>
      </c>
      <c r="F229">
        <v>-0.95523838972526198</v>
      </c>
    </row>
    <row r="230" spans="1:6" x14ac:dyDescent="0.2">
      <c r="A230">
        <v>0.31403878801694302</v>
      </c>
      <c r="B230">
        <v>-1.21270311938778</v>
      </c>
      <c r="C230">
        <v>0.47982933931962002</v>
      </c>
      <c r="D230">
        <v>-0.25061869264399</v>
      </c>
      <c r="E230">
        <v>-0.69087451352826101</v>
      </c>
      <c r="F230">
        <v>-0.41214405450851699</v>
      </c>
    </row>
    <row r="231" spans="1:6" x14ac:dyDescent="0.2">
      <c r="A231">
        <v>2.2641632070843198</v>
      </c>
      <c r="B231">
        <v>-0.64173834960799703</v>
      </c>
      <c r="C231">
        <v>1.4195385511674099</v>
      </c>
      <c r="D231">
        <v>0.174375374072928</v>
      </c>
      <c r="E231">
        <v>-0.27365293589810602</v>
      </c>
      <c r="F231">
        <v>-0.98848906330996</v>
      </c>
    </row>
    <row r="232" spans="1:6" x14ac:dyDescent="0.2">
      <c r="A232">
        <v>1.3555825118370199</v>
      </c>
      <c r="B232">
        <v>0.61438414390752005</v>
      </c>
      <c r="C232">
        <v>1.30207489968644</v>
      </c>
      <c r="D232">
        <v>0.83118438627180202</v>
      </c>
      <c r="E232">
        <v>0.14356864173205</v>
      </c>
      <c r="F232">
        <v>-1.31359714921337E-2</v>
      </c>
    </row>
    <row r="233" spans="1:6" x14ac:dyDescent="0.2">
      <c r="A233">
        <v>-0.70534443104100497</v>
      </c>
      <c r="B233">
        <v>-0.98431721147586504</v>
      </c>
      <c r="C233">
        <v>-0.49903442302183199</v>
      </c>
      <c r="D233">
        <v>-1.02333517758384</v>
      </c>
      <c r="E233">
        <v>0.14356864173205</v>
      </c>
      <c r="F233">
        <v>-0.43061591204060401</v>
      </c>
    </row>
    <row r="234" spans="1:6" x14ac:dyDescent="0.2">
      <c r="A234">
        <v>0.97885393088082095</v>
      </c>
      <c r="B234">
        <v>1.29954186764326</v>
      </c>
      <c r="C234">
        <v>0.55813844030693605</v>
      </c>
      <c r="D234">
        <v>0.90845603476578696</v>
      </c>
      <c r="E234">
        <v>-0.27365293589810602</v>
      </c>
      <c r="F234">
        <v>0.89571577315629602</v>
      </c>
    </row>
    <row r="235" spans="1:6" x14ac:dyDescent="0.2">
      <c r="A235">
        <v>2.3306447213707102</v>
      </c>
      <c r="B235">
        <v>-0.18496653378417199</v>
      </c>
      <c r="C235">
        <v>1.4195385511674099</v>
      </c>
      <c r="D235">
        <v>0.52209779229586095</v>
      </c>
      <c r="E235">
        <v>-0.69087451352826101</v>
      </c>
      <c r="F235">
        <v>-0.41214405450851699</v>
      </c>
    </row>
    <row r="236" spans="1:6" x14ac:dyDescent="0.2">
      <c r="A236">
        <v>-0.10701080246351399</v>
      </c>
      <c r="B236">
        <v>-0.98431721147586504</v>
      </c>
      <c r="C236">
        <v>-0.26410712005988402</v>
      </c>
      <c r="D236">
        <v>-0.90742770484286295</v>
      </c>
      <c r="E236">
        <v>0.14356864173205</v>
      </c>
      <c r="F236">
        <v>-0.46386658562530197</v>
      </c>
    </row>
    <row r="237" spans="1:6" x14ac:dyDescent="0.2">
      <c r="A237">
        <v>-0.83830745961378095</v>
      </c>
      <c r="B237">
        <v>-1.21270311938778</v>
      </c>
      <c r="C237">
        <v>-1.12550723092036</v>
      </c>
      <c r="D237">
        <v>-1.1006068260778299</v>
      </c>
      <c r="E237">
        <v>-0.69087451352826101</v>
      </c>
      <c r="F237">
        <v>-0.63381521173984201</v>
      </c>
    </row>
    <row r="238" spans="1:6" x14ac:dyDescent="0.2">
      <c r="A238">
        <v>2.2863237118464501</v>
      </c>
      <c r="B238">
        <v>0.27180528203965199</v>
      </c>
      <c r="C238">
        <v>2.0460113590659401</v>
      </c>
      <c r="D238">
        <v>0.29028284681390598</v>
      </c>
      <c r="E238">
        <v>-0.48226372471318302</v>
      </c>
      <c r="F238">
        <v>0.45237345869364698</v>
      </c>
    </row>
    <row r="239" spans="1:6" x14ac:dyDescent="0.2">
      <c r="A239">
        <v>-0.88262846913803905</v>
      </c>
      <c r="B239">
        <v>-0.41335244169608398</v>
      </c>
      <c r="C239">
        <v>-1.12550723092036</v>
      </c>
      <c r="D239">
        <v>-0.83015605634887801</v>
      </c>
      <c r="E239">
        <v>-6.5042147083028107E-2</v>
      </c>
      <c r="F239">
        <v>-0.245890686585024</v>
      </c>
    </row>
    <row r="240" spans="1:6" x14ac:dyDescent="0.2">
      <c r="A240">
        <v>0.73508837849739905</v>
      </c>
      <c r="B240">
        <v>-1.0985101654318199</v>
      </c>
      <c r="C240">
        <v>-0.26410712005988402</v>
      </c>
      <c r="D240">
        <v>0.36755449530789103</v>
      </c>
      <c r="E240">
        <v>0.14356864173205</v>
      </c>
      <c r="F240">
        <v>0.862465099571597</v>
      </c>
    </row>
    <row r="241" spans="1:6" x14ac:dyDescent="0.2">
      <c r="A241">
        <v>0.26971777849268402</v>
      </c>
      <c r="B241">
        <v>0.61438414390752005</v>
      </c>
      <c r="C241">
        <v>-6.8334367591593406E-2</v>
      </c>
      <c r="D241">
        <v>-0.28925451689098203</v>
      </c>
      <c r="E241">
        <v>-0.69087451352826101</v>
      </c>
      <c r="F241">
        <v>-0.77790146394020199</v>
      </c>
    </row>
    <row r="242" spans="1:6" x14ac:dyDescent="0.2">
      <c r="A242">
        <v>-2.3009007739143099</v>
      </c>
      <c r="B242">
        <v>-1.21270311938778</v>
      </c>
      <c r="C242">
        <v>-2.0652164427681501</v>
      </c>
      <c r="D242">
        <v>-1.8733233110176799</v>
      </c>
      <c r="E242">
        <v>-1.31670687997349</v>
      </c>
      <c r="F242">
        <v>0.851381541710031</v>
      </c>
    </row>
    <row r="243" spans="1:6" x14ac:dyDescent="0.2">
      <c r="A243">
        <v>-1.4366410881912699</v>
      </c>
      <c r="B243">
        <v>-1.0985101654318199</v>
      </c>
      <c r="C243">
        <v>-1.20381633190768</v>
      </c>
      <c r="D243">
        <v>-1.3324217715597799</v>
      </c>
      <c r="E243">
        <v>-6.5042147083028107E-2</v>
      </c>
      <c r="F243">
        <v>-0.55253504851783197</v>
      </c>
    </row>
    <row r="244" spans="1:6" x14ac:dyDescent="0.2">
      <c r="A244">
        <v>-1.3479990691427499</v>
      </c>
      <c r="B244">
        <v>-0.18496653378417199</v>
      </c>
      <c r="C244">
        <v>-1.3212799833886499</v>
      </c>
      <c r="D244">
        <v>-0.86879188059586998</v>
      </c>
      <c r="E244">
        <v>-0.27365293589810602</v>
      </c>
      <c r="F244">
        <v>-0.64489876960140802</v>
      </c>
    </row>
    <row r="245" spans="1:6" x14ac:dyDescent="0.2">
      <c r="A245">
        <v>-1.0377520024729401</v>
      </c>
      <c r="B245">
        <v>-0.87012425751990896</v>
      </c>
      <c r="C245">
        <v>-1.47789818536328</v>
      </c>
      <c r="D245">
        <v>-1.1392426503248201</v>
      </c>
      <c r="E245">
        <v>2.0210657410677499</v>
      </c>
      <c r="F245">
        <v>-0.66706588532454003</v>
      </c>
    </row>
    <row r="246" spans="1:6" x14ac:dyDescent="0.2">
      <c r="A246">
        <v>0.86805140707017503</v>
      </c>
      <c r="B246">
        <v>-0.18496653378417199</v>
      </c>
      <c r="C246">
        <v>4.9129283889380801E-2</v>
      </c>
      <c r="D246">
        <v>1.9832077084958301E-2</v>
      </c>
      <c r="E246">
        <v>-6.5042147083028107E-2</v>
      </c>
      <c r="F246">
        <v>1.36122520334208</v>
      </c>
    </row>
    <row r="247" spans="1:6" x14ac:dyDescent="0.2">
      <c r="A247">
        <v>0.66860686421101101</v>
      </c>
      <c r="B247">
        <v>-1.21270311938778</v>
      </c>
      <c r="C247">
        <v>4.9129283889380801E-2</v>
      </c>
      <c r="D247">
        <v>0.29028284681390598</v>
      </c>
      <c r="E247">
        <v>-0.89948530234333901</v>
      </c>
      <c r="F247">
        <v>-0.83331925324803302</v>
      </c>
    </row>
    <row r="248" spans="1:6" x14ac:dyDescent="0.2">
      <c r="A248">
        <v>0.114594245157779</v>
      </c>
      <c r="B248">
        <v>-0.75593130356395299</v>
      </c>
      <c r="C248">
        <v>0.83222029376254203</v>
      </c>
      <c r="D248">
        <v>1.9832077084958301E-2</v>
      </c>
      <c r="E248">
        <v>-0.48226372471318302</v>
      </c>
      <c r="F248">
        <v>-0.245890686585024</v>
      </c>
    </row>
    <row r="249" spans="1:6" x14ac:dyDescent="0.2">
      <c r="A249">
        <v>-1.4588015929534</v>
      </c>
      <c r="B249">
        <v>-0.98431721147586504</v>
      </c>
      <c r="C249">
        <v>-1.47789818536328</v>
      </c>
      <c r="D249">
        <v>-1.44832924430076</v>
      </c>
      <c r="E249">
        <v>0.56079021936220497</v>
      </c>
      <c r="F249">
        <v>0.80704731026376597</v>
      </c>
    </row>
    <row r="250" spans="1:6" x14ac:dyDescent="0.2">
      <c r="A250">
        <v>-1.68040664057469</v>
      </c>
      <c r="B250">
        <v>-0.87012425751990896</v>
      </c>
      <c r="C250">
        <v>-1.5953618368442599</v>
      </c>
      <c r="D250">
        <v>-1.02333517758384</v>
      </c>
      <c r="E250">
        <v>2.4382873186978999</v>
      </c>
      <c r="F250">
        <v>-7.9637318661530995E-2</v>
      </c>
    </row>
    <row r="251" spans="1:6" x14ac:dyDescent="0.2">
      <c r="A251">
        <v>-0.86046796437591</v>
      </c>
      <c r="B251">
        <v>-0.87012425751990896</v>
      </c>
      <c r="C251">
        <v>-0.77311627647743897</v>
      </c>
      <c r="D251">
        <v>-0.79152023210188505</v>
      </c>
      <c r="E251">
        <v>-0.69087451352826101</v>
      </c>
      <c r="F251">
        <v>-0.57285564350122697</v>
      </c>
    </row>
    <row r="252" spans="1:6" x14ac:dyDescent="0.2">
      <c r="A252">
        <v>9.2433740395649597E-2</v>
      </c>
      <c r="B252">
        <v>0.72857709786347702</v>
      </c>
      <c r="C252">
        <v>-0.18579801907256799</v>
      </c>
      <c r="D252">
        <v>0.75391273777781698</v>
      </c>
      <c r="E252">
        <v>-6.5042147083028107E-2</v>
      </c>
      <c r="F252">
        <v>0.47454057441677999</v>
      </c>
    </row>
    <row r="253" spans="1:6" x14ac:dyDescent="0.2">
      <c r="A253">
        <v>0.69076736897313995</v>
      </c>
      <c r="B253">
        <v>-1.3268960733437301</v>
      </c>
      <c r="C253">
        <v>1.53700220264839</v>
      </c>
      <c r="D253">
        <v>-0.86879188059586998</v>
      </c>
      <c r="E253">
        <v>-1.1080960911584199</v>
      </c>
      <c r="F253">
        <v>-0.83331925324803302</v>
      </c>
    </row>
    <row r="254" spans="1:6" x14ac:dyDescent="0.2">
      <c r="A254">
        <v>1.7323110927932199</v>
      </c>
      <c r="B254">
        <v>0.84277005181943299</v>
      </c>
      <c r="C254">
        <v>2.0460113590659401</v>
      </c>
      <c r="D254">
        <v>1.7970799924466201</v>
      </c>
      <c r="E254">
        <v>-0.27365293589810602</v>
      </c>
      <c r="F254">
        <v>1.69373193918906</v>
      </c>
    </row>
    <row r="255" spans="1:6" x14ac:dyDescent="0.2">
      <c r="A255">
        <v>-0.59454190723035805</v>
      </c>
      <c r="B255">
        <v>-0.75593130356395299</v>
      </c>
      <c r="C255">
        <v>-0.69480717549012205</v>
      </c>
      <c r="D255">
        <v>-0.28925451689098203</v>
      </c>
      <c r="E255">
        <v>-6.5042147083028107E-2</v>
      </c>
      <c r="F255">
        <v>-2.4219529353699899E-2</v>
      </c>
    </row>
    <row r="256" spans="1:6" x14ac:dyDescent="0.2">
      <c r="A256">
        <v>0.35835979754120101</v>
      </c>
      <c r="B256">
        <v>-1.21270311938778</v>
      </c>
      <c r="C256">
        <v>0.47982933931962002</v>
      </c>
      <c r="D256">
        <v>-0.94606352908985503</v>
      </c>
      <c r="E256">
        <v>-6.5042147083028107E-2</v>
      </c>
      <c r="F256">
        <v>3.11982599541312E-2</v>
      </c>
    </row>
    <row r="257" spans="1:6" x14ac:dyDescent="0.2">
      <c r="A257">
        <v>2.1976816927979299</v>
      </c>
      <c r="B257">
        <v>-0.41335244169608398</v>
      </c>
      <c r="C257">
        <v>2.0460113590659401</v>
      </c>
      <c r="D257">
        <v>0.75391273777781698</v>
      </c>
      <c r="E257">
        <v>-0.48226372471318302</v>
      </c>
      <c r="F257">
        <v>2.3587454108830399</v>
      </c>
    </row>
    <row r="258" spans="1:6" x14ac:dyDescent="0.2">
      <c r="A258">
        <v>0.20323626420629601</v>
      </c>
      <c r="B258">
        <v>-7.0773579828216096E-2</v>
      </c>
      <c r="C258">
        <v>0.44067478882596101</v>
      </c>
      <c r="D258">
        <v>-0.40516198963195998</v>
      </c>
      <c r="E258">
        <v>-1.31670687997349</v>
      </c>
      <c r="F258">
        <v>-0.92198771614056296</v>
      </c>
    </row>
    <row r="259" spans="1:6" x14ac:dyDescent="0.2">
      <c r="A259">
        <v>1.4220640261234101</v>
      </c>
      <c r="B259">
        <v>1.1853489136873001</v>
      </c>
      <c r="C259">
        <v>1.0671475967244901</v>
      </c>
      <c r="D259">
        <v>1.8743516409406</v>
      </c>
      <c r="E259">
        <v>-1.31670687997349</v>
      </c>
      <c r="F259">
        <v>-0.82223569538646701</v>
      </c>
    </row>
    <row r="260" spans="1:6" x14ac:dyDescent="0.2">
      <c r="A260">
        <v>0.424841311827589</v>
      </c>
      <c r="B260">
        <v>-0.52754539565204095</v>
      </c>
      <c r="C260">
        <v>0.40152023833230299</v>
      </c>
      <c r="D260">
        <v>-0.13471121990301199</v>
      </c>
      <c r="E260">
        <v>-0.48226372471318302</v>
      </c>
      <c r="F260">
        <v>0.36370499580111698</v>
      </c>
    </row>
    <row r="261" spans="1:6" x14ac:dyDescent="0.2">
      <c r="A261">
        <v>0.62428585468675302</v>
      </c>
      <c r="B261">
        <v>-0.75593130356395299</v>
      </c>
      <c r="C261">
        <v>0.83222029376254203</v>
      </c>
      <c r="D261">
        <v>-5.74395714090268E-2</v>
      </c>
      <c r="E261">
        <v>0.97801179699235996</v>
      </c>
      <c r="F261">
        <v>0.75162952095593505</v>
      </c>
    </row>
    <row r="262" spans="1:6" x14ac:dyDescent="0.2">
      <c r="A262">
        <v>0.40268080706546</v>
      </c>
      <c r="B262">
        <v>-0.98431721147586504</v>
      </c>
      <c r="C262">
        <v>0.24490203635767099</v>
      </c>
      <c r="D262">
        <v>-0.32789034113797499</v>
      </c>
      <c r="E262">
        <v>-0.27365293589810602</v>
      </c>
      <c r="F262">
        <v>-0.334559149477554</v>
      </c>
    </row>
    <row r="263" spans="1:6" x14ac:dyDescent="0.2">
      <c r="A263">
        <v>0.80156989278378699</v>
      </c>
      <c r="B263">
        <v>-0.29915948774012802</v>
      </c>
      <c r="C263">
        <v>1.18461124820546</v>
      </c>
      <c r="D263">
        <v>0.328918671060899</v>
      </c>
      <c r="E263">
        <v>0.14356864173205</v>
      </c>
      <c r="F263">
        <v>0.94005000460256005</v>
      </c>
    </row>
    <row r="264" spans="1:6" x14ac:dyDescent="0.2">
      <c r="A264">
        <v>1.37774301659915</v>
      </c>
      <c r="B264">
        <v>-0.29915948774012802</v>
      </c>
      <c r="C264">
        <v>0.87137484425620004</v>
      </c>
      <c r="D264">
        <v>-0.28925451689098203</v>
      </c>
      <c r="E264">
        <v>0.76940100817728296</v>
      </c>
      <c r="F264">
        <v>1.02871846749509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14</vt:i4>
      </vt:variant>
    </vt:vector>
  </HeadingPairs>
  <TitlesOfParts>
    <vt:vector size="33" baseType="lpstr">
      <vt:lpstr>Today</vt:lpstr>
      <vt:lpstr>Themes</vt:lpstr>
      <vt:lpstr>Assumptions</vt:lpstr>
      <vt:lpstr>KNN</vt:lpstr>
      <vt:lpstr>Diagnostics</vt:lpstr>
      <vt:lpstr>OutOfSampleTesting</vt:lpstr>
      <vt:lpstr>AIC</vt:lpstr>
      <vt:lpstr>PreWork4NextClass</vt:lpstr>
      <vt:lpstr>InClassProjects</vt:lpstr>
      <vt:lpstr>Q_KNN_wVote</vt:lpstr>
      <vt:lpstr>Q_KNN_HighD</vt:lpstr>
      <vt:lpstr>Q_IndepErrors</vt:lpstr>
      <vt:lpstr>Q_CooksD</vt:lpstr>
      <vt:lpstr>Q_Specificity</vt:lpstr>
      <vt:lpstr>Q_OOS</vt:lpstr>
      <vt:lpstr>Q_AIC</vt:lpstr>
      <vt:lpstr>LendingClubData</vt:lpstr>
      <vt:lpstr>Hitters</vt:lpstr>
      <vt:lpstr>Hitters_Simple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2022-05-21T14:38:38Z</dcterms:modified>
</cp:coreProperties>
</file>