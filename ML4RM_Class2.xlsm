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B740FDBE-8986-9A4C-B5E9-1AFA400C5E05}" xr6:coauthVersionLast="47" xr6:coauthVersionMax="47" xr10:uidLastSave="{00000000-0000-0000-0000-000000000000}"/>
  <bookViews>
    <workbookView xWindow="0" yWindow="0" windowWidth="28800" windowHeight="16660" xr2:uid="{2528C2F6-2D91-5941-BA0A-8E362C5A735B}"/>
  </bookViews>
  <sheets>
    <sheet name="Today" sheetId="6" r:id="rId1"/>
    <sheet name="Themes" sheetId="13" r:id="rId2"/>
    <sheet name="Assumptions" sheetId="35" r:id="rId3"/>
    <sheet name="SetUp" sheetId="12" state="veryHidden" r:id="rId4"/>
    <sheet name="Linearity" sheetId="8" state="veryHidden" r:id="rId5"/>
    <sheet name="NormalErrors" sheetId="68" state="veryHidden" r:id="rId6"/>
    <sheet name="ConstantVariance" sheetId="9" state="veryHidden" r:id="rId7"/>
    <sheet name="Leverage" sheetId="10" state="veryHidden" r:id="rId8"/>
    <sheet name="CooksDistance" sheetId="69" state="veryHidden" r:id="rId9"/>
    <sheet name="IndependentErrors" sheetId="11" state="veryHidden" r:id="rId10"/>
    <sheet name="DurbinWatson" sheetId="16" state="veryHidden" r:id="rId11"/>
    <sheet name="KNN" sheetId="34" r:id="rId12"/>
    <sheet name="KNN_Data" sheetId="45" state="veryHidden" r:id="rId13"/>
    <sheet name="KNN_XNew" sheetId="46" state="veryHidden" r:id="rId14"/>
    <sheet name="KNN_Distance" sheetId="47" state="veryHidden" r:id="rId15"/>
    <sheet name="KNN_Nearest" sheetId="48" state="veryHidden" r:id="rId16"/>
    <sheet name="KNN_K" sheetId="49" state="veryHidden" r:id="rId17"/>
    <sheet name="KNN_Vote" sheetId="50" state="veryHidden" r:id="rId18"/>
    <sheet name="KNN_RCode" sheetId="72" state="veryHidden" r:id="rId19"/>
    <sheet name="Diagnostics" sheetId="80" r:id="rId20"/>
    <sheet name="OutOfSampleTesting" sheetId="36" r:id="rId21"/>
    <sheet name="Setup_" sheetId="39" state="veryHidden" r:id="rId22"/>
    <sheet name="Explore" sheetId="40" state="veryHidden" r:id="rId23"/>
    <sheet name="Tools" sheetId="41" state="veryHidden" r:id="rId24"/>
    <sheet name="LM_InAndOut" sheetId="42" state="veryHidden" r:id="rId25"/>
    <sheet name="Optim_InAndOut" sheetId="43" state="veryHidden" r:id="rId26"/>
    <sheet name="Optim_Shrinkage" sheetId="44" state="veryHidden" r:id="rId27"/>
    <sheet name="Optim_LSearch" sheetId="81" state="veryHidden" r:id="rId28"/>
    <sheet name="AIC" sheetId="64" r:id="rId29"/>
    <sheet name="MLR_Step" sheetId="51" state="veryHidden" r:id="rId30"/>
    <sheet name="Data" sheetId="53" state="veryHidden" r:id="rId31"/>
    <sheet name="AIC_0" sheetId="62" state="veryHidden" r:id="rId32"/>
    <sheet name="AIC_1" sheetId="63" state="veryHidden" r:id="rId33"/>
    <sheet name="PreWork4NextClass" sheetId="27" r:id="rId34"/>
    <sheet name="InClassProjects" sheetId="26" r:id="rId35"/>
    <sheet name="Q_KNN_wVote" sheetId="25" r:id="rId36"/>
    <sheet name="Q_KNN_HighD" sheetId="77" r:id="rId37"/>
    <sheet name="Q_IndepErrors" sheetId="76" r:id="rId38"/>
    <sheet name="Q_CooksD" sheetId="79" r:id="rId39"/>
    <sheet name="Q_Specificity" sheetId="31" r:id="rId40"/>
    <sheet name="Q_OOS" sheetId="33" state="hidden" r:id="rId41"/>
    <sheet name="Q_AIC" sheetId="65" state="hidden" r:id="rId42"/>
    <sheet name="LendingClubData" sheetId="70" r:id="rId43"/>
    <sheet name="Hitters" sheetId="75" r:id="rId44"/>
    <sheet name="Hitters_Simple" sheetId="78" r:id="rId45"/>
  </sheets>
  <externalReferences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</externalReferences>
  <definedNames>
    <definedName name="_r2" localSheetId="19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19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19">[8]Options2!#REF!</definedName>
    <definedName name="Cd">[8]Options2!#REF!</definedName>
    <definedName name="Change" localSheetId="19">[5]VaR0!#REF!</definedName>
    <definedName name="Change">[5]VaR0!#REF!</definedName>
    <definedName name="change1" localSheetId="19">#REF!</definedName>
    <definedName name="change1">#REF!</definedName>
    <definedName name="change2" localSheetId="19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19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 localSheetId="19">#REF!</definedName>
    <definedName name="idx">#REF!</definedName>
    <definedName name="Inflator">[1]RSquareAdj!$C$10</definedName>
    <definedName name="k" localSheetId="31">[2]Binomial!$C$14</definedName>
    <definedName name="k" localSheetId="32">[2]Binomial!$C$14</definedName>
    <definedName name="k" localSheetId="30">[2]Binomial!$C$14</definedName>
    <definedName name="k" localSheetId="19">[15]KNN_Vote!$AB$4</definedName>
    <definedName name="k" localSheetId="16">KNN_K!$AB$4</definedName>
    <definedName name="k" localSheetId="29">[2]Binomial!$C$14</definedName>
    <definedName name="k">KNN_Vote!$AB$4</definedName>
    <definedName name="L">#REF!</definedName>
    <definedName name="LL">#REF!</definedName>
    <definedName name="LN_Sim" localSheetId="19">#REF!</definedName>
    <definedName name="LN_Sim">#REF!</definedName>
    <definedName name="loss" localSheetId="19">#REF!</definedName>
    <definedName name="loss">#REF!</definedName>
    <definedName name="loss_30" localSheetId="19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19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1">[2]Binomial!$C$13</definedName>
    <definedName name="p" localSheetId="32">[2]Binomial!$C$13</definedName>
    <definedName name="p" localSheetId="30">[2]Binomial!$C$13</definedName>
    <definedName name="p" localSheetId="19">#REF!</definedName>
    <definedName name="p" localSheetId="29">[2]Binomial!$C$13</definedName>
    <definedName name="p">DurbinWatson!$B$3</definedName>
    <definedName name="PD">[4]CDS!$C$21:$C$25</definedName>
    <definedName name="PDF">[14]Calcs_Mean2!$K$10:$K$30</definedName>
    <definedName name="Period" localSheetId="19">#REF!</definedName>
    <definedName name="Period">#REF!</definedName>
    <definedName name="peso_rate">[12]FX_Intro!$C$66</definedName>
    <definedName name="Pij" localSheetId="19">#REF!</definedName>
    <definedName name="Pij">#REF!</definedName>
    <definedName name="pmt" localSheetId="19">#REF!</definedName>
    <definedName name="pmt">#REF!</definedName>
    <definedName name="pmt_" localSheetId="19">#REF!</definedName>
    <definedName name="pmt_">#REF!</definedName>
    <definedName name="pmtperyear">[17]Bond!$C$6</definedName>
    <definedName name="pmts">[17]Bond!$E$12:$E$25</definedName>
    <definedName name="price1" localSheetId="19">#REF!</definedName>
    <definedName name="price1">#REF!</definedName>
    <definedName name="price2" localSheetId="19">#REF!</definedName>
    <definedName name="price2">#REF!</definedName>
    <definedName name="price3" localSheetId="19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19">#REF!</definedName>
    <definedName name="risk1">#REF!</definedName>
    <definedName name="risk2" localSheetId="19">#REF!</definedName>
    <definedName name="risk2">#REF!</definedName>
    <definedName name="risk3" localSheetId="19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19">#REF!</definedName>
    <definedName name="SD">#REF!</definedName>
    <definedName name="sd_x">[1]MaximumLikelihood!$C$3</definedName>
    <definedName name="SD_xbar">[14]Calcs_Mean2!$O$28</definedName>
    <definedName name="SE0" localSheetId="19">#REF!</definedName>
    <definedName name="SE0">#REF!</definedName>
    <definedName name="SE1_" localSheetId="19">#REF!</definedName>
    <definedName name="SE1_">#REF!</definedName>
    <definedName name="SE2_" localSheetId="19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19">#REF!</definedName>
    <definedName name="stdev">#REF!</definedName>
    <definedName name="Sum">[13]CentralLimitTheorem!$C$7:$C$106</definedName>
    <definedName name="t" localSheetId="19">#REF!</definedName>
    <definedName name="t">#REF!</definedName>
    <definedName name="t_">[4]CDS!$B$21:$B$25</definedName>
    <definedName name="table_asf">[19]ASF!$C$31:$D$34</definedName>
    <definedName name="Time" localSheetId="19">#REF!</definedName>
    <definedName name="Time">#REF!</definedName>
    <definedName name="Time_">[4]Spread2PD!$B$40:$B$44</definedName>
    <definedName name="tmat">[4]ExporeInf!$C$3:$H$8</definedName>
    <definedName name="tmat12" localSheetId="19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19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19">#REF!</definedName>
    <definedName name="y_draw">#REF!</definedName>
    <definedName name="ybar" localSheetId="19">#REF!</definedName>
    <definedName name="ybar">#REF!</definedName>
    <definedName name="year">Data!$D$2:$D$235</definedName>
    <definedName name="years">[17]Bond!$C$7</definedName>
    <definedName name="yhat" localSheetId="19">#REF!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80" l="1" a="1"/>
  <c r="E8" i="80" s="1"/>
  <c r="I2" i="63" l="1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D12" i="16"/>
  <c r="F4" i="16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<sst xmlns="http://schemas.openxmlformats.org/spreadsheetml/2006/main" count="15099" uniqueCount="275">
  <si>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</si>
  <si>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</si>
  <si>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</si>
  <si>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</si>
  <si>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</si>
  <si>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</si>
  <si>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</si>
  <si>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</si>
  <si>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</si>
  <si>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</si>
  <si>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</si>
  <si>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</si>
  <si>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</si>
  <si>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</si>
  <si>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</si>
  <si>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</si>
  <si>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</si>
  <si>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</si>
  <si>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</si>
  <si>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</si>
  <si>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</si>
  <si>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</si>
  <si>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</si>
  <si>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</si>
  <si>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</si>
  <si>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</si>
  <si>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</si>
  <si>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</si>
  <si>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</si>
  <si>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</si>
  <si>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</si>
  <si>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</si>
  <si>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</si>
  <si>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</si>
  <si>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</si>
  <si>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</si>
  <si>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</si>
  <si>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</si>
  <si>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</si>
  <si>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</si>
  <si>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</si>
  <si>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</si>
  <si>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</si>
  <si>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</si>
  <si>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</si>
  <si>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</si>
  <si>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</si>
  <si>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</si>
  <si>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</si>
  <si>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</si>
  <si>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</si>
  <si>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</si>
  <si>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</si>
  <si>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</si>
  <si>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</si>
  <si>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</si>
  <si>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</si>
  <si>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</si>
  <si>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</si>
  <si>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</si>
  <si>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</si>
  <si>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</si>
  <si>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</si>
  <si>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</si>
  <si>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</si>
  <si>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</si>
  <si>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</si>
  <si>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</si>
  <si>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</si>
  <si>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</si>
  <si>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</si>
  <si>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</si>
  <si>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</si>
  <si>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</si>
  <si>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</si>
  <si>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</si>
  <si>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</si>
  <si>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</si>
  <si>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</si>
  <si>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</si>
  <si>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</si>
  <si>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</si>
  <si>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</si>
  <si>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</si>
  <si>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</si>
  <si>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</si>
  <si>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</si>
  <si>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</si>
  <si>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</si>
  <si>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</si>
  <si>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</si>
  <si>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</si>
  <si>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</si>
  <si>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</si>
  <si>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</si>
  <si>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</si>
  <si>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</si>
  <si>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</si>
  <si>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</si>
  <si>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</si>
  <si>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</si>
  <si>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</si>
  <si>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</si>
  <si>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</si>
  <si>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</si>
  <si>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</si>
  <si>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</si>
  <si>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</si>
  <si>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</si>
  <si>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</si>
  <si>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</si>
  <si>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</si>
  <si>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</si>
  <si>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</si>
  <si>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</si>
  <si>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</si>
  <si>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</si>
  <si>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</si>
  <si>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</si>
  <si>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</si>
  <si>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</si>
  <si>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</si>
  <si>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</si>
  <si>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</si>
  <si>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</si>
  <si>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</si>
  <si>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</si>
  <si>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</si>
  <si>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</si>
  <si>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</si>
  <si>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</si>
  <si>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</si>
  <si>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</si>
  <si>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</si>
  <si>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</si>
  <si>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</si>
  <si>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</si>
  <si>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</si>
  <si>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</si>
  <si>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</si>
  <si>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</si>
  <si>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</si>
  <si>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</si>
  <si>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</si>
  <si>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</si>
  <si>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</si>
  <si>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</si>
  <si>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</si>
  <si>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</si>
  <si>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</si>
  <si>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</si>
  <si>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</si>
  <si>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</si>
  <si>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</si>
  <si>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</si>
  <si>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</si>
  <si>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</si>
  <si>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</si>
  <si>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</si>
  <si>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</si>
  <si>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</si>
  <si>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</si>
  <si>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</si>
  <si>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</si>
  <si>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</si>
  <si>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</si>
  <si>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</si>
  <si>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</si>
  <si>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</si>
  <si>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</si>
  <si>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</si>
  <si>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</si>
  <si>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</si>
  <si>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</si>
  <si>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</si>
  <si>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</si>
  <si>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</si>
  <si>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</si>
  <si>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</si>
  <si>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</si>
  <si>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</si>
  <si>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</si>
  <si>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</si>
  <si>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</si>
  <si>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</si>
  <si>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</si>
  <si>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</si>
  <si>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</si>
  <si>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</si>
  <si>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</si>
  <si>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</si>
  <si>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</si>
  <si>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</si>
  <si>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</si>
  <si>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</si>
  <si>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</si>
  <si>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</si>
  <si>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</si>
  <si>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</si>
  <si>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</si>
  <si>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</si>
  <si>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</si>
  <si>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</si>
  <si>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</si>
  <si>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</si>
  <si>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</si>
  <si>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</si>
  <si>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</si>
  <si>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</si>
  <si>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</si>
  <si>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</si>
  <si>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</si>
  <si>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</si>
  <si>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</si>
  <si>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</si>
  <si>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</si>
  <si>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</si>
  <si>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</si>
  <si>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</si>
  <si>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</si>
  <si>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</si>
  <si>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</si>
  <si>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</si>
  <si>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</si>
  <si>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</si>
  <si>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</si>
  <si>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</si>
  <si>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</si>
  <si>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</si>
  <si>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</si>
  <si>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Use 3 or more dimensions.</t>
  </si>
  <si>
    <t>If you use code, manually calculate the distances.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</si>
  <si>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</si>
  <si>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</si>
  <si>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</si>
  <si>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</si>
  <si>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</si>
  <si>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</si>
  <si>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</si>
  <si>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</si>
  <si>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</si>
  <si>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</si>
  <si>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</si>
  <si>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</si>
  <si>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</si>
  <si>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Fit a regression model and use it to estimate Cooks Distance for all of your data points.</t>
  </si>
  <si>
    <t>A display of the Cooks Distance values for each point.</t>
  </si>
  <si>
    <t>The cricitical value for the Cooks Distances at 95% confidence, 1 tail.</t>
  </si>
  <si>
    <t>KNN_wVote</t>
  </si>
  <si>
    <t>KNN_HighD</t>
  </si>
  <si>
    <t>IndepErrors</t>
  </si>
  <si>
    <t>CooksD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</si>
  <si>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</si>
  <si>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</si>
  <si>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</si>
  <si>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</si>
  <si>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</si>
  <si>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</si>
  <si>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</si>
  <si>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Knn Data</t>
  </si>
  <si>
    <t>KNN xNew</t>
  </si>
  <si>
    <t>Knn Distance</t>
  </si>
  <si>
    <t>KNN Nearest</t>
  </si>
  <si>
    <t>KNN Vote</t>
  </si>
  <si>
    <t>KNN Rcode</t>
  </si>
  <si>
    <t>Normal Errors 1</t>
  </si>
  <si>
    <t>Normal Errors 2</t>
  </si>
  <si>
    <t>Constant Variance</t>
  </si>
  <si>
    <t>Independent Errors</t>
  </si>
  <si>
    <t>DB1</t>
  </si>
  <si>
    <t>DB2</t>
  </si>
  <si>
    <t>Distance_Ndimensions</t>
  </si>
  <si>
    <t>AIC0</t>
  </si>
  <si>
    <t>Video</t>
  </si>
  <si>
    <t>AIC1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</si>
</sst>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6" borderId="0" xfId="0" applyFont="1" applyFill="1"/>
    <xf numFmtId="11" fontId="0" fillId="0" borderId="0" xfId="0" applyNumberFormat="1"/>
    <xf numFmtId="0" fontId="1" fillId="4" borderId="0" xfId="0" applyFont="1" applyFill="1"/>
    <xf numFmtId="0" fontId="8" fillId="2" borderId="0" xfId="0" applyFont="1" applyFill="1"/>
    <xf numFmtId="0" fontId="3" fillId="6" borderId="0" xfId="1" applyFill="1"/>
    <xf numFmtId="0" fontId="9" fillId="6" borderId="0" xfId="0" applyFont="1" applyFill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63" Type="http://schemas.openxmlformats.org/officeDocument/2006/relationships/externalLink" Target="externalLinks/externalLink18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8.xml"/><Relationship Id="rId58" Type="http://schemas.openxmlformats.org/officeDocument/2006/relationships/externalLink" Target="externalLinks/externalLink13.xml"/><Relationship Id="rId66" Type="http://schemas.openxmlformats.org/officeDocument/2006/relationships/externalLink" Target="externalLinks/externalLink2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3.xml"/><Relationship Id="rId56" Type="http://schemas.openxmlformats.org/officeDocument/2006/relationships/externalLink" Target="externalLinks/externalLink11.xml"/><Relationship Id="rId64" Type="http://schemas.openxmlformats.org/officeDocument/2006/relationships/externalLink" Target="externalLinks/externalLink19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6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59" Type="http://schemas.openxmlformats.org/officeDocument/2006/relationships/externalLink" Target="externalLinks/externalLink14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9.xml"/><Relationship Id="rId62" Type="http://schemas.openxmlformats.org/officeDocument/2006/relationships/externalLink" Target="externalLinks/externalLink17.xml"/><Relationship Id="rId7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4.xml"/><Relationship Id="rId57" Type="http://schemas.openxmlformats.org/officeDocument/2006/relationships/externalLink" Target="externalLinks/externalLink1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7.xml"/><Relationship Id="rId60" Type="http://schemas.openxmlformats.org/officeDocument/2006/relationships/externalLink" Target="externalLinks/externalLink15.xml"/><Relationship Id="rId65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5.xml"/><Relationship Id="rId55" Type="http://schemas.openxmlformats.org/officeDocument/2006/relationships/externalLink" Target="externalLinks/externalLink1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0.38885592185280227</c:v>
                </c:pt>
                <c:pt idx="1">
                  <c:v>0.3120989440455314</c:v>
                </c:pt>
                <c:pt idx="2">
                  <c:v>2.0468346893708578E-2</c:v>
                </c:pt>
                <c:pt idx="3">
                  <c:v>3.0013720359352569E-2</c:v>
                </c:pt>
                <c:pt idx="4">
                  <c:v>0.55035749493801067</c:v>
                </c:pt>
                <c:pt idx="5">
                  <c:v>0.61693011620780358</c:v>
                </c:pt>
                <c:pt idx="6">
                  <c:v>0.93261592114610414</c:v>
                </c:pt>
                <c:pt idx="7">
                  <c:v>0.3310390028103446</c:v>
                </c:pt>
                <c:pt idx="8">
                  <c:v>0.90534123482932372</c:v>
                </c:pt>
                <c:pt idx="9">
                  <c:v>0.88860288693336675</c:v>
                </c:pt>
                <c:pt idx="10">
                  <c:v>0.15043143206535192</c:v>
                </c:pt>
                <c:pt idx="11">
                  <c:v>0.30925954379842047</c:v>
                </c:pt>
                <c:pt idx="12">
                  <c:v>0.28165821731894192</c:v>
                </c:pt>
                <c:pt idx="13">
                  <c:v>0.15341716410931183</c:v>
                </c:pt>
                <c:pt idx="14">
                  <c:v>0.64809259870835656</c:v>
                </c:pt>
                <c:pt idx="15">
                  <c:v>0.58090917164864408</c:v>
                </c:pt>
                <c:pt idx="16">
                  <c:v>0.73228130702205319</c:v>
                </c:pt>
                <c:pt idx="17">
                  <c:v>0.56471015323033946</c:v>
                </c:pt>
                <c:pt idx="18">
                  <c:v>0.65757856723720964</c:v>
                </c:pt>
                <c:pt idx="19">
                  <c:v>0.16244546927149228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0.56170215152636738</c:v>
                </c:pt>
                <c:pt idx="1">
                  <c:v>0.35234579077014322</c:v>
                </c:pt>
                <c:pt idx="2">
                  <c:v>0.15351415150598136</c:v>
                </c:pt>
                <c:pt idx="3">
                  <c:v>0.4173398383621138</c:v>
                </c:pt>
                <c:pt idx="4">
                  <c:v>0.69169853720092322</c:v>
                </c:pt>
                <c:pt idx="5">
                  <c:v>0.76525656796090025</c:v>
                </c:pt>
                <c:pt idx="6">
                  <c:v>0.93518286152824126</c:v>
                </c:pt>
                <c:pt idx="7">
                  <c:v>0.87982338827182749</c:v>
                </c:pt>
                <c:pt idx="8">
                  <c:v>0.99806245493260515</c:v>
                </c:pt>
                <c:pt idx="9">
                  <c:v>0.93710742238741285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0.38885592185280227</c:v>
                </c:pt>
                <c:pt idx="1">
                  <c:v>0.3120989440455314</c:v>
                </c:pt>
                <c:pt idx="2">
                  <c:v>2.0468346893708578E-2</c:v>
                </c:pt>
                <c:pt idx="3">
                  <c:v>3.0013720359352569E-2</c:v>
                </c:pt>
                <c:pt idx="4">
                  <c:v>0.55035749493801067</c:v>
                </c:pt>
                <c:pt idx="5">
                  <c:v>0.61693011620780358</c:v>
                </c:pt>
                <c:pt idx="6">
                  <c:v>0.93261592114610414</c:v>
                </c:pt>
                <c:pt idx="7">
                  <c:v>0.3310390028103446</c:v>
                </c:pt>
                <c:pt idx="8">
                  <c:v>0.90534123482932372</c:v>
                </c:pt>
                <c:pt idx="9">
                  <c:v>0.88860288693336675</c:v>
                </c:pt>
                <c:pt idx="10">
                  <c:v>0.15043143206535192</c:v>
                </c:pt>
                <c:pt idx="11">
                  <c:v>0.30925954379842047</c:v>
                </c:pt>
                <c:pt idx="12">
                  <c:v>0.28165821731894192</c:v>
                </c:pt>
                <c:pt idx="13">
                  <c:v>0.15341716410931183</c:v>
                </c:pt>
                <c:pt idx="14">
                  <c:v>0.64809259870835656</c:v>
                </c:pt>
                <c:pt idx="15">
                  <c:v>0.58090917164864408</c:v>
                </c:pt>
                <c:pt idx="16">
                  <c:v>0.73228130702205319</c:v>
                </c:pt>
                <c:pt idx="17">
                  <c:v>0.56471015323033946</c:v>
                </c:pt>
                <c:pt idx="18">
                  <c:v>0.65757856723720964</c:v>
                </c:pt>
                <c:pt idx="19">
                  <c:v>0.16244546927149228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3.6646211202626122E-2</c:v>
                </c:pt>
                <c:pt idx="11">
                  <c:v>0.14075956579029059</c:v>
                </c:pt>
                <c:pt idx="12">
                  <c:v>8.7272144328780984E-2</c:v>
                </c:pt>
                <c:pt idx="13">
                  <c:v>0.11707048847460155</c:v>
                </c:pt>
                <c:pt idx="14">
                  <c:v>0.24055420836311267</c:v>
                </c:pt>
                <c:pt idx="15">
                  <c:v>0.19444756344454042</c:v>
                </c:pt>
                <c:pt idx="16">
                  <c:v>0.44952917004449522</c:v>
                </c:pt>
                <c:pt idx="17">
                  <c:v>0.54248725636342077</c:v>
                </c:pt>
                <c:pt idx="18">
                  <c:v>0.58826942090621426</c:v>
                </c:pt>
                <c:pt idx="19">
                  <c:v>3.2572256368021135E-2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0.7367920297934385</c:v>
                </c:pt>
                <c:pt idx="1">
                  <c:v>0.75175706579645207</c:v>
                </c:pt>
                <c:pt idx="2">
                  <c:v>0.94060274246796716</c:v>
                </c:pt>
                <c:pt idx="3">
                  <c:v>0.41479845793473913</c:v>
                </c:pt>
                <c:pt idx="4">
                  <c:v>0.57349975654441276</c:v>
                </c:pt>
                <c:pt idx="5">
                  <c:v>0.69208771531901547</c:v>
                </c:pt>
                <c:pt idx="6">
                  <c:v>0.13955796429059331</c:v>
                </c:pt>
                <c:pt idx="7">
                  <c:v>0.69902146986412206</c:v>
                </c:pt>
                <c:pt idx="8">
                  <c:v>0.31930413906845678</c:v>
                </c:pt>
                <c:pt idx="9">
                  <c:v>4.8426562497512093E-2</c:v>
                </c:pt>
                <c:pt idx="10">
                  <c:v>0.6560573141698236</c:v>
                </c:pt>
                <c:pt idx="11">
                  <c:v>0.12546307091969577</c:v>
                </c:pt>
                <c:pt idx="12">
                  <c:v>0.38238490812427417</c:v>
                </c:pt>
                <c:pt idx="13">
                  <c:v>0.47728199495202639</c:v>
                </c:pt>
                <c:pt idx="14">
                  <c:v>0.16997012098463993</c:v>
                </c:pt>
                <c:pt idx="15">
                  <c:v>0.73990671074388104</c:v>
                </c:pt>
                <c:pt idx="16">
                  <c:v>0.91798896843563282</c:v>
                </c:pt>
                <c:pt idx="17">
                  <c:v>0.45022610750919279</c:v>
                </c:pt>
                <c:pt idx="18">
                  <c:v>4.7553581078678131E-2</c:v>
                </c:pt>
                <c:pt idx="19">
                  <c:v>0.588170091551666</c:v>
                </c:pt>
                <c:pt idx="20">
                  <c:v>0.52147162357560861</c:v>
                </c:pt>
                <c:pt idx="21">
                  <c:v>0.41464403504252256</c:v>
                </c:pt>
                <c:pt idx="22">
                  <c:v>0.61150908692106043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0.84062162609368629</c:v>
                </c:pt>
                <c:pt idx="1">
                  <c:v>0.9228969368341593</c:v>
                </c:pt>
                <c:pt idx="2">
                  <c:v>0.98515500103902409</c:v>
                </c:pt>
                <c:pt idx="3">
                  <c:v>0.44583791901827863</c:v>
                </c:pt>
                <c:pt idx="4">
                  <c:v>0.94323852370087358</c:v>
                </c:pt>
                <c:pt idx="5">
                  <c:v>0.88873450350181293</c:v>
                </c:pt>
                <c:pt idx="6">
                  <c:v>0.25115684929842519</c:v>
                </c:pt>
                <c:pt idx="7">
                  <c:v>0.91535691578404521</c:v>
                </c:pt>
                <c:pt idx="8">
                  <c:v>0.50638084462429322</c:v>
                </c:pt>
                <c:pt idx="9">
                  <c:v>0.55724787538852538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0.7367920297934385</c:v>
                </c:pt>
                <c:pt idx="1">
                  <c:v>0.75175706579645207</c:v>
                </c:pt>
                <c:pt idx="2">
                  <c:v>0.94060274246796716</c:v>
                </c:pt>
                <c:pt idx="3">
                  <c:v>0.41479845793473913</c:v>
                </c:pt>
                <c:pt idx="4">
                  <c:v>0.57349975654441276</c:v>
                </c:pt>
                <c:pt idx="5">
                  <c:v>0.69208771531901547</c:v>
                </c:pt>
                <c:pt idx="6">
                  <c:v>0.13955796429059331</c:v>
                </c:pt>
                <c:pt idx="7">
                  <c:v>0.69902146986412206</c:v>
                </c:pt>
                <c:pt idx="8">
                  <c:v>0.31930413906845678</c:v>
                </c:pt>
                <c:pt idx="9">
                  <c:v>4.8426562497512093E-2</c:v>
                </c:pt>
                <c:pt idx="10">
                  <c:v>0.6560573141698236</c:v>
                </c:pt>
                <c:pt idx="11">
                  <c:v>0.12546307091969577</c:v>
                </c:pt>
                <c:pt idx="12">
                  <c:v>0.38238490812427417</c:v>
                </c:pt>
                <c:pt idx="13">
                  <c:v>0.47728199495202639</c:v>
                </c:pt>
                <c:pt idx="14">
                  <c:v>0.16997012098463993</c:v>
                </c:pt>
                <c:pt idx="15">
                  <c:v>0.73990671074388104</c:v>
                </c:pt>
                <c:pt idx="16">
                  <c:v>0.91798896843563282</c:v>
                </c:pt>
                <c:pt idx="17">
                  <c:v>0.45022610750919279</c:v>
                </c:pt>
                <c:pt idx="18">
                  <c:v>4.7553581078678131E-2</c:v>
                </c:pt>
                <c:pt idx="19">
                  <c:v>0.588170091551666</c:v>
                </c:pt>
                <c:pt idx="20">
                  <c:v>0.52147162357560861</c:v>
                </c:pt>
                <c:pt idx="21">
                  <c:v>0.41464403504252256</c:v>
                </c:pt>
                <c:pt idx="22">
                  <c:v>0.61150908692106043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0.56178280250798784</c:v>
                </c:pt>
                <c:pt idx="11">
                  <c:v>0.11418409827261791</c:v>
                </c:pt>
                <c:pt idx="12">
                  <c:v>0.22120180465278957</c:v>
                </c:pt>
                <c:pt idx="13">
                  <c:v>5.4250171970743277E-2</c:v>
                </c:pt>
                <c:pt idx="14">
                  <c:v>0.1000360687622437</c:v>
                </c:pt>
                <c:pt idx="15">
                  <c:v>0.52894204268168621</c:v>
                </c:pt>
                <c:pt idx="16">
                  <c:v>0.1000170521871457</c:v>
                </c:pt>
                <c:pt idx="17">
                  <c:v>1.1632405548607017E-3</c:v>
                </c:pt>
                <c:pt idx="18">
                  <c:v>5.2546067051814221E-3</c:v>
                </c:pt>
                <c:pt idx="19">
                  <c:v>0.2285235905011288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0.7367920297934385</c:v>
                </c:pt>
                <c:pt idx="1">
                  <c:v>0.75175706579645207</c:v>
                </c:pt>
                <c:pt idx="2">
                  <c:v>0.94060274246796716</c:v>
                </c:pt>
                <c:pt idx="3">
                  <c:v>0.41479845793473913</c:v>
                </c:pt>
                <c:pt idx="4">
                  <c:v>0.57349975654441276</c:v>
                </c:pt>
                <c:pt idx="5">
                  <c:v>0.69208771531901547</c:v>
                </c:pt>
                <c:pt idx="6">
                  <c:v>0.13955796429059331</c:v>
                </c:pt>
                <c:pt idx="7">
                  <c:v>0.69902146986412206</c:v>
                </c:pt>
                <c:pt idx="8">
                  <c:v>0.31930413906845678</c:v>
                </c:pt>
                <c:pt idx="9">
                  <c:v>4.8426562497512093E-2</c:v>
                </c:pt>
                <c:pt idx="10">
                  <c:v>0.6560573141698236</c:v>
                </c:pt>
                <c:pt idx="11">
                  <c:v>0.12546307091969577</c:v>
                </c:pt>
                <c:pt idx="12">
                  <c:v>0.38238490812427417</c:v>
                </c:pt>
                <c:pt idx="13">
                  <c:v>0.47728199495202639</c:v>
                </c:pt>
                <c:pt idx="14">
                  <c:v>0.16997012098463993</c:v>
                </c:pt>
                <c:pt idx="15">
                  <c:v>0.73990671074388104</c:v>
                </c:pt>
                <c:pt idx="16">
                  <c:v>0.91798896843563282</c:v>
                </c:pt>
                <c:pt idx="17">
                  <c:v>0.45022610750919279</c:v>
                </c:pt>
                <c:pt idx="18">
                  <c:v>4.7553581078678131E-2</c:v>
                </c:pt>
                <c:pt idx="19">
                  <c:v>0.588170091551666</c:v>
                </c:pt>
                <c:pt idx="20">
                  <c:v>0.52147162357560861</c:v>
                </c:pt>
                <c:pt idx="21">
                  <c:v>0.41464403504252256</c:v>
                </c:pt>
                <c:pt idx="22">
                  <c:v>0.61150908692106043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0.93266722828813897</c:v>
                </c:pt>
                <c:pt idx="21" formatCode="0.00">
                  <c:v>0.59780555863432328</c:v>
                </c:pt>
                <c:pt idx="22" formatCode="0.00">
                  <c:v>0.68639283078819524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0.39919709246091428</c:v>
                </c:pt>
                <c:pt idx="1">
                  <c:v>9.5273770274967307E-3</c:v>
                </c:pt>
                <c:pt idx="2">
                  <c:v>0.65552689024241273</c:v>
                </c:pt>
                <c:pt idx="3">
                  <c:v>0.33116930431924041</c:v>
                </c:pt>
                <c:pt idx="4">
                  <c:v>0.46482133499323408</c:v>
                </c:pt>
                <c:pt idx="5">
                  <c:v>0.85661311433813536</c:v>
                </c:pt>
                <c:pt idx="6">
                  <c:v>0.44550781890393087</c:v>
                </c:pt>
                <c:pt idx="7">
                  <c:v>0.20128384580596848</c:v>
                </c:pt>
                <c:pt idx="8">
                  <c:v>0.94273154622865363</c:v>
                </c:pt>
                <c:pt idx="9">
                  <c:v>0.36087896945724585</c:v>
                </c:pt>
                <c:pt idx="10">
                  <c:v>0.21503762380340308</c:v>
                </c:pt>
                <c:pt idx="11">
                  <c:v>0.40369763007061932</c:v>
                </c:pt>
                <c:pt idx="12">
                  <c:v>0.83653660781415495</c:v>
                </c:pt>
                <c:pt idx="13">
                  <c:v>0.1761984583511591</c:v>
                </c:pt>
                <c:pt idx="14">
                  <c:v>0.2621146696928065</c:v>
                </c:pt>
                <c:pt idx="15">
                  <c:v>2.5016250472398749E-2</c:v>
                </c:pt>
                <c:pt idx="16">
                  <c:v>0.66454215260423777</c:v>
                </c:pt>
                <c:pt idx="17">
                  <c:v>0.94611188349673492</c:v>
                </c:pt>
                <c:pt idx="18">
                  <c:v>0.65378832424628341</c:v>
                </c:pt>
                <c:pt idx="19">
                  <c:v>0.9447066126368201</c:v>
                </c:pt>
                <c:pt idx="20">
                  <c:v>0.85965949630968175</c:v>
                </c:pt>
                <c:pt idx="21">
                  <c:v>0.94937196178582506</c:v>
                </c:pt>
                <c:pt idx="22">
                  <c:v>0.16110836203764112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0.56270448581935106</c:v>
                </c:pt>
                <c:pt idx="1">
                  <c:v>0.57531730942920223</c:v>
                </c:pt>
                <c:pt idx="2">
                  <c:v>0.92246725312621636</c:v>
                </c:pt>
                <c:pt idx="3">
                  <c:v>0.34107309217502207</c:v>
                </c:pt>
                <c:pt idx="4">
                  <c:v>0.51262460630195916</c:v>
                </c:pt>
                <c:pt idx="5">
                  <c:v>0.86961387863352657</c:v>
                </c:pt>
                <c:pt idx="6">
                  <c:v>0.57903545637873788</c:v>
                </c:pt>
                <c:pt idx="7">
                  <c:v>0.27207014947591746</c:v>
                </c:pt>
                <c:pt idx="8">
                  <c:v>0.9877321471523719</c:v>
                </c:pt>
                <c:pt idx="9">
                  <c:v>0.86854944436528581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0.39919709246091428</c:v>
                </c:pt>
                <c:pt idx="1">
                  <c:v>9.5273770274967307E-3</c:v>
                </c:pt>
                <c:pt idx="2">
                  <c:v>0.65552689024241273</c:v>
                </c:pt>
                <c:pt idx="3">
                  <c:v>0.33116930431924041</c:v>
                </c:pt>
                <c:pt idx="4">
                  <c:v>0.46482133499323408</c:v>
                </c:pt>
                <c:pt idx="5">
                  <c:v>0.85661311433813536</c:v>
                </c:pt>
                <c:pt idx="6">
                  <c:v>0.44550781890393087</c:v>
                </c:pt>
                <c:pt idx="7">
                  <c:v>0.20128384580596848</c:v>
                </c:pt>
                <c:pt idx="8">
                  <c:v>0.94273154622865363</c:v>
                </c:pt>
                <c:pt idx="9">
                  <c:v>0.36087896945724585</c:v>
                </c:pt>
                <c:pt idx="10">
                  <c:v>0.21503762380340308</c:v>
                </c:pt>
                <c:pt idx="11">
                  <c:v>0.40369763007061932</c:v>
                </c:pt>
                <c:pt idx="12">
                  <c:v>0.83653660781415495</c:v>
                </c:pt>
                <c:pt idx="13">
                  <c:v>0.1761984583511591</c:v>
                </c:pt>
                <c:pt idx="14">
                  <c:v>0.2621146696928065</c:v>
                </c:pt>
                <c:pt idx="15">
                  <c:v>2.5016250472398749E-2</c:v>
                </c:pt>
                <c:pt idx="16">
                  <c:v>0.66454215260423777</c:v>
                </c:pt>
                <c:pt idx="17">
                  <c:v>0.94611188349673492</c:v>
                </c:pt>
                <c:pt idx="18">
                  <c:v>0.65378832424628341</c:v>
                </c:pt>
                <c:pt idx="19">
                  <c:v>0.9447066126368201</c:v>
                </c:pt>
                <c:pt idx="20">
                  <c:v>0.85965949630968175</c:v>
                </c:pt>
                <c:pt idx="21">
                  <c:v>0.94937196178582506</c:v>
                </c:pt>
                <c:pt idx="22">
                  <c:v>0.16110836203764112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2.5369891266250114E-2</c:v>
                </c:pt>
                <c:pt idx="11">
                  <c:v>0.31589098612369737</c:v>
                </c:pt>
                <c:pt idx="12">
                  <c:v>3.3216917245946678E-2</c:v>
                </c:pt>
                <c:pt idx="13">
                  <c:v>0.11807664343697172</c:v>
                </c:pt>
                <c:pt idx="14">
                  <c:v>1.5832302644340178E-2</c:v>
                </c:pt>
                <c:pt idx="15">
                  <c:v>1.889230416517295E-2</c:v>
                </c:pt>
                <c:pt idx="16">
                  <c:v>6.2651790664038198E-2</c:v>
                </c:pt>
                <c:pt idx="17">
                  <c:v>0.50106841779190614</c:v>
                </c:pt>
                <c:pt idx="18">
                  <c:v>0.48237782397718448</c:v>
                </c:pt>
                <c:pt idx="19">
                  <c:v>0.52927921563061009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0.39919709246091428</c:v>
                </c:pt>
                <c:pt idx="1">
                  <c:v>9.5273770274967307E-3</c:v>
                </c:pt>
                <c:pt idx="2">
                  <c:v>0.65552689024241273</c:v>
                </c:pt>
                <c:pt idx="3">
                  <c:v>0.33116930431924041</c:v>
                </c:pt>
                <c:pt idx="4">
                  <c:v>0.46482133499323408</c:v>
                </c:pt>
                <c:pt idx="5">
                  <c:v>0.85661311433813536</c:v>
                </c:pt>
                <c:pt idx="6">
                  <c:v>0.44550781890393087</c:v>
                </c:pt>
                <c:pt idx="7">
                  <c:v>0.20128384580596848</c:v>
                </c:pt>
                <c:pt idx="8">
                  <c:v>0.94273154622865363</c:v>
                </c:pt>
                <c:pt idx="9">
                  <c:v>0.36087896945724585</c:v>
                </c:pt>
                <c:pt idx="10">
                  <c:v>0.21503762380340308</c:v>
                </c:pt>
                <c:pt idx="11">
                  <c:v>0.40369763007061932</c:v>
                </c:pt>
                <c:pt idx="12">
                  <c:v>0.83653660781415495</c:v>
                </c:pt>
                <c:pt idx="13">
                  <c:v>0.1761984583511591</c:v>
                </c:pt>
                <c:pt idx="14">
                  <c:v>0.2621146696928065</c:v>
                </c:pt>
                <c:pt idx="15">
                  <c:v>2.5016250472398749E-2</c:v>
                </c:pt>
                <c:pt idx="16">
                  <c:v>0.66454215260423777</c:v>
                </c:pt>
                <c:pt idx="17">
                  <c:v>0.94611188349673492</c:v>
                </c:pt>
                <c:pt idx="18">
                  <c:v>0.65378832424628341</c:v>
                </c:pt>
                <c:pt idx="19">
                  <c:v>0.9447066126368201</c:v>
                </c:pt>
                <c:pt idx="20">
                  <c:v>0.85965949630968175</c:v>
                </c:pt>
                <c:pt idx="21">
                  <c:v>0.94937196178582506</c:v>
                </c:pt>
                <c:pt idx="22">
                  <c:v>0.16110836203764112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0.21953958539500518</c:v>
                </c:pt>
                <c:pt idx="21" formatCode="0.00">
                  <c:v>0.27106305757917815</c:v>
                </c:pt>
                <c:pt idx="22" formatCode="0.00">
                  <c:v>0.37876525033048225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0.17551417097028954</c:v>
                </c:pt>
                <c:pt idx="1">
                  <c:v>0.48588706011114746</c:v>
                </c:pt>
                <c:pt idx="2">
                  <c:v>0.54223030757059054</c:v>
                </c:pt>
                <c:pt idx="3">
                  <c:v>0.31143940541299397</c:v>
                </c:pt>
                <c:pt idx="4">
                  <c:v>0.13587667247259128</c:v>
                </c:pt>
                <c:pt idx="5">
                  <c:v>0.85476251317756979</c:v>
                </c:pt>
                <c:pt idx="6">
                  <c:v>3.7315279937655821E-2</c:v>
                </c:pt>
                <c:pt idx="7">
                  <c:v>8.2867328869832169E-2</c:v>
                </c:pt>
                <c:pt idx="8">
                  <c:v>0.20916029348393073</c:v>
                </c:pt>
                <c:pt idx="9">
                  <c:v>0.435374814917033</c:v>
                </c:pt>
                <c:pt idx="10">
                  <c:v>0.65881369185606398</c:v>
                </c:pt>
                <c:pt idx="11">
                  <c:v>0.79057365667238433</c:v>
                </c:pt>
                <c:pt idx="12">
                  <c:v>0.80980913373451235</c:v>
                </c:pt>
                <c:pt idx="13">
                  <c:v>0.56207907925307032</c:v>
                </c:pt>
                <c:pt idx="14">
                  <c:v>0.34947951095077512</c:v>
                </c:pt>
                <c:pt idx="15">
                  <c:v>0.99408112404749771</c:v>
                </c:pt>
                <c:pt idx="16">
                  <c:v>0.46105559484951941</c:v>
                </c:pt>
                <c:pt idx="17">
                  <c:v>0.97482949681818409</c:v>
                </c:pt>
                <c:pt idx="18">
                  <c:v>4.5427272213987568E-2</c:v>
                </c:pt>
                <c:pt idx="19">
                  <c:v>0.53639164562326347</c:v>
                </c:pt>
                <c:pt idx="21">
                  <c:v>0.51328284822653747</c:v>
                </c:pt>
                <c:pt idx="22">
                  <c:v>0.59992688587466481</c:v>
                </c:pt>
                <c:pt idx="23">
                  <c:v>0.32207251539688087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0.42383265711274459</c:v>
                </c:pt>
                <c:pt idx="1">
                  <c:v>0.88864998063425027</c:v>
                </c:pt>
                <c:pt idx="2">
                  <c:v>0.87578960722226884</c:v>
                </c:pt>
                <c:pt idx="3">
                  <c:v>0.93305658551077719</c:v>
                </c:pt>
                <c:pt idx="4">
                  <c:v>0.59161804530758588</c:v>
                </c:pt>
                <c:pt idx="5">
                  <c:v>0.97697027194379538</c:v>
                </c:pt>
                <c:pt idx="6">
                  <c:v>0.18420932418652594</c:v>
                </c:pt>
                <c:pt idx="7">
                  <c:v>0.88122025575294116</c:v>
                </c:pt>
                <c:pt idx="8">
                  <c:v>0.97837185737177434</c:v>
                </c:pt>
                <c:pt idx="9">
                  <c:v>0.56399149897525747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0.17551417097028954</c:v>
                </c:pt>
                <c:pt idx="1">
                  <c:v>0.48588706011114746</c:v>
                </c:pt>
                <c:pt idx="2">
                  <c:v>0.54223030757059054</c:v>
                </c:pt>
                <c:pt idx="3">
                  <c:v>0.31143940541299397</c:v>
                </c:pt>
                <c:pt idx="4">
                  <c:v>0.13587667247259128</c:v>
                </c:pt>
                <c:pt idx="5">
                  <c:v>0.85476251317756979</c:v>
                </c:pt>
                <c:pt idx="6">
                  <c:v>3.7315279937655821E-2</c:v>
                </c:pt>
                <c:pt idx="7">
                  <c:v>8.2867328869832169E-2</c:v>
                </c:pt>
                <c:pt idx="8">
                  <c:v>0.20916029348393073</c:v>
                </c:pt>
                <c:pt idx="9">
                  <c:v>0.435374814917033</c:v>
                </c:pt>
                <c:pt idx="10">
                  <c:v>0.65881369185606398</c:v>
                </c:pt>
                <c:pt idx="11">
                  <c:v>0.79057365667238433</c:v>
                </c:pt>
                <c:pt idx="12">
                  <c:v>0.80980913373451235</c:v>
                </c:pt>
                <c:pt idx="13">
                  <c:v>0.56207907925307032</c:v>
                </c:pt>
                <c:pt idx="14">
                  <c:v>0.34947951095077512</c:v>
                </c:pt>
                <c:pt idx="15">
                  <c:v>0.99408112404749771</c:v>
                </c:pt>
                <c:pt idx="16">
                  <c:v>0.46105559484951941</c:v>
                </c:pt>
                <c:pt idx="17">
                  <c:v>0.97482949681818409</c:v>
                </c:pt>
                <c:pt idx="18">
                  <c:v>4.5427272213987568E-2</c:v>
                </c:pt>
                <c:pt idx="19">
                  <c:v>0.53639164562326347</c:v>
                </c:pt>
                <c:pt idx="21">
                  <c:v>0.51328284822653747</c:v>
                </c:pt>
                <c:pt idx="22">
                  <c:v>0.59992688587466481</c:v>
                </c:pt>
                <c:pt idx="23">
                  <c:v>0.32207251539688087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0.2649545442555421</c:v>
                </c:pt>
                <c:pt idx="11">
                  <c:v>0.4414965228465686</c:v>
                </c:pt>
                <c:pt idx="12">
                  <c:v>0.48756235465112113</c:v>
                </c:pt>
                <c:pt idx="13">
                  <c:v>5.7451483306408445E-2</c:v>
                </c:pt>
                <c:pt idx="14">
                  <c:v>0.28404629971685513</c:v>
                </c:pt>
                <c:pt idx="15">
                  <c:v>0.53194917933647556</c:v>
                </c:pt>
                <c:pt idx="16">
                  <c:v>0.40101352050241407</c:v>
                </c:pt>
                <c:pt idx="17">
                  <c:v>0.40567922986314503</c:v>
                </c:pt>
                <c:pt idx="18">
                  <c:v>4.0560507073197791E-2</c:v>
                </c:pt>
                <c:pt idx="19">
                  <c:v>0.50344156113478711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0.17551417097028954</c:v>
                </c:pt>
                <c:pt idx="1">
                  <c:v>0.48588706011114746</c:v>
                </c:pt>
                <c:pt idx="2">
                  <c:v>0.54223030757059054</c:v>
                </c:pt>
                <c:pt idx="3">
                  <c:v>0.31143940541299397</c:v>
                </c:pt>
                <c:pt idx="4">
                  <c:v>0.13587667247259128</c:v>
                </c:pt>
                <c:pt idx="5">
                  <c:v>0.85476251317756979</c:v>
                </c:pt>
                <c:pt idx="6">
                  <c:v>3.7315279937655821E-2</c:v>
                </c:pt>
                <c:pt idx="7">
                  <c:v>8.2867328869832169E-2</c:v>
                </c:pt>
                <c:pt idx="8">
                  <c:v>0.20916029348393073</c:v>
                </c:pt>
                <c:pt idx="9">
                  <c:v>0.435374814917033</c:v>
                </c:pt>
                <c:pt idx="10">
                  <c:v>0.65881369185606398</c:v>
                </c:pt>
                <c:pt idx="11">
                  <c:v>0.79057365667238433</c:v>
                </c:pt>
                <c:pt idx="12">
                  <c:v>0.80980913373451235</c:v>
                </c:pt>
                <c:pt idx="13">
                  <c:v>0.56207907925307032</c:v>
                </c:pt>
                <c:pt idx="14">
                  <c:v>0.34947951095077512</c:v>
                </c:pt>
                <c:pt idx="15">
                  <c:v>0.99408112404749771</c:v>
                </c:pt>
                <c:pt idx="16">
                  <c:v>0.46105559484951941</c:v>
                </c:pt>
                <c:pt idx="17">
                  <c:v>0.97482949681818409</c:v>
                </c:pt>
                <c:pt idx="18">
                  <c:v>4.5427272213987568E-2</c:v>
                </c:pt>
                <c:pt idx="19">
                  <c:v>0.53639164562326347</c:v>
                </c:pt>
                <c:pt idx="21">
                  <c:v>0.51328284822653747</c:v>
                </c:pt>
                <c:pt idx="22">
                  <c:v>0.59992688587466481</c:v>
                </c:pt>
                <c:pt idx="23">
                  <c:v>0.32207251539688087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0.33171372980441971</c:v>
                </c:pt>
                <c:pt idx="22" formatCode="0.00">
                  <c:v>0.32043986080539166</c:v>
                </c:pt>
                <c:pt idx="23" formatCode="0.00">
                  <c:v>0.7359754832111004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0.83187545194986245</c:v>
                </c:pt>
                <c:pt idx="1">
                  <c:v>0.22795312330373774</c:v>
                </c:pt>
                <c:pt idx="2">
                  <c:v>0.69863117585735812</c:v>
                </c:pt>
                <c:pt idx="3">
                  <c:v>0.67130476226059044</c:v>
                </c:pt>
                <c:pt idx="4">
                  <c:v>0.88530300802910389</c:v>
                </c:pt>
                <c:pt idx="5">
                  <c:v>0.29128082723537441</c:v>
                </c:pt>
                <c:pt idx="6">
                  <c:v>0.85764599282757137</c:v>
                </c:pt>
                <c:pt idx="7">
                  <c:v>0.50905311836612499</c:v>
                </c:pt>
                <c:pt idx="8">
                  <c:v>0.49883136183614152</c:v>
                </c:pt>
                <c:pt idx="9">
                  <c:v>0.79013156991981315</c:v>
                </c:pt>
                <c:pt idx="10">
                  <c:v>0.81843998489472947</c:v>
                </c:pt>
                <c:pt idx="11">
                  <c:v>0.9482497412541443</c:v>
                </c:pt>
                <c:pt idx="12">
                  <c:v>0.91427560670858909</c:v>
                </c:pt>
                <c:pt idx="13">
                  <c:v>0.66558836938113486</c:v>
                </c:pt>
                <c:pt idx="14">
                  <c:v>0.9331031109957596</c:v>
                </c:pt>
                <c:pt idx="15">
                  <c:v>0.99345631228622244</c:v>
                </c:pt>
                <c:pt idx="16">
                  <c:v>0.32113993476703351</c:v>
                </c:pt>
                <c:pt idx="17">
                  <c:v>0.46716665501723198</c:v>
                </c:pt>
                <c:pt idx="18">
                  <c:v>0.44983652679445008</c:v>
                </c:pt>
                <c:pt idx="19">
                  <c:v>0.8331751555448409</c:v>
                </c:pt>
                <c:pt idx="21">
                  <c:v>0.3830275790415707</c:v>
                </c:pt>
                <c:pt idx="22">
                  <c:v>0.23533714776106551</c:v>
                </c:pt>
                <c:pt idx="23">
                  <c:v>0.7219225072022204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0.9934778934298415</c:v>
                </c:pt>
                <c:pt idx="1">
                  <c:v>0.42017584626942561</c:v>
                </c:pt>
                <c:pt idx="2">
                  <c:v>0.9660381257730305</c:v>
                </c:pt>
                <c:pt idx="3">
                  <c:v>0.88034854330377887</c:v>
                </c:pt>
                <c:pt idx="4">
                  <c:v>0.93844988930107753</c:v>
                </c:pt>
                <c:pt idx="5">
                  <c:v>0.63952501547154039</c:v>
                </c:pt>
                <c:pt idx="6">
                  <c:v>0.92082199868637282</c:v>
                </c:pt>
                <c:pt idx="7">
                  <c:v>0.5615988351783423</c:v>
                </c:pt>
                <c:pt idx="8">
                  <c:v>0.75723057128006865</c:v>
                </c:pt>
                <c:pt idx="9">
                  <c:v>0.85615289415134321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0.83187545194986245</c:v>
                </c:pt>
                <c:pt idx="1">
                  <c:v>0.22795312330373774</c:v>
                </c:pt>
                <c:pt idx="2">
                  <c:v>0.69863117585735812</c:v>
                </c:pt>
                <c:pt idx="3">
                  <c:v>0.67130476226059044</c:v>
                </c:pt>
                <c:pt idx="4">
                  <c:v>0.88530300802910389</c:v>
                </c:pt>
                <c:pt idx="5">
                  <c:v>0.29128082723537441</c:v>
                </c:pt>
                <c:pt idx="6">
                  <c:v>0.85764599282757137</c:v>
                </c:pt>
                <c:pt idx="7">
                  <c:v>0.50905311836612499</c:v>
                </c:pt>
                <c:pt idx="8">
                  <c:v>0.49883136183614152</c:v>
                </c:pt>
                <c:pt idx="9">
                  <c:v>0.79013156991981315</c:v>
                </c:pt>
                <c:pt idx="10">
                  <c:v>0.81843998489472947</c:v>
                </c:pt>
                <c:pt idx="11">
                  <c:v>0.9482497412541443</c:v>
                </c:pt>
                <c:pt idx="12">
                  <c:v>0.91427560670858909</c:v>
                </c:pt>
                <c:pt idx="13">
                  <c:v>0.66558836938113486</c:v>
                </c:pt>
                <c:pt idx="14">
                  <c:v>0.9331031109957596</c:v>
                </c:pt>
                <c:pt idx="15">
                  <c:v>0.99345631228622244</c:v>
                </c:pt>
                <c:pt idx="16">
                  <c:v>0.32113993476703351</c:v>
                </c:pt>
                <c:pt idx="17">
                  <c:v>0.46716665501723198</c:v>
                </c:pt>
                <c:pt idx="18">
                  <c:v>0.44983652679445008</c:v>
                </c:pt>
                <c:pt idx="19">
                  <c:v>0.8331751555448409</c:v>
                </c:pt>
                <c:pt idx="21">
                  <c:v>0.3830275790415707</c:v>
                </c:pt>
                <c:pt idx="22">
                  <c:v>0.23533714776106551</c:v>
                </c:pt>
                <c:pt idx="23">
                  <c:v>0.7219225072022204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0.27069753790822559</c:v>
                </c:pt>
                <c:pt idx="11">
                  <c:v>0.15460879445855391</c:v>
                </c:pt>
                <c:pt idx="12">
                  <c:v>0.50519077202949536</c:v>
                </c:pt>
                <c:pt idx="13">
                  <c:v>0.55233028885276247</c:v>
                </c:pt>
                <c:pt idx="14">
                  <c:v>5.7808527623146588E-3</c:v>
                </c:pt>
                <c:pt idx="15">
                  <c:v>0.52864723415229076</c:v>
                </c:pt>
                <c:pt idx="16">
                  <c:v>5.1969615089746658E-2</c:v>
                </c:pt>
                <c:pt idx="17">
                  <c:v>0.12272548002912755</c:v>
                </c:pt>
                <c:pt idx="18">
                  <c:v>0.10448560574010066</c:v>
                </c:pt>
                <c:pt idx="19">
                  <c:v>0.79803052750691095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0.83187545194986245</c:v>
                </c:pt>
                <c:pt idx="1">
                  <c:v>0.22795312330373774</c:v>
                </c:pt>
                <c:pt idx="2">
                  <c:v>0.69863117585735812</c:v>
                </c:pt>
                <c:pt idx="3">
                  <c:v>0.67130476226059044</c:v>
                </c:pt>
                <c:pt idx="4">
                  <c:v>0.88530300802910389</c:v>
                </c:pt>
                <c:pt idx="5">
                  <c:v>0.29128082723537441</c:v>
                </c:pt>
                <c:pt idx="6">
                  <c:v>0.85764599282757137</c:v>
                </c:pt>
                <c:pt idx="7">
                  <c:v>0.50905311836612499</c:v>
                </c:pt>
                <c:pt idx="8">
                  <c:v>0.49883136183614152</c:v>
                </c:pt>
                <c:pt idx="9">
                  <c:v>0.79013156991981315</c:v>
                </c:pt>
                <c:pt idx="10">
                  <c:v>0.81843998489472947</c:v>
                </c:pt>
                <c:pt idx="11">
                  <c:v>0.9482497412541443</c:v>
                </c:pt>
                <c:pt idx="12">
                  <c:v>0.91427560670858909</c:v>
                </c:pt>
                <c:pt idx="13">
                  <c:v>0.66558836938113486</c:v>
                </c:pt>
                <c:pt idx="14">
                  <c:v>0.9331031109957596</c:v>
                </c:pt>
                <c:pt idx="15">
                  <c:v>0.99345631228622244</c:v>
                </c:pt>
                <c:pt idx="16">
                  <c:v>0.32113993476703351</c:v>
                </c:pt>
                <c:pt idx="17">
                  <c:v>0.46716665501723198</c:v>
                </c:pt>
                <c:pt idx="18">
                  <c:v>0.44983652679445008</c:v>
                </c:pt>
                <c:pt idx="19">
                  <c:v>0.8331751555448409</c:v>
                </c:pt>
                <c:pt idx="21">
                  <c:v>0.3830275790415707</c:v>
                </c:pt>
                <c:pt idx="22">
                  <c:v>0.23533714776106551</c:v>
                </c:pt>
                <c:pt idx="23">
                  <c:v>0.7219225072022204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0.93340066540674993</c:v>
                </c:pt>
                <c:pt idx="22" formatCode="0.00">
                  <c:v>0.2554795185406904</c:v>
                </c:pt>
                <c:pt idx="23" formatCode="0.00">
                  <c:v>0.61806895971412124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0.22894640442932057</c:v>
                </c:pt>
                <c:pt idx="1">
                  <c:v>0.40327137996430151</c:v>
                </c:pt>
                <c:pt idx="2">
                  <c:v>0.66301515414816337</c:v>
                </c:pt>
                <c:pt idx="3">
                  <c:v>0.94442758005366745</c:v>
                </c:pt>
                <c:pt idx="4">
                  <c:v>0.24939490816583276</c:v>
                </c:pt>
                <c:pt idx="5">
                  <c:v>3.6139557161383506E-2</c:v>
                </c:pt>
                <c:pt idx="6">
                  <c:v>0.62674442146472087</c:v>
                </c:pt>
                <c:pt idx="7">
                  <c:v>0.10308058091857053</c:v>
                </c:pt>
                <c:pt idx="8">
                  <c:v>0.98984685650904403</c:v>
                </c:pt>
                <c:pt idx="9">
                  <c:v>0.63914768672141475</c:v>
                </c:pt>
                <c:pt idx="10">
                  <c:v>5.4333128663749064E-2</c:v>
                </c:pt>
                <c:pt idx="11">
                  <c:v>0.62311844956898399</c:v>
                </c:pt>
                <c:pt idx="12">
                  <c:v>0.81778460581759771</c:v>
                </c:pt>
                <c:pt idx="13">
                  <c:v>0.24854573586675577</c:v>
                </c:pt>
                <c:pt idx="14">
                  <c:v>0.29153893127767994</c:v>
                </c:pt>
                <c:pt idx="15">
                  <c:v>0.81864755249422083</c:v>
                </c:pt>
                <c:pt idx="16">
                  <c:v>0.86750532880632536</c:v>
                </c:pt>
                <c:pt idx="17">
                  <c:v>0.39228105934268576</c:v>
                </c:pt>
                <c:pt idx="18">
                  <c:v>0.46500977632206408</c:v>
                </c:pt>
                <c:pt idx="19">
                  <c:v>0.419648938575643</c:v>
                </c:pt>
                <c:pt idx="21">
                  <c:v>0.30746305185777367</c:v>
                </c:pt>
                <c:pt idx="22">
                  <c:v>0.84081478852965208</c:v>
                </c:pt>
                <c:pt idx="23">
                  <c:v>0.87119164302275709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0.67736049450243296</c:v>
                </c:pt>
                <c:pt idx="1">
                  <c:v>0.95036507429209405</c:v>
                </c:pt>
                <c:pt idx="2">
                  <c:v>0.99832584373021849</c:v>
                </c:pt>
                <c:pt idx="3">
                  <c:v>0.99803229573546359</c:v>
                </c:pt>
                <c:pt idx="4">
                  <c:v>0.71330609701398839</c:v>
                </c:pt>
                <c:pt idx="5">
                  <c:v>0.76530027459822292</c:v>
                </c:pt>
                <c:pt idx="6">
                  <c:v>0.74253050468510451</c:v>
                </c:pt>
                <c:pt idx="7">
                  <c:v>0.30224678551968986</c:v>
                </c:pt>
                <c:pt idx="8">
                  <c:v>0.99036304064632119</c:v>
                </c:pt>
                <c:pt idx="9">
                  <c:v>0.72381855584681776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0.22894640442932057</c:v>
                </c:pt>
                <c:pt idx="1">
                  <c:v>0.40327137996430151</c:v>
                </c:pt>
                <c:pt idx="2">
                  <c:v>0.66301515414816337</c:v>
                </c:pt>
                <c:pt idx="3">
                  <c:v>0.94442758005366745</c:v>
                </c:pt>
                <c:pt idx="4">
                  <c:v>0.24939490816583276</c:v>
                </c:pt>
                <c:pt idx="5">
                  <c:v>3.6139557161383506E-2</c:v>
                </c:pt>
                <c:pt idx="6">
                  <c:v>0.62674442146472087</c:v>
                </c:pt>
                <c:pt idx="7">
                  <c:v>0.10308058091857053</c:v>
                </c:pt>
                <c:pt idx="8">
                  <c:v>0.98984685650904403</c:v>
                </c:pt>
                <c:pt idx="9">
                  <c:v>0.63914768672141475</c:v>
                </c:pt>
                <c:pt idx="10">
                  <c:v>5.4333128663749064E-2</c:v>
                </c:pt>
                <c:pt idx="11">
                  <c:v>0.62311844956898399</c:v>
                </c:pt>
                <c:pt idx="12">
                  <c:v>0.81778460581759771</c:v>
                </c:pt>
                <c:pt idx="13">
                  <c:v>0.24854573586675577</c:v>
                </c:pt>
                <c:pt idx="14">
                  <c:v>0.29153893127767994</c:v>
                </c:pt>
                <c:pt idx="15">
                  <c:v>0.81864755249422083</c:v>
                </c:pt>
                <c:pt idx="16">
                  <c:v>0.86750532880632536</c:v>
                </c:pt>
                <c:pt idx="17">
                  <c:v>0.39228105934268576</c:v>
                </c:pt>
                <c:pt idx="18">
                  <c:v>0.46500977632206408</c:v>
                </c:pt>
                <c:pt idx="19">
                  <c:v>0.419648938575643</c:v>
                </c:pt>
                <c:pt idx="21">
                  <c:v>0.30746305185777367</c:v>
                </c:pt>
                <c:pt idx="22">
                  <c:v>0.84081478852965208</c:v>
                </c:pt>
                <c:pt idx="23">
                  <c:v>0.87119164302275709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1.4372789817702595E-2</c:v>
                </c:pt>
                <c:pt idx="11">
                  <c:v>0.24312017256289767</c:v>
                </c:pt>
                <c:pt idx="12">
                  <c:v>0.49013665624501801</c:v>
                </c:pt>
                <c:pt idx="13">
                  <c:v>0.23692958343343543</c:v>
                </c:pt>
                <c:pt idx="14">
                  <c:v>6.568566923938228E-2</c:v>
                </c:pt>
                <c:pt idx="15">
                  <c:v>0.75958712110664361</c:v>
                </c:pt>
                <c:pt idx="16">
                  <c:v>7.5668716919835316E-2</c:v>
                </c:pt>
                <c:pt idx="17">
                  <c:v>0.14133719682506757</c:v>
                </c:pt>
                <c:pt idx="18">
                  <c:v>0.10772056733447433</c:v>
                </c:pt>
                <c:pt idx="19">
                  <c:v>0.36308870450264236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0.22894640442932057</c:v>
                </c:pt>
                <c:pt idx="1">
                  <c:v>0.40327137996430151</c:v>
                </c:pt>
                <c:pt idx="2">
                  <c:v>0.66301515414816337</c:v>
                </c:pt>
                <c:pt idx="3">
                  <c:v>0.94442758005366745</c:v>
                </c:pt>
                <c:pt idx="4">
                  <c:v>0.24939490816583276</c:v>
                </c:pt>
                <c:pt idx="5">
                  <c:v>3.6139557161383506E-2</c:v>
                </c:pt>
                <c:pt idx="6">
                  <c:v>0.62674442146472087</c:v>
                </c:pt>
                <c:pt idx="7">
                  <c:v>0.10308058091857053</c:v>
                </c:pt>
                <c:pt idx="8">
                  <c:v>0.98984685650904403</c:v>
                </c:pt>
                <c:pt idx="9">
                  <c:v>0.63914768672141475</c:v>
                </c:pt>
                <c:pt idx="10">
                  <c:v>5.4333128663749064E-2</c:v>
                </c:pt>
                <c:pt idx="11">
                  <c:v>0.62311844956898399</c:v>
                </c:pt>
                <c:pt idx="12">
                  <c:v>0.81778460581759771</c:v>
                </c:pt>
                <c:pt idx="13">
                  <c:v>0.24854573586675577</c:v>
                </c:pt>
                <c:pt idx="14">
                  <c:v>0.29153893127767994</c:v>
                </c:pt>
                <c:pt idx="15">
                  <c:v>0.81864755249422083</c:v>
                </c:pt>
                <c:pt idx="16">
                  <c:v>0.86750532880632536</c:v>
                </c:pt>
                <c:pt idx="17">
                  <c:v>0.39228105934268576</c:v>
                </c:pt>
                <c:pt idx="18">
                  <c:v>0.46500977632206408</c:v>
                </c:pt>
                <c:pt idx="19">
                  <c:v>0.419648938575643</c:v>
                </c:pt>
                <c:pt idx="21">
                  <c:v>0.30746305185777367</c:v>
                </c:pt>
                <c:pt idx="22">
                  <c:v>0.84081478852965208</c:v>
                </c:pt>
                <c:pt idx="23">
                  <c:v>0.87119164302275709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0.63077308666274567</c:v>
                </c:pt>
                <c:pt idx="22" formatCode="0.00">
                  <c:v>0.52425024964916411</c:v>
                </c:pt>
                <c:pt idx="23" formatCode="0.00">
                  <c:v>9.7363271553025932E-2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2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KNN"/>
      <sheetName val="KNN_Data"/>
      <sheetName val="KNN_XNew"/>
      <sheetName val="KNN_Distance"/>
      <sheetName val="KNN_Nearest"/>
      <sheetName val="KNN_K"/>
      <sheetName val="KNN_Vote"/>
      <sheetName val="KNN_Probability"/>
      <sheetName val="KNN_Link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Optim_LSearch"/>
      <sheetName val="Diagnostics"/>
      <sheetName val="Overall_Ftest_Importance"/>
      <sheetName val="Data"/>
      <sheetName val="AIC_0"/>
      <sheetName val="Overall_Ftest"/>
      <sheetName val="Narcissus"/>
      <sheetName val="Importance"/>
      <sheetName val="MLR_Step"/>
      <sheetName val="LogisticRegression"/>
      <sheetName val="Concept"/>
      <sheetName val="YourTurn"/>
      <sheetName val="Iris_Data"/>
      <sheetName val="Iris_Fit"/>
      <sheetName val="Iris_Forecast_OOS"/>
      <sheetName val="R_Code"/>
      <sheetName val="PCA"/>
      <sheetName val="Terminology"/>
      <sheetName val="Boxers1"/>
      <sheetName val="Boxers2"/>
      <sheetName val="Boxers3"/>
      <sheetName val="Dimensions"/>
      <sheetName val="GreenPaint1"/>
      <sheetName val="GreenPaint2"/>
      <sheetName val="LimePaint"/>
      <sheetName val="Boxers4"/>
      <sheetName val="Calculation"/>
      <sheetName val="Code_R"/>
      <sheetName val="Extra"/>
      <sheetName val="PreWork4NextClass"/>
      <sheetName val="InClassProjects"/>
      <sheetName val="Q_KNN"/>
      <sheetName val="Q_Diagnostics"/>
      <sheetName val="Q_Regression"/>
      <sheetName val="Q_LogisticRegre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AB4">
            <v>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drive.google.com/open?id=1KKzO6JxRiEYAP7m5e9ptvYqNGuHFkO1c&amp;authuser=davethemovie%40gmail.com&amp;usp=drive_fs" TargetMode="Externa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en.wikipedia.org/wiki/Sensitivity_and_specificity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C15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3" x14ac:dyDescent="0.3">
      <c r="B3" s="1" t="s">
        <v>11</v>
      </c>
    </row>
    <row r="4" spans="2:3" x14ac:dyDescent="0.3">
      <c r="C4" s="1" t="s">
        <v>233</v>
      </c>
    </row>
    <row r="5" spans="2:3" x14ac:dyDescent="0.3">
      <c r="C5" s="1" t="s">
        <v>234</v>
      </c>
    </row>
    <row r="7" spans="2:3" x14ac:dyDescent="0.3">
      <c r="B7" s="1" t="s">
        <v>12</v>
      </c>
    </row>
    <row r="8" spans="2:3" x14ac:dyDescent="0.3">
      <c r="C8" s="1" t="s">
        <v>235</v>
      </c>
    </row>
    <row r="9" spans="2:3" x14ac:dyDescent="0.3">
      <c r="C9" s="1" t="s">
        <v>236</v>
      </c>
    </row>
    <row r="11" spans="2:3" x14ac:dyDescent="0.3">
      <c r="B11" s="1" t="s">
        <v>21</v>
      </c>
    </row>
    <row r="12" spans="2:3" x14ac:dyDescent="0.3">
      <c r="C12" s="1" t="s">
        <v>237</v>
      </c>
    </row>
    <row r="14" spans="2:3" x14ac:dyDescent="0.3">
      <c r="B14" s="1" t="s">
        <v>149</v>
      </c>
    </row>
    <row r="15" spans="2:3" x14ac:dyDescent="0.3">
      <c r="C15" s="1" t="s">
        <v>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13</v>
      </c>
    </row>
    <row r="4" spans="2:2" x14ac:dyDescent="0.3">
      <c r="B4" s="1" t="s">
        <v>14</v>
      </c>
    </row>
    <row r="6" spans="2:2" x14ac:dyDescent="0.3">
      <c r="B6" s="1" t="s">
        <v>15</v>
      </c>
    </row>
    <row r="8" spans="2:2" x14ac:dyDescent="0.3">
      <c r="B8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30</v>
      </c>
    </row>
    <row r="2" spans="1:1" x14ac:dyDescent="0.3">
      <c r="A2" s="1" t="s">
        <v>0</v>
      </c>
    </row>
    <row r="3" spans="1:1" x14ac:dyDescent="0.3">
      <c r="A3" s="1" t="s">
        <v>166</v>
      </c>
    </row>
    <row r="4" spans="1:1" x14ac:dyDescent="0.3">
      <c r="A4" s="1" t="s">
        <v>31</v>
      </c>
    </row>
    <row r="5" spans="1:1" x14ac:dyDescent="0.3">
      <c r="A5" s="1" t="s">
        <v>177</v>
      </c>
    </row>
    <row r="6" spans="1:1" x14ac:dyDescent="0.3">
      <c r="A6" s="1" t="s">
        <v>32</v>
      </c>
    </row>
    <row r="7" spans="1:1" x14ac:dyDescent="0.3">
      <c r="A7" s="1" t="s">
        <v>33</v>
      </c>
    </row>
    <row r="8" spans="1:1" x14ac:dyDescent="0.3">
      <c r="A8" s="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F9A73072-18CB-DC44-9EB2-1F95132F964A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265</v>
      </c>
      <c r="D1" s="9" t="s">
        <v>266</v>
      </c>
    </row>
  </sheetData>
  <hyperlinks>
    <hyperlink ref="B1" r:id="rId1" xr:uid="{126E63BA-8D6D-1C4C-A38B-66245A22D507}"/>
    <hyperlink ref="D1" r:id="rId2" xr:uid="{C582B87D-0B21-5641-8A90-0659505FAA47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267</v>
      </c>
    </row>
  </sheetData>
  <hyperlinks>
    <hyperlink ref="B1" r:id="rId1" xr:uid="{F6CF2515-D1DE-4944-8F5A-47EAC6B1D27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32</v>
      </c>
    </row>
  </sheetData>
  <hyperlinks>
    <hyperlink ref="B1" r:id="rId1" xr:uid="{B53F1B0C-C5C0-8447-BF7D-A856A8E28D02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268</v>
      </c>
    </row>
  </sheetData>
  <hyperlinks>
    <hyperlink ref="B1" r:id="rId1" xr:uid="{615B939B-01AB-2E43-8A2A-C3075E092F48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32" t="s">
        <v>269</v>
      </c>
    </row>
    <row r="2" spans="1:17" x14ac:dyDescent="0.2">
      <c r="A2" s="32" t="s">
        <v>270</v>
      </c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3.534920691356644</v>
      </c>
      <c r="I2" s="6">
        <f t="shared" si="0"/>
        <v>3.154303390404829</v>
      </c>
      <c r="J2" s="6">
        <f t="shared" si="0"/>
        <v>2.7860652481497055</v>
      </c>
      <c r="K2" s="6">
        <f t="shared" si="0"/>
        <v>2.3665147734519247</v>
      </c>
      <c r="L2" s="6">
        <f t="shared" si="0"/>
        <v>1.9790365830687984</v>
      </c>
      <c r="M2" s="6">
        <f t="shared" si="0"/>
        <v>1.6347515349254034</v>
      </c>
      <c r="N2" s="6">
        <f t="shared" si="0"/>
        <v>1.2460387098986498</v>
      </c>
      <c r="O2" s="6">
        <f t="shared" si="0"/>
        <v>0.81252771910477906</v>
      </c>
      <c r="P2" s="6">
        <f t="shared" si="0"/>
        <v>0.4294295246905851</v>
      </c>
      <c r="Q2" s="6">
        <f t="shared" si="0"/>
        <v>0</v>
      </c>
    </row>
    <row r="3" spans="1:17" x14ac:dyDescent="0.2">
      <c r="A3" s="33"/>
      <c r="B3" s="2">
        <v>0.1</v>
      </c>
      <c r="D3" s="5">
        <f ca="1">CORREL(OFFSET(B4,1,0,100),OFFSET(B4,2,0,100))</f>
        <v>0.13745721889119386</v>
      </c>
    </row>
    <row r="4" spans="1:17" x14ac:dyDescent="0.2">
      <c r="A4" s="33"/>
      <c r="F4" s="4">
        <f ca="1">D12</f>
        <v>1.7031428800809469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33">
        <v>1</v>
      </c>
      <c r="B5" s="2">
        <f ca="1">_xlfn.NORM.S.INV(RAND())</f>
        <v>1.3445859543466596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3.4043155499690707</v>
      </c>
      <c r="I5" s="3">
        <v>3.1491168905885849</v>
      </c>
      <c r="J5" s="3">
        <v>2.5301514163963374</v>
      </c>
      <c r="K5" s="3">
        <v>2.379721080001076</v>
      </c>
      <c r="L5" s="3">
        <v>2.2481407512080249</v>
      </c>
      <c r="M5" s="3">
        <v>1.4334571138363226</v>
      </c>
      <c r="N5" s="3">
        <v>1.419352262409908</v>
      </c>
      <c r="O5" s="3">
        <v>0.97309085707212251</v>
      </c>
      <c r="P5" s="3">
        <v>0.28864818189079122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0.59786289577491702</v>
      </c>
      <c r="D6" s="5">
        <f ca="1">SUMXMY2(OFFSET(B4,1,0,99),OFFSET(B4,2,0,99))</f>
        <v>176.03302042624506</v>
      </c>
      <c r="F6" s="4">
        <v>2</v>
      </c>
      <c r="G6" s="3">
        <v>3.96</v>
      </c>
      <c r="H6" s="3">
        <v>3.5546103857450606</v>
      </c>
      <c r="I6" s="3">
        <v>3.218556295032684</v>
      </c>
      <c r="J6" s="3">
        <v>3.1974689986494194</v>
      </c>
      <c r="K6" s="3">
        <v>2.4455899426671421</v>
      </c>
      <c r="L6" s="3">
        <v>1.7801890281688244</v>
      </c>
      <c r="M6" s="3">
        <v>1.8262571542931649</v>
      </c>
      <c r="N6" s="3">
        <v>1.1290689558880362</v>
      </c>
      <c r="O6" s="3">
        <v>0.73756644091458623</v>
      </c>
      <c r="P6" s="3">
        <v>0.52014063331224292</v>
      </c>
      <c r="Q6" s="3">
        <v>0</v>
      </c>
    </row>
    <row r="7" spans="1:17" x14ac:dyDescent="0.2">
      <c r="A7" s="2">
        <v>3</v>
      </c>
      <c r="B7" s="2">
        <f t="shared" ca="1" si="1"/>
        <v>-5.6354775881694623E-2</v>
      </c>
      <c r="F7" s="4">
        <v>3</v>
      </c>
      <c r="G7" s="3">
        <v>3.9599999999999995</v>
      </c>
      <c r="H7" s="3">
        <v>3.518134312418141</v>
      </c>
      <c r="I7" s="3">
        <v>3.3529860981917734</v>
      </c>
      <c r="J7" s="3">
        <v>2.7592697162228856</v>
      </c>
      <c r="K7" s="3">
        <v>2.2399966498102706</v>
      </c>
      <c r="L7" s="3">
        <v>1.6131075353615056</v>
      </c>
      <c r="M7" s="3">
        <v>1.3610526384763288</v>
      </c>
      <c r="N7" s="3">
        <v>1.2555128036058705</v>
      </c>
      <c r="O7" s="3">
        <v>0.79939377501847586</v>
      </c>
      <c r="P7" s="3">
        <v>0.49072083674613082</v>
      </c>
      <c r="Q7" s="3">
        <v>0</v>
      </c>
    </row>
    <row r="8" spans="1:17" x14ac:dyDescent="0.2">
      <c r="A8" s="2">
        <v>4</v>
      </c>
      <c r="B8" s="2">
        <f t="shared" ca="1" si="1"/>
        <v>-0.60949077800694507</v>
      </c>
      <c r="D8" s="2" t="s">
        <v>2</v>
      </c>
      <c r="F8" s="4">
        <v>4</v>
      </c>
      <c r="G8" s="3">
        <v>3.9600000000000004</v>
      </c>
      <c r="H8" s="3">
        <v>3.4411375278752723</v>
      </c>
      <c r="I8" s="3">
        <v>3.3986101039662122</v>
      </c>
      <c r="J8" s="3">
        <v>2.8185384803689972</v>
      </c>
      <c r="K8" s="3">
        <v>2.4985824053749481</v>
      </c>
      <c r="L8" s="3">
        <v>1.7237596821997303</v>
      </c>
      <c r="M8" s="3">
        <v>1.6541145880107426</v>
      </c>
      <c r="N8" s="3">
        <v>1.2901955703068806</v>
      </c>
      <c r="O8" s="3">
        <v>0.82614795655211204</v>
      </c>
      <c r="P8" s="3">
        <v>0.36226990726193464</v>
      </c>
      <c r="Q8" s="3">
        <v>0</v>
      </c>
    </row>
    <row r="9" spans="1:17" x14ac:dyDescent="0.2">
      <c r="A9" s="2">
        <v>5</v>
      </c>
      <c r="B9" s="2">
        <f t="shared" ca="1" si="1"/>
        <v>0.54088455765164467</v>
      </c>
      <c r="D9" s="2">
        <f ca="1">SUMSQ(B5:B104)</f>
        <v>103.35775259083287</v>
      </c>
      <c r="F9" s="4">
        <v>5</v>
      </c>
      <c r="G9" s="3">
        <v>3.96</v>
      </c>
      <c r="H9" s="3">
        <v>3.5375088008190798</v>
      </c>
      <c r="I9" s="3">
        <v>3.307046949411077</v>
      </c>
      <c r="J9" s="3">
        <v>2.8233503771107062</v>
      </c>
      <c r="K9" s="3">
        <v>2.4360453412936875</v>
      </c>
      <c r="L9" s="3">
        <v>1.8252991230279165</v>
      </c>
      <c r="M9" s="3">
        <v>1.9167083110977585</v>
      </c>
      <c r="N9" s="3">
        <v>1.4698297245743419</v>
      </c>
      <c r="O9" s="3">
        <v>0.79134522919034378</v>
      </c>
      <c r="P9" s="3">
        <v>0.61291459268426818</v>
      </c>
      <c r="Q9" s="3">
        <v>0</v>
      </c>
    </row>
    <row r="10" spans="1:17" x14ac:dyDescent="0.2">
      <c r="A10" s="2">
        <v>6</v>
      </c>
      <c r="B10" s="2">
        <f t="shared" ca="1" si="1"/>
        <v>0.30411952524835034</v>
      </c>
      <c r="F10" s="4">
        <v>6</v>
      </c>
      <c r="G10" s="3">
        <v>3.96</v>
      </c>
      <c r="H10" s="3">
        <v>3.4390876669592094</v>
      </c>
      <c r="I10" s="3">
        <v>3.2152521331122408</v>
      </c>
      <c r="J10" s="3">
        <v>2.6804904759988619</v>
      </c>
      <c r="K10" s="3">
        <v>2.3587221985219644</v>
      </c>
      <c r="L10" s="3">
        <v>1.9422799639828054</v>
      </c>
      <c r="M10" s="3">
        <v>1.8748667666998939</v>
      </c>
      <c r="N10" s="3">
        <v>1.3214865292154863</v>
      </c>
      <c r="O10" s="3">
        <v>0.4781635524731378</v>
      </c>
      <c r="P10" s="3">
        <v>0.33044341551535339</v>
      </c>
      <c r="Q10" s="3">
        <v>0</v>
      </c>
    </row>
    <row r="11" spans="1:17" x14ac:dyDescent="0.2">
      <c r="A11" s="2">
        <v>7</v>
      </c>
      <c r="B11" s="2">
        <f t="shared" ca="1" si="1"/>
        <v>-0.41337123288014888</v>
      </c>
      <c r="D11" s="2" t="s">
        <v>1</v>
      </c>
      <c r="F11" s="4">
        <v>7</v>
      </c>
      <c r="G11" s="3">
        <v>3.96</v>
      </c>
      <c r="H11" s="3">
        <v>3.6088271942769876</v>
      </c>
      <c r="I11" s="3">
        <v>3.1267799237655285</v>
      </c>
      <c r="J11" s="3">
        <v>2.9038472052490243</v>
      </c>
      <c r="K11" s="3">
        <v>2.1776824015895029</v>
      </c>
      <c r="L11" s="3">
        <v>2.1420416497237658</v>
      </c>
      <c r="M11" s="3">
        <v>1.6833911217836059</v>
      </c>
      <c r="N11" s="3">
        <v>1.2610977917233672</v>
      </c>
      <c r="O11" s="3">
        <v>0.70908804301594019</v>
      </c>
      <c r="P11" s="3">
        <v>0.40181991740839051</v>
      </c>
      <c r="Q11" s="3">
        <v>0</v>
      </c>
    </row>
    <row r="12" spans="1:17" x14ac:dyDescent="0.2">
      <c r="A12" s="2">
        <v>8</v>
      </c>
      <c r="B12" s="2">
        <f t="shared" ca="1" si="1"/>
        <v>0.7393653597420029</v>
      </c>
      <c r="D12" s="2">
        <f ca="1">D6/D9</f>
        <v>1.7031428800809469</v>
      </c>
      <c r="F12" s="4">
        <v>8</v>
      </c>
      <c r="G12" s="3">
        <v>3.96</v>
      </c>
      <c r="H12" s="3">
        <v>3.6203648761716569</v>
      </c>
      <c r="I12" s="3">
        <v>3.2420048972193762</v>
      </c>
      <c r="J12" s="3">
        <v>2.9939812736630951</v>
      </c>
      <c r="K12" s="3">
        <v>2.4137462829042908</v>
      </c>
      <c r="L12" s="3">
        <v>1.7665714882234838</v>
      </c>
      <c r="M12" s="3">
        <v>1.4968564395110349</v>
      </c>
      <c r="N12" s="3">
        <v>1.4572704118902078</v>
      </c>
      <c r="O12" s="3">
        <v>0.70360024213407002</v>
      </c>
      <c r="P12" s="3">
        <v>0.40147730559218081</v>
      </c>
      <c r="Q12" s="3">
        <v>0</v>
      </c>
    </row>
    <row r="13" spans="1:17" x14ac:dyDescent="0.2">
      <c r="A13" s="2">
        <v>9</v>
      </c>
      <c r="B13" s="2">
        <f t="shared" ca="1" si="1"/>
        <v>0.98677786465159856</v>
      </c>
      <c r="F13" s="4">
        <v>9</v>
      </c>
      <c r="G13" s="3">
        <v>3.96</v>
      </c>
      <c r="H13" s="3">
        <v>3.5809633653625128</v>
      </c>
      <c r="I13" s="3">
        <v>3.1002297887857062</v>
      </c>
      <c r="J13" s="3">
        <v>2.6841903956492681</v>
      </c>
      <c r="K13" s="3">
        <v>2.3182768057156222</v>
      </c>
      <c r="L13" s="3">
        <v>1.9814274335900299</v>
      </c>
      <c r="M13" s="3">
        <v>1.6684771451879712</v>
      </c>
      <c r="N13" s="3">
        <v>1.5218053153280917</v>
      </c>
      <c r="O13" s="3">
        <v>0.91621455764004867</v>
      </c>
      <c r="P13" s="3">
        <v>0.66442835855649807</v>
      </c>
      <c r="Q13" s="3">
        <v>0</v>
      </c>
    </row>
    <row r="14" spans="1:17" x14ac:dyDescent="0.2">
      <c r="A14" s="2">
        <v>10</v>
      </c>
      <c r="B14" s="2">
        <f t="shared" ca="1" si="1"/>
        <v>1.2582857017670404</v>
      </c>
      <c r="F14" s="4">
        <v>10</v>
      </c>
      <c r="G14" s="3">
        <v>3.9599999999999995</v>
      </c>
      <c r="H14" s="3">
        <v>3.5941813569569669</v>
      </c>
      <c r="I14" s="3">
        <v>3.1362683335320325</v>
      </c>
      <c r="J14" s="3">
        <v>2.8333772526574768</v>
      </c>
      <c r="K14" s="3">
        <v>2.6195994196575869</v>
      </c>
      <c r="L14" s="3">
        <v>2.0189493997592574</v>
      </c>
      <c r="M14" s="3">
        <v>1.423953658589922</v>
      </c>
      <c r="N14" s="3">
        <v>1.3524045185498148</v>
      </c>
      <c r="O14" s="3">
        <v>0.67907361530398502</v>
      </c>
      <c r="P14" s="3">
        <v>0.3901647216159862</v>
      </c>
      <c r="Q14" s="3">
        <v>0</v>
      </c>
    </row>
    <row r="15" spans="1:17" x14ac:dyDescent="0.2">
      <c r="A15" s="2">
        <v>11</v>
      </c>
      <c r="B15" s="2">
        <f t="shared" ca="1" si="1"/>
        <v>-0.18246619658820892</v>
      </c>
      <c r="F15" s="4">
        <v>11</v>
      </c>
      <c r="G15" s="3">
        <v>3.96</v>
      </c>
      <c r="H15" s="3">
        <v>3.5293696882953522</v>
      </c>
      <c r="I15" s="3">
        <v>3.2739666001492971</v>
      </c>
      <c r="J15" s="3">
        <v>2.4534662029231038</v>
      </c>
      <c r="K15" s="3">
        <v>2.4400337986268985</v>
      </c>
      <c r="L15" s="3">
        <v>1.9496246079872444</v>
      </c>
      <c r="M15" s="3">
        <v>1.5475271614673838</v>
      </c>
      <c r="N15" s="3">
        <v>1.0258800941412145</v>
      </c>
      <c r="O15" s="3">
        <v>0.6026551944733296</v>
      </c>
      <c r="P15" s="3">
        <v>0.47069765057450602</v>
      </c>
      <c r="Q15" s="3">
        <v>0</v>
      </c>
    </row>
    <row r="16" spans="1:17" x14ac:dyDescent="0.2">
      <c r="A16" s="2">
        <v>12</v>
      </c>
      <c r="B16" s="2">
        <f t="shared" ca="1" si="1"/>
        <v>-0.38226143840603588</v>
      </c>
      <c r="F16" s="4">
        <v>12</v>
      </c>
      <c r="G16" s="3">
        <v>3.9600000000000004</v>
      </c>
      <c r="H16" s="3">
        <v>3.6316842572783483</v>
      </c>
      <c r="I16" s="3">
        <v>2.8989804370192327</v>
      </c>
      <c r="J16" s="3">
        <v>2.3820051949566561</v>
      </c>
      <c r="K16" s="3">
        <v>2.541861359287414</v>
      </c>
      <c r="L16" s="3">
        <v>2.3068299307757854</v>
      </c>
      <c r="M16" s="3">
        <v>1.7234398879299528</v>
      </c>
      <c r="N16" s="3">
        <v>1.489814013022005</v>
      </c>
      <c r="O16" s="3">
        <v>0.70806108796042</v>
      </c>
      <c r="P16" s="3">
        <v>0.61443554526155331</v>
      </c>
      <c r="Q16" s="3">
        <v>0</v>
      </c>
    </row>
    <row r="17" spans="1:17" x14ac:dyDescent="0.2">
      <c r="A17" s="2">
        <v>13</v>
      </c>
      <c r="B17" s="2">
        <f t="shared" ca="1" si="1"/>
        <v>5.1311648509329899E-2</v>
      </c>
      <c r="F17" s="4">
        <v>13</v>
      </c>
      <c r="G17" s="3">
        <v>3.9599999999999995</v>
      </c>
      <c r="H17" s="3">
        <v>3.6291446947860768</v>
      </c>
      <c r="I17" s="3">
        <v>3.3546909906936366</v>
      </c>
      <c r="J17" s="3">
        <v>2.7393123996241502</v>
      </c>
      <c r="K17" s="3">
        <v>2.1126028930760699</v>
      </c>
      <c r="L17" s="3">
        <v>1.8343323013740931</v>
      </c>
      <c r="M17" s="3">
        <v>1.2608809833970696</v>
      </c>
      <c r="N17" s="3">
        <v>1.2891965203391611</v>
      </c>
      <c r="O17" s="3">
        <v>0.74039779591613675</v>
      </c>
      <c r="P17" s="3">
        <v>0.54719560153209845</v>
      </c>
      <c r="Q17" s="3">
        <v>0</v>
      </c>
    </row>
    <row r="18" spans="1:17" x14ac:dyDescent="0.2">
      <c r="A18" s="2">
        <v>14</v>
      </c>
      <c r="B18" s="2">
        <f t="shared" ca="1" si="1"/>
        <v>1.5000305380594312</v>
      </c>
      <c r="F18" s="4">
        <v>14</v>
      </c>
      <c r="G18" s="3">
        <v>3.96</v>
      </c>
      <c r="H18" s="3">
        <v>3.7099220762592857</v>
      </c>
      <c r="I18" s="3">
        <v>3.299827724233066</v>
      </c>
      <c r="J18" s="3">
        <v>2.558764329794506</v>
      </c>
      <c r="K18" s="3">
        <v>2.42707673693329</v>
      </c>
      <c r="L18" s="3">
        <v>2.1837474091793769</v>
      </c>
      <c r="M18" s="3">
        <v>1.5496400254410274</v>
      </c>
      <c r="N18" s="3">
        <v>1.0914212680703606</v>
      </c>
      <c r="O18" s="3">
        <v>0.8641551558809949</v>
      </c>
      <c r="P18" s="3">
        <v>0.34214511361976263</v>
      </c>
      <c r="Q18" s="3">
        <v>0</v>
      </c>
    </row>
    <row r="19" spans="1:17" x14ac:dyDescent="0.2">
      <c r="A19" s="2">
        <v>15</v>
      </c>
      <c r="B19" s="2">
        <f t="shared" ca="1" si="1"/>
        <v>-1.1472369826934965</v>
      </c>
      <c r="F19" s="4">
        <v>15</v>
      </c>
      <c r="G19" s="3">
        <v>3.96</v>
      </c>
      <c r="H19" s="3">
        <v>3.5971798374438104</v>
      </c>
      <c r="I19" s="3">
        <v>2.9574044007322975</v>
      </c>
      <c r="J19" s="3">
        <v>2.9808715320503612</v>
      </c>
      <c r="K19" s="3">
        <v>2.2155376735421295</v>
      </c>
      <c r="L19" s="3">
        <v>2.2880389211731709</v>
      </c>
      <c r="M19" s="3">
        <v>1.4808251342904704</v>
      </c>
      <c r="N19" s="3">
        <v>1.1537746187875586</v>
      </c>
      <c r="O19" s="3">
        <v>0.97574664224999996</v>
      </c>
      <c r="P19" s="3">
        <v>0.44623028293382455</v>
      </c>
      <c r="Q19" s="3">
        <v>0</v>
      </c>
    </row>
    <row r="20" spans="1:17" x14ac:dyDescent="0.2">
      <c r="A20" s="2">
        <v>16</v>
      </c>
      <c r="B20" s="2">
        <f t="shared" ca="1" si="1"/>
        <v>-0.61777783609456993</v>
      </c>
      <c r="F20" s="4">
        <v>16</v>
      </c>
      <c r="G20" s="3">
        <v>3.96</v>
      </c>
      <c r="H20" s="3">
        <v>3.4567205748639407</v>
      </c>
      <c r="I20" s="3">
        <v>3.2345994495785244</v>
      </c>
      <c r="J20" s="3">
        <v>2.7980047243779205</v>
      </c>
      <c r="K20" s="3">
        <v>2.8725587560269594</v>
      </c>
      <c r="L20" s="3">
        <v>1.9318357092613376</v>
      </c>
      <c r="M20" s="3">
        <v>1.3165261398862611</v>
      </c>
      <c r="N20" s="3">
        <v>1.0876852615223693</v>
      </c>
      <c r="O20" s="3">
        <v>0.70481265979779983</v>
      </c>
      <c r="P20" s="3">
        <v>0.37830965168934866</v>
      </c>
      <c r="Q20" s="3">
        <v>0</v>
      </c>
    </row>
    <row r="21" spans="1:17" x14ac:dyDescent="0.2">
      <c r="A21" s="2">
        <v>17</v>
      </c>
      <c r="B21" s="2">
        <f t="shared" ca="1" si="1"/>
        <v>-0.93655121814888487</v>
      </c>
      <c r="F21" s="4">
        <v>17</v>
      </c>
      <c r="G21" s="3">
        <v>3.96</v>
      </c>
      <c r="H21" s="3">
        <v>3.7350038561054455</v>
      </c>
      <c r="I21" s="3">
        <v>3.2265054592501241</v>
      </c>
      <c r="J21" s="3">
        <v>2.9329101154927191</v>
      </c>
      <c r="K21" s="3">
        <v>2.3323204558621411</v>
      </c>
      <c r="L21" s="3">
        <v>1.892929251680858</v>
      </c>
      <c r="M21" s="3">
        <v>1.6985197932356721</v>
      </c>
      <c r="N21" s="3">
        <v>1.3074904137641601</v>
      </c>
      <c r="O21" s="3">
        <v>0.71427850706427864</v>
      </c>
      <c r="P21" s="3">
        <v>0.38193688838072198</v>
      </c>
      <c r="Q21" s="3">
        <v>0</v>
      </c>
    </row>
    <row r="22" spans="1:17" x14ac:dyDescent="0.2">
      <c r="A22" s="2">
        <v>18</v>
      </c>
      <c r="B22" s="2">
        <f t="shared" ca="1" si="1"/>
        <v>0.3566729061862346</v>
      </c>
      <c r="F22" s="4">
        <v>18</v>
      </c>
      <c r="G22" s="3">
        <v>3.96</v>
      </c>
      <c r="H22" s="3">
        <v>3.69913538190655</v>
      </c>
      <c r="I22" s="3">
        <v>3.0452351272033162</v>
      </c>
      <c r="J22" s="3">
        <v>2.9300082682866</v>
      </c>
      <c r="K22" s="3">
        <v>2.2778717508190964</v>
      </c>
      <c r="L22" s="3">
        <v>1.7656473695277199</v>
      </c>
      <c r="M22" s="3">
        <v>1.6255220117911833</v>
      </c>
      <c r="N22" s="3">
        <v>1.0277546110344336</v>
      </c>
      <c r="O22" s="3">
        <v>1.0963226866091118</v>
      </c>
      <c r="P22" s="3">
        <v>0.35682276241380056</v>
      </c>
      <c r="Q22" s="3">
        <v>0</v>
      </c>
    </row>
    <row r="23" spans="1:17" x14ac:dyDescent="0.2">
      <c r="A23" s="2">
        <v>19</v>
      </c>
      <c r="B23" s="2">
        <f t="shared" ca="1" si="1"/>
        <v>0.2550371064212405</v>
      </c>
      <c r="F23" s="4">
        <v>19</v>
      </c>
      <c r="G23" s="3">
        <v>3.96</v>
      </c>
      <c r="H23" s="3">
        <v>3.7781555834242364</v>
      </c>
      <c r="I23" s="3">
        <v>3.0703493948143792</v>
      </c>
      <c r="J23" s="3">
        <v>3.060735184819154</v>
      </c>
      <c r="K23" s="3">
        <v>2.506064760550553</v>
      </c>
      <c r="L23" s="3">
        <v>2.0327841506606346</v>
      </c>
      <c r="M23" s="3">
        <v>2.0051591384216501</v>
      </c>
      <c r="N23" s="3">
        <v>1.35826358949825</v>
      </c>
      <c r="O23" s="3">
        <v>0.7037833637196963</v>
      </c>
      <c r="P23" s="3">
        <v>0.24316124568795355</v>
      </c>
      <c r="Q23" s="3">
        <v>0</v>
      </c>
    </row>
    <row r="24" spans="1:17" x14ac:dyDescent="0.2">
      <c r="A24" s="2">
        <v>20</v>
      </c>
      <c r="B24" s="2">
        <f t="shared" ca="1" si="1"/>
        <v>0.81311807943985193</v>
      </c>
      <c r="F24" s="4">
        <v>20</v>
      </c>
      <c r="G24" s="3">
        <v>3.96</v>
      </c>
      <c r="H24" s="3">
        <v>3.5120681915678023</v>
      </c>
      <c r="I24" s="3">
        <v>3.2779628766231208</v>
      </c>
      <c r="J24" s="3">
        <v>2.4447817512193031</v>
      </c>
      <c r="K24" s="3">
        <v>2.5910918738573456</v>
      </c>
      <c r="L24" s="3">
        <v>2.1258848804522623</v>
      </c>
      <c r="M24" s="3">
        <v>1.8117760382986212</v>
      </c>
      <c r="N24" s="3">
        <v>1.5220868940423216</v>
      </c>
      <c r="O24" s="3">
        <v>0.6234467850809956</v>
      </c>
      <c r="P24" s="3">
        <v>0.61821498505910211</v>
      </c>
      <c r="Q24" s="3">
        <v>0</v>
      </c>
    </row>
    <row r="25" spans="1:17" x14ac:dyDescent="0.2">
      <c r="A25" s="2">
        <v>21</v>
      </c>
      <c r="B25" s="2">
        <f t="shared" ca="1" si="1"/>
        <v>0.79497101891301725</v>
      </c>
      <c r="F25" s="4">
        <v>21</v>
      </c>
      <c r="G25" s="3">
        <v>3.96</v>
      </c>
      <c r="H25" s="3">
        <v>3.4451449869495407</v>
      </c>
      <c r="I25" s="3">
        <v>2.6882266789530345</v>
      </c>
      <c r="J25" s="3">
        <v>2.6421748288568629</v>
      </c>
      <c r="K25" s="3">
        <v>2.7855715101256218</v>
      </c>
      <c r="L25" s="3">
        <v>2.2661508976587807</v>
      </c>
      <c r="M25" s="3">
        <v>1.3315618682761956</v>
      </c>
      <c r="N25" s="3">
        <v>1.0944510341678459</v>
      </c>
      <c r="O25" s="3">
        <v>1.1083425921962469</v>
      </c>
      <c r="P25" s="3">
        <v>0.27234708022626153</v>
      </c>
      <c r="Q25" s="3">
        <v>0</v>
      </c>
    </row>
    <row r="26" spans="1:17" x14ac:dyDescent="0.2">
      <c r="A26" s="2">
        <v>22</v>
      </c>
      <c r="B26" s="2">
        <f t="shared" ca="1" si="1"/>
        <v>2.1174298692508281E-2</v>
      </c>
      <c r="F26" s="4">
        <v>22</v>
      </c>
      <c r="G26" s="3">
        <v>3.96</v>
      </c>
      <c r="H26" s="3">
        <v>3.4024967755561408</v>
      </c>
      <c r="I26" s="3">
        <v>2.8914775156522952</v>
      </c>
      <c r="J26" s="3">
        <v>2.8817290260876613</v>
      </c>
      <c r="K26" s="3">
        <v>2.7224467328641611</v>
      </c>
      <c r="L26" s="3">
        <v>2.1167883367451545</v>
      </c>
      <c r="M26" s="3">
        <v>1.6558789520182229</v>
      </c>
      <c r="N26" s="3">
        <v>1.232940081892675</v>
      </c>
      <c r="O26" s="3">
        <v>0.92632495767602263</v>
      </c>
      <c r="P26" s="3">
        <v>0.25233142347152415</v>
      </c>
      <c r="Q26" s="3">
        <v>0</v>
      </c>
    </row>
    <row r="27" spans="1:17" x14ac:dyDescent="0.2">
      <c r="A27" s="2">
        <v>23</v>
      </c>
      <c r="B27" s="2">
        <f t="shared" ca="1" si="1"/>
        <v>2.3654784413674284E-2</v>
      </c>
      <c r="F27" s="4">
        <v>23</v>
      </c>
      <c r="G27" s="3">
        <v>3.96</v>
      </c>
      <c r="H27" s="3">
        <v>3.5825854127472394</v>
      </c>
      <c r="I27" s="3">
        <v>3.1154540395512087</v>
      </c>
      <c r="J27" s="3">
        <v>2.7405671946717947</v>
      </c>
      <c r="K27" s="3">
        <v>2.4490586556709437</v>
      </c>
      <c r="L27" s="3">
        <v>2.1742355023750797</v>
      </c>
      <c r="M27" s="3">
        <v>1.7156701433389012</v>
      </c>
      <c r="N27" s="3">
        <v>1.2960059910315989</v>
      </c>
      <c r="O27" s="3">
        <v>0.95608288566625232</v>
      </c>
      <c r="P27" s="3">
        <v>0.30979553571234431</v>
      </c>
      <c r="Q27" s="3">
        <v>0</v>
      </c>
    </row>
    <row r="28" spans="1:17" x14ac:dyDescent="0.2">
      <c r="A28" s="2">
        <v>24</v>
      </c>
      <c r="B28" s="2">
        <f t="shared" ca="1" si="1"/>
        <v>0.58740220978532987</v>
      </c>
      <c r="F28" s="4">
        <v>24</v>
      </c>
      <c r="G28" s="3">
        <v>3.96</v>
      </c>
      <c r="H28" s="3">
        <v>3.5240367875593832</v>
      </c>
      <c r="I28" s="3">
        <v>3.1246545555896126</v>
      </c>
      <c r="J28" s="3">
        <v>2.7588395260009642</v>
      </c>
      <c r="K28" s="3">
        <v>2.5468049894141234</v>
      </c>
      <c r="L28" s="3">
        <v>1.923679273510178</v>
      </c>
      <c r="M28" s="3">
        <v>1.5473424624470768</v>
      </c>
      <c r="N28" s="3">
        <v>0.94058233306793715</v>
      </c>
      <c r="O28" s="3">
        <v>1.0986868055012164</v>
      </c>
      <c r="P28" s="3">
        <v>0.74429154320634905</v>
      </c>
      <c r="Q28" s="3">
        <v>0</v>
      </c>
    </row>
    <row r="29" spans="1:17" x14ac:dyDescent="0.2">
      <c r="A29" s="2">
        <v>25</v>
      </c>
      <c r="B29" s="2">
        <f t="shared" ca="1" si="1"/>
        <v>1.5022950306372993</v>
      </c>
      <c r="F29" s="4">
        <v>25</v>
      </c>
      <c r="G29" s="3">
        <v>3.96</v>
      </c>
      <c r="H29" s="3">
        <v>3.6643441807145827</v>
      </c>
      <c r="I29" s="3">
        <v>3.2596695811958623</v>
      </c>
      <c r="J29" s="3">
        <v>2.7282050288622739</v>
      </c>
      <c r="K29" s="3">
        <v>2.5141522102925085</v>
      </c>
      <c r="L29" s="3">
        <v>2.026177916088014</v>
      </c>
      <c r="M29" s="3">
        <v>1.5582957282551528</v>
      </c>
      <c r="N29" s="3">
        <v>1.1429445787628443</v>
      </c>
      <c r="O29" s="3">
        <v>0.66149029661649561</v>
      </c>
      <c r="P29" s="3">
        <v>0.37982871084712955</v>
      </c>
      <c r="Q29" s="3">
        <v>0</v>
      </c>
    </row>
    <row r="30" spans="1:17" x14ac:dyDescent="0.2">
      <c r="A30" s="2">
        <v>26</v>
      </c>
      <c r="B30" s="2">
        <f t="shared" ca="1" si="1"/>
        <v>0.7042019013696722</v>
      </c>
      <c r="F30" s="4">
        <v>26</v>
      </c>
      <c r="G30" s="3">
        <v>3.96</v>
      </c>
      <c r="H30" s="3">
        <v>3.6245769971827122</v>
      </c>
      <c r="I30" s="3">
        <v>3.1575299866259376</v>
      </c>
      <c r="J30" s="3">
        <v>2.89934873824392</v>
      </c>
      <c r="K30" s="3">
        <v>2.2414434539125989</v>
      </c>
      <c r="L30" s="3">
        <v>2.1735857095286102</v>
      </c>
      <c r="M30" s="3">
        <v>1.9212781116106319</v>
      </c>
      <c r="N30" s="3">
        <v>1.6212632774565476</v>
      </c>
      <c r="O30" s="3">
        <v>0.76133338388370642</v>
      </c>
      <c r="P30" s="3">
        <v>0.28225656828668388</v>
      </c>
      <c r="Q30" s="3">
        <v>0</v>
      </c>
    </row>
    <row r="31" spans="1:17" x14ac:dyDescent="0.2">
      <c r="A31" s="2">
        <v>27</v>
      </c>
      <c r="B31" s="2">
        <f t="shared" ca="1" si="1"/>
        <v>-1.1169735582635423</v>
      </c>
      <c r="F31" s="4">
        <v>27</v>
      </c>
      <c r="G31" s="3">
        <v>3.96</v>
      </c>
      <c r="H31" s="3">
        <v>3.4415892775081902</v>
      </c>
      <c r="I31" s="3">
        <v>3.0480045615766267</v>
      </c>
      <c r="J31" s="3">
        <v>2.8390517502299764</v>
      </c>
      <c r="K31" s="3">
        <v>2.0322667849846385</v>
      </c>
      <c r="L31" s="3">
        <v>2.0040776422955369</v>
      </c>
      <c r="M31" s="3">
        <v>1.8005081424422071</v>
      </c>
      <c r="N31" s="3">
        <v>1.5817043629529199</v>
      </c>
      <c r="O31" s="3">
        <v>0.8496710171058488</v>
      </c>
      <c r="P31" s="3">
        <v>0.27483638864552246</v>
      </c>
      <c r="Q31" s="3">
        <v>0</v>
      </c>
    </row>
    <row r="32" spans="1:17" x14ac:dyDescent="0.2">
      <c r="A32" s="2">
        <v>28</v>
      </c>
      <c r="B32" s="2">
        <f t="shared" ca="1" si="1"/>
        <v>-1.2722635603009269</v>
      </c>
      <c r="F32" s="4">
        <v>28</v>
      </c>
      <c r="G32" s="3">
        <v>3.96</v>
      </c>
      <c r="H32" s="3">
        <v>3.5793406412287605</v>
      </c>
      <c r="I32" s="3">
        <v>3.1365519897758007</v>
      </c>
      <c r="J32" s="3">
        <v>2.78566712338989</v>
      </c>
      <c r="K32" s="3">
        <v>2.4957575912771213</v>
      </c>
      <c r="L32" s="3">
        <v>1.7078031695694775</v>
      </c>
      <c r="M32" s="3">
        <v>1.5786087558669943</v>
      </c>
      <c r="N32" s="3">
        <v>1.271687880607719</v>
      </c>
      <c r="O32" s="3">
        <v>0.63253978264347488</v>
      </c>
      <c r="P32" s="3">
        <v>0.41416758859020031</v>
      </c>
      <c r="Q32" s="3">
        <v>0</v>
      </c>
    </row>
    <row r="33" spans="1:17" x14ac:dyDescent="0.2">
      <c r="A33" s="2">
        <v>29</v>
      </c>
      <c r="B33" s="2">
        <f t="shared" ca="1" si="1"/>
        <v>-0.32296787740735811</v>
      </c>
      <c r="F33" s="4">
        <v>29</v>
      </c>
      <c r="G33" s="3">
        <v>3.96</v>
      </c>
      <c r="H33" s="3">
        <v>3.6189290397683336</v>
      </c>
      <c r="I33" s="3">
        <v>3.0887151911285615</v>
      </c>
      <c r="J33" s="3">
        <v>2.8599995876056439</v>
      </c>
      <c r="K33" s="3">
        <v>2.4164935207391975</v>
      </c>
      <c r="L33" s="3">
        <v>2.0359364431528046</v>
      </c>
      <c r="M33" s="3">
        <v>1.7325138821943313</v>
      </c>
      <c r="N33" s="3">
        <v>1.3022997457879899</v>
      </c>
      <c r="O33" s="3">
        <v>0.85645993708357204</v>
      </c>
      <c r="P33" s="3">
        <v>0.416337931681383</v>
      </c>
      <c r="Q33" s="3">
        <v>0</v>
      </c>
    </row>
    <row r="34" spans="1:17" x14ac:dyDescent="0.2">
      <c r="A34" s="2">
        <v>30</v>
      </c>
      <c r="B34" s="2">
        <f t="shared" ca="1" si="1"/>
        <v>-1.0838824583513795</v>
      </c>
      <c r="F34" s="4">
        <v>30</v>
      </c>
      <c r="G34" s="3">
        <v>3.96</v>
      </c>
      <c r="H34" s="3">
        <v>3.7844352168590643</v>
      </c>
      <c r="I34" s="3">
        <v>2.8529537688430788</v>
      </c>
      <c r="J34" s="3">
        <v>2.927601852248352</v>
      </c>
      <c r="K34" s="3">
        <v>2.2115658325140757</v>
      </c>
      <c r="L34" s="3">
        <v>2.1538696719859103</v>
      </c>
      <c r="M34" s="3">
        <v>1.9560468026610902</v>
      </c>
      <c r="N34" s="3">
        <v>1.2509285689586729</v>
      </c>
      <c r="O34" s="3">
        <v>0.93089410133611783</v>
      </c>
      <c r="P34" s="3">
        <v>0.35038398391028069</v>
      </c>
      <c r="Q34" s="3">
        <v>0</v>
      </c>
    </row>
    <row r="35" spans="1:17" x14ac:dyDescent="0.2">
      <c r="A35" s="2">
        <v>31</v>
      </c>
      <c r="B35" s="2">
        <f t="shared" ca="1" si="1"/>
        <v>0.31632506418178075</v>
      </c>
      <c r="F35" s="4">
        <v>31</v>
      </c>
      <c r="G35" s="3">
        <v>3.96</v>
      </c>
      <c r="H35" s="3">
        <v>3.6774457894982873</v>
      </c>
      <c r="I35" s="3">
        <v>3.0688006865774486</v>
      </c>
      <c r="J35" s="3">
        <v>2.6999133737096077</v>
      </c>
      <c r="K35" s="3">
        <v>2.491662952197192</v>
      </c>
      <c r="L35" s="3">
        <v>1.843228717452017</v>
      </c>
      <c r="M35" s="3">
        <v>1.595967022523578</v>
      </c>
      <c r="N35" s="3">
        <v>1.4975849541596991</v>
      </c>
      <c r="O35" s="3">
        <v>0.78624233941972743</v>
      </c>
      <c r="P35" s="3">
        <v>0.63346587463121895</v>
      </c>
      <c r="Q35" s="3">
        <v>0</v>
      </c>
    </row>
    <row r="36" spans="1:17" x14ac:dyDescent="0.2">
      <c r="A36" s="2">
        <v>32</v>
      </c>
      <c r="B36" s="2">
        <f t="shared" ca="1" si="1"/>
        <v>-0.92244435166586647</v>
      </c>
      <c r="F36" s="4">
        <v>32</v>
      </c>
      <c r="G36" s="3">
        <v>3.96</v>
      </c>
      <c r="H36" s="3">
        <v>3.5708771814803582</v>
      </c>
      <c r="I36" s="3">
        <v>3.2537191923549602</v>
      </c>
      <c r="J36" s="3">
        <v>2.5385129237240216</v>
      </c>
      <c r="K36" s="3">
        <v>2.4882257555201517</v>
      </c>
      <c r="L36" s="3">
        <v>2.3541887329016533</v>
      </c>
      <c r="M36" s="3">
        <v>1.4177111712717854</v>
      </c>
      <c r="N36" s="3">
        <v>1.3401736981316332</v>
      </c>
      <c r="O36" s="3">
        <v>0.85305359850478557</v>
      </c>
      <c r="P36" s="3">
        <v>0.43780432682424991</v>
      </c>
      <c r="Q36" s="3">
        <v>0</v>
      </c>
    </row>
    <row r="37" spans="1:17" x14ac:dyDescent="0.2">
      <c r="A37" s="2">
        <v>33</v>
      </c>
      <c r="B37" s="2">
        <f t="shared" ca="1" si="1"/>
        <v>0.43074486566259429</v>
      </c>
      <c r="F37" s="4">
        <v>33</v>
      </c>
      <c r="G37" s="3">
        <v>3.9600000000000004</v>
      </c>
      <c r="H37" s="3">
        <v>3.6088334176772343</v>
      </c>
      <c r="I37" s="3">
        <v>2.9714636035797248</v>
      </c>
      <c r="J37" s="3">
        <v>2.860585713022513</v>
      </c>
      <c r="K37" s="3">
        <v>2.0565634651865841</v>
      </c>
      <c r="L37" s="3">
        <v>1.7898992189009191</v>
      </c>
      <c r="M37" s="3">
        <v>1.4524574411107805</v>
      </c>
      <c r="N37" s="3">
        <v>0.85451964667229763</v>
      </c>
      <c r="O37" s="3">
        <v>0.81988264150705203</v>
      </c>
      <c r="P37" s="3">
        <v>0.38785237646268528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1.5458633099405574</v>
      </c>
      <c r="F38" s="4">
        <v>34</v>
      </c>
      <c r="G38" s="3">
        <v>3.96</v>
      </c>
      <c r="H38" s="3">
        <v>3.3236854781833207</v>
      </c>
      <c r="I38" s="3">
        <v>2.7935491974514082</v>
      </c>
      <c r="J38" s="3">
        <v>2.9030294944903532</v>
      </c>
      <c r="K38" s="3">
        <v>2.0690174704791096</v>
      </c>
      <c r="L38" s="3">
        <v>1.8990010590131163</v>
      </c>
      <c r="M38" s="3">
        <v>1.0517793724054862</v>
      </c>
      <c r="N38" s="3">
        <v>1.2167018371217395</v>
      </c>
      <c r="O38" s="3">
        <v>0.77654364262792597</v>
      </c>
      <c r="P38" s="3">
        <v>0.37811393089021728</v>
      </c>
      <c r="Q38" s="3">
        <v>0</v>
      </c>
    </row>
    <row r="39" spans="1:17" x14ac:dyDescent="0.2">
      <c r="A39" s="2">
        <v>35</v>
      </c>
      <c r="B39" s="2">
        <f t="shared" ca="1" si="2"/>
        <v>0.75240875823927844</v>
      </c>
      <c r="F39" s="4">
        <v>35</v>
      </c>
      <c r="G39" s="3">
        <v>3.96</v>
      </c>
      <c r="H39" s="3">
        <v>3.4331966496804416</v>
      </c>
      <c r="I39" s="3">
        <v>3.2575687873916652</v>
      </c>
      <c r="J39" s="3">
        <v>2.9900241038095099</v>
      </c>
      <c r="K39" s="3">
        <v>2.7829728515830907</v>
      </c>
      <c r="L39" s="3">
        <v>1.9963408723800145</v>
      </c>
      <c r="M39" s="3">
        <v>1.5103974942516856</v>
      </c>
      <c r="N39" s="3">
        <v>1.0094818060355002</v>
      </c>
      <c r="O39" s="3">
        <v>0.7513415015660202</v>
      </c>
      <c r="P39" s="3">
        <v>0.23454304086747235</v>
      </c>
      <c r="Q39" s="3">
        <v>0</v>
      </c>
    </row>
    <row r="40" spans="1:17" x14ac:dyDescent="0.2">
      <c r="A40" s="2">
        <v>36</v>
      </c>
      <c r="B40" s="2">
        <f t="shared" ca="1" si="2"/>
        <v>-0.13326846301622364</v>
      </c>
      <c r="F40" s="4">
        <v>36</v>
      </c>
      <c r="G40" s="3">
        <v>3.96</v>
      </c>
      <c r="H40" s="3">
        <v>3.4418412883687219</v>
      </c>
      <c r="I40" s="3">
        <v>3.2634670240131358</v>
      </c>
      <c r="J40" s="3">
        <v>2.643212989712806</v>
      </c>
      <c r="K40" s="3">
        <v>2.3387769425903873</v>
      </c>
      <c r="L40" s="3">
        <v>1.8154078255488755</v>
      </c>
      <c r="M40" s="3">
        <v>1.2892964770219328</v>
      </c>
      <c r="N40" s="3">
        <v>0.90360215577161518</v>
      </c>
      <c r="O40" s="3">
        <v>0.82964199155540064</v>
      </c>
      <c r="P40" s="3">
        <v>0.3626705500382571</v>
      </c>
      <c r="Q40" s="3">
        <v>0</v>
      </c>
    </row>
    <row r="41" spans="1:17" x14ac:dyDescent="0.2">
      <c r="A41" s="2">
        <v>37</v>
      </c>
      <c r="B41" s="2">
        <f t="shared" ca="1" si="2"/>
        <v>-0.19050783600857352</v>
      </c>
      <c r="F41" s="4">
        <v>37</v>
      </c>
      <c r="G41" s="3">
        <v>3.96</v>
      </c>
      <c r="H41" s="3">
        <v>3.5826989009782326</v>
      </c>
      <c r="I41" s="3">
        <v>3.2762395443239209</v>
      </c>
      <c r="J41" s="3">
        <v>2.7500563035504229</v>
      </c>
      <c r="K41" s="3">
        <v>2.8789208697613411</v>
      </c>
      <c r="L41" s="3">
        <v>2.1044615973297174</v>
      </c>
      <c r="M41" s="3">
        <v>1.651676160510855</v>
      </c>
      <c r="N41" s="3">
        <v>1.3598476953616039</v>
      </c>
      <c r="O41" s="3">
        <v>0.89165527867824113</v>
      </c>
      <c r="P41" s="3">
        <v>0.4591908728085044</v>
      </c>
      <c r="Q41" s="3">
        <v>0</v>
      </c>
    </row>
    <row r="42" spans="1:17" x14ac:dyDescent="0.2">
      <c r="A42" s="2">
        <v>38</v>
      </c>
      <c r="B42" s="2">
        <f t="shared" ca="1" si="2"/>
        <v>1.1578778584050726</v>
      </c>
      <c r="F42" s="4">
        <v>38</v>
      </c>
      <c r="G42" s="3">
        <v>3.96</v>
      </c>
      <c r="H42" s="3">
        <v>3.2052114937911362</v>
      </c>
      <c r="I42" s="3">
        <v>2.9258769628650438</v>
      </c>
      <c r="J42" s="3">
        <v>3.0542798443864827</v>
      </c>
      <c r="K42" s="3">
        <v>2.4060226211862443</v>
      </c>
      <c r="L42" s="3">
        <v>2.0664658175272312</v>
      </c>
      <c r="M42" s="3">
        <v>1.7869107790296235</v>
      </c>
      <c r="N42" s="3">
        <v>1.1211155085168492</v>
      </c>
      <c r="O42" s="3">
        <v>0.75902609753072536</v>
      </c>
      <c r="P42" s="3">
        <v>0.40540448273739077</v>
      </c>
      <c r="Q42" s="3">
        <v>0</v>
      </c>
    </row>
    <row r="43" spans="1:17" x14ac:dyDescent="0.2">
      <c r="A43" s="2">
        <v>39</v>
      </c>
      <c r="B43" s="2">
        <f t="shared" ca="1" si="2"/>
        <v>-1.4928183826187991</v>
      </c>
      <c r="F43" s="4">
        <v>39</v>
      </c>
      <c r="G43" s="3">
        <v>3.96</v>
      </c>
      <c r="H43" s="3">
        <v>3.6748905459547943</v>
      </c>
      <c r="I43" s="3">
        <v>3.3201002755348044</v>
      </c>
      <c r="J43" s="3">
        <v>2.71956442905475</v>
      </c>
      <c r="K43" s="3">
        <v>2.219283347170983</v>
      </c>
      <c r="L43" s="3">
        <v>1.657008255528605</v>
      </c>
      <c r="M43" s="3">
        <v>1.4843638232466676</v>
      </c>
      <c r="N43" s="3">
        <v>1.3506118597048264</v>
      </c>
      <c r="O43" s="3">
        <v>0.61632147314874441</v>
      </c>
      <c r="P43" s="3">
        <v>0.25750810643692967</v>
      </c>
      <c r="Q43" s="3">
        <v>0</v>
      </c>
    </row>
    <row r="44" spans="1:17" x14ac:dyDescent="0.2">
      <c r="A44" s="2">
        <v>40</v>
      </c>
      <c r="B44" s="2">
        <f t="shared" ca="1" si="2"/>
        <v>-1.1497727574927727</v>
      </c>
      <c r="F44" s="4">
        <v>40</v>
      </c>
      <c r="G44" s="3">
        <v>3.96</v>
      </c>
      <c r="H44" s="3">
        <v>3.3340870560147455</v>
      </c>
      <c r="I44" s="3">
        <v>3.131941194278649</v>
      </c>
      <c r="J44" s="3">
        <v>2.6606463428276084</v>
      </c>
      <c r="K44" s="3">
        <v>2.5141143487833615</v>
      </c>
      <c r="L44" s="3">
        <v>1.7115212659234844</v>
      </c>
      <c r="M44" s="3">
        <v>1.576730695742288</v>
      </c>
      <c r="N44" s="3">
        <v>1.3681078537778613</v>
      </c>
      <c r="O44" s="3">
        <v>0.66385256429937445</v>
      </c>
      <c r="P44" s="3">
        <v>0.72087641630054156</v>
      </c>
      <c r="Q44" s="3">
        <v>0</v>
      </c>
    </row>
    <row r="45" spans="1:17" x14ac:dyDescent="0.2">
      <c r="A45" s="2">
        <v>41</v>
      </c>
      <c r="B45" s="2">
        <f t="shared" ca="1" si="2"/>
        <v>-0.67029592227073864</v>
      </c>
      <c r="F45" s="4">
        <v>41</v>
      </c>
      <c r="G45" s="3">
        <v>3.96</v>
      </c>
      <c r="H45" s="3">
        <v>3.581577094108833</v>
      </c>
      <c r="I45" s="3">
        <v>3.2524205071494925</v>
      </c>
      <c r="J45" s="3">
        <v>2.554158372618474</v>
      </c>
      <c r="K45" s="3">
        <v>2.6054321307196657</v>
      </c>
      <c r="L45" s="3">
        <v>2.2013818637558491</v>
      </c>
      <c r="M45" s="3">
        <v>1.1373049472478756</v>
      </c>
      <c r="N45" s="3">
        <v>1.2912302676604586</v>
      </c>
      <c r="O45" s="3">
        <v>0.90757730386588265</v>
      </c>
      <c r="P45" s="3">
        <v>0.38295478033569241</v>
      </c>
      <c r="Q45" s="3">
        <v>0</v>
      </c>
    </row>
    <row r="46" spans="1:17" x14ac:dyDescent="0.2">
      <c r="A46" s="2">
        <v>42</v>
      </c>
      <c r="B46" s="2">
        <f t="shared" ca="1" si="2"/>
        <v>0.45430397378520199</v>
      </c>
      <c r="F46" s="4">
        <v>42</v>
      </c>
      <c r="G46" s="3">
        <v>3.96</v>
      </c>
      <c r="H46" s="3">
        <v>3.4833171014832178</v>
      </c>
      <c r="I46" s="3">
        <v>2.8973153074905929</v>
      </c>
      <c r="J46" s="3">
        <v>2.9705361217872763</v>
      </c>
      <c r="K46" s="3">
        <v>1.9910966736245057</v>
      </c>
      <c r="L46" s="3">
        <v>2.0344154676788855</v>
      </c>
      <c r="M46" s="3">
        <v>1.6399693835456191</v>
      </c>
      <c r="N46" s="3">
        <v>1.3025728516848514</v>
      </c>
      <c r="O46" s="3">
        <v>0.63738964708077928</v>
      </c>
      <c r="P46" s="3">
        <v>0.51068985670491651</v>
      </c>
      <c r="Q46" s="3">
        <v>0</v>
      </c>
    </row>
    <row r="47" spans="1:17" x14ac:dyDescent="0.2">
      <c r="A47" s="2">
        <v>43</v>
      </c>
      <c r="B47" s="2">
        <f t="shared" ca="1" si="2"/>
        <v>1.3637124601619106</v>
      </c>
      <c r="F47" s="4">
        <v>43</v>
      </c>
      <c r="G47" s="3">
        <v>3.96</v>
      </c>
      <c r="H47" s="3">
        <v>3.8063461714736975</v>
      </c>
      <c r="I47" s="3">
        <v>3.1263411840886199</v>
      </c>
      <c r="J47" s="3">
        <v>2.6891582817609967</v>
      </c>
      <c r="K47" s="3">
        <v>1.9506002198905348</v>
      </c>
      <c r="L47" s="3">
        <v>1.5304929030535193</v>
      </c>
      <c r="M47" s="3">
        <v>1.583657385903501</v>
      </c>
      <c r="N47" s="3">
        <v>1.2945071898777192</v>
      </c>
      <c r="O47" s="3">
        <v>0.83108436510443828</v>
      </c>
      <c r="P47" s="3">
        <v>0.71714366529989448</v>
      </c>
      <c r="Q47" s="3">
        <v>0</v>
      </c>
    </row>
    <row r="48" spans="1:17" x14ac:dyDescent="0.2">
      <c r="A48" s="2">
        <v>44</v>
      </c>
      <c r="B48" s="2">
        <f t="shared" ca="1" si="2"/>
        <v>1.6822629260137492</v>
      </c>
      <c r="F48" s="4">
        <v>44</v>
      </c>
      <c r="G48" s="3">
        <v>3.96</v>
      </c>
      <c r="H48" s="3">
        <v>3.7101673774925987</v>
      </c>
      <c r="I48" s="3">
        <v>3.048927935981133</v>
      </c>
      <c r="J48" s="3">
        <v>2.5474764853854261</v>
      </c>
      <c r="K48" s="3">
        <v>2.1184162390675043</v>
      </c>
      <c r="L48" s="3">
        <v>1.856412131001018</v>
      </c>
      <c r="M48" s="3">
        <v>1.6385983355515705</v>
      </c>
      <c r="N48" s="3">
        <v>1.1712468468943069</v>
      </c>
      <c r="O48" s="3">
        <v>0.70005993828737589</v>
      </c>
      <c r="P48" s="3">
        <v>0.50159522121866806</v>
      </c>
      <c r="Q48" s="3">
        <v>0</v>
      </c>
    </row>
    <row r="49" spans="1:17" x14ac:dyDescent="0.2">
      <c r="A49" s="2">
        <v>45</v>
      </c>
      <c r="B49" s="2">
        <f t="shared" ca="1" si="2"/>
        <v>-0.18604433221667341</v>
      </c>
      <c r="F49" s="4">
        <v>45</v>
      </c>
      <c r="G49" s="3">
        <v>3.96</v>
      </c>
      <c r="H49" s="3">
        <v>3.6426127588738266</v>
      </c>
      <c r="I49" s="3">
        <v>3.2762149974343187</v>
      </c>
      <c r="J49" s="3">
        <v>2.889817951015702</v>
      </c>
      <c r="K49" s="3">
        <v>2.451097780217351</v>
      </c>
      <c r="L49" s="3">
        <v>2.0187827598963173</v>
      </c>
      <c r="M49" s="3">
        <v>1.9805706170532189</v>
      </c>
      <c r="N49" s="3">
        <v>1.1577237346986502</v>
      </c>
      <c r="O49" s="3">
        <v>0.72400292109238096</v>
      </c>
      <c r="P49" s="3">
        <v>0.42165311796583305</v>
      </c>
      <c r="Q49" s="3">
        <v>0</v>
      </c>
    </row>
    <row r="50" spans="1:17" x14ac:dyDescent="0.2">
      <c r="A50" s="2">
        <v>46</v>
      </c>
      <c r="B50" s="2">
        <f t="shared" ca="1" si="2"/>
        <v>-0.35496293456150008</v>
      </c>
      <c r="F50" s="4">
        <v>46</v>
      </c>
      <c r="G50" s="3">
        <v>3.9599999999999995</v>
      </c>
      <c r="H50" s="3">
        <v>3.5255012330642637</v>
      </c>
      <c r="I50" s="3">
        <v>2.9915464860353</v>
      </c>
      <c r="J50" s="3">
        <v>2.6990208123814776</v>
      </c>
      <c r="K50" s="3">
        <v>2.4037074189014289</v>
      </c>
      <c r="L50" s="3">
        <v>1.8291159308683751</v>
      </c>
      <c r="M50" s="3">
        <v>1.9654514272153951</v>
      </c>
      <c r="N50" s="3">
        <v>1.3078447573302661</v>
      </c>
      <c r="O50" s="3">
        <v>1.0743944286968508</v>
      </c>
      <c r="P50" s="3">
        <v>0.45128756027560468</v>
      </c>
      <c r="Q50" s="3">
        <v>0</v>
      </c>
    </row>
    <row r="51" spans="1:17" x14ac:dyDescent="0.2">
      <c r="A51" s="2">
        <v>47</v>
      </c>
      <c r="B51" s="2">
        <f t="shared" ca="1" si="2"/>
        <v>-1.8083850469490281</v>
      </c>
      <c r="F51" s="4">
        <v>47</v>
      </c>
      <c r="G51" s="3">
        <v>3.96</v>
      </c>
      <c r="H51" s="3">
        <v>3.5892780284759231</v>
      </c>
      <c r="I51" s="3">
        <v>3.3658224501216432</v>
      </c>
      <c r="J51" s="3">
        <v>2.6626176874732659</v>
      </c>
      <c r="K51" s="3">
        <v>2.447058641413193</v>
      </c>
      <c r="L51" s="3">
        <v>2.1370520235738635</v>
      </c>
      <c r="M51" s="3">
        <v>1.8479597835244659</v>
      </c>
      <c r="N51" s="3">
        <v>1.2177044160822048</v>
      </c>
      <c r="O51" s="3">
        <v>0.82564479970147642</v>
      </c>
      <c r="P51" s="3">
        <v>0.49113611429142401</v>
      </c>
      <c r="Q51" s="3">
        <v>0</v>
      </c>
    </row>
    <row r="52" spans="1:17" x14ac:dyDescent="0.2">
      <c r="A52" s="2">
        <v>48</v>
      </c>
      <c r="B52" s="2">
        <f t="shared" ca="1" si="2"/>
        <v>-1.5876738091917197</v>
      </c>
      <c r="F52" s="4">
        <v>48</v>
      </c>
      <c r="G52" s="3">
        <v>3.96</v>
      </c>
      <c r="H52" s="3">
        <v>3.6440289440960063</v>
      </c>
      <c r="I52" s="3">
        <v>3.3026598909751681</v>
      </c>
      <c r="J52" s="3">
        <v>2.6169575975649293</v>
      </c>
      <c r="K52" s="3">
        <v>2.1710600091864123</v>
      </c>
      <c r="L52" s="3">
        <v>2.2016947828879161</v>
      </c>
      <c r="M52" s="3">
        <v>1.638554038718</v>
      </c>
      <c r="N52" s="3">
        <v>1.4474493468580691</v>
      </c>
      <c r="O52" s="3">
        <v>1.0401787849109532</v>
      </c>
      <c r="P52" s="3">
        <v>0.40259496686722357</v>
      </c>
      <c r="Q52" s="3">
        <v>0</v>
      </c>
    </row>
    <row r="53" spans="1:17" x14ac:dyDescent="0.2">
      <c r="A53" s="2">
        <v>49</v>
      </c>
      <c r="B53" s="2">
        <f t="shared" ca="1" si="2"/>
        <v>0.66889001440829565</v>
      </c>
      <c r="F53" s="4">
        <v>49</v>
      </c>
      <c r="G53" s="3">
        <v>3.96</v>
      </c>
      <c r="H53" s="3">
        <v>3.4640844353597018</v>
      </c>
      <c r="I53" s="3">
        <v>3.1618183139788978</v>
      </c>
      <c r="J53" s="3">
        <v>2.9033482635410426</v>
      </c>
      <c r="K53" s="3">
        <v>2.2624908074944567</v>
      </c>
      <c r="L53" s="3">
        <v>1.8704678298307753</v>
      </c>
      <c r="M53" s="3">
        <v>1.9297097214334002</v>
      </c>
      <c r="N53" s="3">
        <v>1.4448131191232998</v>
      </c>
      <c r="O53" s="3">
        <v>0.58526607199612868</v>
      </c>
      <c r="P53" s="3">
        <v>0.50397460755412538</v>
      </c>
      <c r="Q53" s="3">
        <v>0</v>
      </c>
    </row>
    <row r="54" spans="1:17" x14ac:dyDescent="0.2">
      <c r="A54" s="2">
        <v>50</v>
      </c>
      <c r="B54" s="2">
        <f t="shared" ca="1" si="2"/>
        <v>-1.3090201396259113</v>
      </c>
      <c r="F54" s="4">
        <v>50</v>
      </c>
      <c r="G54" s="3">
        <v>3.96</v>
      </c>
      <c r="H54" s="3">
        <v>3.2520129736514272</v>
      </c>
      <c r="I54" s="3">
        <v>3.2045352616930893</v>
      </c>
      <c r="J54" s="3">
        <v>3.0142255688371926</v>
      </c>
      <c r="K54" s="3">
        <v>2.3761150726108835</v>
      </c>
      <c r="L54" s="3">
        <v>2.1129069968757226</v>
      </c>
      <c r="M54" s="3">
        <v>1.7733281085763342</v>
      </c>
      <c r="N54" s="3">
        <v>1.1073145230182924</v>
      </c>
      <c r="O54" s="3">
        <v>1.0888879820722748</v>
      </c>
      <c r="P54" s="3">
        <v>0.4840935640279137</v>
      </c>
      <c r="Q54" s="3">
        <v>0</v>
      </c>
    </row>
    <row r="55" spans="1:17" x14ac:dyDescent="0.2">
      <c r="A55" s="2">
        <v>51</v>
      </c>
      <c r="B55" s="2">
        <f t="shared" ca="1" si="2"/>
        <v>-0.41586551935859206</v>
      </c>
      <c r="F55" s="4">
        <v>51</v>
      </c>
      <c r="G55" s="3">
        <v>3.96</v>
      </c>
      <c r="H55" s="3">
        <v>3.2304489857083851</v>
      </c>
      <c r="I55" s="3">
        <v>3.1898876068610607</v>
      </c>
      <c r="J55" s="3">
        <v>2.8519582303737132</v>
      </c>
      <c r="K55" s="3">
        <v>2.2743097167064739</v>
      </c>
      <c r="L55" s="3">
        <v>1.8068115143206849</v>
      </c>
      <c r="M55" s="3">
        <v>1.762278002585878</v>
      </c>
      <c r="N55" s="3">
        <v>1.1663565847976403</v>
      </c>
      <c r="O55" s="3">
        <v>0.9278409452335955</v>
      </c>
      <c r="P55" s="3">
        <v>0.41165584052583626</v>
      </c>
      <c r="Q55" s="3">
        <v>0</v>
      </c>
    </row>
    <row r="56" spans="1:17" x14ac:dyDescent="0.2">
      <c r="A56" s="2">
        <v>52</v>
      </c>
      <c r="B56" s="2">
        <f t="shared" ca="1" si="2"/>
        <v>0.28543661183249669</v>
      </c>
      <c r="F56" s="4">
        <v>52</v>
      </c>
      <c r="G56" s="3">
        <v>3.9600000000000004</v>
      </c>
      <c r="H56" s="3">
        <v>3.673841921935658</v>
      </c>
      <c r="I56" s="3">
        <v>3.291338497901271</v>
      </c>
      <c r="J56" s="3">
        <v>2.8710482040102416</v>
      </c>
      <c r="K56" s="3">
        <v>2.4907089149301251</v>
      </c>
      <c r="L56" s="3">
        <v>1.6300629756605423</v>
      </c>
      <c r="M56" s="3">
        <v>1.7145518247712421</v>
      </c>
      <c r="N56" s="3">
        <v>1.1959720805820873</v>
      </c>
      <c r="O56" s="3">
        <v>0.9179340022143484</v>
      </c>
      <c r="P56" s="3">
        <v>0.42761275273667265</v>
      </c>
      <c r="Q56" s="3">
        <v>0</v>
      </c>
    </row>
    <row r="57" spans="1:17" x14ac:dyDescent="0.2">
      <c r="A57" s="2">
        <v>53</v>
      </c>
      <c r="B57" s="2">
        <f t="shared" ca="1" si="2"/>
        <v>1.7227609237328674</v>
      </c>
      <c r="F57" s="4">
        <v>53</v>
      </c>
      <c r="G57" s="3">
        <v>3.9600000000000004</v>
      </c>
      <c r="H57" s="3">
        <v>3.6052535963789487</v>
      </c>
      <c r="I57" s="3">
        <v>3.2819278844468105</v>
      </c>
      <c r="J57" s="3">
        <v>2.9534123416325895</v>
      </c>
      <c r="K57" s="3">
        <v>2.3855403357523821</v>
      </c>
      <c r="L57" s="3">
        <v>1.5228258213766288</v>
      </c>
      <c r="M57" s="3">
        <v>1.0975458565642762</v>
      </c>
      <c r="N57" s="3">
        <v>1.0867324014515376</v>
      </c>
      <c r="O57" s="3">
        <v>0.71779076648305562</v>
      </c>
      <c r="P57" s="3">
        <v>0.36071687452936352</v>
      </c>
      <c r="Q57" s="3">
        <v>0</v>
      </c>
    </row>
    <row r="58" spans="1:17" x14ac:dyDescent="0.2">
      <c r="A58" s="2">
        <v>54</v>
      </c>
      <c r="B58" s="2">
        <f t="shared" ca="1" si="2"/>
        <v>-1.3201317686379215</v>
      </c>
      <c r="F58" s="4">
        <v>54</v>
      </c>
      <c r="G58" s="3">
        <v>3.9600000000000004</v>
      </c>
      <c r="H58" s="3">
        <v>3.4061624033021052</v>
      </c>
      <c r="I58" s="3">
        <v>2.9247852093381104</v>
      </c>
      <c r="J58" s="3">
        <v>3.0157174158045952</v>
      </c>
      <c r="K58" s="3">
        <v>2.2523050251461365</v>
      </c>
      <c r="L58" s="3">
        <v>2.2307838520433689</v>
      </c>
      <c r="M58" s="3">
        <v>2.0318706673805651</v>
      </c>
      <c r="N58" s="3">
        <v>1.208528760655555</v>
      </c>
      <c r="O58" s="3">
        <v>0.87304962885126536</v>
      </c>
      <c r="P58" s="3">
        <v>0.50199090661114165</v>
      </c>
      <c r="Q58" s="3">
        <v>0</v>
      </c>
    </row>
    <row r="59" spans="1:17" x14ac:dyDescent="0.2">
      <c r="A59" s="2">
        <v>55</v>
      </c>
      <c r="B59" s="2">
        <f t="shared" ca="1" si="2"/>
        <v>0.37536293350050992</v>
      </c>
      <c r="F59" s="4">
        <v>55</v>
      </c>
      <c r="G59" s="3">
        <v>3.96</v>
      </c>
      <c r="H59" s="3">
        <v>3.5520189258791248</v>
      </c>
      <c r="I59" s="3">
        <v>3.3805828535354281</v>
      </c>
      <c r="J59" s="3">
        <v>2.9983897660191534</v>
      </c>
      <c r="K59" s="3">
        <v>2.4687141276247924</v>
      </c>
      <c r="L59" s="3">
        <v>2.1163683710507559</v>
      </c>
      <c r="M59" s="3">
        <v>1.7990774890172985</v>
      </c>
      <c r="N59" s="3">
        <v>1.2968388328558462</v>
      </c>
      <c r="O59" s="3">
        <v>0.7569433572787917</v>
      </c>
      <c r="P59" s="3">
        <v>0.56928270170515549</v>
      </c>
      <c r="Q59" s="3">
        <v>0</v>
      </c>
    </row>
    <row r="60" spans="1:17" x14ac:dyDescent="0.2">
      <c r="A60" s="2">
        <v>56</v>
      </c>
      <c r="B60" s="2">
        <f t="shared" ca="1" si="2"/>
        <v>-0.33643434971088709</v>
      </c>
      <c r="F60" s="4">
        <v>56</v>
      </c>
      <c r="G60" s="3">
        <v>3.96</v>
      </c>
      <c r="H60" s="3">
        <v>3.2781384905376516</v>
      </c>
      <c r="I60" s="3">
        <v>3.3897021262055338</v>
      </c>
      <c r="J60" s="3">
        <v>2.8673061509426034</v>
      </c>
      <c r="K60" s="3">
        <v>2.3502588640142532</v>
      </c>
      <c r="L60" s="3">
        <v>1.9043718790541238</v>
      </c>
      <c r="M60" s="3">
        <v>1.6544826183569465</v>
      </c>
      <c r="N60" s="3">
        <v>1.0193205076266874</v>
      </c>
      <c r="O60" s="3">
        <v>0.68098595419725327</v>
      </c>
      <c r="P60" s="3">
        <v>0.49483252392470356</v>
      </c>
      <c r="Q60" s="3">
        <v>0</v>
      </c>
    </row>
    <row r="61" spans="1:17" x14ac:dyDescent="0.2">
      <c r="A61" s="2">
        <v>57</v>
      </c>
      <c r="B61" s="2">
        <f t="shared" ca="1" si="2"/>
        <v>-0.40308561760388861</v>
      </c>
      <c r="F61" s="4">
        <v>57</v>
      </c>
      <c r="G61" s="3">
        <v>3.96</v>
      </c>
      <c r="H61" s="3">
        <v>3.385735786498894</v>
      </c>
      <c r="I61" s="3">
        <v>3.2531825222119322</v>
      </c>
      <c r="J61" s="3">
        <v>2.7750636306784737</v>
      </c>
      <c r="K61" s="3">
        <v>2.2673653350690968</v>
      </c>
      <c r="L61" s="3">
        <v>2.2957745364861353</v>
      </c>
      <c r="M61" s="3">
        <v>1.58473505909</v>
      </c>
      <c r="N61" s="3">
        <v>1.2349373393764098</v>
      </c>
      <c r="O61" s="3">
        <v>0.95572547784479955</v>
      </c>
      <c r="P61" s="3">
        <v>0.35758343914676233</v>
      </c>
      <c r="Q61" s="3">
        <v>0</v>
      </c>
    </row>
    <row r="62" spans="1:17" x14ac:dyDescent="0.2">
      <c r="A62" s="2">
        <v>58</v>
      </c>
      <c r="B62" s="2">
        <f t="shared" ca="1" si="2"/>
        <v>1.1272882226705032</v>
      </c>
      <c r="F62" s="4">
        <v>58</v>
      </c>
      <c r="G62" s="3">
        <v>3.96</v>
      </c>
      <c r="H62" s="3">
        <v>3.4511526728758724</v>
      </c>
      <c r="I62" s="3">
        <v>3.1532372887693851</v>
      </c>
      <c r="J62" s="3">
        <v>2.8541201936770095</v>
      </c>
      <c r="K62" s="3">
        <v>2.1228078890535684</v>
      </c>
      <c r="L62" s="3">
        <v>2.1442105718335958</v>
      </c>
      <c r="M62" s="3">
        <v>1.6088066081484262</v>
      </c>
      <c r="N62" s="3">
        <v>0.98530633984574933</v>
      </c>
      <c r="O62" s="3">
        <v>0.99181291881405942</v>
      </c>
      <c r="P62" s="3">
        <v>0.47734915342104545</v>
      </c>
      <c r="Q62" s="3">
        <v>0</v>
      </c>
    </row>
    <row r="63" spans="1:17" x14ac:dyDescent="0.2">
      <c r="A63" s="2">
        <v>59</v>
      </c>
      <c r="B63" s="2">
        <f t="shared" ca="1" si="2"/>
        <v>0.90084733788889815</v>
      </c>
      <c r="F63" s="4">
        <v>59</v>
      </c>
      <c r="G63" s="3">
        <v>3.96</v>
      </c>
      <c r="H63" s="3">
        <v>3.3561205267877954</v>
      </c>
      <c r="I63" s="3">
        <v>3.3351482623647186</v>
      </c>
      <c r="J63" s="3">
        <v>2.6737938100732364</v>
      </c>
      <c r="K63" s="3">
        <v>2.5477629506068644</v>
      </c>
      <c r="L63" s="3">
        <v>2.0243296269763724</v>
      </c>
      <c r="M63" s="3">
        <v>1.5953875220346942</v>
      </c>
      <c r="N63" s="3">
        <v>1.0928981563030329</v>
      </c>
      <c r="O63" s="3">
        <v>0.84770124149365322</v>
      </c>
      <c r="P63" s="3">
        <v>0.53336465302674585</v>
      </c>
      <c r="Q63" s="3">
        <v>0</v>
      </c>
    </row>
    <row r="64" spans="1:17" x14ac:dyDescent="0.2">
      <c r="A64" s="2">
        <v>60</v>
      </c>
      <c r="B64" s="2">
        <f t="shared" ca="1" si="2"/>
        <v>0.21189074411559583</v>
      </c>
      <c r="F64" s="4">
        <v>60</v>
      </c>
      <c r="G64" s="3">
        <v>3.96</v>
      </c>
      <c r="H64" s="3">
        <v>3.572999696649021</v>
      </c>
      <c r="I64" s="3">
        <v>3.3559635046273533</v>
      </c>
      <c r="J64" s="3">
        <v>2.5104082635629501</v>
      </c>
      <c r="K64" s="3">
        <v>2.8437339386504061</v>
      </c>
      <c r="L64" s="3">
        <v>2.079377947927262</v>
      </c>
      <c r="M64" s="3">
        <v>1.4400849999141971</v>
      </c>
      <c r="N64" s="3">
        <v>1.4703453699921689</v>
      </c>
      <c r="O64" s="3">
        <v>0.78650842664566056</v>
      </c>
      <c r="P64" s="3">
        <v>0.5323461137006309</v>
      </c>
      <c r="Q64" s="3">
        <v>0</v>
      </c>
    </row>
    <row r="65" spans="1:17" x14ac:dyDescent="0.2">
      <c r="A65" s="2">
        <v>61</v>
      </c>
      <c r="B65" s="2">
        <f t="shared" ca="1" si="2"/>
        <v>-1.4636838691675362</v>
      </c>
      <c r="F65" s="4">
        <v>61</v>
      </c>
      <c r="G65" s="3">
        <v>3.96</v>
      </c>
      <c r="H65" s="3">
        <v>3.7969501459746882</v>
      </c>
      <c r="I65" s="3">
        <v>3.147044937341283</v>
      </c>
      <c r="J65" s="3">
        <v>2.9951687439780481</v>
      </c>
      <c r="K65" s="3">
        <v>2.1107856525236031</v>
      </c>
      <c r="L65" s="3">
        <v>1.7047211004472591</v>
      </c>
      <c r="M65" s="3">
        <v>1.5267965560979337</v>
      </c>
      <c r="N65" s="3">
        <v>1.0904981072118052</v>
      </c>
      <c r="O65" s="3">
        <v>0.67529096922086518</v>
      </c>
      <c r="P65" s="3">
        <v>0.25315125279082629</v>
      </c>
      <c r="Q65" s="3">
        <v>0</v>
      </c>
    </row>
    <row r="66" spans="1:17" x14ac:dyDescent="0.2">
      <c r="A66" s="2">
        <v>62</v>
      </c>
      <c r="B66" s="2">
        <f t="shared" ca="1" si="2"/>
        <v>0.48533108884605941</v>
      </c>
      <c r="F66" s="4">
        <v>62</v>
      </c>
      <c r="G66" s="3">
        <v>3.96</v>
      </c>
      <c r="H66" s="3">
        <v>3.5621389762680322</v>
      </c>
      <c r="I66" s="3">
        <v>3.1762182589768675</v>
      </c>
      <c r="J66" s="3">
        <v>2.7899204228505958</v>
      </c>
      <c r="K66" s="3">
        <v>2.2364285981371301</v>
      </c>
      <c r="L66" s="3">
        <v>1.8551905431305968</v>
      </c>
      <c r="M66" s="3">
        <v>1.6883095091886511</v>
      </c>
      <c r="N66" s="3">
        <v>1.1100474236865032</v>
      </c>
      <c r="O66" s="3">
        <v>0.76336293724249327</v>
      </c>
      <c r="P66" s="3">
        <v>0.43509414899732307</v>
      </c>
      <c r="Q66" s="3">
        <v>0</v>
      </c>
    </row>
    <row r="67" spans="1:17" x14ac:dyDescent="0.2">
      <c r="A67" s="2">
        <v>63</v>
      </c>
      <c r="B67" s="2">
        <f t="shared" ca="1" si="2"/>
        <v>0.24210690979994476</v>
      </c>
      <c r="F67" s="4">
        <v>63</v>
      </c>
      <c r="G67" s="3">
        <v>3.96</v>
      </c>
      <c r="H67" s="3">
        <v>3.5581956736370755</v>
      </c>
      <c r="I67" s="3">
        <v>2.8376853514033895</v>
      </c>
      <c r="J67" s="3">
        <v>2.9310824004107272</v>
      </c>
      <c r="K67" s="3">
        <v>2.4635615431188174</v>
      </c>
      <c r="L67" s="3">
        <v>1.9606914971554101</v>
      </c>
      <c r="M67" s="3">
        <v>1.5830032434615036</v>
      </c>
      <c r="N67" s="3">
        <v>1.0614017879612667</v>
      </c>
      <c r="O67" s="3">
        <v>0.69096509141512585</v>
      </c>
      <c r="P67" s="3">
        <v>0.38920739508238272</v>
      </c>
      <c r="Q67" s="3">
        <v>0</v>
      </c>
    </row>
    <row r="68" spans="1:17" x14ac:dyDescent="0.2">
      <c r="A68" s="2">
        <v>64</v>
      </c>
      <c r="B68" s="2">
        <f t="shared" ca="1" si="2"/>
        <v>-0.16439976533143325</v>
      </c>
      <c r="F68" s="4">
        <v>64</v>
      </c>
      <c r="G68" s="3">
        <v>3.96</v>
      </c>
      <c r="H68" s="3">
        <v>3.3235754423022308</v>
      </c>
      <c r="I68" s="3">
        <v>3.1092200569333537</v>
      </c>
      <c r="J68" s="3">
        <v>2.9365177942555722</v>
      </c>
      <c r="K68" s="3">
        <v>2.3243811107531136</v>
      </c>
      <c r="L68" s="3">
        <v>1.9138590846200161</v>
      </c>
      <c r="M68" s="3">
        <v>1.4018531561320908</v>
      </c>
      <c r="N68" s="3">
        <v>1.0195556074106298</v>
      </c>
      <c r="O68" s="3">
        <v>0.67586868476499806</v>
      </c>
      <c r="P68" s="3">
        <v>0.45753656909507984</v>
      </c>
      <c r="Q68" s="3">
        <v>0</v>
      </c>
    </row>
    <row r="69" spans="1:17" x14ac:dyDescent="0.2">
      <c r="A69" s="2">
        <v>65</v>
      </c>
      <c r="B69" s="2">
        <f t="shared" ca="1" si="2"/>
        <v>-1.8090610777565461</v>
      </c>
      <c r="F69" s="4">
        <v>65</v>
      </c>
      <c r="G69" s="3">
        <v>3.96</v>
      </c>
      <c r="H69" s="3">
        <v>3.6727355147111904</v>
      </c>
      <c r="I69" s="3">
        <v>3.2043049179534697</v>
      </c>
      <c r="J69" s="3">
        <v>3.0741031500961937</v>
      </c>
      <c r="K69" s="3">
        <v>2.288079583893424</v>
      </c>
      <c r="L69" s="3">
        <v>1.7872525200720035</v>
      </c>
      <c r="M69" s="3">
        <v>1.7119971853290645</v>
      </c>
      <c r="N69" s="3">
        <v>1.2537398415768131</v>
      </c>
      <c r="O69" s="3">
        <v>1.0192181089119461</v>
      </c>
      <c r="P69" s="3">
        <v>0.40566783959393954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-6.3696274235869682E-2</v>
      </c>
      <c r="F70" s="4">
        <v>66</v>
      </c>
      <c r="G70" s="3">
        <v>3.96</v>
      </c>
      <c r="H70" s="3">
        <v>3.6387621326865291</v>
      </c>
      <c r="I70" s="3">
        <v>2.9844924948297127</v>
      </c>
      <c r="J70" s="3">
        <v>2.7039323388922001</v>
      </c>
      <c r="K70" s="3">
        <v>2.4433651559573244</v>
      </c>
      <c r="L70" s="3">
        <v>2.2897777172142932</v>
      </c>
      <c r="M70" s="3">
        <v>1.9071434518371027</v>
      </c>
      <c r="N70" s="3">
        <v>1.370893600149065</v>
      </c>
      <c r="O70" s="3">
        <v>0.74634503326814561</v>
      </c>
      <c r="P70" s="3">
        <v>0.39295266593476114</v>
      </c>
      <c r="Q70" s="3">
        <v>0</v>
      </c>
    </row>
    <row r="71" spans="1:17" x14ac:dyDescent="0.2">
      <c r="A71" s="2">
        <v>67</v>
      </c>
      <c r="B71" s="2">
        <f t="shared" ca="1" si="3"/>
        <v>0.20028715879497322</v>
      </c>
      <c r="F71" s="4">
        <v>67</v>
      </c>
      <c r="G71" s="3">
        <v>3.9600000000000004</v>
      </c>
      <c r="H71" s="3">
        <v>3.5803658277583259</v>
      </c>
      <c r="I71" s="3">
        <v>2.761321414435383</v>
      </c>
      <c r="J71" s="3">
        <v>2.6167234482454043</v>
      </c>
      <c r="K71" s="3">
        <v>2.8468037559023069</v>
      </c>
      <c r="L71" s="3">
        <v>1.7652453877750809</v>
      </c>
      <c r="M71" s="3">
        <v>1.5407100576085189</v>
      </c>
      <c r="N71" s="3">
        <v>1.4593693984436347</v>
      </c>
      <c r="O71" s="3">
        <v>0.64327681781482937</v>
      </c>
      <c r="P71" s="3">
        <v>0.33166476893752395</v>
      </c>
      <c r="Q71" s="3">
        <v>0</v>
      </c>
    </row>
    <row r="72" spans="1:17" x14ac:dyDescent="0.2">
      <c r="A72" s="2">
        <v>68</v>
      </c>
      <c r="B72" s="2">
        <f t="shared" ca="1" si="3"/>
        <v>0.8902932685889472</v>
      </c>
      <c r="F72" s="4">
        <v>68</v>
      </c>
      <c r="G72" s="3">
        <v>3.96</v>
      </c>
      <c r="H72" s="3">
        <v>3.6564462529715249</v>
      </c>
      <c r="I72" s="3">
        <v>2.9739721751611001</v>
      </c>
      <c r="J72" s="3">
        <v>2.7230997089723092</v>
      </c>
      <c r="K72" s="3">
        <v>2.2577698633251315</v>
      </c>
      <c r="L72" s="3">
        <v>1.9951723975784685</v>
      </c>
      <c r="M72" s="3">
        <v>1.7503670045734174</v>
      </c>
      <c r="N72" s="3">
        <v>1.0360908671910516</v>
      </c>
      <c r="O72" s="3">
        <v>0.99495152373112128</v>
      </c>
      <c r="P72" s="3">
        <v>0.41456936813535733</v>
      </c>
      <c r="Q72" s="3">
        <v>0</v>
      </c>
    </row>
    <row r="73" spans="1:17" x14ac:dyDescent="0.2">
      <c r="A73" s="2">
        <v>69</v>
      </c>
      <c r="B73" s="2">
        <f t="shared" ca="1" si="3"/>
        <v>1.2520399004196652</v>
      </c>
      <c r="F73" s="4">
        <v>69</v>
      </c>
      <c r="G73" s="3">
        <v>3.9599999999999995</v>
      </c>
      <c r="H73" s="3">
        <v>3.6615323523488241</v>
      </c>
      <c r="I73" s="3">
        <v>3.1796987204210732</v>
      </c>
      <c r="J73" s="3">
        <v>2.6043232304639368</v>
      </c>
      <c r="K73" s="3">
        <v>2.6010421506585888</v>
      </c>
      <c r="L73" s="3">
        <v>2.1937759974863584</v>
      </c>
      <c r="M73" s="3">
        <v>1.6706284830488525</v>
      </c>
      <c r="N73" s="3">
        <v>1.7145306310832813</v>
      </c>
      <c r="O73" s="3">
        <v>1.0557006779236151</v>
      </c>
      <c r="P73" s="3">
        <v>0.26951381060224189</v>
      </c>
      <c r="Q73" s="3">
        <v>0</v>
      </c>
    </row>
    <row r="74" spans="1:17" x14ac:dyDescent="0.2">
      <c r="A74" s="2">
        <v>70</v>
      </c>
      <c r="B74" s="2">
        <f t="shared" ca="1" si="3"/>
        <v>-1.7767810872315586</v>
      </c>
      <c r="F74" s="4">
        <v>70</v>
      </c>
      <c r="G74" s="3">
        <v>3.96</v>
      </c>
      <c r="H74" s="3">
        <v>3.429988568037091</v>
      </c>
      <c r="I74" s="3">
        <v>3.3819185811006554</v>
      </c>
      <c r="J74" s="3">
        <v>2.7960334729812044</v>
      </c>
      <c r="K74" s="3">
        <v>2.2082607880788085</v>
      </c>
      <c r="L74" s="3">
        <v>2.3033999842648689</v>
      </c>
      <c r="M74" s="3">
        <v>1.6515205707134557</v>
      </c>
      <c r="N74" s="3">
        <v>1.072651612381881</v>
      </c>
      <c r="O74" s="3">
        <v>0.65295096869603864</v>
      </c>
      <c r="P74" s="3">
        <v>0.36227075198673275</v>
      </c>
      <c r="Q74" s="3">
        <v>0</v>
      </c>
    </row>
    <row r="75" spans="1:17" x14ac:dyDescent="0.2">
      <c r="A75" s="2">
        <v>71</v>
      </c>
      <c r="B75" s="2">
        <f t="shared" ca="1" si="3"/>
        <v>-1.6101846271891407</v>
      </c>
      <c r="F75" s="4">
        <v>71</v>
      </c>
      <c r="G75" s="3">
        <v>3.96</v>
      </c>
      <c r="H75" s="3">
        <v>3.4822398299702941</v>
      </c>
      <c r="I75" s="3">
        <v>3.0859341926998556</v>
      </c>
      <c r="J75" s="3">
        <v>2.9552383808320397</v>
      </c>
      <c r="K75" s="3">
        <v>2.4933051929359258</v>
      </c>
      <c r="L75" s="3">
        <v>2.0945624041990389</v>
      </c>
      <c r="M75" s="3">
        <v>2.2242266409464029</v>
      </c>
      <c r="N75" s="3">
        <v>1.3308949528867822</v>
      </c>
      <c r="O75" s="3">
        <v>0.83195187085115563</v>
      </c>
      <c r="P75" s="3">
        <v>0.46891634003121579</v>
      </c>
      <c r="Q75" s="3">
        <v>0</v>
      </c>
    </row>
    <row r="76" spans="1:17" x14ac:dyDescent="0.2">
      <c r="A76" s="2">
        <v>72</v>
      </c>
      <c r="B76" s="2">
        <f t="shared" ca="1" si="3"/>
        <v>-0.38053278062629903</v>
      </c>
      <c r="F76" s="4">
        <v>72</v>
      </c>
      <c r="G76" s="3">
        <v>3.96</v>
      </c>
      <c r="H76" s="3">
        <v>3.5920608700021379</v>
      </c>
      <c r="I76" s="3">
        <v>3.0585708970880479</v>
      </c>
      <c r="J76" s="3">
        <v>3.0774175623043623</v>
      </c>
      <c r="K76" s="3">
        <v>2.4299035984345143</v>
      </c>
      <c r="L76" s="3">
        <v>2.231828620633368</v>
      </c>
      <c r="M76" s="3">
        <v>1.5446108328032635</v>
      </c>
      <c r="N76" s="3">
        <v>1.2311521405086969</v>
      </c>
      <c r="O76" s="3">
        <v>0.75763679005157791</v>
      </c>
      <c r="P76" s="3">
        <v>0.4537809282038297</v>
      </c>
      <c r="Q76" s="3">
        <v>0</v>
      </c>
    </row>
    <row r="77" spans="1:17" x14ac:dyDescent="0.2">
      <c r="A77" s="2">
        <v>73</v>
      </c>
      <c r="B77" s="2">
        <f t="shared" ca="1" si="3"/>
        <v>-6.3203899444615241E-2</v>
      </c>
      <c r="F77" s="4">
        <v>73</v>
      </c>
      <c r="G77" s="3">
        <v>3.96</v>
      </c>
      <c r="H77" s="3">
        <v>3.5240455226582168</v>
      </c>
      <c r="I77" s="3">
        <v>2.9561683771549152</v>
      </c>
      <c r="J77" s="3">
        <v>2.8121619874785431</v>
      </c>
      <c r="K77" s="3">
        <v>1.8135943390008908</v>
      </c>
      <c r="L77" s="3">
        <v>2.0226511809122458</v>
      </c>
      <c r="M77" s="3">
        <v>1.4990875652570397</v>
      </c>
      <c r="N77" s="3">
        <v>1.0047766455822724</v>
      </c>
      <c r="O77" s="3">
        <v>0.63429604137751661</v>
      </c>
      <c r="P77" s="3">
        <v>0.38938956796923174</v>
      </c>
      <c r="Q77" s="3">
        <v>0</v>
      </c>
    </row>
    <row r="78" spans="1:17" x14ac:dyDescent="0.2">
      <c r="A78" s="2">
        <v>74</v>
      </c>
      <c r="B78" s="2">
        <f t="shared" ca="1" si="3"/>
        <v>-0.1741456859385036</v>
      </c>
      <c r="F78" s="4">
        <v>74</v>
      </c>
      <c r="G78" s="3">
        <v>3.96</v>
      </c>
      <c r="H78" s="3">
        <v>3.4489371675346829</v>
      </c>
      <c r="I78" s="3">
        <v>3.3007608019072068</v>
      </c>
      <c r="J78" s="3">
        <v>2.759720011567429</v>
      </c>
      <c r="K78" s="3">
        <v>2.2169474124926793</v>
      </c>
      <c r="L78" s="3">
        <v>2.0921113691079496</v>
      </c>
      <c r="M78" s="3">
        <v>1.3907095609445321</v>
      </c>
      <c r="N78" s="3">
        <v>1.5457521977440651</v>
      </c>
      <c r="O78" s="3">
        <v>0.80577491124117084</v>
      </c>
      <c r="P78" s="3">
        <v>0.35866501026870945</v>
      </c>
      <c r="Q78" s="3">
        <v>0</v>
      </c>
    </row>
    <row r="79" spans="1:17" x14ac:dyDescent="0.2">
      <c r="A79" s="2">
        <v>75</v>
      </c>
      <c r="B79" s="2">
        <f t="shared" ca="1" si="3"/>
        <v>-0.37499434320058628</v>
      </c>
      <c r="F79" s="4">
        <v>75</v>
      </c>
      <c r="G79" s="3">
        <v>3.96</v>
      </c>
      <c r="H79" s="3">
        <v>3.2543245249198138</v>
      </c>
      <c r="I79" s="3">
        <v>3.1634254313289341</v>
      </c>
      <c r="J79" s="3">
        <v>2.7890084892114979</v>
      </c>
      <c r="K79" s="3">
        <v>1.8156805121084525</v>
      </c>
      <c r="L79" s="3">
        <v>1.8266357027668931</v>
      </c>
      <c r="M79" s="3">
        <v>1.6835743613410674</v>
      </c>
      <c r="N79" s="3">
        <v>1.2612428865788934</v>
      </c>
      <c r="O79" s="3">
        <v>0.9315625153797793</v>
      </c>
      <c r="P79" s="3">
        <v>0.46312330894273701</v>
      </c>
      <c r="Q79" s="3">
        <v>0</v>
      </c>
    </row>
    <row r="80" spans="1:17" x14ac:dyDescent="0.2">
      <c r="A80" s="2">
        <v>76</v>
      </c>
      <c r="B80" s="2">
        <f t="shared" ca="1" si="3"/>
        <v>1.51210775930594</v>
      </c>
      <c r="F80" s="4">
        <v>76</v>
      </c>
      <c r="G80" s="3">
        <v>3.96</v>
      </c>
      <c r="H80" s="3">
        <v>3.6519912155908987</v>
      </c>
      <c r="I80" s="3">
        <v>3.2387351899888541</v>
      </c>
      <c r="J80" s="3">
        <v>3.0519574735613846</v>
      </c>
      <c r="K80" s="3">
        <v>2.2305446191768699</v>
      </c>
      <c r="L80" s="3">
        <v>2.0202738989077345</v>
      </c>
      <c r="M80" s="3">
        <v>1.9320628249173524</v>
      </c>
      <c r="N80" s="3">
        <v>1.1377246846237778</v>
      </c>
      <c r="O80" s="3">
        <v>0.69729731388589822</v>
      </c>
      <c r="P80" s="3">
        <v>0.36393262895848943</v>
      </c>
      <c r="Q80" s="3">
        <v>0</v>
      </c>
    </row>
    <row r="81" spans="1:17" x14ac:dyDescent="0.2">
      <c r="A81" s="2">
        <v>77</v>
      </c>
      <c r="B81" s="2">
        <f t="shared" ca="1" si="3"/>
        <v>1.4828702363192592</v>
      </c>
      <c r="F81" s="4">
        <v>77</v>
      </c>
      <c r="G81" s="3">
        <v>3.96</v>
      </c>
      <c r="H81" s="3">
        <v>3.3972298326732542</v>
      </c>
      <c r="I81" s="3">
        <v>3.3921929588581796</v>
      </c>
      <c r="J81" s="3">
        <v>3.0000135708745312</v>
      </c>
      <c r="K81" s="3">
        <v>2.1080873700313907</v>
      </c>
      <c r="L81" s="3">
        <v>1.6383003336065438</v>
      </c>
      <c r="M81" s="3">
        <v>1.709886051058954</v>
      </c>
      <c r="N81" s="3">
        <v>1.2005253475545412</v>
      </c>
      <c r="O81" s="3">
        <v>0.7037022770655551</v>
      </c>
      <c r="P81" s="3">
        <v>0.25347444642771028</v>
      </c>
      <c r="Q81" s="3">
        <v>0</v>
      </c>
    </row>
    <row r="82" spans="1:17" x14ac:dyDescent="0.2">
      <c r="A82" s="2">
        <v>78</v>
      </c>
      <c r="B82" s="2">
        <f t="shared" ca="1" si="3"/>
        <v>-0.96500454138012681</v>
      </c>
      <c r="F82" s="4">
        <v>78</v>
      </c>
      <c r="G82" s="3">
        <v>3.9600000000000004</v>
      </c>
      <c r="H82" s="3">
        <v>3.6443783864506347</v>
      </c>
      <c r="I82" s="3">
        <v>2.9951608664012683</v>
      </c>
      <c r="J82" s="3">
        <v>2.7149506051571226</v>
      </c>
      <c r="K82" s="3">
        <v>2.408222623811588</v>
      </c>
      <c r="L82" s="3">
        <v>1.6105817392200006</v>
      </c>
      <c r="M82" s="3">
        <v>1.2769979483738865</v>
      </c>
      <c r="N82" s="3">
        <v>1.1054369349476969</v>
      </c>
      <c r="O82" s="3">
        <v>0.68529133944002996</v>
      </c>
      <c r="P82" s="3">
        <v>0.64546277620879389</v>
      </c>
      <c r="Q82" s="3">
        <v>0</v>
      </c>
    </row>
    <row r="83" spans="1:17" x14ac:dyDescent="0.2">
      <c r="A83" s="2">
        <v>79</v>
      </c>
      <c r="B83" s="2">
        <f t="shared" ca="1" si="3"/>
        <v>-0.71696458273722552</v>
      </c>
      <c r="F83" s="4">
        <v>79</v>
      </c>
      <c r="G83" s="3">
        <v>3.96</v>
      </c>
      <c r="H83" s="3">
        <v>3.4399555554162262</v>
      </c>
      <c r="I83" s="3">
        <v>3.3284832564315185</v>
      </c>
      <c r="J83" s="3">
        <v>3.0039317736829982</v>
      </c>
      <c r="K83" s="3">
        <v>2.4962606605659103</v>
      </c>
      <c r="L83" s="3">
        <v>1.7698955624857369</v>
      </c>
      <c r="M83" s="3">
        <v>1.9009779911440234</v>
      </c>
      <c r="N83" s="3">
        <v>1.3223263592400127</v>
      </c>
      <c r="O83" s="3">
        <v>0.91043619512237606</v>
      </c>
      <c r="P83" s="3">
        <v>0.4803441514557566</v>
      </c>
      <c r="Q83" s="3">
        <v>0</v>
      </c>
    </row>
    <row r="84" spans="1:17" x14ac:dyDescent="0.2">
      <c r="A84" s="2">
        <v>80</v>
      </c>
      <c r="B84" s="2">
        <f t="shared" ca="1" si="3"/>
        <v>-7.1298875526248473E-2</v>
      </c>
      <c r="F84" s="4">
        <v>80</v>
      </c>
      <c r="G84" s="3">
        <v>3.96</v>
      </c>
      <c r="H84" s="3">
        <v>3.5756056463974892</v>
      </c>
      <c r="I84" s="3">
        <v>3.0052829741368736</v>
      </c>
      <c r="J84" s="3">
        <v>2.3597395042525364</v>
      </c>
      <c r="K84" s="3">
        <v>2.1520519968380438</v>
      </c>
      <c r="L84" s="3">
        <v>2.0873150112754701</v>
      </c>
      <c r="M84" s="3">
        <v>1.7846630071368506</v>
      </c>
      <c r="N84" s="3">
        <v>1.012507659927071</v>
      </c>
      <c r="O84" s="3">
        <v>1.0944733396633193</v>
      </c>
      <c r="P84" s="3">
        <v>0.48654709367770133</v>
      </c>
      <c r="Q84" s="3">
        <v>0</v>
      </c>
    </row>
    <row r="85" spans="1:17" x14ac:dyDescent="0.2">
      <c r="A85" s="2">
        <v>81</v>
      </c>
      <c r="B85" s="2">
        <f t="shared" ca="1" si="3"/>
        <v>-1.7478060380287854</v>
      </c>
      <c r="F85" s="4">
        <v>81</v>
      </c>
      <c r="G85" s="3">
        <v>3.96</v>
      </c>
      <c r="H85" s="3">
        <v>3.3960704866567055</v>
      </c>
      <c r="I85" s="3">
        <v>3.1542401049957118</v>
      </c>
      <c r="J85" s="3">
        <v>2.8424733031437164</v>
      </c>
      <c r="K85" s="3">
        <v>2.5780273701372387</v>
      </c>
      <c r="L85" s="3">
        <v>2.2961839088034073</v>
      </c>
      <c r="M85" s="3">
        <v>1.9319711907669732</v>
      </c>
      <c r="N85" s="3">
        <v>1.3802761209167778</v>
      </c>
      <c r="O85" s="3">
        <v>0.97250719292601517</v>
      </c>
      <c r="P85" s="3">
        <v>0.41802981011395401</v>
      </c>
      <c r="Q85" s="3">
        <v>0</v>
      </c>
    </row>
    <row r="86" spans="1:17" x14ac:dyDescent="0.2">
      <c r="A86" s="2">
        <v>82</v>
      </c>
      <c r="B86" s="2">
        <f t="shared" ca="1" si="3"/>
        <v>-0.3958745759734108</v>
      </c>
      <c r="F86" s="4">
        <v>82</v>
      </c>
      <c r="G86" s="3">
        <v>3.9600000000000004</v>
      </c>
      <c r="H86" s="3">
        <v>3.7618968277796059</v>
      </c>
      <c r="I86" s="3">
        <v>3.2293974196928703</v>
      </c>
      <c r="J86" s="3">
        <v>2.5532302844986186</v>
      </c>
      <c r="K86" s="3">
        <v>2.2926551058594602</v>
      </c>
      <c r="L86" s="3">
        <v>2.0985214753339676</v>
      </c>
      <c r="M86" s="3">
        <v>1.5016018937410058</v>
      </c>
      <c r="N86" s="3">
        <v>1.1978445491840382</v>
      </c>
      <c r="O86" s="3">
        <v>0.68721595091941778</v>
      </c>
      <c r="P86" s="3">
        <v>0.58133636415502132</v>
      </c>
      <c r="Q86" s="3">
        <v>0</v>
      </c>
    </row>
    <row r="87" spans="1:17" x14ac:dyDescent="0.2">
      <c r="A87" s="2">
        <v>83</v>
      </c>
      <c r="B87" s="2">
        <f t="shared" ca="1" si="3"/>
        <v>-1.8573380418614396</v>
      </c>
      <c r="F87" s="4">
        <v>83</v>
      </c>
      <c r="G87" s="3">
        <v>3.96</v>
      </c>
      <c r="H87" s="3">
        <v>3.4076628595457943</v>
      </c>
      <c r="I87" s="3">
        <v>2.9363392909421338</v>
      </c>
      <c r="J87" s="3">
        <v>2.8494030214716943</v>
      </c>
      <c r="K87" s="3">
        <v>2.2867569097215763</v>
      </c>
      <c r="L87" s="3">
        <v>2.1632760901682606</v>
      </c>
      <c r="M87" s="3">
        <v>1.3615751517457149</v>
      </c>
      <c r="N87" s="3">
        <v>1.0434351538818381</v>
      </c>
      <c r="O87" s="3">
        <v>1.0168249134152221</v>
      </c>
      <c r="P87" s="3">
        <v>0.50018685292030673</v>
      </c>
      <c r="Q87" s="3">
        <v>0</v>
      </c>
    </row>
    <row r="88" spans="1:17" x14ac:dyDescent="0.2">
      <c r="A88" s="2">
        <v>84</v>
      </c>
      <c r="B88" s="2">
        <f t="shared" ca="1" si="3"/>
        <v>-2.464362802009239</v>
      </c>
      <c r="F88" s="4">
        <v>84</v>
      </c>
      <c r="G88" s="3">
        <v>3.9599999999999995</v>
      </c>
      <c r="H88" s="3">
        <v>3.5604555393891149</v>
      </c>
      <c r="I88" s="3">
        <v>3.178631805620749</v>
      </c>
      <c r="J88" s="3">
        <v>2.8129435184397438</v>
      </c>
      <c r="K88" s="3">
        <v>2.3706693080381838</v>
      </c>
      <c r="L88" s="3">
        <v>1.9558856183863857</v>
      </c>
      <c r="M88" s="3">
        <v>1.50576583739953</v>
      </c>
      <c r="N88" s="3">
        <v>1.3686957430561277</v>
      </c>
      <c r="O88" s="3">
        <v>0.69706280494812967</v>
      </c>
      <c r="P88" s="3">
        <v>0.29534502665742651</v>
      </c>
      <c r="Q88" s="3">
        <v>0</v>
      </c>
    </row>
    <row r="89" spans="1:17" x14ac:dyDescent="0.2">
      <c r="A89" s="2">
        <v>85</v>
      </c>
      <c r="B89" s="2">
        <f t="shared" ca="1" si="3"/>
        <v>-0.49663358617424136</v>
      </c>
      <c r="F89" s="4">
        <v>85</v>
      </c>
      <c r="G89" s="3">
        <v>3.9600000000000004</v>
      </c>
      <c r="H89" s="3">
        <v>3.2209509207459126</v>
      </c>
      <c r="I89" s="3">
        <v>3.0625140245773772</v>
      </c>
      <c r="J89" s="3">
        <v>2.8685806680822119</v>
      </c>
      <c r="K89" s="3">
        <v>2.5003389734255816</v>
      </c>
      <c r="L89" s="3">
        <v>1.7918135169973057</v>
      </c>
      <c r="M89" s="3">
        <v>1.8476666993220308</v>
      </c>
      <c r="N89" s="3">
        <v>1.1592005772945084</v>
      </c>
      <c r="O89" s="3">
        <v>0.80936068422657037</v>
      </c>
      <c r="P89" s="3">
        <v>0.38471482835006049</v>
      </c>
      <c r="Q89" s="3">
        <v>0</v>
      </c>
    </row>
    <row r="90" spans="1:17" x14ac:dyDescent="0.2">
      <c r="A90" s="2">
        <v>86</v>
      </c>
      <c r="B90" s="2">
        <f t="shared" ca="1" si="3"/>
        <v>-0.17092626941734973</v>
      </c>
      <c r="F90" s="4">
        <v>86</v>
      </c>
      <c r="G90" s="3">
        <v>3.96</v>
      </c>
      <c r="H90" s="3">
        <v>3.4349277840061068</v>
      </c>
      <c r="I90" s="3">
        <v>3.2710706683178108</v>
      </c>
      <c r="J90" s="3">
        <v>2.6221879576723781</v>
      </c>
      <c r="K90" s="3">
        <v>2.493706599347544</v>
      </c>
      <c r="L90" s="3">
        <v>1.7756062285149687</v>
      </c>
      <c r="M90" s="3">
        <v>1.6129244715152857</v>
      </c>
      <c r="N90" s="3">
        <v>1.514557176670067</v>
      </c>
      <c r="O90" s="3">
        <v>0.8974408432819716</v>
      </c>
      <c r="P90" s="3">
        <v>0.32052159037338418</v>
      </c>
      <c r="Q90" s="3">
        <v>0</v>
      </c>
    </row>
    <row r="91" spans="1:17" x14ac:dyDescent="0.2">
      <c r="A91" s="2">
        <v>87</v>
      </c>
      <c r="B91" s="2">
        <f t="shared" ca="1" si="3"/>
        <v>-0.16161194898630296</v>
      </c>
      <c r="F91" s="4">
        <v>87</v>
      </c>
      <c r="G91" s="3">
        <v>3.9599999999999995</v>
      </c>
      <c r="H91" s="3">
        <v>3.6751378842954208</v>
      </c>
      <c r="I91" s="3">
        <v>3.0569075102519094</v>
      </c>
      <c r="J91" s="3">
        <v>3.0063672302944071</v>
      </c>
      <c r="K91" s="3">
        <v>2.5174825428012597</v>
      </c>
      <c r="L91" s="3">
        <v>2.3040878305416466</v>
      </c>
      <c r="M91" s="3">
        <v>1.2593746304151883</v>
      </c>
      <c r="N91" s="3">
        <v>0.98084211578796054</v>
      </c>
      <c r="O91" s="3">
        <v>0.60705211231530032</v>
      </c>
      <c r="P91" s="3">
        <v>0.54672295736769272</v>
      </c>
      <c r="Q91" s="3">
        <v>0</v>
      </c>
    </row>
    <row r="92" spans="1:17" x14ac:dyDescent="0.2">
      <c r="A92" s="2">
        <v>88</v>
      </c>
      <c r="B92" s="2">
        <f t="shared" ca="1" si="3"/>
        <v>-0.45758093293406926</v>
      </c>
      <c r="F92" s="4">
        <v>88</v>
      </c>
      <c r="G92" s="3">
        <v>3.96</v>
      </c>
      <c r="H92" s="3">
        <v>3.6023142436759739</v>
      </c>
      <c r="I92" s="3">
        <v>3.2065381470147565</v>
      </c>
      <c r="J92" s="3">
        <v>2.7166663058215739</v>
      </c>
      <c r="K92" s="3">
        <v>2.1590711080986607</v>
      </c>
      <c r="L92" s="3">
        <v>2.2818067934419708</v>
      </c>
      <c r="M92" s="3">
        <v>1.9627137051755887</v>
      </c>
      <c r="N92" s="3">
        <v>1.3442633180213004</v>
      </c>
      <c r="O92" s="3">
        <v>0.9058706073881595</v>
      </c>
      <c r="P92" s="3">
        <v>0.6450530053932606</v>
      </c>
      <c r="Q92" s="3">
        <v>0</v>
      </c>
    </row>
    <row r="93" spans="1:17" x14ac:dyDescent="0.2">
      <c r="A93" s="2">
        <v>89</v>
      </c>
      <c r="B93" s="2">
        <f t="shared" ca="1" si="3"/>
        <v>6.7528330642876083E-2</v>
      </c>
      <c r="F93" s="4">
        <v>89</v>
      </c>
      <c r="G93" s="3">
        <v>3.9600000000000004</v>
      </c>
      <c r="H93" s="3">
        <v>3.3871833576541781</v>
      </c>
      <c r="I93" s="3">
        <v>2.8174020446543193</v>
      </c>
      <c r="J93" s="3">
        <v>2.5920743926027425</v>
      </c>
      <c r="K93" s="3">
        <v>2.4596848801731315</v>
      </c>
      <c r="L93" s="3">
        <v>1.9716190085071832</v>
      </c>
      <c r="M93" s="3">
        <v>1.1900203313919302</v>
      </c>
      <c r="N93" s="3">
        <v>1.1457955529205239</v>
      </c>
      <c r="O93" s="3">
        <v>0.95838807318927177</v>
      </c>
      <c r="P93" s="3">
        <v>0.28188206761688755</v>
      </c>
      <c r="Q93" s="3">
        <v>0</v>
      </c>
    </row>
    <row r="94" spans="1:17" x14ac:dyDescent="0.2">
      <c r="A94" s="2">
        <v>90</v>
      </c>
      <c r="B94" s="2">
        <f t="shared" ca="1" si="3"/>
        <v>-0.95511174081822525</v>
      </c>
      <c r="F94" s="4">
        <v>90</v>
      </c>
      <c r="G94" s="3">
        <v>3.96</v>
      </c>
      <c r="H94" s="3">
        <v>3.6361982752846091</v>
      </c>
      <c r="I94" s="3">
        <v>3.4166245070685242</v>
      </c>
      <c r="J94" s="3">
        <v>2.6010115177988289</v>
      </c>
      <c r="K94" s="3">
        <v>2.0560233379148229</v>
      </c>
      <c r="L94" s="3">
        <v>2.0335723614617067</v>
      </c>
      <c r="M94" s="3">
        <v>1.7656000852187999</v>
      </c>
      <c r="N94" s="3">
        <v>1.3811404348117537</v>
      </c>
      <c r="O94" s="3">
        <v>0.91221344561582185</v>
      </c>
      <c r="P94" s="3">
        <v>0.20010049160652141</v>
      </c>
      <c r="Q94" s="3">
        <v>0</v>
      </c>
    </row>
    <row r="95" spans="1:17" x14ac:dyDescent="0.2">
      <c r="A95" s="2">
        <v>91</v>
      </c>
      <c r="B95" s="2">
        <f t="shared" ca="1" si="3"/>
        <v>3.7911998955115616</v>
      </c>
      <c r="F95" s="4">
        <v>91</v>
      </c>
      <c r="G95" s="3">
        <v>3.96</v>
      </c>
      <c r="H95" s="3">
        <v>3.1604950310849262</v>
      </c>
      <c r="I95" s="3">
        <v>3.3233778993385057</v>
      </c>
      <c r="J95" s="3">
        <v>2.7294231604424763</v>
      </c>
      <c r="K95" s="3">
        <v>2.3192255508270652</v>
      </c>
      <c r="L95" s="3">
        <v>1.7712753604441112</v>
      </c>
      <c r="M95" s="3">
        <v>1.718583273332239</v>
      </c>
      <c r="N95" s="3">
        <v>1.3410324202124078</v>
      </c>
      <c r="O95" s="3">
        <v>0.6606118770926751</v>
      </c>
      <c r="P95" s="3">
        <v>0.53107693050260529</v>
      </c>
      <c r="Q95" s="3">
        <v>0</v>
      </c>
    </row>
    <row r="96" spans="1:17" x14ac:dyDescent="0.2">
      <c r="A96" s="2">
        <v>92</v>
      </c>
      <c r="B96" s="2">
        <f t="shared" ca="1" si="3"/>
        <v>-0.65104402064204203</v>
      </c>
      <c r="F96" s="4">
        <v>92</v>
      </c>
      <c r="G96" s="3">
        <v>3.96</v>
      </c>
      <c r="H96" s="3">
        <v>3.6846164239038246</v>
      </c>
      <c r="I96" s="3">
        <v>3.1236280955422271</v>
      </c>
      <c r="J96" s="3">
        <v>2.6317199657814614</v>
      </c>
      <c r="K96" s="3">
        <v>2.2892665511491588</v>
      </c>
      <c r="L96" s="3">
        <v>2.1234395265785557</v>
      </c>
      <c r="M96" s="3">
        <v>1.6141133154451217</v>
      </c>
      <c r="N96" s="3">
        <v>1.0338076093013557</v>
      </c>
      <c r="O96" s="3">
        <v>0.82368582117953393</v>
      </c>
      <c r="P96" s="3">
        <v>0.44416864772078019</v>
      </c>
      <c r="Q96" s="3">
        <v>0</v>
      </c>
    </row>
    <row r="97" spans="1:17" x14ac:dyDescent="0.2">
      <c r="A97" s="2">
        <v>93</v>
      </c>
      <c r="B97" s="2">
        <f t="shared" ca="1" si="3"/>
        <v>-0.90386367624152364</v>
      </c>
      <c r="F97" s="4">
        <v>93</v>
      </c>
      <c r="G97" s="3">
        <v>3.9599999999999995</v>
      </c>
      <c r="H97" s="3">
        <v>3.5289602505466422</v>
      </c>
      <c r="I97" s="3">
        <v>3.2104013031980436</v>
      </c>
      <c r="J97" s="3">
        <v>2.7479158845656153</v>
      </c>
      <c r="K97" s="3">
        <v>1.9315349860041897</v>
      </c>
      <c r="L97" s="3">
        <v>1.9023459422893072</v>
      </c>
      <c r="M97" s="3">
        <v>1.6064221961816516</v>
      </c>
      <c r="N97" s="3">
        <v>1.3472969066081681</v>
      </c>
      <c r="O97" s="3">
        <v>1.1059435329556384</v>
      </c>
      <c r="P97" s="3">
        <v>0.34972160103681149</v>
      </c>
      <c r="Q97" s="3">
        <v>0</v>
      </c>
    </row>
    <row r="98" spans="1:17" x14ac:dyDescent="0.2">
      <c r="A98" s="2">
        <v>94</v>
      </c>
      <c r="B98" s="2">
        <f t="shared" ca="1" si="3"/>
        <v>-0.99741550990309213</v>
      </c>
      <c r="F98" s="4">
        <v>94</v>
      </c>
      <c r="G98" s="3">
        <v>3.96</v>
      </c>
      <c r="H98" s="3">
        <v>3.5478622936755841</v>
      </c>
      <c r="I98" s="3">
        <v>3.0295512271183616</v>
      </c>
      <c r="J98" s="3">
        <v>2.6302525414565237</v>
      </c>
      <c r="K98" s="3">
        <v>2.4449641355697698</v>
      </c>
      <c r="L98" s="3">
        <v>1.951120099144706</v>
      </c>
      <c r="M98" s="3">
        <v>2.0275905713414302</v>
      </c>
      <c r="N98" s="3">
        <v>1.1427841452304548</v>
      </c>
      <c r="O98" s="3">
        <v>0.92869245515773924</v>
      </c>
      <c r="P98" s="3">
        <v>0.23904250570715652</v>
      </c>
      <c r="Q98" s="3">
        <v>0</v>
      </c>
    </row>
    <row r="99" spans="1:17" x14ac:dyDescent="0.2">
      <c r="A99" s="2">
        <v>95</v>
      </c>
      <c r="B99" s="2">
        <f t="shared" ca="1" si="3"/>
        <v>1.2410373320537122</v>
      </c>
      <c r="F99" s="4">
        <v>95</v>
      </c>
      <c r="G99" s="3">
        <v>3.96</v>
      </c>
      <c r="H99" s="3">
        <v>3.6881604590352799</v>
      </c>
      <c r="I99" s="3">
        <v>3.026924604724599</v>
      </c>
      <c r="J99" s="3">
        <v>2.9919904344236161</v>
      </c>
      <c r="K99" s="3">
        <v>2.4896186702366525</v>
      </c>
      <c r="L99" s="3">
        <v>2.1548022634664643</v>
      </c>
      <c r="M99" s="3">
        <v>1.7359456331002971</v>
      </c>
      <c r="N99" s="3">
        <v>1.6585364887879566</v>
      </c>
      <c r="O99" s="3">
        <v>0.80338378340015415</v>
      </c>
      <c r="P99" s="3">
        <v>0.43826075426198585</v>
      </c>
      <c r="Q99" s="3">
        <v>0</v>
      </c>
    </row>
    <row r="100" spans="1:17" x14ac:dyDescent="0.2">
      <c r="A100" s="2">
        <v>96</v>
      </c>
      <c r="B100" s="2">
        <f t="shared" ca="1" si="3"/>
        <v>0.27664963925512548</v>
      </c>
      <c r="F100" s="4">
        <v>96</v>
      </c>
      <c r="G100" s="3">
        <v>3.96</v>
      </c>
      <c r="H100" s="3">
        <v>3.3733891050706331</v>
      </c>
      <c r="I100" s="3">
        <v>3.0289631139374977</v>
      </c>
      <c r="J100" s="3">
        <v>2.4468441513880381</v>
      </c>
      <c r="K100" s="3">
        <v>2.4326826622573905</v>
      </c>
      <c r="L100" s="3">
        <v>1.812351585499183</v>
      </c>
      <c r="M100" s="3">
        <v>1.9737879932712248</v>
      </c>
      <c r="N100" s="3">
        <v>1.2522680310273679</v>
      </c>
      <c r="O100" s="3">
        <v>0.77639919823658554</v>
      </c>
      <c r="P100" s="3">
        <v>0.45364667812387865</v>
      </c>
      <c r="Q100" s="3">
        <v>0</v>
      </c>
    </row>
    <row r="101" spans="1:17" x14ac:dyDescent="0.2">
      <c r="A101" s="2">
        <v>97</v>
      </c>
      <c r="B101" s="2">
        <f t="shared" ca="1" si="3"/>
        <v>-0.71078675613320907</v>
      </c>
      <c r="F101" s="4">
        <v>97</v>
      </c>
      <c r="G101" s="3">
        <v>3.9599999999999995</v>
      </c>
      <c r="H101" s="3">
        <v>3.657998600248483</v>
      </c>
      <c r="I101" s="3">
        <v>3.3668506707094314</v>
      </c>
      <c r="J101" s="3">
        <v>2.9035704871485812</v>
      </c>
      <c r="K101" s="3">
        <v>2.2535358931443272</v>
      </c>
      <c r="L101" s="3">
        <v>1.791073919880831</v>
      </c>
      <c r="M101" s="3">
        <v>1.4064814382261122</v>
      </c>
      <c r="N101" s="3">
        <v>1.3654767605305849</v>
      </c>
      <c r="O101" s="3">
        <v>0.79731349211278846</v>
      </c>
      <c r="P101" s="3">
        <v>0.26649820940287045</v>
      </c>
      <c r="Q101" s="3">
        <v>0</v>
      </c>
    </row>
    <row r="102" spans="1:17" x14ac:dyDescent="0.2">
      <c r="A102" s="2">
        <v>98</v>
      </c>
      <c r="B102" s="2">
        <f t="shared" ca="1" si="3"/>
        <v>5.2921204774420347E-2</v>
      </c>
      <c r="F102" s="4">
        <v>98</v>
      </c>
      <c r="G102" s="3">
        <v>3.96</v>
      </c>
      <c r="H102" s="3">
        <v>3.3127925961324878</v>
      </c>
      <c r="I102" s="3">
        <v>3.2585846527846796</v>
      </c>
      <c r="J102" s="3">
        <v>2.8137660667741895</v>
      </c>
      <c r="K102" s="3">
        <v>2.1460366847229997</v>
      </c>
      <c r="L102" s="3">
        <v>1.6327220724009728</v>
      </c>
      <c r="M102" s="3">
        <v>1.4402969770020304</v>
      </c>
      <c r="N102" s="3">
        <v>0.91071140475004408</v>
      </c>
      <c r="O102" s="3">
        <v>0.56731520150990655</v>
      </c>
      <c r="P102" s="3">
        <v>0.52771699436931663</v>
      </c>
      <c r="Q102" s="3">
        <v>0</v>
      </c>
    </row>
    <row r="103" spans="1:17" x14ac:dyDescent="0.2">
      <c r="A103" s="2">
        <v>99</v>
      </c>
      <c r="B103" s="2">
        <f t="shared" ca="1" si="3"/>
        <v>-0.60227981144654597</v>
      </c>
      <c r="F103" s="4">
        <v>99</v>
      </c>
      <c r="G103" s="3">
        <v>3.96</v>
      </c>
      <c r="H103" s="3">
        <v>3.6259327518424351</v>
      </c>
      <c r="I103" s="3">
        <v>3.3396147352125252</v>
      </c>
      <c r="J103" s="3">
        <v>2.5459025632841215</v>
      </c>
      <c r="K103" s="3">
        <v>2.7324988811067445</v>
      </c>
      <c r="L103" s="3">
        <v>1.9428500433191385</v>
      </c>
      <c r="M103" s="3">
        <v>1.5038686911951775</v>
      </c>
      <c r="N103" s="3">
        <v>1.3400248611769265</v>
      </c>
      <c r="O103" s="3">
        <v>0.85250728731336067</v>
      </c>
      <c r="P103" s="3">
        <v>0.37919614166018156</v>
      </c>
      <c r="Q103" s="3">
        <v>0</v>
      </c>
    </row>
    <row r="104" spans="1:17" x14ac:dyDescent="0.2">
      <c r="A104" s="2">
        <v>100</v>
      </c>
      <c r="B104" s="2">
        <f t="shared" ca="1" si="3"/>
        <v>0.11196618535719699</v>
      </c>
      <c r="F104" s="4">
        <v>100</v>
      </c>
      <c r="G104" s="3">
        <v>3.96</v>
      </c>
      <c r="H104" s="3">
        <v>3.6290425859626558</v>
      </c>
      <c r="I104" s="3">
        <v>3.4164890578540055</v>
      </c>
      <c r="J104" s="3">
        <v>2.6980866706751181</v>
      </c>
      <c r="K104" s="3">
        <v>2.3059340838606599</v>
      </c>
      <c r="L104" s="3">
        <v>2.2651743099557025</v>
      </c>
      <c r="M104" s="3">
        <v>1.7318524703346176</v>
      </c>
      <c r="N104" s="3">
        <v>1.2671734686359977</v>
      </c>
      <c r="O104" s="3">
        <v>0.75511922774650453</v>
      </c>
      <c r="P104" s="3">
        <v>0.6944234442371483</v>
      </c>
      <c r="Q104" s="3">
        <v>0</v>
      </c>
    </row>
  </sheetData>
  <hyperlinks>
    <hyperlink ref="A1" r:id="rId1" display="https://drive.google.com/open?id=1HnEBe_Quq9jy91IT4hE_RP9DuBXof7r2&amp;authuser=davethemovie%40gmail.com&amp;usp=drive_fs" xr:uid="{B8A8C044-01D0-1D44-9B77-BA1A65D368E8}"/>
    <hyperlink ref="A2" r:id="rId2" display="https://drive.google.com/open?id=1Hwe9CFM3oUzuFZSMaNQggm-wOkkccOkw&amp;authuser=davethemovie%40gmail.com&amp;usp=drive_fs" xr:uid="{5DF32564-1225-2347-8D50-7CFB57B78F4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>
      <selection activeCell="A4" sqref="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</v>
      </c>
    </row>
    <row r="2" spans="1:1" x14ac:dyDescent="0.3">
      <c r="A2" s="1" t="s">
        <v>52</v>
      </c>
    </row>
    <row r="3" spans="1:1" x14ac:dyDescent="0.3">
      <c r="A3" s="1" t="s">
        <v>53</v>
      </c>
    </row>
    <row r="4" spans="1:1" x14ac:dyDescent="0.3">
      <c r="A4" s="1" t="s">
        <v>54</v>
      </c>
    </row>
    <row r="5" spans="1:1" x14ac:dyDescent="0.3">
      <c r="A5" s="1" t="s">
        <v>55</v>
      </c>
    </row>
    <row r="6" spans="1:1" x14ac:dyDescent="0.3">
      <c r="A6" s="1" t="s">
        <v>56</v>
      </c>
    </row>
    <row r="7" spans="1:1" x14ac:dyDescent="0.3">
      <c r="A7" s="1" t="s">
        <v>192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259</v>
      </c>
    </row>
    <row r="2" spans="1:5" x14ac:dyDescent="0.3">
      <c r="B2" s="14" t="s">
        <v>42</v>
      </c>
      <c r="C2" s="13" t="s">
        <v>41</v>
      </c>
      <c r="D2" s="13" t="s">
        <v>40</v>
      </c>
      <c r="E2" s="13" t="s">
        <v>39</v>
      </c>
    </row>
    <row r="3" spans="1:5" x14ac:dyDescent="0.3">
      <c r="B3" s="1" t="s">
        <v>38</v>
      </c>
      <c r="C3" s="12">
        <f t="shared" ref="C3:C22" ca="1" si="0">RAND()</f>
        <v>0.38885592185280227</v>
      </c>
      <c r="D3" s="12">
        <f t="shared" ref="D3:D12" ca="1" si="1">C3+RAND()*(1-C3)</f>
        <v>0.56170215152636738</v>
      </c>
      <c r="E3" s="12"/>
    </row>
    <row r="4" spans="1:5" x14ac:dyDescent="0.3">
      <c r="B4" s="1" t="s">
        <v>38</v>
      </c>
      <c r="C4" s="12">
        <f t="shared" ca="1" si="0"/>
        <v>0.3120989440455314</v>
      </c>
      <c r="D4" s="12">
        <f t="shared" ca="1" si="1"/>
        <v>0.35234579077014322</v>
      </c>
      <c r="E4" s="12"/>
    </row>
    <row r="5" spans="1:5" x14ac:dyDescent="0.3">
      <c r="B5" s="1" t="s">
        <v>38</v>
      </c>
      <c r="C5" s="12">
        <f t="shared" ca="1" si="0"/>
        <v>2.0468346893708578E-2</v>
      </c>
      <c r="D5" s="12">
        <f t="shared" ca="1" si="1"/>
        <v>0.15351415150598136</v>
      </c>
      <c r="E5" s="12"/>
    </row>
    <row r="6" spans="1:5" x14ac:dyDescent="0.3">
      <c r="B6" s="1" t="s">
        <v>38</v>
      </c>
      <c r="C6" s="12">
        <f t="shared" ca="1" si="0"/>
        <v>3.0013720359352569E-2</v>
      </c>
      <c r="D6" s="12">
        <f t="shared" ca="1" si="1"/>
        <v>0.4173398383621138</v>
      </c>
      <c r="E6" s="12"/>
    </row>
    <row r="7" spans="1:5" x14ac:dyDescent="0.3">
      <c r="B7" s="1" t="s">
        <v>38</v>
      </c>
      <c r="C7" s="12">
        <f t="shared" ca="1" si="0"/>
        <v>0.55035749493801067</v>
      </c>
      <c r="D7" s="12">
        <f t="shared" ca="1" si="1"/>
        <v>0.69169853720092322</v>
      </c>
      <c r="E7" s="12"/>
    </row>
    <row r="8" spans="1:5" x14ac:dyDescent="0.3">
      <c r="B8" s="1" t="s">
        <v>38</v>
      </c>
      <c r="C8" s="12">
        <f t="shared" ca="1" si="0"/>
        <v>0.61693011620780358</v>
      </c>
      <c r="D8" s="12">
        <f t="shared" ca="1" si="1"/>
        <v>0.76525656796090025</v>
      </c>
      <c r="E8" s="12"/>
    </row>
    <row r="9" spans="1:5" x14ac:dyDescent="0.3">
      <c r="B9" s="1" t="s">
        <v>38</v>
      </c>
      <c r="C9" s="12">
        <f t="shared" ca="1" si="0"/>
        <v>0.93261592114610414</v>
      </c>
      <c r="D9" s="12">
        <f t="shared" ca="1" si="1"/>
        <v>0.93518286152824126</v>
      </c>
      <c r="E9" s="12"/>
    </row>
    <row r="10" spans="1:5" x14ac:dyDescent="0.3">
      <c r="B10" s="1" t="s">
        <v>38</v>
      </c>
      <c r="C10" s="12">
        <f t="shared" ca="1" si="0"/>
        <v>0.3310390028103446</v>
      </c>
      <c r="D10" s="12">
        <f t="shared" ca="1" si="1"/>
        <v>0.87982338827182749</v>
      </c>
      <c r="E10" s="12"/>
    </row>
    <row r="11" spans="1:5" x14ac:dyDescent="0.3">
      <c r="B11" s="1" t="s">
        <v>38</v>
      </c>
      <c r="C11" s="12">
        <f t="shared" ca="1" si="0"/>
        <v>0.90534123482932372</v>
      </c>
      <c r="D11" s="12">
        <f t="shared" ca="1" si="1"/>
        <v>0.99806245493260515</v>
      </c>
      <c r="E11" s="12"/>
    </row>
    <row r="12" spans="1:5" x14ac:dyDescent="0.3">
      <c r="B12" s="1" t="s">
        <v>38</v>
      </c>
      <c r="C12" s="12">
        <f t="shared" ca="1" si="0"/>
        <v>0.88860288693336675</v>
      </c>
      <c r="D12" s="12">
        <f t="shared" ca="1" si="1"/>
        <v>0.93710742238741285</v>
      </c>
      <c r="E12" s="12"/>
    </row>
    <row r="13" spans="1:5" x14ac:dyDescent="0.3">
      <c r="B13" s="1" t="s">
        <v>37</v>
      </c>
      <c r="C13" s="12">
        <f t="shared" ca="1" si="0"/>
        <v>0.15043143206535192</v>
      </c>
      <c r="D13" s="12"/>
      <c r="E13" s="12">
        <f t="shared" ref="E13:E22" ca="1" si="2">RAND()*C13</f>
        <v>3.6646211202626122E-2</v>
      </c>
    </row>
    <row r="14" spans="1:5" x14ac:dyDescent="0.3">
      <c r="B14" s="1" t="s">
        <v>37</v>
      </c>
      <c r="C14" s="12">
        <f t="shared" ca="1" si="0"/>
        <v>0.30925954379842047</v>
      </c>
      <c r="D14" s="12"/>
      <c r="E14" s="12">
        <f t="shared" ca="1" si="2"/>
        <v>0.14075956579029059</v>
      </c>
    </row>
    <row r="15" spans="1:5" x14ac:dyDescent="0.3">
      <c r="B15" s="1" t="s">
        <v>37</v>
      </c>
      <c r="C15" s="12">
        <f t="shared" ca="1" si="0"/>
        <v>0.28165821731894192</v>
      </c>
      <c r="D15" s="12"/>
      <c r="E15" s="12">
        <f t="shared" ca="1" si="2"/>
        <v>8.7272144328780984E-2</v>
      </c>
    </row>
    <row r="16" spans="1:5" x14ac:dyDescent="0.3">
      <c r="B16" s="1" t="s">
        <v>37</v>
      </c>
      <c r="C16" s="12">
        <f t="shared" ca="1" si="0"/>
        <v>0.15341716410931183</v>
      </c>
      <c r="D16" s="12"/>
      <c r="E16" s="12">
        <f t="shared" ca="1" si="2"/>
        <v>0.11707048847460155</v>
      </c>
    </row>
    <row r="17" spans="2:5" x14ac:dyDescent="0.3">
      <c r="B17" s="1" t="s">
        <v>37</v>
      </c>
      <c r="C17" s="12">
        <f t="shared" ca="1" si="0"/>
        <v>0.64809259870835656</v>
      </c>
      <c r="D17" s="12"/>
      <c r="E17" s="12">
        <f t="shared" ca="1" si="2"/>
        <v>0.24055420836311267</v>
      </c>
    </row>
    <row r="18" spans="2:5" x14ac:dyDescent="0.3">
      <c r="B18" s="1" t="s">
        <v>37</v>
      </c>
      <c r="C18" s="12">
        <f t="shared" ca="1" si="0"/>
        <v>0.58090917164864408</v>
      </c>
      <c r="D18" s="12"/>
      <c r="E18" s="12">
        <f t="shared" ca="1" si="2"/>
        <v>0.19444756344454042</v>
      </c>
    </row>
    <row r="19" spans="2:5" x14ac:dyDescent="0.3">
      <c r="B19" s="1" t="s">
        <v>37</v>
      </c>
      <c r="C19" s="12">
        <f t="shared" ca="1" si="0"/>
        <v>0.73228130702205319</v>
      </c>
      <c r="D19" s="12"/>
      <c r="E19" s="12">
        <f t="shared" ca="1" si="2"/>
        <v>0.44952917004449522</v>
      </c>
    </row>
    <row r="20" spans="2:5" x14ac:dyDescent="0.3">
      <c r="B20" s="1" t="s">
        <v>37</v>
      </c>
      <c r="C20" s="12">
        <f t="shared" ca="1" si="0"/>
        <v>0.56471015323033946</v>
      </c>
      <c r="D20" s="12"/>
      <c r="E20" s="12">
        <f t="shared" ca="1" si="2"/>
        <v>0.54248725636342077</v>
      </c>
    </row>
    <row r="21" spans="2:5" x14ac:dyDescent="0.3">
      <c r="B21" s="1" t="s">
        <v>37</v>
      </c>
      <c r="C21" s="12">
        <f t="shared" ca="1" si="0"/>
        <v>0.65757856723720964</v>
      </c>
      <c r="D21" s="12"/>
      <c r="E21" s="12">
        <f t="shared" ca="1" si="2"/>
        <v>0.58826942090621426</v>
      </c>
    </row>
    <row r="22" spans="2:5" x14ac:dyDescent="0.3">
      <c r="B22" s="1" t="s">
        <v>37</v>
      </c>
      <c r="C22" s="12">
        <f t="shared" ca="1" si="0"/>
        <v>0.16244546927149228</v>
      </c>
      <c r="D22" s="12"/>
      <c r="E22" s="12">
        <f t="shared" ca="1" si="2"/>
        <v>3.2572256368021135E-2</v>
      </c>
    </row>
  </sheetData>
  <hyperlinks>
    <hyperlink ref="A1" r:id="rId1" xr:uid="{53EB670A-AE78-A243-977D-014A4AD54669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260</v>
      </c>
    </row>
    <row r="2" spans="1:6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</row>
    <row r="3" spans="1:6" x14ac:dyDescent="0.3">
      <c r="B3" s="1" t="s">
        <v>38</v>
      </c>
      <c r="C3" s="12">
        <f t="shared" ref="C3:C25" ca="1" si="0">RAND()</f>
        <v>0.7367920297934385</v>
      </c>
      <c r="D3" s="12">
        <f t="shared" ref="D3:D12" ca="1" si="1">C3+RAND()*(1-C3)</f>
        <v>0.84062162609368629</v>
      </c>
      <c r="E3" s="12"/>
    </row>
    <row r="4" spans="1:6" x14ac:dyDescent="0.3">
      <c r="B4" s="1" t="s">
        <v>38</v>
      </c>
      <c r="C4" s="12">
        <f t="shared" ca="1" si="0"/>
        <v>0.75175706579645207</v>
      </c>
      <c r="D4" s="12">
        <f t="shared" ca="1" si="1"/>
        <v>0.9228969368341593</v>
      </c>
      <c r="E4" s="12"/>
    </row>
    <row r="5" spans="1:6" x14ac:dyDescent="0.3">
      <c r="B5" s="1" t="s">
        <v>38</v>
      </c>
      <c r="C5" s="12">
        <f t="shared" ca="1" si="0"/>
        <v>0.94060274246796716</v>
      </c>
      <c r="D5" s="12">
        <f t="shared" ca="1" si="1"/>
        <v>0.98515500103902409</v>
      </c>
      <c r="E5" s="12"/>
    </row>
    <row r="6" spans="1:6" x14ac:dyDescent="0.3">
      <c r="B6" s="1" t="s">
        <v>38</v>
      </c>
      <c r="C6" s="12">
        <f t="shared" ca="1" si="0"/>
        <v>0.41479845793473913</v>
      </c>
      <c r="D6" s="12">
        <f t="shared" ca="1" si="1"/>
        <v>0.44583791901827863</v>
      </c>
      <c r="E6" s="12"/>
    </row>
    <row r="7" spans="1:6" x14ac:dyDescent="0.3">
      <c r="B7" s="1" t="s">
        <v>38</v>
      </c>
      <c r="C7" s="12">
        <f t="shared" ca="1" si="0"/>
        <v>0.57349975654441276</v>
      </c>
      <c r="D7" s="12">
        <f t="shared" ca="1" si="1"/>
        <v>0.94323852370087358</v>
      </c>
      <c r="E7" s="12"/>
    </row>
    <row r="8" spans="1:6" x14ac:dyDescent="0.3">
      <c r="B8" s="1" t="s">
        <v>38</v>
      </c>
      <c r="C8" s="12">
        <f t="shared" ca="1" si="0"/>
        <v>0.69208771531901547</v>
      </c>
      <c r="D8" s="12">
        <f t="shared" ca="1" si="1"/>
        <v>0.88873450350181293</v>
      </c>
      <c r="E8" s="12"/>
    </row>
    <row r="9" spans="1:6" x14ac:dyDescent="0.3">
      <c r="B9" s="1" t="s">
        <v>38</v>
      </c>
      <c r="C9" s="12">
        <f t="shared" ca="1" si="0"/>
        <v>0.13955796429059331</v>
      </c>
      <c r="D9" s="12">
        <f t="shared" ca="1" si="1"/>
        <v>0.25115684929842519</v>
      </c>
      <c r="E9" s="12"/>
    </row>
    <row r="10" spans="1:6" x14ac:dyDescent="0.3">
      <c r="B10" s="1" t="s">
        <v>38</v>
      </c>
      <c r="C10" s="12">
        <f t="shared" ca="1" si="0"/>
        <v>0.69902146986412206</v>
      </c>
      <c r="D10" s="12">
        <f t="shared" ca="1" si="1"/>
        <v>0.91535691578404521</v>
      </c>
      <c r="E10" s="12"/>
    </row>
    <row r="11" spans="1:6" x14ac:dyDescent="0.3">
      <c r="B11" s="1" t="s">
        <v>38</v>
      </c>
      <c r="C11" s="12">
        <f t="shared" ca="1" si="0"/>
        <v>0.31930413906845678</v>
      </c>
      <c r="D11" s="12">
        <f t="shared" ca="1" si="1"/>
        <v>0.50638084462429322</v>
      </c>
      <c r="E11" s="12"/>
    </row>
    <row r="12" spans="1:6" x14ac:dyDescent="0.3">
      <c r="B12" s="1" t="s">
        <v>38</v>
      </c>
      <c r="C12" s="12">
        <f t="shared" ca="1" si="0"/>
        <v>4.8426562497512093E-2</v>
      </c>
      <c r="D12" s="12">
        <f t="shared" ca="1" si="1"/>
        <v>0.55724787538852538</v>
      </c>
      <c r="E12" s="12"/>
    </row>
    <row r="13" spans="1:6" x14ac:dyDescent="0.3">
      <c r="B13" s="1" t="s">
        <v>37</v>
      </c>
      <c r="C13" s="12">
        <f t="shared" ca="1" si="0"/>
        <v>0.6560573141698236</v>
      </c>
      <c r="D13" s="12"/>
      <c r="E13" s="12">
        <f t="shared" ref="E13:E22" ca="1" si="2">RAND()*C13</f>
        <v>0.56178280250798784</v>
      </c>
    </row>
    <row r="14" spans="1:6" x14ac:dyDescent="0.3">
      <c r="B14" s="1" t="s">
        <v>37</v>
      </c>
      <c r="C14" s="12">
        <f t="shared" ca="1" si="0"/>
        <v>0.12546307091969577</v>
      </c>
      <c r="D14" s="12"/>
      <c r="E14" s="12">
        <f t="shared" ca="1" si="2"/>
        <v>0.11418409827261791</v>
      </c>
    </row>
    <row r="15" spans="1:6" x14ac:dyDescent="0.3">
      <c r="B15" s="1" t="s">
        <v>37</v>
      </c>
      <c r="C15" s="12">
        <f t="shared" ca="1" si="0"/>
        <v>0.38238490812427417</v>
      </c>
      <c r="D15" s="12"/>
      <c r="E15" s="12">
        <f t="shared" ca="1" si="2"/>
        <v>0.22120180465278957</v>
      </c>
    </row>
    <row r="16" spans="1:6" x14ac:dyDescent="0.3">
      <c r="B16" s="1" t="s">
        <v>37</v>
      </c>
      <c r="C16" s="12">
        <f t="shared" ca="1" si="0"/>
        <v>0.47728199495202639</v>
      </c>
      <c r="D16" s="12"/>
      <c r="E16" s="12">
        <f t="shared" ca="1" si="2"/>
        <v>5.4250171970743277E-2</v>
      </c>
    </row>
    <row r="17" spans="2:6" x14ac:dyDescent="0.3">
      <c r="B17" s="1" t="s">
        <v>37</v>
      </c>
      <c r="C17" s="12">
        <f t="shared" ca="1" si="0"/>
        <v>0.16997012098463993</v>
      </c>
      <c r="D17" s="12"/>
      <c r="E17" s="12">
        <f t="shared" ca="1" si="2"/>
        <v>0.1000360687622437</v>
      </c>
    </row>
    <row r="18" spans="2:6" x14ac:dyDescent="0.3">
      <c r="B18" s="1" t="s">
        <v>37</v>
      </c>
      <c r="C18" s="12">
        <f t="shared" ca="1" si="0"/>
        <v>0.73990671074388104</v>
      </c>
      <c r="D18" s="12"/>
      <c r="E18" s="12">
        <f t="shared" ca="1" si="2"/>
        <v>0.52894204268168621</v>
      </c>
    </row>
    <row r="19" spans="2:6" x14ac:dyDescent="0.3">
      <c r="B19" s="1" t="s">
        <v>37</v>
      </c>
      <c r="C19" s="12">
        <f t="shared" ca="1" si="0"/>
        <v>0.91798896843563282</v>
      </c>
      <c r="D19" s="12"/>
      <c r="E19" s="12">
        <f t="shared" ca="1" si="2"/>
        <v>0.1000170521871457</v>
      </c>
    </row>
    <row r="20" spans="2:6" x14ac:dyDescent="0.3">
      <c r="B20" s="1" t="s">
        <v>37</v>
      </c>
      <c r="C20" s="12">
        <f t="shared" ca="1" si="0"/>
        <v>0.45022610750919279</v>
      </c>
      <c r="D20" s="12"/>
      <c r="E20" s="12">
        <f t="shared" ca="1" si="2"/>
        <v>1.1632405548607017E-3</v>
      </c>
    </row>
    <row r="21" spans="2:6" x14ac:dyDescent="0.3">
      <c r="B21" s="1" t="s">
        <v>37</v>
      </c>
      <c r="C21" s="12">
        <f t="shared" ca="1" si="0"/>
        <v>4.7553581078678131E-2</v>
      </c>
      <c r="D21" s="12"/>
      <c r="E21" s="12">
        <f t="shared" ca="1" si="2"/>
        <v>5.2546067051814221E-3</v>
      </c>
    </row>
    <row r="22" spans="2:6" x14ac:dyDescent="0.3">
      <c r="B22" s="1" t="s">
        <v>37</v>
      </c>
      <c r="C22" s="12">
        <f t="shared" ca="1" si="0"/>
        <v>0.588170091551666</v>
      </c>
      <c r="D22" s="12"/>
      <c r="E22" s="12">
        <f t="shared" ca="1" si="2"/>
        <v>0.2285235905011288</v>
      </c>
    </row>
    <row r="23" spans="2:6" x14ac:dyDescent="0.3">
      <c r="B23" s="1" t="s">
        <v>45</v>
      </c>
      <c r="C23" s="12">
        <f t="shared" ca="1" si="0"/>
        <v>0.52147162357560861</v>
      </c>
      <c r="F23" s="12">
        <f ca="1">RAND()</f>
        <v>0.93266722828813897</v>
      </c>
    </row>
    <row r="24" spans="2:6" x14ac:dyDescent="0.3">
      <c r="B24" s="1" t="s">
        <v>44</v>
      </c>
      <c r="C24" s="12">
        <f t="shared" ca="1" si="0"/>
        <v>0.41464403504252256</v>
      </c>
      <c r="F24" s="12">
        <f ca="1">RAND()</f>
        <v>0.59780555863432328</v>
      </c>
    </row>
    <row r="25" spans="2:6" x14ac:dyDescent="0.3">
      <c r="B25" s="1" t="s">
        <v>43</v>
      </c>
      <c r="C25" s="12">
        <f t="shared" ca="1" si="0"/>
        <v>0.61150908692106043</v>
      </c>
      <c r="F25" s="12">
        <f ca="1">RAND()</f>
        <v>0.68639283078819524</v>
      </c>
    </row>
  </sheetData>
  <hyperlinks>
    <hyperlink ref="A1" r:id="rId1" xr:uid="{775BDABB-A618-2345-9C27-337A73297E2C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>
      <selection activeCell="C1" sqref="C1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261</v>
      </c>
      <c r="C1" s="9" t="s">
        <v>271</v>
      </c>
    </row>
    <row r="2" spans="1:9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  <c r="G2" s="16" t="s">
        <v>49</v>
      </c>
      <c r="H2" s="16" t="s">
        <v>48</v>
      </c>
      <c r="I2" s="15" t="s">
        <v>47</v>
      </c>
    </row>
    <row r="3" spans="1:9" x14ac:dyDescent="0.3">
      <c r="B3" s="1" t="s">
        <v>38</v>
      </c>
      <c r="C3" s="12">
        <f t="shared" ref="C3:C25" ca="1" si="0">RAND()</f>
        <v>0.39919709246091428</v>
      </c>
      <c r="D3" s="12">
        <f t="shared" ref="D3:D12" ca="1" si="1">C3+RAND()*(1-C3)</f>
        <v>0.56270448581935106</v>
      </c>
      <c r="E3" s="12"/>
      <c r="G3" s="12">
        <f t="shared" ref="G3:G12" ca="1" si="2">SUMSQ($C3-$C$23,$D3-$F$23)</f>
        <v>0.32978777424143668</v>
      </c>
      <c r="H3" s="12">
        <f t="shared" ref="H3:H12" ca="1" si="3">SUMSQ($C3-$C$24,$D3-$F$24)</f>
        <v>0.38774710950265057</v>
      </c>
      <c r="I3" s="12">
        <f t="shared" ref="I3:I12" ca="1" si="4">SUMSQ($C3-$C$25,$D3-$F$25)</f>
        <v>9.0519885906795577E-2</v>
      </c>
    </row>
    <row r="4" spans="1:9" x14ac:dyDescent="0.3">
      <c r="B4" s="1" t="s">
        <v>38</v>
      </c>
      <c r="C4" s="12">
        <f t="shared" ca="1" si="0"/>
        <v>9.5273770274967307E-3</v>
      </c>
      <c r="D4" s="12">
        <f t="shared" ca="1" si="1"/>
        <v>0.57531730942920223</v>
      </c>
      <c r="E4" s="12"/>
      <c r="G4" s="12">
        <f t="shared" ca="1" si="2"/>
        <v>0.84930240915417254</v>
      </c>
      <c r="H4" s="12">
        <f t="shared" ca="1" si="3"/>
        <v>0.9758784932683725</v>
      </c>
      <c r="I4" s="12">
        <f t="shared" ca="1" si="4"/>
        <v>6.1609506952592326E-2</v>
      </c>
    </row>
    <row r="5" spans="1:9" x14ac:dyDescent="0.3">
      <c r="B5" s="1" t="s">
        <v>38</v>
      </c>
      <c r="C5" s="12">
        <f t="shared" ca="1" si="0"/>
        <v>0.65552689024241273</v>
      </c>
      <c r="D5" s="12">
        <f t="shared" ca="1" si="1"/>
        <v>0.92246725312621636</v>
      </c>
      <c r="E5" s="12"/>
      <c r="G5" s="12">
        <f t="shared" ca="1" si="2"/>
        <v>0.53577742692185482</v>
      </c>
      <c r="H5" s="12">
        <f t="shared" ca="1" si="3"/>
        <v>0.51067235204663708</v>
      </c>
      <c r="I5" s="12">
        <f t="shared" ca="1" si="4"/>
        <v>0.54006154887626501</v>
      </c>
    </row>
    <row r="6" spans="1:9" x14ac:dyDescent="0.3">
      <c r="B6" s="1" t="s">
        <v>38</v>
      </c>
      <c r="C6" s="12">
        <f t="shared" ca="1" si="0"/>
        <v>0.33116930431924041</v>
      </c>
      <c r="D6" s="12">
        <f t="shared" ca="1" si="1"/>
        <v>0.34107309217502207</v>
      </c>
      <c r="E6" s="12"/>
      <c r="G6" s="12">
        <f t="shared" ca="1" si="2"/>
        <v>0.29407227630034199</v>
      </c>
      <c r="H6" s="12">
        <f t="shared" ca="1" si="3"/>
        <v>0.38707593064285867</v>
      </c>
      <c r="I6" s="12">
        <f t="shared" ca="1" si="4"/>
        <v>3.0341422876121668E-2</v>
      </c>
    </row>
    <row r="7" spans="1:9" x14ac:dyDescent="0.3">
      <c r="B7" s="1" t="s">
        <v>38</v>
      </c>
      <c r="C7" s="12">
        <f t="shared" ca="1" si="0"/>
        <v>0.46482133499323408</v>
      </c>
      <c r="D7" s="12">
        <f t="shared" ca="1" si="1"/>
        <v>0.51262460630195916</v>
      </c>
      <c r="E7" s="12"/>
      <c r="G7" s="12">
        <f t="shared" ca="1" si="2"/>
        <v>0.24179600311178279</v>
      </c>
      <c r="H7" s="12">
        <f t="shared" ca="1" si="3"/>
        <v>0.29314129174644127</v>
      </c>
      <c r="I7" s="12">
        <f t="shared" ca="1" si="4"/>
        <v>0.11015989712262331</v>
      </c>
    </row>
    <row r="8" spans="1:9" x14ac:dyDescent="0.3">
      <c r="B8" s="1" t="s">
        <v>38</v>
      </c>
      <c r="C8" s="12">
        <f t="shared" ca="1" si="0"/>
        <v>0.85661311433813536</v>
      </c>
      <c r="D8" s="12">
        <f t="shared" ca="1" si="1"/>
        <v>0.86961387863352657</v>
      </c>
      <c r="E8" s="12"/>
      <c r="G8" s="12">
        <f t="shared" ca="1" si="2"/>
        <v>0.42260586717267967</v>
      </c>
      <c r="H8" s="12">
        <f t="shared" ca="1" si="3"/>
        <v>0.36686728916465844</v>
      </c>
      <c r="I8" s="12">
        <f t="shared" ca="1" si="4"/>
        <v>0.72465923637955199</v>
      </c>
    </row>
    <row r="9" spans="1:9" x14ac:dyDescent="0.3">
      <c r="B9" s="1" t="s">
        <v>38</v>
      </c>
      <c r="C9" s="12">
        <f t="shared" ca="1" si="0"/>
        <v>0.44550781890393087</v>
      </c>
      <c r="D9" s="12">
        <f t="shared" ca="1" si="1"/>
        <v>0.57903545637873788</v>
      </c>
      <c r="E9" s="12"/>
      <c r="G9" s="12">
        <f t="shared" ca="1" si="2"/>
        <v>0.30075889315234972</v>
      </c>
      <c r="H9" s="12">
        <f t="shared" ca="1" si="3"/>
        <v>0.34872607290446095</v>
      </c>
      <c r="I9" s="12">
        <f t="shared" ca="1" si="4"/>
        <v>0.12099120649645137</v>
      </c>
    </row>
    <row r="10" spans="1:9" x14ac:dyDescent="0.3">
      <c r="B10" s="1" t="s">
        <v>38</v>
      </c>
      <c r="C10" s="12">
        <f t="shared" ca="1" si="0"/>
        <v>0.20128384580596848</v>
      </c>
      <c r="D10" s="12">
        <f t="shared" ca="1" si="1"/>
        <v>0.27207014947591746</v>
      </c>
      <c r="E10" s="12"/>
      <c r="G10" s="12">
        <f t="shared" ca="1" si="2"/>
        <v>0.43621795733884644</v>
      </c>
      <c r="H10" s="12">
        <f t="shared" ca="1" si="3"/>
        <v>0.55963684350437981</v>
      </c>
      <c r="I10" s="12">
        <f t="shared" ca="1" si="4"/>
        <v>1.2997914042384888E-2</v>
      </c>
    </row>
    <row r="11" spans="1:9" x14ac:dyDescent="0.3">
      <c r="B11" s="1" t="s">
        <v>38</v>
      </c>
      <c r="C11" s="12">
        <f t="shared" ca="1" si="0"/>
        <v>0.94273154622865363</v>
      </c>
      <c r="D11" s="12">
        <f t="shared" ca="1" si="1"/>
        <v>0.9877321471523719</v>
      </c>
      <c r="E11" s="12"/>
      <c r="G11" s="12">
        <f t="shared" ca="1" si="2"/>
        <v>0.59702077741708581</v>
      </c>
      <c r="H11" s="12">
        <f t="shared" ca="1" si="3"/>
        <v>0.51365867906844231</v>
      </c>
      <c r="I11" s="12">
        <f t="shared" ca="1" si="4"/>
        <v>0.98177548348977939</v>
      </c>
    </row>
    <row r="12" spans="1:9" x14ac:dyDescent="0.3">
      <c r="B12" s="1" t="s">
        <v>38</v>
      </c>
      <c r="C12" s="12">
        <f t="shared" ca="1" si="0"/>
        <v>0.36087896945724585</v>
      </c>
      <c r="D12" s="12">
        <f t="shared" ca="1" si="1"/>
        <v>0.86854944436528581</v>
      </c>
      <c r="E12" s="12"/>
      <c r="G12" s="12">
        <f t="shared" ca="1" si="2"/>
        <v>0.66999581100781713</v>
      </c>
      <c r="H12" s="12">
        <f t="shared" ca="1" si="3"/>
        <v>0.7033139844145635</v>
      </c>
      <c r="I12" s="12">
        <f t="shared" ca="1" si="4"/>
        <v>0.27979685231511991</v>
      </c>
    </row>
    <row r="13" spans="1:9" x14ac:dyDescent="0.3">
      <c r="B13" s="1" t="s">
        <v>37</v>
      </c>
      <c r="C13" s="12">
        <f t="shared" ca="1" si="0"/>
        <v>0.21503762380340308</v>
      </c>
      <c r="D13" s="12"/>
      <c r="E13" s="12">
        <f t="shared" ref="E13:E22" ca="1" si="5">RAND()*C13</f>
        <v>2.5369891266250114E-2</v>
      </c>
      <c r="G13" s="12">
        <f t="shared" ref="G13:G22" ca="1" si="6">SUMSQ(C13-$C$23,E13-$F$23)</f>
        <v>0.4532392286315553</v>
      </c>
      <c r="H13" s="12">
        <f t="shared" ref="H13:H22" ca="1" si="7">SUMSQ($C13-$C$24,$E13-$F$24)</f>
        <v>0.59961205191295408</v>
      </c>
      <c r="I13" s="12">
        <f t="shared" ref="I13:I22" ca="1" si="8">SUMSQ($C13-$C$25,$E13-$F$25)</f>
        <v>0.12779664508273764</v>
      </c>
    </row>
    <row r="14" spans="1:9" x14ac:dyDescent="0.3">
      <c r="B14" s="1" t="s">
        <v>37</v>
      </c>
      <c r="C14" s="12">
        <f t="shared" ca="1" si="0"/>
        <v>0.40369763007061932</v>
      </c>
      <c r="D14" s="12"/>
      <c r="E14" s="12">
        <f t="shared" ca="1" si="5"/>
        <v>0.31589098612369737</v>
      </c>
      <c r="G14" s="12">
        <f t="shared" ca="1" si="6"/>
        <v>0.21718481588658969</v>
      </c>
      <c r="H14" s="12">
        <f t="shared" ca="1" si="7"/>
        <v>0.29977001947042886</v>
      </c>
      <c r="I14" s="12">
        <f t="shared" ca="1" si="8"/>
        <v>6.2802726064320732E-2</v>
      </c>
    </row>
    <row r="15" spans="1:9" x14ac:dyDescent="0.3">
      <c r="B15" s="1" t="s">
        <v>37</v>
      </c>
      <c r="C15" s="12">
        <f t="shared" ca="1" si="0"/>
        <v>0.83653660781415495</v>
      </c>
      <c r="D15" s="12"/>
      <c r="E15" s="12">
        <f t="shared" ca="1" si="5"/>
        <v>3.3216917245946678E-2</v>
      </c>
      <c r="G15" s="12">
        <f t="shared" ca="1" si="6"/>
        <v>3.525080463856075E-2</v>
      </c>
      <c r="H15" s="12">
        <f t="shared" ca="1" si="7"/>
        <v>6.9302603577327329E-2</v>
      </c>
      <c r="I15" s="12">
        <f t="shared" ca="1" si="8"/>
        <v>0.57560696569023995</v>
      </c>
    </row>
    <row r="16" spans="1:9" x14ac:dyDescent="0.3">
      <c r="B16" s="1" t="s">
        <v>37</v>
      </c>
      <c r="C16" s="12">
        <f t="shared" ca="1" si="0"/>
        <v>0.1761984583511591</v>
      </c>
      <c r="D16" s="12"/>
      <c r="E16" s="12">
        <f t="shared" ca="1" si="5"/>
        <v>0.11807664343697172</v>
      </c>
      <c r="G16" s="12">
        <f t="shared" ca="1" si="6"/>
        <v>0.47741371899812041</v>
      </c>
      <c r="H16" s="12">
        <f t="shared" ca="1" si="7"/>
        <v>0.62120210932552611</v>
      </c>
      <c r="I16" s="12">
        <f t="shared" ca="1" si="8"/>
        <v>6.8186260770830509E-2</v>
      </c>
    </row>
    <row r="17" spans="2:9" x14ac:dyDescent="0.3">
      <c r="B17" s="1" t="s">
        <v>37</v>
      </c>
      <c r="C17" s="12">
        <f t="shared" ca="1" si="0"/>
        <v>0.2621146696928065</v>
      </c>
      <c r="D17" s="12"/>
      <c r="E17" s="12">
        <f t="shared" ca="1" si="5"/>
        <v>1.5832302644340178E-2</v>
      </c>
      <c r="G17" s="12">
        <f t="shared" ca="1" si="6"/>
        <v>0.39855647686225087</v>
      </c>
      <c r="H17" s="12">
        <f t="shared" ca="1" si="7"/>
        <v>0.53746532379963596</v>
      </c>
      <c r="I17" s="12">
        <f t="shared" ca="1" si="8"/>
        <v>0.14192259870228188</v>
      </c>
    </row>
    <row r="18" spans="2:9" x14ac:dyDescent="0.3">
      <c r="B18" s="1" t="s">
        <v>37</v>
      </c>
      <c r="C18" s="12">
        <f t="shared" ca="1" si="0"/>
        <v>2.5016250472398749E-2</v>
      </c>
      <c r="D18" s="12"/>
      <c r="E18" s="12">
        <f t="shared" ca="1" si="5"/>
        <v>1.889230416517295E-2</v>
      </c>
      <c r="G18" s="12">
        <f t="shared" ca="1" si="6"/>
        <v>0.73688867928671853</v>
      </c>
      <c r="H18" s="12">
        <f t="shared" ca="1" si="7"/>
        <v>0.91802356991513734</v>
      </c>
      <c r="I18" s="12">
        <f t="shared" ca="1" si="8"/>
        <v>0.14802960021198597</v>
      </c>
    </row>
    <row r="19" spans="2:9" x14ac:dyDescent="0.3">
      <c r="B19" s="1" t="s">
        <v>37</v>
      </c>
      <c r="C19" s="12">
        <f t="shared" ca="1" si="0"/>
        <v>0.66454215260423777</v>
      </c>
      <c r="D19" s="12"/>
      <c r="E19" s="12">
        <f t="shared" ca="1" si="5"/>
        <v>6.2651790664038198E-2</v>
      </c>
      <c r="G19" s="12">
        <f t="shared" ca="1" si="6"/>
        <v>6.2684557950214395E-2</v>
      </c>
      <c r="H19" s="12">
        <f t="shared" ca="1" si="7"/>
        <v>0.12456327637559314</v>
      </c>
      <c r="I19" s="12">
        <f t="shared" ca="1" si="8"/>
        <v>0.35337330086654045</v>
      </c>
    </row>
    <row r="20" spans="2:9" x14ac:dyDescent="0.3">
      <c r="B20" s="1" t="s">
        <v>37</v>
      </c>
      <c r="C20" s="12">
        <f t="shared" ca="1" si="0"/>
        <v>0.94611188349673492</v>
      </c>
      <c r="D20" s="12"/>
      <c r="E20" s="12">
        <f t="shared" ca="1" si="5"/>
        <v>0.50106841779190614</v>
      </c>
      <c r="G20" s="12">
        <f t="shared" ca="1" si="6"/>
        <v>8.6732498721102502E-2</v>
      </c>
      <c r="H20" s="12">
        <f t="shared" ca="1" si="7"/>
        <v>5.2913093837037753E-2</v>
      </c>
      <c r="I20" s="12">
        <f t="shared" ca="1" si="8"/>
        <v>0.63118859347427503</v>
      </c>
    </row>
    <row r="21" spans="2:9" x14ac:dyDescent="0.3">
      <c r="B21" s="1" t="s">
        <v>37</v>
      </c>
      <c r="C21" s="12">
        <f t="shared" ca="1" si="0"/>
        <v>0.65378832424628341</v>
      </c>
      <c r="D21" s="12"/>
      <c r="E21" s="12">
        <f t="shared" ca="1" si="5"/>
        <v>0.48237782397718448</v>
      </c>
      <c r="G21" s="12">
        <f t="shared" ca="1" si="6"/>
        <v>0.11146687914773998</v>
      </c>
      <c r="H21" s="12">
        <f t="shared" ca="1" si="7"/>
        <v>0.13202361727895112</v>
      </c>
      <c r="I21" s="12">
        <f t="shared" ca="1" si="8"/>
        <v>0.25346911057960247</v>
      </c>
    </row>
    <row r="22" spans="2:9" x14ac:dyDescent="0.3">
      <c r="B22" s="1" t="s">
        <v>37</v>
      </c>
      <c r="C22" s="12">
        <f t="shared" ca="1" si="0"/>
        <v>0.9447066126368201</v>
      </c>
      <c r="D22" s="12"/>
      <c r="E22" s="12">
        <f t="shared" ca="1" si="5"/>
        <v>0.52927921563061009</v>
      </c>
      <c r="G22" s="12">
        <f t="shared" ca="1" si="6"/>
        <v>0.10317165053405106</v>
      </c>
      <c r="H22" s="12">
        <f t="shared" ca="1" si="7"/>
        <v>6.6697349761524208E-2</v>
      </c>
      <c r="I22" s="12">
        <f t="shared" ca="1" si="8"/>
        <v>0.63668067209246182</v>
      </c>
    </row>
    <row r="23" spans="2:9" x14ac:dyDescent="0.3">
      <c r="B23" s="1" t="s">
        <v>45</v>
      </c>
      <c r="C23" s="12">
        <f t="shared" ca="1" si="0"/>
        <v>0.85965949630968175</v>
      </c>
      <c r="F23" s="12">
        <f ca="1">RAND()</f>
        <v>0.21953958539500518</v>
      </c>
    </row>
    <row r="24" spans="2:9" x14ac:dyDescent="0.3">
      <c r="B24" s="1" t="s">
        <v>44</v>
      </c>
      <c r="C24" s="12">
        <f t="shared" ca="1" si="0"/>
        <v>0.94937196178582506</v>
      </c>
      <c r="F24" s="12">
        <f ca="1">RAND()</f>
        <v>0.27106305757917815</v>
      </c>
    </row>
    <row r="25" spans="2:9" x14ac:dyDescent="0.3">
      <c r="B25" s="1" t="s">
        <v>43</v>
      </c>
      <c r="C25" s="12">
        <f t="shared" ca="1" si="0"/>
        <v>0.16110836203764112</v>
      </c>
      <c r="F25" s="12">
        <f ca="1">RAND()</f>
        <v>0.37876525033048225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0B0BB821-1DA9-794B-A41E-8EC9079C933E}"/>
    <hyperlink ref="C1" r:id="rId2" xr:uid="{C92F1198-FEF4-B44D-9354-9F9764C24244}"/>
  </hyperlinks>
  <pageMargins left="0.7" right="0.7" top="0.75" bottom="0.75" header="0.3" footer="0.3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32" t="s">
        <v>262</v>
      </c>
    </row>
    <row r="2" spans="1:10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10" x14ac:dyDescent="0.25">
      <c r="B3" s="8" t="s">
        <v>38</v>
      </c>
      <c r="C3" s="18">
        <f t="shared" ref="C3:C22" ca="1" si="0">RAND()</f>
        <v>0.17551417097028954</v>
      </c>
      <c r="D3" s="18">
        <f t="shared" ref="D3:D12" ca="1" si="1">C3+RAND()*(1-C3)</f>
        <v>0.42383265711274459</v>
      </c>
      <c r="E3" s="18"/>
      <c r="H3" s="18">
        <f t="shared" ref="H3:H12" ca="1" si="2">SUMSQ($C3-$C$24,$D3-$F$24)</f>
        <v>0.12257357610387182</v>
      </c>
      <c r="I3" s="18">
        <f t="shared" ref="I3:I12" ca="1" si="3">SUMSQ($C3-$C$25,$D3-$F$25)</f>
        <v>0.19081622290075631</v>
      </c>
      <c r="J3" s="18">
        <f t="shared" ref="J3:J12" ca="1" si="4">SUMSQ($C3-$C$26,$D3-$F$26)</f>
        <v>0.11891249220573177</v>
      </c>
    </row>
    <row r="4" spans="1:10" x14ac:dyDescent="0.25">
      <c r="B4" s="8" t="s">
        <v>38</v>
      </c>
      <c r="C4" s="18">
        <f t="shared" ca="1" si="0"/>
        <v>0.48588706011114746</v>
      </c>
      <c r="D4" s="18">
        <f t="shared" ca="1" si="1"/>
        <v>0.88864998063425027</v>
      </c>
      <c r="E4" s="18"/>
      <c r="H4" s="18">
        <f t="shared" ca="1" si="2"/>
        <v>0.31092851669485128</v>
      </c>
      <c r="I4" s="18">
        <f t="shared" ca="1" si="3"/>
        <v>0.33586782213609928</v>
      </c>
      <c r="J4" s="18">
        <f t="shared" ca="1" si="4"/>
        <v>5.0144707223353846E-2</v>
      </c>
    </row>
    <row r="5" spans="1:10" x14ac:dyDescent="0.25">
      <c r="B5" s="8" t="s">
        <v>38</v>
      </c>
      <c r="C5" s="18">
        <f t="shared" ca="1" si="0"/>
        <v>0.54223030757059054</v>
      </c>
      <c r="D5" s="18">
        <f t="shared" ca="1" si="1"/>
        <v>0.87578960722226884</v>
      </c>
      <c r="E5" s="18"/>
      <c r="H5" s="18">
        <f t="shared" ca="1" si="2"/>
        <v>0.296856515790478</v>
      </c>
      <c r="I5" s="18">
        <f t="shared" ca="1" si="3"/>
        <v>0.31174223599328793</v>
      </c>
      <c r="J5" s="18">
        <f t="shared" ca="1" si="4"/>
        <v>6.8017442727812738E-2</v>
      </c>
    </row>
    <row r="6" spans="1:10" x14ac:dyDescent="0.25">
      <c r="B6" s="8" t="s">
        <v>38</v>
      </c>
      <c r="C6" s="18">
        <f t="shared" ca="1" si="0"/>
        <v>0.31143940541299397</v>
      </c>
      <c r="D6" s="18">
        <f t="shared" ca="1" si="1"/>
        <v>0.93305658551077719</v>
      </c>
      <c r="E6" s="18"/>
      <c r="H6" s="18">
        <f t="shared" ca="1" si="2"/>
        <v>0.40235400551590128</v>
      </c>
      <c r="I6" s="18">
        <f t="shared" ca="1" si="3"/>
        <v>0.45852427777187704</v>
      </c>
      <c r="J6" s="18">
        <f t="shared" ca="1" si="4"/>
        <v>3.8954023911585103E-2</v>
      </c>
    </row>
    <row r="7" spans="1:10" x14ac:dyDescent="0.25">
      <c r="B7" s="8" t="s">
        <v>38</v>
      </c>
      <c r="C7" s="18">
        <f t="shared" ca="1" si="0"/>
        <v>0.13587667247259128</v>
      </c>
      <c r="D7" s="18">
        <f t="shared" ca="1" si="1"/>
        <v>0.59161804530758588</v>
      </c>
      <c r="E7" s="18"/>
      <c r="H7" s="18">
        <f t="shared" ca="1" si="2"/>
        <v>0.20998567471438787</v>
      </c>
      <c r="I7" s="18">
        <f t="shared" ca="1" si="3"/>
        <v>0.2888802083084161</v>
      </c>
      <c r="J7" s="18">
        <f t="shared" ca="1" si="4"/>
        <v>5.5507961800353771E-2</v>
      </c>
    </row>
    <row r="8" spans="1:10" x14ac:dyDescent="0.25">
      <c r="B8" s="8" t="s">
        <v>38</v>
      </c>
      <c r="C8" s="18">
        <f t="shared" ca="1" si="0"/>
        <v>0.85476251317756979</v>
      </c>
      <c r="D8" s="18">
        <f t="shared" ca="1" si="1"/>
        <v>0.97697027194379538</v>
      </c>
      <c r="E8" s="18"/>
      <c r="H8" s="18">
        <f t="shared" ca="1" si="2"/>
        <v>0.53296436674873315</v>
      </c>
      <c r="I8" s="18">
        <f t="shared" ca="1" si="3"/>
        <v>0.4959733776924265</v>
      </c>
      <c r="J8" s="18">
        <f t="shared" ca="1" si="4"/>
        <v>0.34183712193190663</v>
      </c>
    </row>
    <row r="9" spans="1:10" x14ac:dyDescent="0.25">
      <c r="B9" s="8" t="s">
        <v>38</v>
      </c>
      <c r="C9" s="18">
        <f t="shared" ca="1" si="0"/>
        <v>3.7315279937655821E-2</v>
      </c>
      <c r="D9" s="18">
        <f t="shared" ca="1" si="1"/>
        <v>0.18420932418652594</v>
      </c>
      <c r="E9" s="18"/>
      <c r="H9" s="18">
        <f t="shared" ca="1" si="2"/>
        <v>0.24830267573951936</v>
      </c>
      <c r="I9" s="18">
        <f t="shared" ca="1" si="3"/>
        <v>0.33509057824248439</v>
      </c>
      <c r="J9" s="18">
        <f t="shared" ca="1" si="4"/>
        <v>0.38553257739111257</v>
      </c>
    </row>
    <row r="10" spans="1:10" x14ac:dyDescent="0.25">
      <c r="B10" s="8" t="s">
        <v>38</v>
      </c>
      <c r="C10" s="18">
        <f t="shared" ca="1" si="0"/>
        <v>8.2867328869832169E-2</v>
      </c>
      <c r="D10" s="18">
        <f t="shared" ca="1" si="1"/>
        <v>0.88122025575294116</v>
      </c>
      <c r="E10" s="18"/>
      <c r="H10" s="18">
        <f t="shared" ca="1" si="2"/>
        <v>0.48721494136311544</v>
      </c>
      <c r="I10" s="18">
        <f t="shared" ca="1" si="3"/>
        <v>0.58182523684756338</v>
      </c>
      <c r="J10" s="18">
        <f t="shared" ca="1" si="4"/>
        <v>7.8315165212171217E-2</v>
      </c>
    </row>
    <row r="11" spans="1:10" x14ac:dyDescent="0.25">
      <c r="B11" s="8" t="s">
        <v>38</v>
      </c>
      <c r="C11" s="18">
        <f t="shared" ca="1" si="0"/>
        <v>0.20916029348393073</v>
      </c>
      <c r="D11" s="18">
        <f t="shared" ca="1" si="1"/>
        <v>0.97837185737177434</v>
      </c>
      <c r="E11" s="18"/>
      <c r="H11" s="18">
        <f t="shared" ca="1" si="2"/>
        <v>0.51065726225208696</v>
      </c>
      <c r="I11" s="18">
        <f t="shared" ca="1" si="3"/>
        <v>0.58557304183449277</v>
      </c>
      <c r="J11" s="18">
        <f t="shared" ca="1" si="4"/>
        <v>7.1505172063560746E-2</v>
      </c>
    </row>
    <row r="12" spans="1:10" x14ac:dyDescent="0.25">
      <c r="B12" s="8" t="s">
        <v>38</v>
      </c>
      <c r="C12" s="18">
        <f t="shared" ca="1" si="0"/>
        <v>0.435374814917033</v>
      </c>
      <c r="D12" s="18">
        <f t="shared" ca="1" si="1"/>
        <v>0.56399149897525747</v>
      </c>
      <c r="E12" s="18"/>
      <c r="H12" s="18">
        <f t="shared" ca="1" si="2"/>
        <v>6.0022623705135843E-2</v>
      </c>
      <c r="I12" s="18">
        <f t="shared" ca="1" si="3"/>
        <v>8.6394784511670722E-2</v>
      </c>
      <c r="J12" s="18">
        <f t="shared" ca="1" si="4"/>
        <v>4.2415901910188937E-2</v>
      </c>
    </row>
    <row r="13" spans="1:10" x14ac:dyDescent="0.25">
      <c r="B13" s="8" t="s">
        <v>37</v>
      </c>
      <c r="C13" s="18">
        <f t="shared" ca="1" si="0"/>
        <v>0.65881369185606398</v>
      </c>
      <c r="D13" s="18"/>
      <c r="E13" s="18">
        <f t="shared" ref="E13:E22" ca="1" si="5">RAND()*C13</f>
        <v>0.2649545442555421</v>
      </c>
      <c r="H13" s="18">
        <f t="shared" ref="H13:H22" ca="1" si="6">SUMSQ(C13-$C$24,E13-$F$24)</f>
        <v>2.5636015302671164E-2</v>
      </c>
      <c r="I13" s="18">
        <f t="shared" ref="I13:I22" ca="1" si="7">SUMSQ($C13-$C$25,$E13-$F$25)</f>
        <v>6.5462762713279585E-3</v>
      </c>
      <c r="J13" s="18">
        <f t="shared" ref="J13:J22" ca="1" si="8">SUMSQ($C13-$C$26,$E13-$F$26)</f>
        <v>0.33525534485769048</v>
      </c>
    </row>
    <row r="14" spans="1:10" x14ac:dyDescent="0.25">
      <c r="B14" s="8" t="s">
        <v>37</v>
      </c>
      <c r="C14" s="18">
        <f t="shared" ca="1" si="0"/>
        <v>0.79057365667238433</v>
      </c>
      <c r="D14" s="18"/>
      <c r="E14" s="18">
        <f t="shared" ca="1" si="5"/>
        <v>0.4414965228465686</v>
      </c>
      <c r="H14" s="18">
        <f t="shared" ca="1" si="6"/>
        <v>8.8942454096686621E-2</v>
      </c>
      <c r="I14" s="18">
        <f t="shared" ca="1" si="7"/>
        <v>5.1000906640149925E-2</v>
      </c>
      <c r="J14" s="18">
        <f t="shared" ca="1" si="8"/>
        <v>0.30621117747382476</v>
      </c>
    </row>
    <row r="15" spans="1:10" x14ac:dyDescent="0.25">
      <c r="B15" s="8" t="s">
        <v>37</v>
      </c>
      <c r="C15" s="18">
        <f t="shared" ca="1" si="0"/>
        <v>0.80980913373451235</v>
      </c>
      <c r="D15" s="18"/>
      <c r="E15" s="18">
        <f t="shared" ca="1" si="5"/>
        <v>0.48756235465112113</v>
      </c>
      <c r="H15" s="18">
        <f t="shared" ca="1" si="6"/>
        <v>0.1122166318637649</v>
      </c>
      <c r="I15" s="18">
        <f t="shared" ca="1" si="7"/>
        <v>7.1980485915918366E-2</v>
      </c>
      <c r="J15" s="18">
        <f t="shared" ca="1" si="8"/>
        <v>0.29959609130838522</v>
      </c>
    </row>
    <row r="16" spans="1:10" x14ac:dyDescent="0.25">
      <c r="B16" s="8" t="s">
        <v>37</v>
      </c>
      <c r="C16" s="18">
        <f t="shared" ca="1" si="0"/>
        <v>0.56207907925307032</v>
      </c>
      <c r="D16" s="18"/>
      <c r="E16" s="18">
        <f t="shared" ca="1" si="5"/>
        <v>5.7451483306408445E-2</v>
      </c>
      <c r="H16" s="18">
        <f t="shared" ca="1" si="6"/>
        <v>7.7600852016530664E-2</v>
      </c>
      <c r="I16" s="18">
        <f t="shared" ca="1" si="7"/>
        <v>7.0595343165613333E-2</v>
      </c>
      <c r="J16" s="18">
        <f t="shared" ca="1" si="8"/>
        <v>0.5179979691407175</v>
      </c>
    </row>
    <row r="17" spans="2:27" x14ac:dyDescent="0.25">
      <c r="B17" s="8" t="s">
        <v>37</v>
      </c>
      <c r="C17" s="18">
        <f t="shared" ca="1" si="0"/>
        <v>0.34947951095077512</v>
      </c>
      <c r="D17" s="18"/>
      <c r="E17" s="18">
        <f t="shared" ca="1" si="5"/>
        <v>0.28404629971685513</v>
      </c>
      <c r="H17" s="18">
        <f t="shared" ca="1" si="6"/>
        <v>2.9103717193830012E-2</v>
      </c>
      <c r="I17" s="18">
        <f t="shared" ca="1" si="7"/>
        <v>6.4048378894972419E-2</v>
      </c>
      <c r="J17" s="18">
        <f t="shared" ca="1" si="8"/>
        <v>0.20499113029906638</v>
      </c>
    </row>
    <row r="18" spans="2:27" x14ac:dyDescent="0.25">
      <c r="B18" s="8" t="s">
        <v>37</v>
      </c>
      <c r="C18" s="18">
        <f t="shared" ca="1" si="0"/>
        <v>0.99408112404749771</v>
      </c>
      <c r="D18" s="18"/>
      <c r="E18" s="18">
        <f t="shared" ca="1" si="5"/>
        <v>0.53194917933647556</v>
      </c>
      <c r="H18" s="18">
        <f t="shared" ca="1" si="6"/>
        <v>0.27126121728171265</v>
      </c>
      <c r="I18" s="18">
        <f t="shared" ca="1" si="7"/>
        <v>0.20009375529508977</v>
      </c>
      <c r="J18" s="18">
        <f t="shared" ca="1" si="8"/>
        <v>0.49322230277327866</v>
      </c>
    </row>
    <row r="19" spans="2:27" x14ac:dyDescent="0.25">
      <c r="B19" s="8" t="s">
        <v>37</v>
      </c>
      <c r="C19" s="18">
        <f t="shared" ca="1" si="0"/>
        <v>0.46105559484951941</v>
      </c>
      <c r="D19" s="18"/>
      <c r="E19" s="18">
        <f t="shared" ca="1" si="5"/>
        <v>0.40101352050241407</v>
      </c>
      <c r="H19" s="18">
        <f t="shared" ca="1" si="6"/>
        <v>7.5301469860930698E-3</v>
      </c>
      <c r="I19" s="18">
        <f t="shared" ca="1" si="7"/>
        <v>2.5777350107962199E-2</v>
      </c>
      <c r="J19" s="18">
        <f t="shared" ca="1" si="8"/>
        <v>0.13151581283579383</v>
      </c>
    </row>
    <row r="20" spans="2:27" x14ac:dyDescent="0.25">
      <c r="B20" s="8" t="s">
        <v>37</v>
      </c>
      <c r="C20" s="18">
        <f t="shared" ca="1" si="0"/>
        <v>0.97482949681818409</v>
      </c>
      <c r="D20" s="18"/>
      <c r="E20" s="18">
        <f t="shared" ca="1" si="5"/>
        <v>0.40567922986314503</v>
      </c>
      <c r="H20" s="18">
        <f t="shared" ca="1" si="6"/>
        <v>0.21849620402511821</v>
      </c>
      <c r="I20" s="18">
        <f t="shared" ca="1" si="7"/>
        <v>0.14781771772963168</v>
      </c>
      <c r="J20" s="18">
        <f t="shared" ca="1" si="8"/>
        <v>0.53518729176994828</v>
      </c>
    </row>
    <row r="21" spans="2:27" x14ac:dyDescent="0.25">
      <c r="B21" s="8" t="s">
        <v>37</v>
      </c>
      <c r="C21" s="18">
        <f t="shared" ca="1" si="0"/>
        <v>4.5427272213987568E-2</v>
      </c>
      <c r="D21" s="18"/>
      <c r="E21" s="18">
        <f t="shared" ca="1" si="5"/>
        <v>4.0560507073197791E-2</v>
      </c>
      <c r="H21" s="18">
        <f t="shared" ca="1" si="6"/>
        <v>0.30365903911281139</v>
      </c>
      <c r="I21" s="18">
        <f t="shared" ca="1" si="7"/>
        <v>0.38580227419539082</v>
      </c>
      <c r="J21" s="18">
        <f t="shared" ca="1" si="8"/>
        <v>0.56013457961260182</v>
      </c>
    </row>
    <row r="22" spans="2:27" x14ac:dyDescent="0.25">
      <c r="B22" s="8" t="s">
        <v>37</v>
      </c>
      <c r="C22" s="18">
        <f t="shared" ca="1" si="0"/>
        <v>0.53639164562326347</v>
      </c>
      <c r="D22" s="18"/>
      <c r="E22" s="18">
        <f t="shared" ca="1" si="5"/>
        <v>0.50344156113478711</v>
      </c>
      <c r="H22" s="18">
        <f t="shared" ca="1" si="6"/>
        <v>3.0024464570554042E-2</v>
      </c>
      <c r="I22" s="18">
        <f t="shared" ca="1" si="7"/>
        <v>3.7526349077253142E-2</v>
      </c>
      <c r="J22" s="18">
        <f t="shared" ca="1" si="8"/>
        <v>0.10000471449718609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0.51328284822653747</v>
      </c>
      <c r="F24" s="18">
        <f ca="1">RAND()</f>
        <v>0.33171372980441971</v>
      </c>
      <c r="G24" s="20" t="s">
        <v>49</v>
      </c>
      <c r="H24" s="17" t="str">
        <f t="shared" ref="H24:AA24" ca="1" si="9">OFFSET($B$2,MATCH(SMALL($H$3:$H$22,H$27),$H$3:$H$22,0),0)</f>
        <v>Orange</v>
      </c>
      <c r="I24" s="17" t="str">
        <f t="shared" ca="1" si="9"/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Blue</v>
      </c>
      <c r="M24" s="17" t="str">
        <f t="shared" ca="1" si="9"/>
        <v>Orange</v>
      </c>
      <c r="N24" s="17" t="str">
        <f t="shared" ca="1" si="9"/>
        <v>Orange</v>
      </c>
      <c r="O24" s="17" t="str">
        <f t="shared" ca="1" si="9"/>
        <v>Orange</v>
      </c>
      <c r="P24" s="17" t="str">
        <f t="shared" ca="1" si="9"/>
        <v>Blue</v>
      </c>
      <c r="Q24" s="17" t="str">
        <f t="shared" ca="1" si="9"/>
        <v>Blue</v>
      </c>
      <c r="R24" s="17" t="str">
        <f t="shared" ca="1" si="9"/>
        <v>Orange</v>
      </c>
      <c r="S24" s="17" t="str">
        <f t="shared" ca="1" si="9"/>
        <v>Blue</v>
      </c>
      <c r="T24" s="17" t="str">
        <f t="shared" ca="1" si="9"/>
        <v>Orange</v>
      </c>
      <c r="U24" s="17" t="str">
        <f t="shared" ca="1" si="9"/>
        <v>Blue</v>
      </c>
      <c r="V24" s="17" t="str">
        <f t="shared" ca="1" si="9"/>
        <v>Orange</v>
      </c>
      <c r="W24" s="17" t="str">
        <f t="shared" ca="1" si="9"/>
        <v>Blue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44</v>
      </c>
      <c r="C25" s="18">
        <f ca="1">RAND()</f>
        <v>0.59992688587466481</v>
      </c>
      <c r="F25" s="18">
        <f ca="1">RAND()</f>
        <v>0.32043986080539166</v>
      </c>
      <c r="G25" s="19" t="s">
        <v>48</v>
      </c>
      <c r="H25" s="17" t="str">
        <f t="shared" ref="H25:Q25" ca="1" si="10">OFFSET($B$2,MATCH(SMALL($I$3:$I$22,H$27),$I$3:$I$22,0),0)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Orange</v>
      </c>
      <c r="N25" s="17" t="str">
        <f t="shared" ca="1" si="10"/>
        <v>Orange</v>
      </c>
      <c r="O25" s="17" t="str">
        <f t="shared" ca="1" si="10"/>
        <v>Blue</v>
      </c>
      <c r="P25" s="17" t="str">
        <f t="shared" ca="1" si="10"/>
        <v>Orange</v>
      </c>
      <c r="Q25" s="17" t="str">
        <f t="shared" ca="1" si="10"/>
        <v>Blue</v>
      </c>
      <c r="R25" s="17" t="str">
        <f t="shared" ref="R25:AA25" ca="1" si="11">OFFSET($B$2,MATCH(SMALL($I$3:$I$22,R$27),$I$3:$I$22,0),0)</f>
        <v>Orange</v>
      </c>
      <c r="S25" s="17" t="str">
        <f t="shared" ca="1" si="11"/>
        <v>Blue</v>
      </c>
      <c r="T25" s="17" t="str">
        <f t="shared" ca="1" si="11"/>
        <v>Blue</v>
      </c>
      <c r="U25" s="17" t="str">
        <f t="shared" ca="1" si="11"/>
        <v>Blue</v>
      </c>
      <c r="V25" s="17" t="str">
        <f t="shared" ca="1" si="11"/>
        <v>Blue</v>
      </c>
      <c r="W25" s="17" t="str">
        <f t="shared" ca="1" si="11"/>
        <v>Orange</v>
      </c>
      <c r="X25" s="17" t="str">
        <f t="shared" ca="1" si="11"/>
        <v>Blue</v>
      </c>
      <c r="Y25" s="17" t="str">
        <f t="shared" ca="1" si="11"/>
        <v>Blue</v>
      </c>
      <c r="Z25" s="17" t="str">
        <f t="shared" ca="1" si="11"/>
        <v>Blue</v>
      </c>
      <c r="AA25" s="17" t="str">
        <f t="shared" ca="1" si="11"/>
        <v>Blue</v>
      </c>
    </row>
    <row r="26" spans="2:27" x14ac:dyDescent="0.25">
      <c r="B26" s="8" t="s">
        <v>43</v>
      </c>
      <c r="C26" s="18">
        <f ca="1">RAND()</f>
        <v>0.32207251539688087</v>
      </c>
      <c r="F26" s="18">
        <f ca="1">RAND()</f>
        <v>0.7359754832111004</v>
      </c>
      <c r="G26" s="16" t="s">
        <v>47</v>
      </c>
      <c r="H26" s="17" t="str">
        <f ca="1">OFFSET($B$2,MATCH(SMALL($J$3:$J$22,H$27),$J$3:$J$22,0),0)</f>
        <v>Blue</v>
      </c>
      <c r="I26" s="17" t="str">
        <f t="shared" ref="I26:AA26" ca="1" si="12">OFFSET($B$2,MATCH(SMALL($J$3:$J$22,I$27),$J$3:$J$22,0),0)</f>
        <v>Blue</v>
      </c>
      <c r="J26" s="17" t="str">
        <f t="shared" ca="1" si="12"/>
        <v>Blue</v>
      </c>
      <c r="K26" s="17" t="str">
        <f t="shared" ca="1" si="12"/>
        <v>Blue</v>
      </c>
      <c r="L26" s="17" t="str">
        <f t="shared" ca="1" si="12"/>
        <v>Blue</v>
      </c>
      <c r="M26" s="17" t="str">
        <f t="shared" ca="1" si="12"/>
        <v>Blue</v>
      </c>
      <c r="N26" s="17" t="str">
        <f t="shared" ca="1" si="12"/>
        <v>Blue</v>
      </c>
      <c r="O26" s="17" t="str">
        <f t="shared" ca="1" si="12"/>
        <v>Orange</v>
      </c>
      <c r="P26" s="17" t="str">
        <f t="shared" ca="1" si="12"/>
        <v>Blue</v>
      </c>
      <c r="Q26" s="17" t="str">
        <f t="shared" ca="1" si="12"/>
        <v>Orange</v>
      </c>
      <c r="R26" s="17" t="str">
        <f t="shared" ca="1" si="12"/>
        <v>Orange</v>
      </c>
      <c r="S26" s="17" t="str">
        <f t="shared" ca="1" si="12"/>
        <v>Orange</v>
      </c>
      <c r="T26" s="17" t="str">
        <f t="shared" ca="1" si="12"/>
        <v>Orange</v>
      </c>
      <c r="U26" s="17" t="str">
        <f t="shared" ca="1" si="12"/>
        <v>Orange</v>
      </c>
      <c r="V26" s="17" t="str">
        <f t="shared" ca="1" si="12"/>
        <v>Blue</v>
      </c>
      <c r="W26" s="17" t="str">
        <f t="shared" ca="1" si="12"/>
        <v>Blue</v>
      </c>
      <c r="X26" s="17" t="str">
        <f t="shared" ca="1" si="12"/>
        <v>Orange</v>
      </c>
      <c r="Y26" s="17" t="str">
        <f t="shared" ca="1" si="12"/>
        <v>Orange</v>
      </c>
      <c r="Z26" s="17" t="str">
        <f t="shared" ca="1" si="12"/>
        <v>Orange</v>
      </c>
      <c r="AA26" s="17" t="str">
        <f t="shared" ca="1" si="12"/>
        <v>Orange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display="https://drive.google.com/open?id=1JZszUinBBViGZC8yMf-YzTp0f_H7K9Ys&amp;authuser=davethemovie%40gmail.com&amp;usp=drive_fs" xr:uid="{3888FDFE-C3FB-2A4F-83BD-537A2B3AB126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263</v>
      </c>
    </row>
    <row r="2" spans="1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28" x14ac:dyDescent="0.25">
      <c r="B3" s="8" t="s">
        <v>38</v>
      </c>
      <c r="C3" s="18">
        <f t="shared" ref="C3:C22" ca="1" si="0">RAND()</f>
        <v>0.83187545194986245</v>
      </c>
      <c r="D3" s="18">
        <f t="shared" ref="D3:D12" ca="1" si="1">C3+RAND()*(1-C3)</f>
        <v>0.9934778934298415</v>
      </c>
      <c r="E3" s="18"/>
      <c r="H3" s="18">
        <f t="shared" ref="H3:H12" ca="1" si="2">SUMSQ($C3-$C$24,$D3-$F$24)</f>
        <v>0.20507368634123654</v>
      </c>
      <c r="I3" s="18">
        <f t="shared" ref="I3:I12" ca="1" si="3">SUMSQ($C3-$C$25,$D3-$F$25)</f>
        <v>0.90049954970347368</v>
      </c>
      <c r="J3" s="18">
        <f t="shared" ref="J3:J12" ca="1" si="4">SUMSQ($C3-$C$26,$D3-$F$26)</f>
        <v>0.15302151757225207</v>
      </c>
      <c r="AB3" s="19" t="s">
        <v>50</v>
      </c>
    </row>
    <row r="4" spans="1:28" x14ac:dyDescent="0.25">
      <c r="B4" s="8" t="s">
        <v>38</v>
      </c>
      <c r="C4" s="18">
        <f t="shared" ca="1" si="0"/>
        <v>0.22795312330373774</v>
      </c>
      <c r="D4" s="18">
        <f t="shared" ca="1" si="1"/>
        <v>0.42017584626942561</v>
      </c>
      <c r="E4" s="18"/>
      <c r="H4" s="18">
        <f t="shared" ca="1" si="2"/>
        <v>0.28744780180092439</v>
      </c>
      <c r="I4" s="18">
        <f t="shared" ca="1" si="3"/>
        <v>2.7179404184517367E-2</v>
      </c>
      <c r="J4" s="18">
        <f t="shared" ca="1" si="4"/>
        <v>0.28316743657788174</v>
      </c>
      <c r="AB4" s="23">
        <v>6</v>
      </c>
    </row>
    <row r="5" spans="1:28" x14ac:dyDescent="0.25">
      <c r="B5" s="8" t="s">
        <v>38</v>
      </c>
      <c r="C5" s="18">
        <f t="shared" ca="1" si="0"/>
        <v>0.69863117585735812</v>
      </c>
      <c r="D5" s="18">
        <f t="shared" ca="1" si="1"/>
        <v>0.9660381257730305</v>
      </c>
      <c r="E5" s="18"/>
      <c r="H5" s="18">
        <f t="shared" ca="1" si="2"/>
        <v>0.10067083414222264</v>
      </c>
      <c r="I5" s="18">
        <f t="shared" ca="1" si="3"/>
        <v>0.71953489078165134</v>
      </c>
      <c r="J5" s="18">
        <f t="shared" ca="1" si="4"/>
        <v>0.12162502664354893</v>
      </c>
    </row>
    <row r="6" spans="1:28" x14ac:dyDescent="0.25">
      <c r="B6" s="8" t="s">
        <v>38</v>
      </c>
      <c r="C6" s="18">
        <f t="shared" ca="1" si="0"/>
        <v>0.67130476226059044</v>
      </c>
      <c r="D6" s="18">
        <f t="shared" ca="1" si="1"/>
        <v>0.88034854330377887</v>
      </c>
      <c r="E6" s="18"/>
      <c r="H6" s="18">
        <f t="shared" ca="1" si="2"/>
        <v>8.5918262024320818E-2</v>
      </c>
      <c r="I6" s="18">
        <f t="shared" ca="1" si="3"/>
        <v>0.58052905900077967</v>
      </c>
      <c r="J6" s="18">
        <f t="shared" ca="1" si="4"/>
        <v>7.1352736070940115E-2</v>
      </c>
    </row>
    <row r="7" spans="1:28" x14ac:dyDescent="0.25">
      <c r="B7" s="8" t="s">
        <v>38</v>
      </c>
      <c r="C7" s="18">
        <f t="shared" ca="1" si="0"/>
        <v>0.88530300802910389</v>
      </c>
      <c r="D7" s="18">
        <f t="shared" ca="1" si="1"/>
        <v>0.93844988930107753</v>
      </c>
      <c r="E7" s="18"/>
      <c r="H7" s="18">
        <f t="shared" ca="1" si="2"/>
        <v>0.25230610122654551</v>
      </c>
      <c r="I7" s="18">
        <f t="shared" ca="1" si="3"/>
        <v>0.88890414685055186</v>
      </c>
      <c r="J7" s="18">
        <f t="shared" ca="1" si="4"/>
        <v>0.12933712809344552</v>
      </c>
    </row>
    <row r="8" spans="1:28" x14ac:dyDescent="0.25">
      <c r="B8" s="8" t="s">
        <v>38</v>
      </c>
      <c r="C8" s="18">
        <f t="shared" ca="1" si="0"/>
        <v>0.29128082723537441</v>
      </c>
      <c r="D8" s="18">
        <f t="shared" ca="1" si="1"/>
        <v>0.63952501547154039</v>
      </c>
      <c r="E8" s="18"/>
      <c r="H8" s="18">
        <f t="shared" ca="1" si="2"/>
        <v>9.4780364091829605E-2</v>
      </c>
      <c r="I8" s="18">
        <f t="shared" ca="1" si="3"/>
        <v>0.15062063898598771</v>
      </c>
      <c r="J8" s="18">
        <f t="shared" ca="1" si="4"/>
        <v>0.18591261885333288</v>
      </c>
    </row>
    <row r="9" spans="1:28" x14ac:dyDescent="0.25">
      <c r="B9" s="8" t="s">
        <v>38</v>
      </c>
      <c r="C9" s="18">
        <f t="shared" ca="1" si="0"/>
        <v>0.85764599282757137</v>
      </c>
      <c r="D9" s="18">
        <f t="shared" ca="1" si="1"/>
        <v>0.92082199868637282</v>
      </c>
      <c r="E9" s="18"/>
      <c r="H9" s="18">
        <f t="shared" ca="1" si="2"/>
        <v>0.22542086156120167</v>
      </c>
      <c r="I9" s="18">
        <f t="shared" ca="1" si="3"/>
        <v>0.82994891453441622</v>
      </c>
      <c r="J9" s="18">
        <f t="shared" ca="1" si="4"/>
        <v>0.11008026715722853</v>
      </c>
    </row>
    <row r="10" spans="1:28" x14ac:dyDescent="0.25">
      <c r="B10" s="8" t="s">
        <v>38</v>
      </c>
      <c r="C10" s="18">
        <f t="shared" ca="1" si="0"/>
        <v>0.50905311836612499</v>
      </c>
      <c r="D10" s="18">
        <f t="shared" ca="1" si="1"/>
        <v>0.5615988351783423</v>
      </c>
      <c r="E10" s="18"/>
      <c r="H10" s="18">
        <f t="shared" ca="1" si="2"/>
        <v>0.15411903752323841</v>
      </c>
      <c r="I10" s="18">
        <f t="shared" ca="1" si="3"/>
        <v>0.16862946858297279</v>
      </c>
      <c r="J10" s="18">
        <f t="shared" ca="1" si="4"/>
        <v>4.8502251668539158E-2</v>
      </c>
    </row>
    <row r="11" spans="1:28" x14ac:dyDescent="0.25">
      <c r="B11" s="8" t="s">
        <v>38</v>
      </c>
      <c r="C11" s="18">
        <f t="shared" ca="1" si="0"/>
        <v>0.49883136183614152</v>
      </c>
      <c r="D11" s="18">
        <f t="shared" ca="1" si="1"/>
        <v>0.75723057128006865</v>
      </c>
      <c r="E11" s="18"/>
      <c r="H11" s="18">
        <f t="shared" ca="1" si="2"/>
        <v>4.4446418174135874E-2</v>
      </c>
      <c r="I11" s="18">
        <f t="shared" ca="1" si="3"/>
        <v>0.32118331977611631</v>
      </c>
      <c r="J11" s="18">
        <f t="shared" ca="1" si="4"/>
        <v>6.9135613274380572E-2</v>
      </c>
    </row>
    <row r="12" spans="1:28" x14ac:dyDescent="0.25">
      <c r="B12" s="8" t="s">
        <v>38</v>
      </c>
      <c r="C12" s="18">
        <f t="shared" ca="1" si="0"/>
        <v>0.79013156991981315</v>
      </c>
      <c r="D12" s="18">
        <f t="shared" ca="1" si="1"/>
        <v>0.85615289415134321</v>
      </c>
      <c r="E12" s="18"/>
      <c r="H12" s="18">
        <f t="shared" ca="1" si="2"/>
        <v>0.17170087755291977</v>
      </c>
      <c r="I12" s="18">
        <f t="shared" ca="1" si="3"/>
        <v>0.66860535502595508</v>
      </c>
      <c r="J12" s="18">
        <f t="shared" ca="1" si="4"/>
        <v>6.1336436073919913E-2</v>
      </c>
    </row>
    <row r="13" spans="1:28" x14ac:dyDescent="0.25">
      <c r="B13" s="8" t="s">
        <v>37</v>
      </c>
      <c r="C13" s="18">
        <f t="shared" ca="1" si="0"/>
        <v>0.81843998489472947</v>
      </c>
      <c r="D13" s="18"/>
      <c r="E13" s="18">
        <f t="shared" ref="E13:E22" ca="1" si="5">RAND()*C13</f>
        <v>0.27069753790822559</v>
      </c>
      <c r="H13" s="18">
        <f t="shared" ref="H13:H22" ca="1" si="6">SUMSQ(C13-$C$24,E13-$F$24)</f>
        <v>0.62875939836716122</v>
      </c>
      <c r="I13" s="18">
        <f t="shared" ref="I13:I22" ca="1" si="7">SUMSQ($C13-$C$25,$E13-$F$25)</f>
        <v>0.3402405067867989</v>
      </c>
      <c r="J13" s="18">
        <f t="shared" ref="J13:J22" ca="1" si="8">SUMSQ($C13-$C$26,$E13-$F$26)</f>
        <v>0.12998252818757344</v>
      </c>
    </row>
    <row r="14" spans="1:28" x14ac:dyDescent="0.25">
      <c r="B14" s="8" t="s">
        <v>37</v>
      </c>
      <c r="C14" s="18">
        <f t="shared" ca="1" si="0"/>
        <v>0.9482497412541443</v>
      </c>
      <c r="D14" s="18"/>
      <c r="E14" s="18">
        <f t="shared" ca="1" si="5"/>
        <v>0.15460879445855391</v>
      </c>
      <c r="H14" s="18">
        <f t="shared" ca="1" si="6"/>
        <v>0.92599287091124849</v>
      </c>
      <c r="I14" s="18">
        <f t="shared" ca="1" si="7"/>
        <v>0.51841926893788237</v>
      </c>
      <c r="J14" s="18">
        <f t="shared" ca="1" si="8"/>
        <v>0.26601934165231211</v>
      </c>
    </row>
    <row r="15" spans="1:28" x14ac:dyDescent="0.25">
      <c r="B15" s="8" t="s">
        <v>37</v>
      </c>
      <c r="C15" s="18">
        <f t="shared" ca="1" si="0"/>
        <v>0.91427560670858909</v>
      </c>
      <c r="D15" s="18"/>
      <c r="E15" s="18">
        <f t="shared" ca="1" si="5"/>
        <v>0.50519077202949536</v>
      </c>
      <c r="H15" s="18">
        <f t="shared" ca="1" si="6"/>
        <v>0.46558817968625688</v>
      </c>
      <c r="I15" s="18">
        <f t="shared" ca="1" si="7"/>
        <v>0.52331314115698835</v>
      </c>
      <c r="J15" s="18">
        <f t="shared" ca="1" si="8"/>
        <v>4.9741200144672607E-2</v>
      </c>
    </row>
    <row r="16" spans="1:28" x14ac:dyDescent="0.25">
      <c r="B16" s="8" t="s">
        <v>37</v>
      </c>
      <c r="C16" s="18">
        <f t="shared" ca="1" si="0"/>
        <v>0.66558836938113486</v>
      </c>
      <c r="D16" s="18"/>
      <c r="E16" s="18">
        <f t="shared" ca="1" si="5"/>
        <v>0.55233028885276247</v>
      </c>
      <c r="H16" s="18">
        <f t="shared" ca="1" si="6"/>
        <v>0.22505523212431694</v>
      </c>
      <c r="I16" s="18">
        <f t="shared" ca="1" si="7"/>
        <v>0.27323649354043261</v>
      </c>
      <c r="J16" s="18">
        <f t="shared" ca="1" si="8"/>
        <v>7.4951079306631203E-3</v>
      </c>
    </row>
    <row r="17" spans="2:27" x14ac:dyDescent="0.25">
      <c r="B17" s="8" t="s">
        <v>37</v>
      </c>
      <c r="C17" s="18">
        <f t="shared" ca="1" si="0"/>
        <v>0.9331031109957596</v>
      </c>
      <c r="D17" s="18"/>
      <c r="E17" s="18">
        <f t="shared" ca="1" si="5"/>
        <v>5.7808527623146588E-3</v>
      </c>
      <c r="H17" s="18">
        <f t="shared" ca="1" si="6"/>
        <v>1.163061607665181</v>
      </c>
      <c r="I17" s="18">
        <f t="shared" ca="1" si="7"/>
        <v>0.54922676314034147</v>
      </c>
      <c r="J17" s="18">
        <f t="shared" ca="1" si="8"/>
        <v>0.41949397333323069</v>
      </c>
    </row>
    <row r="18" spans="2:27" x14ac:dyDescent="0.25">
      <c r="B18" s="8" t="s">
        <v>37</v>
      </c>
      <c r="C18" s="18">
        <f t="shared" ca="1" si="0"/>
        <v>0.99345631228622244</v>
      </c>
      <c r="D18" s="18"/>
      <c r="E18" s="18">
        <f t="shared" ca="1" si="5"/>
        <v>0.52864723415229076</v>
      </c>
      <c r="H18" s="18">
        <f t="shared" ca="1" si="6"/>
        <v>0.53644857848292837</v>
      </c>
      <c r="I18" s="18">
        <f t="shared" ca="1" si="7"/>
        <v>0.64936526847278209</v>
      </c>
      <c r="J18" s="18">
        <f t="shared" ca="1" si="8"/>
        <v>8.1726852305852138E-2</v>
      </c>
    </row>
    <row r="19" spans="2:27" x14ac:dyDescent="0.25">
      <c r="B19" s="8" t="s">
        <v>37</v>
      </c>
      <c r="C19" s="18">
        <f t="shared" ca="1" si="0"/>
        <v>0.32113993476703351</v>
      </c>
      <c r="D19" s="18"/>
      <c r="E19" s="18">
        <f t="shared" ca="1" si="5"/>
        <v>5.1969615089746658E-2</v>
      </c>
      <c r="H19" s="18">
        <f t="shared" ca="1" si="6"/>
        <v>0.7807507769767873</v>
      </c>
      <c r="I19" s="18">
        <f t="shared" ca="1" si="7"/>
        <v>4.8778399060603959E-2</v>
      </c>
      <c r="J19" s="18">
        <f t="shared" ca="1" si="8"/>
        <v>0.48109513835191231</v>
      </c>
    </row>
    <row r="20" spans="2:27" x14ac:dyDescent="0.25">
      <c r="B20" s="8" t="s">
        <v>37</v>
      </c>
      <c r="C20" s="18">
        <f t="shared" ca="1" si="0"/>
        <v>0.46716665501723198</v>
      </c>
      <c r="D20" s="18"/>
      <c r="E20" s="18">
        <f t="shared" ca="1" si="5"/>
        <v>0.12272548002912755</v>
      </c>
      <c r="H20" s="18">
        <f t="shared" ca="1" si="6"/>
        <v>0.66427364029308056</v>
      </c>
      <c r="I20" s="18">
        <f t="shared" ca="1" si="7"/>
        <v>7.1368555175766457E-2</v>
      </c>
      <c r="J20" s="18">
        <f t="shared" ca="1" si="8"/>
        <v>0.31026570708893741</v>
      </c>
    </row>
    <row r="21" spans="2:27" x14ac:dyDescent="0.25">
      <c r="B21" s="8" t="s">
        <v>37</v>
      </c>
      <c r="C21" s="18">
        <f t="shared" ca="1" si="0"/>
        <v>0.44983652679445008</v>
      </c>
      <c r="D21" s="18"/>
      <c r="E21" s="18">
        <f t="shared" ca="1" si="5"/>
        <v>0.10448560574010066</v>
      </c>
      <c r="H21" s="18">
        <f t="shared" ca="1" si="6"/>
        <v>0.69156361164201163</v>
      </c>
      <c r="I21" s="18">
        <f t="shared" ca="1" si="7"/>
        <v>6.8809145308539682E-2</v>
      </c>
      <c r="J21" s="18">
        <f t="shared" ca="1" si="8"/>
        <v>0.33779864221366168</v>
      </c>
    </row>
    <row r="22" spans="2:27" x14ac:dyDescent="0.25">
      <c r="B22" s="8" t="s">
        <v>37</v>
      </c>
      <c r="C22" s="18">
        <f t="shared" ca="1" si="0"/>
        <v>0.8331751555448409</v>
      </c>
      <c r="D22" s="18"/>
      <c r="E22" s="18">
        <f t="shared" ca="1" si="5"/>
        <v>0.79803052750691095</v>
      </c>
      <c r="H22" s="18">
        <f t="shared" ca="1" si="6"/>
        <v>0.22095791486678892</v>
      </c>
      <c r="I22" s="18">
        <f t="shared" ca="1" si="7"/>
        <v>0.65177188088113747</v>
      </c>
      <c r="J22" s="18">
        <f t="shared" ca="1" si="8"/>
        <v>4.4763317645685627E-2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0.3830275790415707</v>
      </c>
      <c r="F24" s="18">
        <f ca="1">RAND()</f>
        <v>0.93340066540674993</v>
      </c>
      <c r="G24" s="20" t="s">
        <v>49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44</v>
      </c>
      <c r="C25" s="18">
        <f ca="1">RAND()</f>
        <v>0.23533714776106551</v>
      </c>
      <c r="F25" s="18">
        <f ca="1">RAND()</f>
        <v>0.2554795185406904</v>
      </c>
      <c r="G25" s="19" t="s">
        <v>48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Blue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43</v>
      </c>
      <c r="C26" s="18">
        <f ca="1">RAND()</f>
        <v>0.7219225072022204</v>
      </c>
      <c r="F26" s="18">
        <f ca="1">RAND()</f>
        <v>0.61806895971412124</v>
      </c>
      <c r="G26" s="16" t="s">
        <v>47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Blue</v>
      </c>
      <c r="K26" s="17" t="str">
        <f t="shared" ca="1" si="11"/>
        <v>Orange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6D14D686-2C13-804B-A80B-F58C23C9D5EB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28" x14ac:dyDescent="0.25">
      <c r="B3" s="8" t="s">
        <v>38</v>
      </c>
      <c r="C3" s="18">
        <f t="shared" ref="C3:C22" ca="1" si="0">RAND()</f>
        <v>0.22894640442932057</v>
      </c>
      <c r="D3" s="18">
        <f t="shared" ref="D3:D12" ca="1" si="1">C3+RAND()*(1-C3)</f>
        <v>0.67736049450243296</v>
      </c>
      <c r="E3" s="18"/>
      <c r="H3" s="18">
        <f t="shared" ref="H3:H12" ca="1" si="2">SUMSQ($C3-$C$24,$D3-$F$24)</f>
        <v>8.3352504926253665E-3</v>
      </c>
      <c r="I3" s="18">
        <f t="shared" ref="I3:I12" ca="1" si="3">SUMSQ($C3-$C$25,$D3-$F$25)</f>
        <v>0.39782566654057877</v>
      </c>
      <c r="J3" s="18">
        <f t="shared" ref="J3:J12" ca="1" si="4">SUMSQ($C3-$C$26,$D3-$F$26)</f>
        <v>0.74887572512496436</v>
      </c>
      <c r="AB3" s="19" t="s">
        <v>50</v>
      </c>
    </row>
    <row r="4" spans="2:28" x14ac:dyDescent="0.25">
      <c r="B4" s="8" t="s">
        <v>38</v>
      </c>
      <c r="C4" s="18">
        <f t="shared" ca="1" si="0"/>
        <v>0.40327137996430151</v>
      </c>
      <c r="D4" s="18">
        <f t="shared" ca="1" si="1"/>
        <v>0.95036507429209405</v>
      </c>
      <c r="E4" s="18"/>
      <c r="H4" s="18">
        <f t="shared" ca="1" si="2"/>
        <v>0.11131827429144565</v>
      </c>
      <c r="I4" s="18">
        <f t="shared" ca="1" si="3"/>
        <v>0.3730180781594602</v>
      </c>
      <c r="J4" s="18">
        <f t="shared" ca="1" si="4"/>
        <v>0.94656144805679432</v>
      </c>
      <c r="AB4" s="23">
        <v>4</v>
      </c>
    </row>
    <row r="5" spans="2:28" x14ac:dyDescent="0.25">
      <c r="B5" s="8" t="s">
        <v>38</v>
      </c>
      <c r="C5" s="18">
        <f t="shared" ca="1" si="0"/>
        <v>0.66301515414816337</v>
      </c>
      <c r="D5" s="18">
        <f t="shared" ca="1" si="1"/>
        <v>0.99832584373021849</v>
      </c>
      <c r="E5" s="18"/>
      <c r="H5" s="18">
        <f t="shared" ca="1" si="2"/>
        <v>0.26151232667101643</v>
      </c>
      <c r="I5" s="18">
        <f t="shared" ca="1" si="3"/>
        <v>0.2563603788894957</v>
      </c>
      <c r="J5" s="18">
        <f t="shared" ca="1" si="4"/>
        <v>0.85507100698429672</v>
      </c>
    </row>
    <row r="6" spans="2:28" x14ac:dyDescent="0.25">
      <c r="B6" s="8" t="s">
        <v>38</v>
      </c>
      <c r="C6" s="18">
        <f t="shared" ca="1" si="0"/>
        <v>0.94442758005366745</v>
      </c>
      <c r="D6" s="18">
        <f t="shared" ca="1" si="1"/>
        <v>0.99803229573546359</v>
      </c>
      <c r="E6" s="18"/>
      <c r="H6" s="18">
        <f t="shared" ca="1" si="2"/>
        <v>0.54060313682853589</v>
      </c>
      <c r="I6" s="18">
        <f t="shared" ca="1" si="3"/>
        <v>0.23520503776111948</v>
      </c>
      <c r="J6" s="18">
        <f t="shared" ca="1" si="4"/>
        <v>0.81656819359453992</v>
      </c>
    </row>
    <row r="7" spans="2:28" x14ac:dyDescent="0.25">
      <c r="B7" s="8" t="s">
        <v>38</v>
      </c>
      <c r="C7" s="18">
        <f t="shared" ca="1" si="0"/>
        <v>0.24939490816583276</v>
      </c>
      <c r="D7" s="18">
        <f t="shared" ca="1" si="1"/>
        <v>0.71330609701398839</v>
      </c>
      <c r="E7" s="18"/>
      <c r="H7" s="18">
        <f t="shared" ca="1" si="2"/>
        <v>1.0183607109466235E-2</v>
      </c>
      <c r="I7" s="18">
        <f t="shared" ca="1" si="3"/>
        <v>0.38551958831238609</v>
      </c>
      <c r="J7" s="18">
        <f t="shared" ca="1" si="4"/>
        <v>0.76601674371556594</v>
      </c>
    </row>
    <row r="8" spans="2:28" x14ac:dyDescent="0.25">
      <c r="B8" s="8" t="s">
        <v>38</v>
      </c>
      <c r="C8" s="18">
        <f t="shared" ca="1" si="0"/>
        <v>3.6139557161383506E-2</v>
      </c>
      <c r="D8" s="18">
        <f t="shared" ca="1" si="1"/>
        <v>0.76530027459822292</v>
      </c>
      <c r="E8" s="18"/>
      <c r="H8" s="18">
        <f t="shared" ca="1" si="2"/>
        <v>9.1714003068089273E-2</v>
      </c>
      <c r="I8" s="18">
        <f t="shared" ca="1" si="3"/>
        <v>0.70560734250551838</v>
      </c>
      <c r="J8" s="18">
        <f t="shared" ca="1" si="4"/>
        <v>1.1434518261384303</v>
      </c>
    </row>
    <row r="9" spans="2:28" x14ac:dyDescent="0.25">
      <c r="B9" s="8" t="s">
        <v>38</v>
      </c>
      <c r="C9" s="18">
        <f t="shared" ca="1" si="0"/>
        <v>0.62674442146472087</v>
      </c>
      <c r="D9" s="18">
        <f t="shared" ca="1" si="1"/>
        <v>0.74253050468510451</v>
      </c>
      <c r="E9" s="18"/>
      <c r="H9" s="18">
        <f t="shared" ca="1" si="2"/>
        <v>0.11443031346111228</v>
      </c>
      <c r="I9" s="18">
        <f t="shared" ca="1" si="3"/>
        <v>9.3472391793869569E-2</v>
      </c>
      <c r="J9" s="18">
        <f t="shared" ca="1" si="4"/>
        <v>0.47599520283474545</v>
      </c>
    </row>
    <row r="10" spans="2:28" x14ac:dyDescent="0.25">
      <c r="B10" s="8" t="s">
        <v>38</v>
      </c>
      <c r="C10" s="18">
        <f t="shared" ca="1" si="0"/>
        <v>0.10308058091857053</v>
      </c>
      <c r="D10" s="18">
        <f t="shared" ca="1" si="1"/>
        <v>0.30224678551968986</v>
      </c>
      <c r="E10" s="18"/>
      <c r="H10" s="18">
        <f t="shared" ca="1" si="2"/>
        <v>0.14970172496995202</v>
      </c>
      <c r="I10" s="18">
        <f t="shared" ca="1" si="3"/>
        <v>0.59353729916503717</v>
      </c>
      <c r="J10" s="18">
        <f t="shared" ca="1" si="4"/>
        <v>0.63197185802214972</v>
      </c>
    </row>
    <row r="11" spans="2:28" x14ac:dyDescent="0.25">
      <c r="B11" s="8" t="s">
        <v>38</v>
      </c>
      <c r="C11" s="18">
        <f t="shared" ca="1" si="0"/>
        <v>0.98984685650904403</v>
      </c>
      <c r="D11" s="18">
        <f t="shared" ca="1" si="1"/>
        <v>0.99036304064632119</v>
      </c>
      <c r="E11" s="18"/>
      <c r="H11" s="18">
        <f t="shared" ca="1" si="2"/>
        <v>0.59495259185625304</v>
      </c>
      <c r="I11" s="18">
        <f t="shared" ca="1" si="3"/>
        <v>0.23947169121737355</v>
      </c>
      <c r="J11" s="18">
        <f t="shared" ca="1" si="4"/>
        <v>0.81152764728815496</v>
      </c>
    </row>
    <row r="12" spans="2:28" x14ac:dyDescent="0.25">
      <c r="B12" s="8" t="s">
        <v>38</v>
      </c>
      <c r="C12" s="18">
        <f t="shared" ca="1" si="0"/>
        <v>0.63914768672141475</v>
      </c>
      <c r="D12" s="18">
        <f t="shared" ca="1" si="1"/>
        <v>0.72381855584681776</v>
      </c>
      <c r="E12" s="18"/>
      <c r="H12" s="18">
        <f t="shared" ca="1" si="2"/>
        <v>0.11867215634031102</v>
      </c>
      <c r="I12" s="18">
        <f t="shared" ca="1" si="3"/>
        <v>8.049712879033441E-2</v>
      </c>
      <c r="J12" s="18">
        <f t="shared" ca="1" si="4"/>
        <v>0.44629062087559479</v>
      </c>
    </row>
    <row r="13" spans="2:28" x14ac:dyDescent="0.25">
      <c r="B13" s="8" t="s">
        <v>37</v>
      </c>
      <c r="C13" s="18">
        <f t="shared" ca="1" si="0"/>
        <v>5.4333128663749064E-2</v>
      </c>
      <c r="D13" s="18"/>
      <c r="E13" s="18">
        <f t="shared" ref="E13:E22" ca="1" si="5">RAND()*C13</f>
        <v>1.4372789817702595E-2</v>
      </c>
      <c r="H13" s="18">
        <f t="shared" ref="H13:H22" ca="1" si="6">SUMSQ(C13-$C$24,E13-$F$24)</f>
        <v>0.44402408396686999</v>
      </c>
      <c r="I13" s="18">
        <f t="shared" ref="I13:I22" ca="1" si="7">SUMSQ($C13-$C$25,$E13-$F$25)</f>
        <v>0.87852842534960951</v>
      </c>
      <c r="J13" s="18">
        <f t="shared" ref="J13:J22" ca="1" si="8">SUMSQ($C13-$C$26,$E13-$F$26)</f>
        <v>0.67414525253946678</v>
      </c>
    </row>
    <row r="14" spans="2:28" x14ac:dyDescent="0.25">
      <c r="B14" s="8" t="s">
        <v>37</v>
      </c>
      <c r="C14" s="18">
        <f t="shared" ca="1" si="0"/>
        <v>0.62311844956898399</v>
      </c>
      <c r="D14" s="18"/>
      <c r="E14" s="18">
        <f t="shared" ca="1" si="5"/>
        <v>0.24312017256289767</v>
      </c>
      <c r="H14" s="18">
        <f t="shared" ca="1" si="6"/>
        <v>0.24991311191432652</v>
      </c>
      <c r="I14" s="18">
        <f t="shared" ca="1" si="7"/>
        <v>0.12642581623940824</v>
      </c>
      <c r="J14" s="18">
        <f t="shared" ca="1" si="8"/>
        <v>8.2785383502354676E-2</v>
      </c>
    </row>
    <row r="15" spans="2:28" x14ac:dyDescent="0.25">
      <c r="B15" s="8" t="s">
        <v>37</v>
      </c>
      <c r="C15" s="18">
        <f t="shared" ca="1" si="0"/>
        <v>0.81778460581759771</v>
      </c>
      <c r="D15" s="18"/>
      <c r="E15" s="18">
        <f t="shared" ca="1" si="5"/>
        <v>0.49013665624501801</v>
      </c>
      <c r="H15" s="18">
        <f t="shared" ca="1" si="6"/>
        <v>0.28020669399660997</v>
      </c>
      <c r="I15" s="18">
        <f t="shared" ca="1" si="7"/>
        <v>1.6941265706940086E-3</v>
      </c>
      <c r="J15" s="18">
        <f t="shared" ca="1" si="8"/>
        <v>0.1571232433454369</v>
      </c>
    </row>
    <row r="16" spans="2:28" x14ac:dyDescent="0.25">
      <c r="B16" s="8" t="s">
        <v>37</v>
      </c>
      <c r="C16" s="18">
        <f t="shared" ca="1" si="0"/>
        <v>0.24854573586675577</v>
      </c>
      <c r="D16" s="18"/>
      <c r="E16" s="18">
        <f t="shared" ca="1" si="5"/>
        <v>0.23692958343343543</v>
      </c>
      <c r="H16" s="18">
        <f t="shared" ca="1" si="6"/>
        <v>0.1585839551595212</v>
      </c>
      <c r="I16" s="18">
        <f t="shared" ca="1" si="7"/>
        <v>0.43333579597685484</v>
      </c>
      <c r="J16" s="18">
        <f t="shared" ca="1" si="8"/>
        <v>0.40716668111001958</v>
      </c>
    </row>
    <row r="17" spans="2:28" x14ac:dyDescent="0.25">
      <c r="B17" s="8" t="s">
        <v>37</v>
      </c>
      <c r="C17" s="18">
        <f t="shared" ca="1" si="0"/>
        <v>0.29153893127767994</v>
      </c>
      <c r="D17" s="18"/>
      <c r="E17" s="18">
        <f t="shared" ca="1" si="5"/>
        <v>6.568566923938228E-2</v>
      </c>
      <c r="H17" s="18">
        <f t="shared" ca="1" si="6"/>
        <v>0.319577366946456</v>
      </c>
      <c r="I17" s="18">
        <f t="shared" ca="1" si="7"/>
        <v>0.51198544176628813</v>
      </c>
      <c r="J17" s="18">
        <f t="shared" ca="1" si="8"/>
        <v>0.33700073672176289</v>
      </c>
    </row>
    <row r="18" spans="2:28" x14ac:dyDescent="0.25">
      <c r="B18" s="8" t="s">
        <v>37</v>
      </c>
      <c r="C18" s="18">
        <f t="shared" ca="1" si="0"/>
        <v>0.81864755249422083</v>
      </c>
      <c r="D18" s="18"/>
      <c r="E18" s="18">
        <f t="shared" ca="1" si="5"/>
        <v>0.75958712110664361</v>
      </c>
      <c r="H18" s="18">
        <f t="shared" ca="1" si="6"/>
        <v>0.27790264916064761</v>
      </c>
      <c r="I18" s="18">
        <f t="shared" ca="1" si="7"/>
        <v>5.5874829420844756E-2</v>
      </c>
      <c r="J18" s="18">
        <f t="shared" ca="1" si="8"/>
        <v>0.44130130836708348</v>
      </c>
    </row>
    <row r="19" spans="2:28" x14ac:dyDescent="0.25">
      <c r="B19" s="8" t="s">
        <v>37</v>
      </c>
      <c r="C19" s="18">
        <f t="shared" ca="1" si="0"/>
        <v>0.86750532880632536</v>
      </c>
      <c r="D19" s="18"/>
      <c r="E19" s="18">
        <f t="shared" ca="1" si="5"/>
        <v>7.5668716919835316E-2</v>
      </c>
      <c r="H19" s="18">
        <f t="shared" ca="1" si="6"/>
        <v>0.62178821327739198</v>
      </c>
      <c r="I19" s="18">
        <f t="shared" ca="1" si="7"/>
        <v>0.20193777644605457</v>
      </c>
      <c r="J19" s="18">
        <f t="shared" ca="1" si="8"/>
        <v>4.8424261323475905E-4</v>
      </c>
    </row>
    <row r="20" spans="2:28" x14ac:dyDescent="0.25">
      <c r="B20" s="8" t="s">
        <v>37</v>
      </c>
      <c r="C20" s="18">
        <f t="shared" ca="1" si="0"/>
        <v>0.39228105934268576</v>
      </c>
      <c r="D20" s="18"/>
      <c r="E20" s="18">
        <f t="shared" ca="1" si="5"/>
        <v>0.14133719682506757</v>
      </c>
      <c r="H20" s="18">
        <f t="shared" ca="1" si="6"/>
        <v>0.24674158465491039</v>
      </c>
      <c r="I20" s="18">
        <f t="shared" ca="1" si="7"/>
        <v>0.34780491224143617</v>
      </c>
      <c r="J20" s="18">
        <f t="shared" ca="1" si="8"/>
        <v>0.23128905326461768</v>
      </c>
    </row>
    <row r="21" spans="2:28" x14ac:dyDescent="0.25">
      <c r="B21" s="8" t="s">
        <v>37</v>
      </c>
      <c r="C21" s="18">
        <f t="shared" ca="1" si="0"/>
        <v>0.46500977632206408</v>
      </c>
      <c r="D21" s="18"/>
      <c r="E21" s="18">
        <f t="shared" ca="1" si="5"/>
        <v>0.10772056733447433</v>
      </c>
      <c r="H21" s="18">
        <f t="shared" ca="1" si="6"/>
        <v>0.29840490836507871</v>
      </c>
      <c r="I21" s="18">
        <f t="shared" ca="1" si="7"/>
        <v>0.31472638344952175</v>
      </c>
      <c r="J21" s="18">
        <f t="shared" ca="1" si="8"/>
        <v>0.16509098241236395</v>
      </c>
    </row>
    <row r="22" spans="2:28" x14ac:dyDescent="0.25">
      <c r="B22" s="8" t="s">
        <v>37</v>
      </c>
      <c r="C22" s="18">
        <f t="shared" ca="1" si="0"/>
        <v>0.419648938575643</v>
      </c>
      <c r="D22" s="18"/>
      <c r="E22" s="18">
        <f t="shared" ca="1" si="5"/>
        <v>0.36308870450264236</v>
      </c>
      <c r="H22" s="18">
        <f t="shared" ca="1" si="6"/>
        <v>8.4240601631110842E-2</v>
      </c>
      <c r="I22" s="18">
        <f t="shared" ca="1" si="7"/>
        <v>0.20335371680149725</v>
      </c>
      <c r="J22" s="18">
        <f t="shared" ca="1" si="8"/>
        <v>0.27450081965567491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45</v>
      </c>
      <c r="C24" s="18">
        <f ca="1">RAND()</f>
        <v>0.30746305185777367</v>
      </c>
      <c r="F24" s="18">
        <f ca="1">RAND()</f>
        <v>0.63077308666274567</v>
      </c>
      <c r="G24" s="20" t="s">
        <v>49</v>
      </c>
      <c r="H24" s="17" t="str">
        <f ca="1">IF(H27&lt;=k,OFFSET($B$2,MATCH(SMALL($H$3:$H$22,H$27),$H$3:$H$22,0),0),"")</f>
        <v>Blue</v>
      </c>
      <c r="I24" s="17" t="str">
        <f t="shared" ref="I24:AA24" ca="1" si="9">IF(I27&lt;=k,OFFSET($B$2,MATCH(SMALL($H$3:$H$22,I$27),$H$3:$H$22,0),0),"")</f>
        <v>Blue</v>
      </c>
      <c r="J24" s="17" t="str">
        <f t="shared" ca="1" si="9"/>
        <v>Orange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44</v>
      </c>
      <c r="C25" s="18">
        <f ca="1">RAND()</f>
        <v>0.84081478852965208</v>
      </c>
      <c r="F25" s="18">
        <f ca="1">RAND()</f>
        <v>0.52425024964916411</v>
      </c>
      <c r="G25" s="19" t="s">
        <v>48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Equal</v>
      </c>
    </row>
    <row r="26" spans="2:28" x14ac:dyDescent="0.25">
      <c r="B26" s="8" t="s">
        <v>43</v>
      </c>
      <c r="C26" s="18">
        <f ca="1">RAND()</f>
        <v>0.87119164302275709</v>
      </c>
      <c r="F26" s="18">
        <f ca="1">RAND()</f>
        <v>9.7363271553025932E-2</v>
      </c>
      <c r="G26" s="16" t="s">
        <v>47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264</v>
      </c>
    </row>
  </sheetData>
  <hyperlinks>
    <hyperlink ref="A1" r:id="rId1" xr:uid="{D4AE401E-A4FD-4E44-8273-65D0D911F352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252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35</v>
      </c>
    </row>
    <row r="2" spans="1:1" x14ac:dyDescent="0.3">
      <c r="A2" s="1" t="s">
        <v>36</v>
      </c>
    </row>
    <row r="3" spans="1:1" x14ac:dyDescent="0.3">
      <c r="A3" s="1" t="s">
        <v>29</v>
      </c>
    </row>
    <row r="4" spans="1:1" x14ac:dyDescent="0.3">
      <c r="A4" s="1" t="s">
        <v>28</v>
      </c>
    </row>
    <row r="5" spans="1:1" x14ac:dyDescent="0.3">
      <c r="A5" s="1" t="s">
        <v>27</v>
      </c>
    </row>
    <row r="6" spans="1:1" x14ac:dyDescent="0.3">
      <c r="A6" s="1" t="s">
        <v>26</v>
      </c>
    </row>
    <row r="7" spans="1:1" x14ac:dyDescent="0.3">
      <c r="A7" s="1" t="s">
        <v>253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30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29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254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255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257</v>
      </c>
    </row>
    <row r="2" spans="1:1" x14ac:dyDescent="0.3">
      <c r="A2" s="9" t="s">
        <v>258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256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158</v>
      </c>
    </row>
    <row r="2" spans="1:1" x14ac:dyDescent="0.3">
      <c r="A2" s="1" t="s">
        <v>159</v>
      </c>
    </row>
    <row r="3" spans="1:1" x14ac:dyDescent="0.3">
      <c r="A3" s="1" t="s">
        <v>160</v>
      </c>
    </row>
    <row r="4" spans="1:1" x14ac:dyDescent="0.3">
      <c r="A4" s="1" t="s">
        <v>161</v>
      </c>
    </row>
  </sheetData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158</v>
      </c>
    </row>
  </sheetData>
  <hyperlinks>
    <hyperlink ref="A1" r:id="rId1" xr:uid="{0D455476-1CBE-6349-9F99-F71F539EAA56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5"/>
    <col min="2" max="2" width="20.83203125" style="25" bestFit="1" customWidth="1"/>
    <col min="3" max="16384" width="14.5" style="25"/>
  </cols>
  <sheetData>
    <row r="1" spans="1:11" x14ac:dyDescent="0.2">
      <c r="A1" s="24" t="s">
        <v>57</v>
      </c>
      <c r="B1" s="24" t="s">
        <v>58</v>
      </c>
      <c r="C1" s="24" t="s">
        <v>59</v>
      </c>
      <c r="D1" s="24" t="s">
        <v>60</v>
      </c>
      <c r="E1" s="24" t="s">
        <v>61</v>
      </c>
      <c r="F1" s="24" t="s">
        <v>62</v>
      </c>
      <c r="G1" s="24" t="s">
        <v>63</v>
      </c>
      <c r="H1" s="24" t="s">
        <v>64</v>
      </c>
      <c r="I1" s="24" t="s">
        <v>65</v>
      </c>
      <c r="J1" s="24" t="s">
        <v>66</v>
      </c>
      <c r="K1" s="24" t="s">
        <v>67</v>
      </c>
    </row>
    <row r="2" spans="1:11" x14ac:dyDescent="0.2">
      <c r="A2" s="24" t="s">
        <v>68</v>
      </c>
      <c r="B2" s="24" t="s">
        <v>69</v>
      </c>
      <c r="C2" s="24">
        <v>1.8</v>
      </c>
      <c r="D2" s="24">
        <v>1999</v>
      </c>
      <c r="E2" s="24">
        <v>4</v>
      </c>
      <c r="F2" s="24" t="s">
        <v>70</v>
      </c>
      <c r="G2" s="24" t="s">
        <v>71</v>
      </c>
      <c r="H2" s="24">
        <v>18</v>
      </c>
      <c r="I2" s="24">
        <v>29</v>
      </c>
      <c r="J2" s="24" t="s">
        <v>5</v>
      </c>
      <c r="K2" s="24" t="s">
        <v>72</v>
      </c>
    </row>
    <row r="3" spans="1:11" x14ac:dyDescent="0.2">
      <c r="A3" s="24" t="s">
        <v>68</v>
      </c>
      <c r="B3" s="24" t="s">
        <v>69</v>
      </c>
      <c r="C3" s="24">
        <v>1.8</v>
      </c>
      <c r="D3" s="24">
        <v>1999</v>
      </c>
      <c r="E3" s="24">
        <v>4</v>
      </c>
      <c r="F3" s="24" t="s">
        <v>73</v>
      </c>
      <c r="G3" s="24" t="s">
        <v>71</v>
      </c>
      <c r="H3" s="24">
        <v>21</v>
      </c>
      <c r="I3" s="24">
        <v>29</v>
      </c>
      <c r="J3" s="24" t="s">
        <v>5</v>
      </c>
      <c r="K3" s="24" t="s">
        <v>72</v>
      </c>
    </row>
    <row r="4" spans="1:11" x14ac:dyDescent="0.2">
      <c r="A4" s="24" t="s">
        <v>68</v>
      </c>
      <c r="B4" s="24" t="s">
        <v>69</v>
      </c>
      <c r="C4" s="24">
        <v>2</v>
      </c>
      <c r="D4" s="24">
        <v>2008</v>
      </c>
      <c r="E4" s="24">
        <v>4</v>
      </c>
      <c r="F4" s="24" t="s">
        <v>74</v>
      </c>
      <c r="G4" s="24" t="s">
        <v>71</v>
      </c>
      <c r="H4" s="24">
        <v>20</v>
      </c>
      <c r="I4" s="24">
        <v>31</v>
      </c>
      <c r="J4" s="24" t="s">
        <v>5</v>
      </c>
      <c r="K4" s="24" t="s">
        <v>72</v>
      </c>
    </row>
    <row r="5" spans="1:11" x14ac:dyDescent="0.2">
      <c r="A5" s="24" t="s">
        <v>68</v>
      </c>
      <c r="B5" s="24" t="s">
        <v>69</v>
      </c>
      <c r="C5" s="24">
        <v>2</v>
      </c>
      <c r="D5" s="24">
        <v>2008</v>
      </c>
      <c r="E5" s="24">
        <v>4</v>
      </c>
      <c r="F5" s="24" t="s">
        <v>75</v>
      </c>
      <c r="G5" s="24" t="s">
        <v>71</v>
      </c>
      <c r="H5" s="24">
        <v>21</v>
      </c>
      <c r="I5" s="24">
        <v>30</v>
      </c>
      <c r="J5" s="24" t="s">
        <v>5</v>
      </c>
      <c r="K5" s="24" t="s">
        <v>72</v>
      </c>
    </row>
    <row r="6" spans="1:11" x14ac:dyDescent="0.2">
      <c r="A6" s="24" t="s">
        <v>68</v>
      </c>
      <c r="B6" s="24" t="s">
        <v>69</v>
      </c>
      <c r="C6" s="24">
        <v>2.8</v>
      </c>
      <c r="D6" s="24">
        <v>1999</v>
      </c>
      <c r="E6" s="24">
        <v>6</v>
      </c>
      <c r="F6" s="24" t="s">
        <v>70</v>
      </c>
      <c r="G6" s="24" t="s">
        <v>71</v>
      </c>
      <c r="H6" s="24">
        <v>16</v>
      </c>
      <c r="I6" s="24">
        <v>26</v>
      </c>
      <c r="J6" s="24" t="s">
        <v>5</v>
      </c>
      <c r="K6" s="24" t="s">
        <v>72</v>
      </c>
    </row>
    <row r="7" spans="1:11" x14ac:dyDescent="0.2">
      <c r="A7" s="24" t="s">
        <v>68</v>
      </c>
      <c r="B7" s="24" t="s">
        <v>69</v>
      </c>
      <c r="C7" s="24">
        <v>2.8</v>
      </c>
      <c r="D7" s="24">
        <v>1999</v>
      </c>
      <c r="E7" s="24">
        <v>6</v>
      </c>
      <c r="F7" s="24" t="s">
        <v>73</v>
      </c>
      <c r="G7" s="24" t="s">
        <v>71</v>
      </c>
      <c r="H7" s="24">
        <v>18</v>
      </c>
      <c r="I7" s="24">
        <v>26</v>
      </c>
      <c r="J7" s="24" t="s">
        <v>5</v>
      </c>
      <c r="K7" s="24" t="s">
        <v>72</v>
      </c>
    </row>
    <row r="8" spans="1:11" x14ac:dyDescent="0.2">
      <c r="A8" s="24" t="s">
        <v>68</v>
      </c>
      <c r="B8" s="24" t="s">
        <v>69</v>
      </c>
      <c r="C8" s="24">
        <v>3.1</v>
      </c>
      <c r="D8" s="24">
        <v>2008</v>
      </c>
      <c r="E8" s="24">
        <v>6</v>
      </c>
      <c r="F8" s="24" t="s">
        <v>75</v>
      </c>
      <c r="G8" s="24" t="s">
        <v>71</v>
      </c>
      <c r="H8" s="24">
        <v>18</v>
      </c>
      <c r="I8" s="24">
        <v>27</v>
      </c>
      <c r="J8" s="24" t="s">
        <v>5</v>
      </c>
      <c r="K8" s="24" t="s">
        <v>72</v>
      </c>
    </row>
    <row r="9" spans="1:11" x14ac:dyDescent="0.2">
      <c r="A9" s="24" t="s">
        <v>68</v>
      </c>
      <c r="B9" s="24" t="s">
        <v>76</v>
      </c>
      <c r="C9" s="24">
        <v>1.8</v>
      </c>
      <c r="D9" s="24">
        <v>1999</v>
      </c>
      <c r="E9" s="24">
        <v>4</v>
      </c>
      <c r="F9" s="24" t="s">
        <v>73</v>
      </c>
      <c r="G9" s="24">
        <v>4</v>
      </c>
      <c r="H9" s="24">
        <v>18</v>
      </c>
      <c r="I9" s="24">
        <v>26</v>
      </c>
      <c r="J9" s="24" t="s">
        <v>5</v>
      </c>
      <c r="K9" s="24" t="s">
        <v>72</v>
      </c>
    </row>
    <row r="10" spans="1:11" x14ac:dyDescent="0.2">
      <c r="A10" s="24" t="s">
        <v>68</v>
      </c>
      <c r="B10" s="24" t="s">
        <v>76</v>
      </c>
      <c r="C10" s="24">
        <v>1.8</v>
      </c>
      <c r="D10" s="24">
        <v>1999</v>
      </c>
      <c r="E10" s="24">
        <v>4</v>
      </c>
      <c r="F10" s="24" t="s">
        <v>70</v>
      </c>
      <c r="G10" s="24">
        <v>4</v>
      </c>
      <c r="H10" s="24">
        <v>16</v>
      </c>
      <c r="I10" s="24">
        <v>25</v>
      </c>
      <c r="J10" s="24" t="s">
        <v>5</v>
      </c>
      <c r="K10" s="24" t="s">
        <v>72</v>
      </c>
    </row>
    <row r="11" spans="1:11" x14ac:dyDescent="0.2">
      <c r="A11" s="24" t="s">
        <v>68</v>
      </c>
      <c r="B11" s="24" t="s">
        <v>76</v>
      </c>
      <c r="C11" s="24">
        <v>2</v>
      </c>
      <c r="D11" s="24">
        <v>2008</v>
      </c>
      <c r="E11" s="24">
        <v>4</v>
      </c>
      <c r="F11" s="24" t="s">
        <v>74</v>
      </c>
      <c r="G11" s="24">
        <v>4</v>
      </c>
      <c r="H11" s="24">
        <v>20</v>
      </c>
      <c r="I11" s="24">
        <v>28</v>
      </c>
      <c r="J11" s="24" t="s">
        <v>5</v>
      </c>
      <c r="K11" s="24" t="s">
        <v>72</v>
      </c>
    </row>
    <row r="12" spans="1:11" x14ac:dyDescent="0.2">
      <c r="A12" s="24" t="s">
        <v>68</v>
      </c>
      <c r="B12" s="24" t="s">
        <v>76</v>
      </c>
      <c r="C12" s="24">
        <v>2</v>
      </c>
      <c r="D12" s="24">
        <v>2008</v>
      </c>
      <c r="E12" s="24">
        <v>4</v>
      </c>
      <c r="F12" s="24" t="s">
        <v>77</v>
      </c>
      <c r="G12" s="24">
        <v>4</v>
      </c>
      <c r="H12" s="24">
        <v>19</v>
      </c>
      <c r="I12" s="24">
        <v>27</v>
      </c>
      <c r="J12" s="24" t="s">
        <v>5</v>
      </c>
      <c r="K12" s="24" t="s">
        <v>72</v>
      </c>
    </row>
    <row r="13" spans="1:11" x14ac:dyDescent="0.2">
      <c r="A13" s="24" t="s">
        <v>68</v>
      </c>
      <c r="B13" s="24" t="s">
        <v>76</v>
      </c>
      <c r="C13" s="24">
        <v>2.8</v>
      </c>
      <c r="D13" s="24">
        <v>1999</v>
      </c>
      <c r="E13" s="24">
        <v>6</v>
      </c>
      <c r="F13" s="24" t="s">
        <v>70</v>
      </c>
      <c r="G13" s="24">
        <v>4</v>
      </c>
      <c r="H13" s="24">
        <v>15</v>
      </c>
      <c r="I13" s="24">
        <v>25</v>
      </c>
      <c r="J13" s="24" t="s">
        <v>5</v>
      </c>
      <c r="K13" s="24" t="s">
        <v>72</v>
      </c>
    </row>
    <row r="14" spans="1:11" x14ac:dyDescent="0.2">
      <c r="A14" s="24" t="s">
        <v>68</v>
      </c>
      <c r="B14" s="24" t="s">
        <v>76</v>
      </c>
      <c r="C14" s="24">
        <v>2.8</v>
      </c>
      <c r="D14" s="24">
        <v>1999</v>
      </c>
      <c r="E14" s="24">
        <v>6</v>
      </c>
      <c r="F14" s="24" t="s">
        <v>73</v>
      </c>
      <c r="G14" s="24">
        <v>4</v>
      </c>
      <c r="H14" s="24">
        <v>17</v>
      </c>
      <c r="I14" s="24">
        <v>25</v>
      </c>
      <c r="J14" s="24" t="s">
        <v>5</v>
      </c>
      <c r="K14" s="24" t="s">
        <v>72</v>
      </c>
    </row>
    <row r="15" spans="1:11" x14ac:dyDescent="0.2">
      <c r="A15" s="24" t="s">
        <v>68</v>
      </c>
      <c r="B15" s="24" t="s">
        <v>76</v>
      </c>
      <c r="C15" s="24">
        <v>3.1</v>
      </c>
      <c r="D15" s="24">
        <v>2008</v>
      </c>
      <c r="E15" s="24">
        <v>6</v>
      </c>
      <c r="F15" s="24" t="s">
        <v>77</v>
      </c>
      <c r="G15" s="24">
        <v>4</v>
      </c>
      <c r="H15" s="24">
        <v>17</v>
      </c>
      <c r="I15" s="24">
        <v>25</v>
      </c>
      <c r="J15" s="24" t="s">
        <v>5</v>
      </c>
      <c r="K15" s="24" t="s">
        <v>72</v>
      </c>
    </row>
    <row r="16" spans="1:11" x14ac:dyDescent="0.2">
      <c r="A16" s="24" t="s">
        <v>68</v>
      </c>
      <c r="B16" s="24" t="s">
        <v>76</v>
      </c>
      <c r="C16" s="24">
        <v>3.1</v>
      </c>
      <c r="D16" s="24">
        <v>2008</v>
      </c>
      <c r="E16" s="24">
        <v>6</v>
      </c>
      <c r="F16" s="24" t="s">
        <v>74</v>
      </c>
      <c r="G16" s="24">
        <v>4</v>
      </c>
      <c r="H16" s="24">
        <v>15</v>
      </c>
      <c r="I16" s="24">
        <v>25</v>
      </c>
      <c r="J16" s="24" t="s">
        <v>5</v>
      </c>
      <c r="K16" s="24" t="s">
        <v>72</v>
      </c>
    </row>
    <row r="17" spans="1:11" x14ac:dyDescent="0.2">
      <c r="A17" s="24" t="s">
        <v>68</v>
      </c>
      <c r="B17" s="24" t="s">
        <v>78</v>
      </c>
      <c r="C17" s="24">
        <v>2.8</v>
      </c>
      <c r="D17" s="24">
        <v>1999</v>
      </c>
      <c r="E17" s="24">
        <v>6</v>
      </c>
      <c r="F17" s="24" t="s">
        <v>70</v>
      </c>
      <c r="G17" s="24">
        <v>4</v>
      </c>
      <c r="H17" s="24">
        <v>15</v>
      </c>
      <c r="I17" s="24">
        <v>24</v>
      </c>
      <c r="J17" s="24" t="s">
        <v>5</v>
      </c>
      <c r="K17" s="24" t="s">
        <v>79</v>
      </c>
    </row>
    <row r="18" spans="1:11" x14ac:dyDescent="0.2">
      <c r="A18" s="24" t="s">
        <v>68</v>
      </c>
      <c r="B18" s="24" t="s">
        <v>78</v>
      </c>
      <c r="C18" s="24">
        <v>3.1</v>
      </c>
      <c r="D18" s="24">
        <v>2008</v>
      </c>
      <c r="E18" s="24">
        <v>6</v>
      </c>
      <c r="F18" s="24" t="s">
        <v>77</v>
      </c>
      <c r="G18" s="24">
        <v>4</v>
      </c>
      <c r="H18" s="24">
        <v>17</v>
      </c>
      <c r="I18" s="24">
        <v>25</v>
      </c>
      <c r="J18" s="24" t="s">
        <v>5</v>
      </c>
      <c r="K18" s="24" t="s">
        <v>79</v>
      </c>
    </row>
    <row r="19" spans="1:11" x14ac:dyDescent="0.2">
      <c r="A19" s="24" t="s">
        <v>68</v>
      </c>
      <c r="B19" s="24" t="s">
        <v>78</v>
      </c>
      <c r="C19" s="24">
        <v>4.2</v>
      </c>
      <c r="D19" s="24">
        <v>2008</v>
      </c>
      <c r="E19" s="24">
        <v>8</v>
      </c>
      <c r="F19" s="24" t="s">
        <v>77</v>
      </c>
      <c r="G19" s="24">
        <v>4</v>
      </c>
      <c r="H19" s="24">
        <v>16</v>
      </c>
      <c r="I19" s="24">
        <v>23</v>
      </c>
      <c r="J19" s="24" t="s">
        <v>5</v>
      </c>
      <c r="K19" s="24" t="s">
        <v>79</v>
      </c>
    </row>
    <row r="20" spans="1:11" x14ac:dyDescent="0.2">
      <c r="A20" s="24" t="s">
        <v>80</v>
      </c>
      <c r="B20" s="24" t="s">
        <v>81</v>
      </c>
      <c r="C20" s="24">
        <v>5.3</v>
      </c>
      <c r="D20" s="24">
        <v>2008</v>
      </c>
      <c r="E20" s="24">
        <v>8</v>
      </c>
      <c r="F20" s="24" t="s">
        <v>82</v>
      </c>
      <c r="G20" s="24" t="s">
        <v>83</v>
      </c>
      <c r="H20" s="24">
        <v>14</v>
      </c>
      <c r="I20" s="24">
        <v>20</v>
      </c>
      <c r="J20" s="24" t="s">
        <v>83</v>
      </c>
      <c r="K20" s="24" t="s">
        <v>84</v>
      </c>
    </row>
    <row r="21" spans="1:11" x14ac:dyDescent="0.2">
      <c r="A21" s="24" t="s">
        <v>80</v>
      </c>
      <c r="B21" s="24" t="s">
        <v>81</v>
      </c>
      <c r="C21" s="24">
        <v>5.3</v>
      </c>
      <c r="D21" s="24">
        <v>2008</v>
      </c>
      <c r="E21" s="24">
        <v>8</v>
      </c>
      <c r="F21" s="24" t="s">
        <v>82</v>
      </c>
      <c r="G21" s="24" t="s">
        <v>83</v>
      </c>
      <c r="H21" s="24">
        <v>11</v>
      </c>
      <c r="I21" s="24">
        <v>15</v>
      </c>
      <c r="J21" s="24" t="s">
        <v>85</v>
      </c>
      <c r="K21" s="24" t="s">
        <v>84</v>
      </c>
    </row>
    <row r="22" spans="1:11" x14ac:dyDescent="0.2">
      <c r="A22" s="24" t="s">
        <v>80</v>
      </c>
      <c r="B22" s="24" t="s">
        <v>81</v>
      </c>
      <c r="C22" s="24">
        <v>5.3</v>
      </c>
      <c r="D22" s="24">
        <v>2008</v>
      </c>
      <c r="E22" s="24">
        <v>8</v>
      </c>
      <c r="F22" s="24" t="s">
        <v>82</v>
      </c>
      <c r="G22" s="24" t="s">
        <v>83</v>
      </c>
      <c r="H22" s="24">
        <v>14</v>
      </c>
      <c r="I22" s="24">
        <v>20</v>
      </c>
      <c r="J22" s="24" t="s">
        <v>83</v>
      </c>
      <c r="K22" s="24" t="s">
        <v>84</v>
      </c>
    </row>
    <row r="23" spans="1:11" x14ac:dyDescent="0.2">
      <c r="A23" s="24" t="s">
        <v>80</v>
      </c>
      <c r="B23" s="24" t="s">
        <v>81</v>
      </c>
      <c r="C23" s="24">
        <v>5.7</v>
      </c>
      <c r="D23" s="24">
        <v>1999</v>
      </c>
      <c r="E23" s="24">
        <v>8</v>
      </c>
      <c r="F23" s="24" t="s">
        <v>82</v>
      </c>
      <c r="G23" s="24" t="s">
        <v>83</v>
      </c>
      <c r="H23" s="24">
        <v>13</v>
      </c>
      <c r="I23" s="24">
        <v>17</v>
      </c>
      <c r="J23" s="24" t="s">
        <v>83</v>
      </c>
      <c r="K23" s="24" t="s">
        <v>84</v>
      </c>
    </row>
    <row r="24" spans="1:11" x14ac:dyDescent="0.2">
      <c r="A24" s="24" t="s">
        <v>80</v>
      </c>
      <c r="B24" s="24" t="s">
        <v>81</v>
      </c>
      <c r="C24" s="24">
        <v>6</v>
      </c>
      <c r="D24" s="24">
        <v>2008</v>
      </c>
      <c r="E24" s="24">
        <v>8</v>
      </c>
      <c r="F24" s="24" t="s">
        <v>82</v>
      </c>
      <c r="G24" s="24" t="s">
        <v>83</v>
      </c>
      <c r="H24" s="24">
        <v>12</v>
      </c>
      <c r="I24" s="24">
        <v>17</v>
      </c>
      <c r="J24" s="24" t="s">
        <v>83</v>
      </c>
      <c r="K24" s="24" t="s">
        <v>84</v>
      </c>
    </row>
    <row r="25" spans="1:11" x14ac:dyDescent="0.2">
      <c r="A25" s="24" t="s">
        <v>80</v>
      </c>
      <c r="B25" s="24" t="s">
        <v>86</v>
      </c>
      <c r="C25" s="24">
        <v>5.7</v>
      </c>
      <c r="D25" s="24">
        <v>1999</v>
      </c>
      <c r="E25" s="24">
        <v>8</v>
      </c>
      <c r="F25" s="24" t="s">
        <v>74</v>
      </c>
      <c r="G25" s="24" t="s">
        <v>83</v>
      </c>
      <c r="H25" s="24">
        <v>16</v>
      </c>
      <c r="I25" s="24">
        <v>26</v>
      </c>
      <c r="J25" s="24" t="s">
        <v>5</v>
      </c>
      <c r="K25" s="24" t="s">
        <v>87</v>
      </c>
    </row>
    <row r="26" spans="1:11" x14ac:dyDescent="0.2">
      <c r="A26" s="24" t="s">
        <v>80</v>
      </c>
      <c r="B26" s="24" t="s">
        <v>86</v>
      </c>
      <c r="C26" s="24">
        <v>5.7</v>
      </c>
      <c r="D26" s="24">
        <v>1999</v>
      </c>
      <c r="E26" s="24">
        <v>8</v>
      </c>
      <c r="F26" s="24" t="s">
        <v>82</v>
      </c>
      <c r="G26" s="24" t="s">
        <v>83</v>
      </c>
      <c r="H26" s="24">
        <v>15</v>
      </c>
      <c r="I26" s="24">
        <v>23</v>
      </c>
      <c r="J26" s="24" t="s">
        <v>5</v>
      </c>
      <c r="K26" s="24" t="s">
        <v>87</v>
      </c>
    </row>
    <row r="27" spans="1:11" x14ac:dyDescent="0.2">
      <c r="A27" s="24" t="s">
        <v>80</v>
      </c>
      <c r="B27" s="24" t="s">
        <v>86</v>
      </c>
      <c r="C27" s="24">
        <v>6.2</v>
      </c>
      <c r="D27" s="24">
        <v>2008</v>
      </c>
      <c r="E27" s="24">
        <v>8</v>
      </c>
      <c r="F27" s="24" t="s">
        <v>74</v>
      </c>
      <c r="G27" s="24" t="s">
        <v>83</v>
      </c>
      <c r="H27" s="24">
        <v>16</v>
      </c>
      <c r="I27" s="24">
        <v>26</v>
      </c>
      <c r="J27" s="24" t="s">
        <v>5</v>
      </c>
      <c r="K27" s="24" t="s">
        <v>87</v>
      </c>
    </row>
    <row r="28" spans="1:11" x14ac:dyDescent="0.2">
      <c r="A28" s="24" t="s">
        <v>80</v>
      </c>
      <c r="B28" s="24" t="s">
        <v>86</v>
      </c>
      <c r="C28" s="24">
        <v>6.2</v>
      </c>
      <c r="D28" s="24">
        <v>2008</v>
      </c>
      <c r="E28" s="24">
        <v>8</v>
      </c>
      <c r="F28" s="24" t="s">
        <v>77</v>
      </c>
      <c r="G28" s="24" t="s">
        <v>83</v>
      </c>
      <c r="H28" s="24">
        <v>15</v>
      </c>
      <c r="I28" s="24">
        <v>25</v>
      </c>
      <c r="J28" s="24" t="s">
        <v>5</v>
      </c>
      <c r="K28" s="24" t="s">
        <v>87</v>
      </c>
    </row>
    <row r="29" spans="1:11" x14ac:dyDescent="0.2">
      <c r="A29" s="24" t="s">
        <v>80</v>
      </c>
      <c r="B29" s="24" t="s">
        <v>86</v>
      </c>
      <c r="C29" s="24">
        <v>7</v>
      </c>
      <c r="D29" s="24">
        <v>2008</v>
      </c>
      <c r="E29" s="24">
        <v>8</v>
      </c>
      <c r="F29" s="24" t="s">
        <v>74</v>
      </c>
      <c r="G29" s="24" t="s">
        <v>83</v>
      </c>
      <c r="H29" s="24">
        <v>15</v>
      </c>
      <c r="I29" s="24">
        <v>24</v>
      </c>
      <c r="J29" s="24" t="s">
        <v>5</v>
      </c>
      <c r="K29" s="24" t="s">
        <v>87</v>
      </c>
    </row>
    <row r="30" spans="1:11" x14ac:dyDescent="0.2">
      <c r="A30" s="24" t="s">
        <v>80</v>
      </c>
      <c r="B30" s="24" t="s">
        <v>88</v>
      </c>
      <c r="C30" s="24">
        <v>5.3</v>
      </c>
      <c r="D30" s="24">
        <v>2008</v>
      </c>
      <c r="E30" s="24">
        <v>8</v>
      </c>
      <c r="F30" s="24" t="s">
        <v>82</v>
      </c>
      <c r="G30" s="24">
        <v>4</v>
      </c>
      <c r="H30" s="24">
        <v>14</v>
      </c>
      <c r="I30" s="24">
        <v>19</v>
      </c>
      <c r="J30" s="24" t="s">
        <v>83</v>
      </c>
      <c r="K30" s="24" t="s">
        <v>84</v>
      </c>
    </row>
    <row r="31" spans="1:11" x14ac:dyDescent="0.2">
      <c r="A31" s="24" t="s">
        <v>80</v>
      </c>
      <c r="B31" s="24" t="s">
        <v>88</v>
      </c>
      <c r="C31" s="24">
        <v>5.3</v>
      </c>
      <c r="D31" s="24">
        <v>2008</v>
      </c>
      <c r="E31" s="24">
        <v>8</v>
      </c>
      <c r="F31" s="24" t="s">
        <v>82</v>
      </c>
      <c r="G31" s="24">
        <v>4</v>
      </c>
      <c r="H31" s="24">
        <v>11</v>
      </c>
      <c r="I31" s="24">
        <v>14</v>
      </c>
      <c r="J31" s="24" t="s">
        <v>85</v>
      </c>
      <c r="K31" s="24" t="s">
        <v>84</v>
      </c>
    </row>
    <row r="32" spans="1:11" x14ac:dyDescent="0.2">
      <c r="A32" s="24" t="s">
        <v>80</v>
      </c>
      <c r="B32" s="24" t="s">
        <v>88</v>
      </c>
      <c r="C32" s="24">
        <v>5.7</v>
      </c>
      <c r="D32" s="24">
        <v>1999</v>
      </c>
      <c r="E32" s="24">
        <v>8</v>
      </c>
      <c r="F32" s="24" t="s">
        <v>82</v>
      </c>
      <c r="G32" s="24">
        <v>4</v>
      </c>
      <c r="H32" s="24">
        <v>11</v>
      </c>
      <c r="I32" s="24">
        <v>15</v>
      </c>
      <c r="J32" s="24" t="s">
        <v>83</v>
      </c>
      <c r="K32" s="24" t="s">
        <v>84</v>
      </c>
    </row>
    <row r="33" spans="1:11" x14ac:dyDescent="0.2">
      <c r="A33" s="24" t="s">
        <v>80</v>
      </c>
      <c r="B33" s="24" t="s">
        <v>88</v>
      </c>
      <c r="C33" s="24">
        <v>6.5</v>
      </c>
      <c r="D33" s="24">
        <v>1999</v>
      </c>
      <c r="E33" s="24">
        <v>8</v>
      </c>
      <c r="F33" s="24" t="s">
        <v>82</v>
      </c>
      <c r="G33" s="24">
        <v>4</v>
      </c>
      <c r="H33" s="24">
        <v>14</v>
      </c>
      <c r="I33" s="24">
        <v>17</v>
      </c>
      <c r="J33" s="24" t="s">
        <v>89</v>
      </c>
      <c r="K33" s="24" t="s">
        <v>84</v>
      </c>
    </row>
    <row r="34" spans="1:11" x14ac:dyDescent="0.2">
      <c r="A34" s="24" t="s">
        <v>80</v>
      </c>
      <c r="B34" s="24" t="s">
        <v>90</v>
      </c>
      <c r="C34" s="24">
        <v>2.4</v>
      </c>
      <c r="D34" s="24">
        <v>1999</v>
      </c>
      <c r="E34" s="24">
        <v>4</v>
      </c>
      <c r="F34" s="24" t="s">
        <v>82</v>
      </c>
      <c r="G34" s="24" t="s">
        <v>71</v>
      </c>
      <c r="H34" s="24">
        <v>19</v>
      </c>
      <c r="I34" s="24">
        <v>27</v>
      </c>
      <c r="J34" s="24" t="s">
        <v>83</v>
      </c>
      <c r="K34" s="24" t="s">
        <v>79</v>
      </c>
    </row>
    <row r="35" spans="1:11" x14ac:dyDescent="0.2">
      <c r="A35" s="24" t="s">
        <v>80</v>
      </c>
      <c r="B35" s="24" t="s">
        <v>90</v>
      </c>
      <c r="C35" s="24">
        <v>2.4</v>
      </c>
      <c r="D35" s="24">
        <v>2008</v>
      </c>
      <c r="E35" s="24">
        <v>4</v>
      </c>
      <c r="F35" s="24" t="s">
        <v>82</v>
      </c>
      <c r="G35" s="24" t="s">
        <v>71</v>
      </c>
      <c r="H35" s="24">
        <v>22</v>
      </c>
      <c r="I35" s="24">
        <v>30</v>
      </c>
      <c r="J35" s="24" t="s">
        <v>83</v>
      </c>
      <c r="K35" s="24" t="s">
        <v>79</v>
      </c>
    </row>
    <row r="36" spans="1:11" x14ac:dyDescent="0.2">
      <c r="A36" s="24" t="s">
        <v>80</v>
      </c>
      <c r="B36" s="24" t="s">
        <v>90</v>
      </c>
      <c r="C36" s="24">
        <v>3.1</v>
      </c>
      <c r="D36" s="24">
        <v>1999</v>
      </c>
      <c r="E36" s="24">
        <v>6</v>
      </c>
      <c r="F36" s="24" t="s">
        <v>82</v>
      </c>
      <c r="G36" s="24" t="s">
        <v>71</v>
      </c>
      <c r="H36" s="24">
        <v>18</v>
      </c>
      <c r="I36" s="24">
        <v>26</v>
      </c>
      <c r="J36" s="24" t="s">
        <v>83</v>
      </c>
      <c r="K36" s="24" t="s">
        <v>79</v>
      </c>
    </row>
    <row r="37" spans="1:11" x14ac:dyDescent="0.2">
      <c r="A37" s="24" t="s">
        <v>80</v>
      </c>
      <c r="B37" s="24" t="s">
        <v>90</v>
      </c>
      <c r="C37" s="24">
        <v>3.5</v>
      </c>
      <c r="D37" s="24">
        <v>2008</v>
      </c>
      <c r="E37" s="24">
        <v>6</v>
      </c>
      <c r="F37" s="24" t="s">
        <v>82</v>
      </c>
      <c r="G37" s="24" t="s">
        <v>71</v>
      </c>
      <c r="H37" s="24">
        <v>18</v>
      </c>
      <c r="I37" s="24">
        <v>29</v>
      </c>
      <c r="J37" s="24" t="s">
        <v>83</v>
      </c>
      <c r="K37" s="24" t="s">
        <v>79</v>
      </c>
    </row>
    <row r="38" spans="1:11" x14ac:dyDescent="0.2">
      <c r="A38" s="24" t="s">
        <v>80</v>
      </c>
      <c r="B38" s="24" t="s">
        <v>90</v>
      </c>
      <c r="C38" s="24">
        <v>3.6</v>
      </c>
      <c r="D38" s="24">
        <v>2008</v>
      </c>
      <c r="E38" s="24">
        <v>6</v>
      </c>
      <c r="F38" s="24" t="s">
        <v>77</v>
      </c>
      <c r="G38" s="24" t="s">
        <v>71</v>
      </c>
      <c r="H38" s="24">
        <v>17</v>
      </c>
      <c r="I38" s="24">
        <v>26</v>
      </c>
      <c r="J38" s="24" t="s">
        <v>83</v>
      </c>
      <c r="K38" s="24" t="s">
        <v>79</v>
      </c>
    </row>
    <row r="39" spans="1:11" x14ac:dyDescent="0.2">
      <c r="A39" s="24" t="s">
        <v>91</v>
      </c>
      <c r="B39" s="24" t="s">
        <v>92</v>
      </c>
      <c r="C39" s="24">
        <v>2.4</v>
      </c>
      <c r="D39" s="24">
        <v>1999</v>
      </c>
      <c r="E39" s="24">
        <v>4</v>
      </c>
      <c r="F39" s="24" t="s">
        <v>93</v>
      </c>
      <c r="G39" s="24" t="s">
        <v>71</v>
      </c>
      <c r="H39" s="24">
        <v>18</v>
      </c>
      <c r="I39" s="24">
        <v>24</v>
      </c>
      <c r="J39" s="24" t="s">
        <v>83</v>
      </c>
      <c r="K39" s="24" t="s">
        <v>94</v>
      </c>
    </row>
    <row r="40" spans="1:11" x14ac:dyDescent="0.2">
      <c r="A40" s="24" t="s">
        <v>91</v>
      </c>
      <c r="B40" s="24" t="s">
        <v>92</v>
      </c>
      <c r="C40" s="24">
        <v>3</v>
      </c>
      <c r="D40" s="24">
        <v>1999</v>
      </c>
      <c r="E40" s="24">
        <v>6</v>
      </c>
      <c r="F40" s="24" t="s">
        <v>82</v>
      </c>
      <c r="G40" s="24" t="s">
        <v>71</v>
      </c>
      <c r="H40" s="24">
        <v>17</v>
      </c>
      <c r="I40" s="24">
        <v>24</v>
      </c>
      <c r="J40" s="24" t="s">
        <v>83</v>
      </c>
      <c r="K40" s="24" t="s">
        <v>94</v>
      </c>
    </row>
    <row r="41" spans="1:11" x14ac:dyDescent="0.2">
      <c r="A41" s="24" t="s">
        <v>91</v>
      </c>
      <c r="B41" s="24" t="s">
        <v>92</v>
      </c>
      <c r="C41" s="24">
        <v>3.3</v>
      </c>
      <c r="D41" s="24">
        <v>1999</v>
      </c>
      <c r="E41" s="24">
        <v>6</v>
      </c>
      <c r="F41" s="24" t="s">
        <v>82</v>
      </c>
      <c r="G41" s="24" t="s">
        <v>71</v>
      </c>
      <c r="H41" s="24">
        <v>16</v>
      </c>
      <c r="I41" s="24">
        <v>22</v>
      </c>
      <c r="J41" s="24" t="s">
        <v>83</v>
      </c>
      <c r="K41" s="24" t="s">
        <v>94</v>
      </c>
    </row>
    <row r="42" spans="1:11" x14ac:dyDescent="0.2">
      <c r="A42" s="24" t="s">
        <v>91</v>
      </c>
      <c r="B42" s="24" t="s">
        <v>92</v>
      </c>
      <c r="C42" s="24">
        <v>3.3</v>
      </c>
      <c r="D42" s="24">
        <v>1999</v>
      </c>
      <c r="E42" s="24">
        <v>6</v>
      </c>
      <c r="F42" s="24" t="s">
        <v>82</v>
      </c>
      <c r="G42" s="24" t="s">
        <v>71</v>
      </c>
      <c r="H42" s="24">
        <v>16</v>
      </c>
      <c r="I42" s="24">
        <v>22</v>
      </c>
      <c r="J42" s="24" t="s">
        <v>83</v>
      </c>
      <c r="K42" s="24" t="s">
        <v>94</v>
      </c>
    </row>
    <row r="43" spans="1:11" x14ac:dyDescent="0.2">
      <c r="A43" s="24" t="s">
        <v>91</v>
      </c>
      <c r="B43" s="24" t="s">
        <v>92</v>
      </c>
      <c r="C43" s="24">
        <v>3.3</v>
      </c>
      <c r="D43" s="24">
        <v>2008</v>
      </c>
      <c r="E43" s="24">
        <v>6</v>
      </c>
      <c r="F43" s="24" t="s">
        <v>82</v>
      </c>
      <c r="G43" s="24" t="s">
        <v>71</v>
      </c>
      <c r="H43" s="24">
        <v>17</v>
      </c>
      <c r="I43" s="24">
        <v>24</v>
      </c>
      <c r="J43" s="24" t="s">
        <v>83</v>
      </c>
      <c r="K43" s="24" t="s">
        <v>94</v>
      </c>
    </row>
    <row r="44" spans="1:11" x14ac:dyDescent="0.2">
      <c r="A44" s="24" t="s">
        <v>91</v>
      </c>
      <c r="B44" s="24" t="s">
        <v>92</v>
      </c>
      <c r="C44" s="24">
        <v>3.3</v>
      </c>
      <c r="D44" s="24">
        <v>2008</v>
      </c>
      <c r="E44" s="24">
        <v>6</v>
      </c>
      <c r="F44" s="24" t="s">
        <v>82</v>
      </c>
      <c r="G44" s="24" t="s">
        <v>71</v>
      </c>
      <c r="H44" s="24">
        <v>17</v>
      </c>
      <c r="I44" s="24">
        <v>24</v>
      </c>
      <c r="J44" s="24" t="s">
        <v>83</v>
      </c>
      <c r="K44" s="24" t="s">
        <v>94</v>
      </c>
    </row>
    <row r="45" spans="1:11" x14ac:dyDescent="0.2">
      <c r="A45" s="24" t="s">
        <v>91</v>
      </c>
      <c r="B45" s="24" t="s">
        <v>92</v>
      </c>
      <c r="C45" s="24">
        <v>3.3</v>
      </c>
      <c r="D45" s="24">
        <v>2008</v>
      </c>
      <c r="E45" s="24">
        <v>6</v>
      </c>
      <c r="F45" s="24" t="s">
        <v>82</v>
      </c>
      <c r="G45" s="24" t="s">
        <v>71</v>
      </c>
      <c r="H45" s="24">
        <v>11</v>
      </c>
      <c r="I45" s="24">
        <v>17</v>
      </c>
      <c r="J45" s="24" t="s">
        <v>85</v>
      </c>
      <c r="K45" s="24" t="s">
        <v>94</v>
      </c>
    </row>
    <row r="46" spans="1:11" x14ac:dyDescent="0.2">
      <c r="A46" s="24" t="s">
        <v>91</v>
      </c>
      <c r="B46" s="24" t="s">
        <v>92</v>
      </c>
      <c r="C46" s="24">
        <v>3.8</v>
      </c>
      <c r="D46" s="24">
        <v>1999</v>
      </c>
      <c r="E46" s="24">
        <v>6</v>
      </c>
      <c r="F46" s="24" t="s">
        <v>82</v>
      </c>
      <c r="G46" s="24" t="s">
        <v>71</v>
      </c>
      <c r="H46" s="24">
        <v>15</v>
      </c>
      <c r="I46" s="24">
        <v>22</v>
      </c>
      <c r="J46" s="24" t="s">
        <v>83</v>
      </c>
      <c r="K46" s="24" t="s">
        <v>94</v>
      </c>
    </row>
    <row r="47" spans="1:11" x14ac:dyDescent="0.2">
      <c r="A47" s="24" t="s">
        <v>91</v>
      </c>
      <c r="B47" s="24" t="s">
        <v>92</v>
      </c>
      <c r="C47" s="24">
        <v>3.8</v>
      </c>
      <c r="D47" s="24">
        <v>1999</v>
      </c>
      <c r="E47" s="24">
        <v>6</v>
      </c>
      <c r="F47" s="24" t="s">
        <v>82</v>
      </c>
      <c r="G47" s="24" t="s">
        <v>71</v>
      </c>
      <c r="H47" s="24">
        <v>15</v>
      </c>
      <c r="I47" s="24">
        <v>21</v>
      </c>
      <c r="J47" s="24" t="s">
        <v>83</v>
      </c>
      <c r="K47" s="24" t="s">
        <v>94</v>
      </c>
    </row>
    <row r="48" spans="1:11" x14ac:dyDescent="0.2">
      <c r="A48" s="24" t="s">
        <v>91</v>
      </c>
      <c r="B48" s="24" t="s">
        <v>92</v>
      </c>
      <c r="C48" s="24">
        <v>3.8</v>
      </c>
      <c r="D48" s="24">
        <v>2008</v>
      </c>
      <c r="E48" s="24">
        <v>6</v>
      </c>
      <c r="F48" s="24" t="s">
        <v>95</v>
      </c>
      <c r="G48" s="24" t="s">
        <v>71</v>
      </c>
      <c r="H48" s="24">
        <v>16</v>
      </c>
      <c r="I48" s="24">
        <v>23</v>
      </c>
      <c r="J48" s="24" t="s">
        <v>83</v>
      </c>
      <c r="K48" s="24" t="s">
        <v>94</v>
      </c>
    </row>
    <row r="49" spans="1:11" x14ac:dyDescent="0.2">
      <c r="A49" s="24" t="s">
        <v>91</v>
      </c>
      <c r="B49" s="24" t="s">
        <v>92</v>
      </c>
      <c r="C49" s="24">
        <v>4</v>
      </c>
      <c r="D49" s="24">
        <v>2008</v>
      </c>
      <c r="E49" s="24">
        <v>6</v>
      </c>
      <c r="F49" s="24" t="s">
        <v>95</v>
      </c>
      <c r="G49" s="24" t="s">
        <v>71</v>
      </c>
      <c r="H49" s="24">
        <v>16</v>
      </c>
      <c r="I49" s="24">
        <v>23</v>
      </c>
      <c r="J49" s="24" t="s">
        <v>83</v>
      </c>
      <c r="K49" s="24" t="s">
        <v>94</v>
      </c>
    </row>
    <row r="50" spans="1:11" x14ac:dyDescent="0.2">
      <c r="A50" s="24" t="s">
        <v>91</v>
      </c>
      <c r="B50" s="24" t="s">
        <v>96</v>
      </c>
      <c r="C50" s="24">
        <v>3.7</v>
      </c>
      <c r="D50" s="24">
        <v>2008</v>
      </c>
      <c r="E50" s="24">
        <v>6</v>
      </c>
      <c r="F50" s="24" t="s">
        <v>74</v>
      </c>
      <c r="G50" s="24">
        <v>4</v>
      </c>
      <c r="H50" s="24">
        <v>15</v>
      </c>
      <c r="I50" s="24">
        <v>19</v>
      </c>
      <c r="J50" s="24" t="s">
        <v>83</v>
      </c>
      <c r="K50" s="24" t="s">
        <v>97</v>
      </c>
    </row>
    <row r="51" spans="1:11" x14ac:dyDescent="0.2">
      <c r="A51" s="24" t="s">
        <v>91</v>
      </c>
      <c r="B51" s="24" t="s">
        <v>96</v>
      </c>
      <c r="C51" s="24">
        <v>3.7</v>
      </c>
      <c r="D51" s="24">
        <v>2008</v>
      </c>
      <c r="E51" s="24">
        <v>6</v>
      </c>
      <c r="F51" s="24" t="s">
        <v>82</v>
      </c>
      <c r="G51" s="24">
        <v>4</v>
      </c>
      <c r="H51" s="24">
        <v>14</v>
      </c>
      <c r="I51" s="24">
        <v>18</v>
      </c>
      <c r="J51" s="24" t="s">
        <v>83</v>
      </c>
      <c r="K51" s="24" t="s">
        <v>97</v>
      </c>
    </row>
    <row r="52" spans="1:11" x14ac:dyDescent="0.2">
      <c r="A52" s="24" t="s">
        <v>91</v>
      </c>
      <c r="B52" s="24" t="s">
        <v>96</v>
      </c>
      <c r="C52" s="24">
        <v>3.9</v>
      </c>
      <c r="D52" s="24">
        <v>1999</v>
      </c>
      <c r="E52" s="24">
        <v>6</v>
      </c>
      <c r="F52" s="24" t="s">
        <v>82</v>
      </c>
      <c r="G52" s="24">
        <v>4</v>
      </c>
      <c r="H52" s="24">
        <v>13</v>
      </c>
      <c r="I52" s="24">
        <v>17</v>
      </c>
      <c r="J52" s="24" t="s">
        <v>83</v>
      </c>
      <c r="K52" s="24" t="s">
        <v>97</v>
      </c>
    </row>
    <row r="53" spans="1:11" x14ac:dyDescent="0.2">
      <c r="A53" s="24" t="s">
        <v>91</v>
      </c>
      <c r="B53" s="24" t="s">
        <v>96</v>
      </c>
      <c r="C53" s="24">
        <v>3.9</v>
      </c>
      <c r="D53" s="24">
        <v>1999</v>
      </c>
      <c r="E53" s="24">
        <v>6</v>
      </c>
      <c r="F53" s="24" t="s">
        <v>73</v>
      </c>
      <c r="G53" s="24">
        <v>4</v>
      </c>
      <c r="H53" s="24">
        <v>14</v>
      </c>
      <c r="I53" s="24">
        <v>17</v>
      </c>
      <c r="J53" s="24" t="s">
        <v>83</v>
      </c>
      <c r="K53" s="24" t="s">
        <v>97</v>
      </c>
    </row>
    <row r="54" spans="1:11" x14ac:dyDescent="0.2">
      <c r="A54" s="24" t="s">
        <v>91</v>
      </c>
      <c r="B54" s="24" t="s">
        <v>96</v>
      </c>
      <c r="C54" s="24">
        <v>4.7</v>
      </c>
      <c r="D54" s="24">
        <v>2008</v>
      </c>
      <c r="E54" s="24">
        <v>8</v>
      </c>
      <c r="F54" s="24" t="s">
        <v>70</v>
      </c>
      <c r="G54" s="24">
        <v>4</v>
      </c>
      <c r="H54" s="24">
        <v>14</v>
      </c>
      <c r="I54" s="24">
        <v>19</v>
      </c>
      <c r="J54" s="24" t="s">
        <v>83</v>
      </c>
      <c r="K54" s="24" t="s">
        <v>97</v>
      </c>
    </row>
    <row r="55" spans="1:11" x14ac:dyDescent="0.2">
      <c r="A55" s="24" t="s">
        <v>91</v>
      </c>
      <c r="B55" s="24" t="s">
        <v>96</v>
      </c>
      <c r="C55" s="24">
        <v>4.7</v>
      </c>
      <c r="D55" s="24">
        <v>2008</v>
      </c>
      <c r="E55" s="24">
        <v>8</v>
      </c>
      <c r="F55" s="24" t="s">
        <v>70</v>
      </c>
      <c r="G55" s="24">
        <v>4</v>
      </c>
      <c r="H55" s="24">
        <v>14</v>
      </c>
      <c r="I55" s="24">
        <v>19</v>
      </c>
      <c r="J55" s="24" t="s">
        <v>83</v>
      </c>
      <c r="K55" s="24" t="s">
        <v>97</v>
      </c>
    </row>
    <row r="56" spans="1:11" x14ac:dyDescent="0.2">
      <c r="A56" s="24" t="s">
        <v>91</v>
      </c>
      <c r="B56" s="24" t="s">
        <v>96</v>
      </c>
      <c r="C56" s="24">
        <v>4.7</v>
      </c>
      <c r="D56" s="24">
        <v>2008</v>
      </c>
      <c r="E56" s="24">
        <v>8</v>
      </c>
      <c r="F56" s="24" t="s">
        <v>70</v>
      </c>
      <c r="G56" s="24">
        <v>4</v>
      </c>
      <c r="H56" s="24">
        <v>9</v>
      </c>
      <c r="I56" s="24">
        <v>12</v>
      </c>
      <c r="J56" s="24" t="s">
        <v>85</v>
      </c>
      <c r="K56" s="24" t="s">
        <v>97</v>
      </c>
    </row>
    <row r="57" spans="1:11" x14ac:dyDescent="0.2">
      <c r="A57" s="24" t="s">
        <v>91</v>
      </c>
      <c r="B57" s="24" t="s">
        <v>96</v>
      </c>
      <c r="C57" s="24">
        <v>5.2</v>
      </c>
      <c r="D57" s="24">
        <v>1999</v>
      </c>
      <c r="E57" s="24">
        <v>8</v>
      </c>
      <c r="F57" s="24" t="s">
        <v>73</v>
      </c>
      <c r="G57" s="24">
        <v>4</v>
      </c>
      <c r="H57" s="24">
        <v>11</v>
      </c>
      <c r="I57" s="24">
        <v>17</v>
      </c>
      <c r="J57" s="24" t="s">
        <v>83</v>
      </c>
      <c r="K57" s="24" t="s">
        <v>97</v>
      </c>
    </row>
    <row r="58" spans="1:11" x14ac:dyDescent="0.2">
      <c r="A58" s="24" t="s">
        <v>91</v>
      </c>
      <c r="B58" s="24" t="s">
        <v>96</v>
      </c>
      <c r="C58" s="24">
        <v>5.2</v>
      </c>
      <c r="D58" s="24">
        <v>1999</v>
      </c>
      <c r="E58" s="24">
        <v>8</v>
      </c>
      <c r="F58" s="24" t="s">
        <v>82</v>
      </c>
      <c r="G58" s="24">
        <v>4</v>
      </c>
      <c r="H58" s="24">
        <v>11</v>
      </c>
      <c r="I58" s="24">
        <v>15</v>
      </c>
      <c r="J58" s="24" t="s">
        <v>83</v>
      </c>
      <c r="K58" s="24" t="s">
        <v>97</v>
      </c>
    </row>
    <row r="59" spans="1:11" x14ac:dyDescent="0.2">
      <c r="A59" s="24" t="s">
        <v>91</v>
      </c>
      <c r="B59" s="24" t="s">
        <v>98</v>
      </c>
      <c r="C59" s="24">
        <v>3.9</v>
      </c>
      <c r="D59" s="24">
        <v>1999</v>
      </c>
      <c r="E59" s="24">
        <v>6</v>
      </c>
      <c r="F59" s="24" t="s">
        <v>82</v>
      </c>
      <c r="G59" s="24">
        <v>4</v>
      </c>
      <c r="H59" s="24">
        <v>13</v>
      </c>
      <c r="I59" s="24">
        <v>17</v>
      </c>
      <c r="J59" s="24" t="s">
        <v>83</v>
      </c>
      <c r="K59" s="24" t="s">
        <v>84</v>
      </c>
    </row>
    <row r="60" spans="1:11" x14ac:dyDescent="0.2">
      <c r="A60" s="24" t="s">
        <v>91</v>
      </c>
      <c r="B60" s="24" t="s">
        <v>98</v>
      </c>
      <c r="C60" s="24">
        <v>4.7</v>
      </c>
      <c r="D60" s="24">
        <v>2008</v>
      </c>
      <c r="E60" s="24">
        <v>8</v>
      </c>
      <c r="F60" s="24" t="s">
        <v>70</v>
      </c>
      <c r="G60" s="24">
        <v>4</v>
      </c>
      <c r="H60" s="24">
        <v>13</v>
      </c>
      <c r="I60" s="24">
        <v>17</v>
      </c>
      <c r="J60" s="24" t="s">
        <v>83</v>
      </c>
      <c r="K60" s="24" t="s">
        <v>84</v>
      </c>
    </row>
    <row r="61" spans="1:11" x14ac:dyDescent="0.2">
      <c r="A61" s="24" t="s">
        <v>91</v>
      </c>
      <c r="B61" s="24" t="s">
        <v>98</v>
      </c>
      <c r="C61" s="24">
        <v>4.7</v>
      </c>
      <c r="D61" s="24">
        <v>2008</v>
      </c>
      <c r="E61" s="24">
        <v>8</v>
      </c>
      <c r="F61" s="24" t="s">
        <v>70</v>
      </c>
      <c r="G61" s="24">
        <v>4</v>
      </c>
      <c r="H61" s="24">
        <v>9</v>
      </c>
      <c r="I61" s="24">
        <v>12</v>
      </c>
      <c r="J61" s="24" t="s">
        <v>85</v>
      </c>
      <c r="K61" s="24" t="s">
        <v>84</v>
      </c>
    </row>
    <row r="62" spans="1:11" x14ac:dyDescent="0.2">
      <c r="A62" s="24" t="s">
        <v>91</v>
      </c>
      <c r="B62" s="24" t="s">
        <v>98</v>
      </c>
      <c r="C62" s="24">
        <v>4.7</v>
      </c>
      <c r="D62" s="24">
        <v>2008</v>
      </c>
      <c r="E62" s="24">
        <v>8</v>
      </c>
      <c r="F62" s="24" t="s">
        <v>70</v>
      </c>
      <c r="G62" s="24">
        <v>4</v>
      </c>
      <c r="H62" s="24">
        <v>13</v>
      </c>
      <c r="I62" s="24">
        <v>17</v>
      </c>
      <c r="J62" s="24" t="s">
        <v>83</v>
      </c>
      <c r="K62" s="24" t="s">
        <v>84</v>
      </c>
    </row>
    <row r="63" spans="1:11" x14ac:dyDescent="0.2">
      <c r="A63" s="24" t="s">
        <v>91</v>
      </c>
      <c r="B63" s="24" t="s">
        <v>98</v>
      </c>
      <c r="C63" s="24">
        <v>5.2</v>
      </c>
      <c r="D63" s="24">
        <v>1999</v>
      </c>
      <c r="E63" s="24">
        <v>8</v>
      </c>
      <c r="F63" s="24" t="s">
        <v>82</v>
      </c>
      <c r="G63" s="24">
        <v>4</v>
      </c>
      <c r="H63" s="24">
        <v>11</v>
      </c>
      <c r="I63" s="24">
        <v>16</v>
      </c>
      <c r="J63" s="24" t="s">
        <v>83</v>
      </c>
      <c r="K63" s="24" t="s">
        <v>84</v>
      </c>
    </row>
    <row r="64" spans="1:11" x14ac:dyDescent="0.2">
      <c r="A64" s="24" t="s">
        <v>91</v>
      </c>
      <c r="B64" s="24" t="s">
        <v>98</v>
      </c>
      <c r="C64" s="24">
        <v>5.7</v>
      </c>
      <c r="D64" s="24">
        <v>2008</v>
      </c>
      <c r="E64" s="24">
        <v>8</v>
      </c>
      <c r="F64" s="24" t="s">
        <v>70</v>
      </c>
      <c r="G64" s="24">
        <v>4</v>
      </c>
      <c r="H64" s="24">
        <v>13</v>
      </c>
      <c r="I64" s="24">
        <v>18</v>
      </c>
      <c r="J64" s="24" t="s">
        <v>83</v>
      </c>
      <c r="K64" s="24" t="s">
        <v>84</v>
      </c>
    </row>
    <row r="65" spans="1:11" x14ac:dyDescent="0.2">
      <c r="A65" s="24" t="s">
        <v>91</v>
      </c>
      <c r="B65" s="24" t="s">
        <v>98</v>
      </c>
      <c r="C65" s="24">
        <v>5.9</v>
      </c>
      <c r="D65" s="24">
        <v>1999</v>
      </c>
      <c r="E65" s="24">
        <v>8</v>
      </c>
      <c r="F65" s="24" t="s">
        <v>82</v>
      </c>
      <c r="G65" s="24">
        <v>4</v>
      </c>
      <c r="H65" s="24">
        <v>11</v>
      </c>
      <c r="I65" s="24">
        <v>15</v>
      </c>
      <c r="J65" s="24" t="s">
        <v>83</v>
      </c>
      <c r="K65" s="24" t="s">
        <v>84</v>
      </c>
    </row>
    <row r="66" spans="1:11" x14ac:dyDescent="0.2">
      <c r="A66" s="24" t="s">
        <v>91</v>
      </c>
      <c r="B66" s="24" t="s">
        <v>99</v>
      </c>
      <c r="C66" s="24">
        <v>4.7</v>
      </c>
      <c r="D66" s="24">
        <v>2008</v>
      </c>
      <c r="E66" s="24">
        <v>8</v>
      </c>
      <c r="F66" s="24" t="s">
        <v>74</v>
      </c>
      <c r="G66" s="24">
        <v>4</v>
      </c>
      <c r="H66" s="24">
        <v>12</v>
      </c>
      <c r="I66" s="24">
        <v>16</v>
      </c>
      <c r="J66" s="24" t="s">
        <v>83</v>
      </c>
      <c r="K66" s="24" t="s">
        <v>97</v>
      </c>
    </row>
    <row r="67" spans="1:11" x14ac:dyDescent="0.2">
      <c r="A67" s="24" t="s">
        <v>91</v>
      </c>
      <c r="B67" s="24" t="s">
        <v>99</v>
      </c>
      <c r="C67" s="24">
        <v>4.7</v>
      </c>
      <c r="D67" s="24">
        <v>2008</v>
      </c>
      <c r="E67" s="24">
        <v>8</v>
      </c>
      <c r="F67" s="24" t="s">
        <v>70</v>
      </c>
      <c r="G67" s="24">
        <v>4</v>
      </c>
      <c r="H67" s="24">
        <v>9</v>
      </c>
      <c r="I67" s="24">
        <v>12</v>
      </c>
      <c r="J67" s="24" t="s">
        <v>85</v>
      </c>
      <c r="K67" s="24" t="s">
        <v>97</v>
      </c>
    </row>
    <row r="68" spans="1:11" x14ac:dyDescent="0.2">
      <c r="A68" s="24" t="s">
        <v>91</v>
      </c>
      <c r="B68" s="24" t="s">
        <v>99</v>
      </c>
      <c r="C68" s="24">
        <v>4.7</v>
      </c>
      <c r="D68" s="24">
        <v>2008</v>
      </c>
      <c r="E68" s="24">
        <v>8</v>
      </c>
      <c r="F68" s="24" t="s">
        <v>70</v>
      </c>
      <c r="G68" s="24">
        <v>4</v>
      </c>
      <c r="H68" s="24">
        <v>13</v>
      </c>
      <c r="I68" s="24">
        <v>17</v>
      </c>
      <c r="J68" s="24" t="s">
        <v>83</v>
      </c>
      <c r="K68" s="24" t="s">
        <v>97</v>
      </c>
    </row>
    <row r="69" spans="1:11" x14ac:dyDescent="0.2">
      <c r="A69" s="24" t="s">
        <v>91</v>
      </c>
      <c r="B69" s="24" t="s">
        <v>99</v>
      </c>
      <c r="C69" s="24">
        <v>4.7</v>
      </c>
      <c r="D69" s="24">
        <v>2008</v>
      </c>
      <c r="E69" s="24">
        <v>8</v>
      </c>
      <c r="F69" s="24" t="s">
        <v>70</v>
      </c>
      <c r="G69" s="24">
        <v>4</v>
      </c>
      <c r="H69" s="24">
        <v>13</v>
      </c>
      <c r="I69" s="24">
        <v>17</v>
      </c>
      <c r="J69" s="24" t="s">
        <v>83</v>
      </c>
      <c r="K69" s="24" t="s">
        <v>97</v>
      </c>
    </row>
    <row r="70" spans="1:11" x14ac:dyDescent="0.2">
      <c r="A70" s="24" t="s">
        <v>91</v>
      </c>
      <c r="B70" s="24" t="s">
        <v>99</v>
      </c>
      <c r="C70" s="24">
        <v>4.7</v>
      </c>
      <c r="D70" s="24">
        <v>2008</v>
      </c>
      <c r="E70" s="24">
        <v>8</v>
      </c>
      <c r="F70" s="24" t="s">
        <v>74</v>
      </c>
      <c r="G70" s="24">
        <v>4</v>
      </c>
      <c r="H70" s="24">
        <v>12</v>
      </c>
      <c r="I70" s="24">
        <v>16</v>
      </c>
      <c r="J70" s="24" t="s">
        <v>83</v>
      </c>
      <c r="K70" s="24" t="s">
        <v>97</v>
      </c>
    </row>
    <row r="71" spans="1:11" x14ac:dyDescent="0.2">
      <c r="A71" s="24" t="s">
        <v>91</v>
      </c>
      <c r="B71" s="24" t="s">
        <v>99</v>
      </c>
      <c r="C71" s="24">
        <v>4.7</v>
      </c>
      <c r="D71" s="24">
        <v>2008</v>
      </c>
      <c r="E71" s="24">
        <v>8</v>
      </c>
      <c r="F71" s="24" t="s">
        <v>74</v>
      </c>
      <c r="G71" s="24">
        <v>4</v>
      </c>
      <c r="H71" s="24">
        <v>9</v>
      </c>
      <c r="I71" s="24">
        <v>12</v>
      </c>
      <c r="J71" s="24" t="s">
        <v>85</v>
      </c>
      <c r="K71" s="24" t="s">
        <v>97</v>
      </c>
    </row>
    <row r="72" spans="1:11" x14ac:dyDescent="0.2">
      <c r="A72" s="24" t="s">
        <v>91</v>
      </c>
      <c r="B72" s="24" t="s">
        <v>99</v>
      </c>
      <c r="C72" s="24">
        <v>5.2</v>
      </c>
      <c r="D72" s="24">
        <v>1999</v>
      </c>
      <c r="E72" s="24">
        <v>8</v>
      </c>
      <c r="F72" s="24" t="s">
        <v>82</v>
      </c>
      <c r="G72" s="24">
        <v>4</v>
      </c>
      <c r="H72" s="24">
        <v>11</v>
      </c>
      <c r="I72" s="24">
        <v>15</v>
      </c>
      <c r="J72" s="24" t="s">
        <v>83</v>
      </c>
      <c r="K72" s="24" t="s">
        <v>97</v>
      </c>
    </row>
    <row r="73" spans="1:11" x14ac:dyDescent="0.2">
      <c r="A73" s="24" t="s">
        <v>91</v>
      </c>
      <c r="B73" s="24" t="s">
        <v>99</v>
      </c>
      <c r="C73" s="24">
        <v>5.2</v>
      </c>
      <c r="D73" s="24">
        <v>1999</v>
      </c>
      <c r="E73" s="24">
        <v>8</v>
      </c>
      <c r="F73" s="24" t="s">
        <v>73</v>
      </c>
      <c r="G73" s="24">
        <v>4</v>
      </c>
      <c r="H73" s="24">
        <v>11</v>
      </c>
      <c r="I73" s="24">
        <v>16</v>
      </c>
      <c r="J73" s="24" t="s">
        <v>83</v>
      </c>
      <c r="K73" s="24" t="s">
        <v>97</v>
      </c>
    </row>
    <row r="74" spans="1:11" x14ac:dyDescent="0.2">
      <c r="A74" s="24" t="s">
        <v>91</v>
      </c>
      <c r="B74" s="24" t="s">
        <v>99</v>
      </c>
      <c r="C74" s="24">
        <v>5.7</v>
      </c>
      <c r="D74" s="24">
        <v>2008</v>
      </c>
      <c r="E74" s="24">
        <v>8</v>
      </c>
      <c r="F74" s="24" t="s">
        <v>70</v>
      </c>
      <c r="G74" s="24">
        <v>4</v>
      </c>
      <c r="H74" s="24">
        <v>13</v>
      </c>
      <c r="I74" s="24">
        <v>17</v>
      </c>
      <c r="J74" s="24" t="s">
        <v>83</v>
      </c>
      <c r="K74" s="24" t="s">
        <v>97</v>
      </c>
    </row>
    <row r="75" spans="1:11" x14ac:dyDescent="0.2">
      <c r="A75" s="24" t="s">
        <v>91</v>
      </c>
      <c r="B75" s="24" t="s">
        <v>99</v>
      </c>
      <c r="C75" s="24">
        <v>5.9</v>
      </c>
      <c r="D75" s="24">
        <v>1999</v>
      </c>
      <c r="E75" s="24">
        <v>8</v>
      </c>
      <c r="F75" s="24" t="s">
        <v>82</v>
      </c>
      <c r="G75" s="24">
        <v>4</v>
      </c>
      <c r="H75" s="24">
        <v>11</v>
      </c>
      <c r="I75" s="24">
        <v>15</v>
      </c>
      <c r="J75" s="24" t="s">
        <v>83</v>
      </c>
      <c r="K75" s="24" t="s">
        <v>97</v>
      </c>
    </row>
    <row r="76" spans="1:11" x14ac:dyDescent="0.2">
      <c r="A76" s="24" t="s">
        <v>100</v>
      </c>
      <c r="B76" s="24" t="s">
        <v>101</v>
      </c>
      <c r="C76" s="24">
        <v>4.5999999999999996</v>
      </c>
      <c r="D76" s="24">
        <v>1999</v>
      </c>
      <c r="E76" s="24">
        <v>8</v>
      </c>
      <c r="F76" s="24" t="s">
        <v>82</v>
      </c>
      <c r="G76" s="24" t="s">
        <v>83</v>
      </c>
      <c r="H76" s="24">
        <v>11</v>
      </c>
      <c r="I76" s="24">
        <v>17</v>
      </c>
      <c r="J76" s="24" t="s">
        <v>83</v>
      </c>
      <c r="K76" s="24" t="s">
        <v>84</v>
      </c>
    </row>
    <row r="77" spans="1:11" x14ac:dyDescent="0.2">
      <c r="A77" s="24" t="s">
        <v>100</v>
      </c>
      <c r="B77" s="24" t="s">
        <v>101</v>
      </c>
      <c r="C77" s="24">
        <v>5.4</v>
      </c>
      <c r="D77" s="24">
        <v>1999</v>
      </c>
      <c r="E77" s="24">
        <v>8</v>
      </c>
      <c r="F77" s="24" t="s">
        <v>82</v>
      </c>
      <c r="G77" s="24" t="s">
        <v>83</v>
      </c>
      <c r="H77" s="24">
        <v>11</v>
      </c>
      <c r="I77" s="24">
        <v>17</v>
      </c>
      <c r="J77" s="24" t="s">
        <v>83</v>
      </c>
      <c r="K77" s="24" t="s">
        <v>84</v>
      </c>
    </row>
    <row r="78" spans="1:11" x14ac:dyDescent="0.2">
      <c r="A78" s="24" t="s">
        <v>100</v>
      </c>
      <c r="B78" s="24" t="s">
        <v>101</v>
      </c>
      <c r="C78" s="24">
        <v>5.4</v>
      </c>
      <c r="D78" s="24">
        <v>2008</v>
      </c>
      <c r="E78" s="24">
        <v>8</v>
      </c>
      <c r="F78" s="24" t="s">
        <v>95</v>
      </c>
      <c r="G78" s="24" t="s">
        <v>83</v>
      </c>
      <c r="H78" s="24">
        <v>12</v>
      </c>
      <c r="I78" s="24">
        <v>18</v>
      </c>
      <c r="J78" s="24" t="s">
        <v>83</v>
      </c>
      <c r="K78" s="24" t="s">
        <v>84</v>
      </c>
    </row>
    <row r="79" spans="1:11" x14ac:dyDescent="0.2">
      <c r="A79" s="24" t="s">
        <v>100</v>
      </c>
      <c r="B79" s="24" t="s">
        <v>102</v>
      </c>
      <c r="C79" s="24">
        <v>4</v>
      </c>
      <c r="D79" s="24">
        <v>1999</v>
      </c>
      <c r="E79" s="24">
        <v>6</v>
      </c>
      <c r="F79" s="24" t="s">
        <v>70</v>
      </c>
      <c r="G79" s="24">
        <v>4</v>
      </c>
      <c r="H79" s="24">
        <v>14</v>
      </c>
      <c r="I79" s="24">
        <v>17</v>
      </c>
      <c r="J79" s="24" t="s">
        <v>83</v>
      </c>
      <c r="K79" s="24" t="s">
        <v>84</v>
      </c>
    </row>
    <row r="80" spans="1:11" x14ac:dyDescent="0.2">
      <c r="A80" s="24" t="s">
        <v>100</v>
      </c>
      <c r="B80" s="24" t="s">
        <v>102</v>
      </c>
      <c r="C80" s="24">
        <v>4</v>
      </c>
      <c r="D80" s="24">
        <v>1999</v>
      </c>
      <c r="E80" s="24">
        <v>6</v>
      </c>
      <c r="F80" s="24" t="s">
        <v>73</v>
      </c>
      <c r="G80" s="24">
        <v>4</v>
      </c>
      <c r="H80" s="24">
        <v>15</v>
      </c>
      <c r="I80" s="24">
        <v>19</v>
      </c>
      <c r="J80" s="24" t="s">
        <v>83</v>
      </c>
      <c r="K80" s="24" t="s">
        <v>84</v>
      </c>
    </row>
    <row r="81" spans="1:11" x14ac:dyDescent="0.2">
      <c r="A81" s="24" t="s">
        <v>100</v>
      </c>
      <c r="B81" s="24" t="s">
        <v>102</v>
      </c>
      <c r="C81" s="24">
        <v>4</v>
      </c>
      <c r="D81" s="24">
        <v>1999</v>
      </c>
      <c r="E81" s="24">
        <v>6</v>
      </c>
      <c r="F81" s="24" t="s">
        <v>70</v>
      </c>
      <c r="G81" s="24">
        <v>4</v>
      </c>
      <c r="H81" s="24">
        <v>14</v>
      </c>
      <c r="I81" s="24">
        <v>17</v>
      </c>
      <c r="J81" s="24" t="s">
        <v>83</v>
      </c>
      <c r="K81" s="24" t="s">
        <v>84</v>
      </c>
    </row>
    <row r="82" spans="1:11" x14ac:dyDescent="0.2">
      <c r="A82" s="24" t="s">
        <v>100</v>
      </c>
      <c r="B82" s="24" t="s">
        <v>102</v>
      </c>
      <c r="C82" s="24">
        <v>4</v>
      </c>
      <c r="D82" s="24">
        <v>2008</v>
      </c>
      <c r="E82" s="24">
        <v>6</v>
      </c>
      <c r="F82" s="24" t="s">
        <v>70</v>
      </c>
      <c r="G82" s="24">
        <v>4</v>
      </c>
      <c r="H82" s="24">
        <v>13</v>
      </c>
      <c r="I82" s="24">
        <v>19</v>
      </c>
      <c r="J82" s="24" t="s">
        <v>83</v>
      </c>
      <c r="K82" s="24" t="s">
        <v>84</v>
      </c>
    </row>
    <row r="83" spans="1:11" x14ac:dyDescent="0.2">
      <c r="A83" s="24" t="s">
        <v>100</v>
      </c>
      <c r="B83" s="24" t="s">
        <v>102</v>
      </c>
      <c r="C83" s="24">
        <v>4.5999999999999996</v>
      </c>
      <c r="D83" s="24">
        <v>2008</v>
      </c>
      <c r="E83" s="24">
        <v>8</v>
      </c>
      <c r="F83" s="24" t="s">
        <v>95</v>
      </c>
      <c r="G83" s="24">
        <v>4</v>
      </c>
      <c r="H83" s="24">
        <v>13</v>
      </c>
      <c r="I83" s="24">
        <v>19</v>
      </c>
      <c r="J83" s="24" t="s">
        <v>83</v>
      </c>
      <c r="K83" s="24" t="s">
        <v>84</v>
      </c>
    </row>
    <row r="84" spans="1:11" x14ac:dyDescent="0.2">
      <c r="A84" s="24" t="s">
        <v>100</v>
      </c>
      <c r="B84" s="24" t="s">
        <v>102</v>
      </c>
      <c r="C84" s="24">
        <v>5</v>
      </c>
      <c r="D84" s="24">
        <v>1999</v>
      </c>
      <c r="E84" s="24">
        <v>8</v>
      </c>
      <c r="F84" s="24" t="s">
        <v>82</v>
      </c>
      <c r="G84" s="24">
        <v>4</v>
      </c>
      <c r="H84" s="24">
        <v>13</v>
      </c>
      <c r="I84" s="24">
        <v>17</v>
      </c>
      <c r="J84" s="24" t="s">
        <v>83</v>
      </c>
      <c r="K84" s="24" t="s">
        <v>84</v>
      </c>
    </row>
    <row r="85" spans="1:11" x14ac:dyDescent="0.2">
      <c r="A85" s="24" t="s">
        <v>100</v>
      </c>
      <c r="B85" s="24" t="s">
        <v>103</v>
      </c>
      <c r="C85" s="24">
        <v>4.2</v>
      </c>
      <c r="D85" s="24">
        <v>1999</v>
      </c>
      <c r="E85" s="24">
        <v>6</v>
      </c>
      <c r="F85" s="24" t="s">
        <v>82</v>
      </c>
      <c r="G85" s="24">
        <v>4</v>
      </c>
      <c r="H85" s="24">
        <v>14</v>
      </c>
      <c r="I85" s="24">
        <v>17</v>
      </c>
      <c r="J85" s="24" t="s">
        <v>83</v>
      </c>
      <c r="K85" s="24" t="s">
        <v>97</v>
      </c>
    </row>
    <row r="86" spans="1:11" x14ac:dyDescent="0.2">
      <c r="A86" s="24" t="s">
        <v>100</v>
      </c>
      <c r="B86" s="24" t="s">
        <v>103</v>
      </c>
      <c r="C86" s="24">
        <v>4.2</v>
      </c>
      <c r="D86" s="24">
        <v>1999</v>
      </c>
      <c r="E86" s="24">
        <v>6</v>
      </c>
      <c r="F86" s="24" t="s">
        <v>73</v>
      </c>
      <c r="G86" s="24">
        <v>4</v>
      </c>
      <c r="H86" s="24">
        <v>14</v>
      </c>
      <c r="I86" s="24">
        <v>17</v>
      </c>
      <c r="J86" s="24" t="s">
        <v>83</v>
      </c>
      <c r="K86" s="24" t="s">
        <v>97</v>
      </c>
    </row>
    <row r="87" spans="1:11" x14ac:dyDescent="0.2">
      <c r="A87" s="24" t="s">
        <v>100</v>
      </c>
      <c r="B87" s="24" t="s">
        <v>103</v>
      </c>
      <c r="C87" s="24">
        <v>4.5999999999999996</v>
      </c>
      <c r="D87" s="24">
        <v>1999</v>
      </c>
      <c r="E87" s="24">
        <v>8</v>
      </c>
      <c r="F87" s="24" t="s">
        <v>73</v>
      </c>
      <c r="G87" s="24">
        <v>4</v>
      </c>
      <c r="H87" s="24">
        <v>13</v>
      </c>
      <c r="I87" s="24">
        <v>16</v>
      </c>
      <c r="J87" s="24" t="s">
        <v>83</v>
      </c>
      <c r="K87" s="24" t="s">
        <v>97</v>
      </c>
    </row>
    <row r="88" spans="1:11" x14ac:dyDescent="0.2">
      <c r="A88" s="24" t="s">
        <v>100</v>
      </c>
      <c r="B88" s="24" t="s">
        <v>103</v>
      </c>
      <c r="C88" s="24">
        <v>4.5999999999999996</v>
      </c>
      <c r="D88" s="24">
        <v>1999</v>
      </c>
      <c r="E88" s="24">
        <v>8</v>
      </c>
      <c r="F88" s="24" t="s">
        <v>82</v>
      </c>
      <c r="G88" s="24">
        <v>4</v>
      </c>
      <c r="H88" s="24">
        <v>13</v>
      </c>
      <c r="I88" s="24">
        <v>16</v>
      </c>
      <c r="J88" s="24" t="s">
        <v>83</v>
      </c>
      <c r="K88" s="24" t="s">
        <v>97</v>
      </c>
    </row>
    <row r="89" spans="1:11" x14ac:dyDescent="0.2">
      <c r="A89" s="24" t="s">
        <v>100</v>
      </c>
      <c r="B89" s="24" t="s">
        <v>103</v>
      </c>
      <c r="C89" s="24">
        <v>4.5999999999999996</v>
      </c>
      <c r="D89" s="24">
        <v>2008</v>
      </c>
      <c r="E89" s="24">
        <v>8</v>
      </c>
      <c r="F89" s="24" t="s">
        <v>82</v>
      </c>
      <c r="G89" s="24">
        <v>4</v>
      </c>
      <c r="H89" s="24">
        <v>13</v>
      </c>
      <c r="I89" s="24">
        <v>17</v>
      </c>
      <c r="J89" s="24" t="s">
        <v>83</v>
      </c>
      <c r="K89" s="24" t="s">
        <v>97</v>
      </c>
    </row>
    <row r="90" spans="1:11" x14ac:dyDescent="0.2">
      <c r="A90" s="24" t="s">
        <v>100</v>
      </c>
      <c r="B90" s="24" t="s">
        <v>103</v>
      </c>
      <c r="C90" s="24">
        <v>5.4</v>
      </c>
      <c r="D90" s="24">
        <v>1999</v>
      </c>
      <c r="E90" s="24">
        <v>8</v>
      </c>
      <c r="F90" s="24" t="s">
        <v>82</v>
      </c>
      <c r="G90" s="24">
        <v>4</v>
      </c>
      <c r="H90" s="24">
        <v>11</v>
      </c>
      <c r="I90" s="24">
        <v>15</v>
      </c>
      <c r="J90" s="24" t="s">
        <v>83</v>
      </c>
      <c r="K90" s="24" t="s">
        <v>97</v>
      </c>
    </row>
    <row r="91" spans="1:11" x14ac:dyDescent="0.2">
      <c r="A91" s="24" t="s">
        <v>100</v>
      </c>
      <c r="B91" s="24" t="s">
        <v>103</v>
      </c>
      <c r="C91" s="24">
        <v>5.4</v>
      </c>
      <c r="D91" s="24">
        <v>2008</v>
      </c>
      <c r="E91" s="24">
        <v>8</v>
      </c>
      <c r="F91" s="24" t="s">
        <v>82</v>
      </c>
      <c r="G91" s="24">
        <v>4</v>
      </c>
      <c r="H91" s="24">
        <v>13</v>
      </c>
      <c r="I91" s="24">
        <v>17</v>
      </c>
      <c r="J91" s="24" t="s">
        <v>83</v>
      </c>
      <c r="K91" s="24" t="s">
        <v>97</v>
      </c>
    </row>
    <row r="92" spans="1:11" x14ac:dyDescent="0.2">
      <c r="A92" s="24" t="s">
        <v>100</v>
      </c>
      <c r="B92" s="24" t="s">
        <v>104</v>
      </c>
      <c r="C92" s="24">
        <v>3.8</v>
      </c>
      <c r="D92" s="24">
        <v>1999</v>
      </c>
      <c r="E92" s="24">
        <v>6</v>
      </c>
      <c r="F92" s="24" t="s">
        <v>73</v>
      </c>
      <c r="G92" s="24" t="s">
        <v>83</v>
      </c>
      <c r="H92" s="24">
        <v>18</v>
      </c>
      <c r="I92" s="24">
        <v>26</v>
      </c>
      <c r="J92" s="24" t="s">
        <v>83</v>
      </c>
      <c r="K92" s="24" t="s">
        <v>105</v>
      </c>
    </row>
    <row r="93" spans="1:11" x14ac:dyDescent="0.2">
      <c r="A93" s="24" t="s">
        <v>100</v>
      </c>
      <c r="B93" s="24" t="s">
        <v>104</v>
      </c>
      <c r="C93" s="24">
        <v>3.8</v>
      </c>
      <c r="D93" s="24">
        <v>1999</v>
      </c>
      <c r="E93" s="24">
        <v>6</v>
      </c>
      <c r="F93" s="24" t="s">
        <v>82</v>
      </c>
      <c r="G93" s="24" t="s">
        <v>83</v>
      </c>
      <c r="H93" s="24">
        <v>18</v>
      </c>
      <c r="I93" s="24">
        <v>25</v>
      </c>
      <c r="J93" s="24" t="s">
        <v>83</v>
      </c>
      <c r="K93" s="24" t="s">
        <v>105</v>
      </c>
    </row>
    <row r="94" spans="1:11" x14ac:dyDescent="0.2">
      <c r="A94" s="24" t="s">
        <v>100</v>
      </c>
      <c r="B94" s="24" t="s">
        <v>104</v>
      </c>
      <c r="C94" s="24">
        <v>4</v>
      </c>
      <c r="D94" s="24">
        <v>2008</v>
      </c>
      <c r="E94" s="24">
        <v>6</v>
      </c>
      <c r="F94" s="24" t="s">
        <v>73</v>
      </c>
      <c r="G94" s="24" t="s">
        <v>83</v>
      </c>
      <c r="H94" s="24">
        <v>17</v>
      </c>
      <c r="I94" s="24">
        <v>26</v>
      </c>
      <c r="J94" s="24" t="s">
        <v>83</v>
      </c>
      <c r="K94" s="24" t="s">
        <v>105</v>
      </c>
    </row>
    <row r="95" spans="1:11" x14ac:dyDescent="0.2">
      <c r="A95" s="24" t="s">
        <v>100</v>
      </c>
      <c r="B95" s="24" t="s">
        <v>104</v>
      </c>
      <c r="C95" s="24">
        <v>4</v>
      </c>
      <c r="D95" s="24">
        <v>2008</v>
      </c>
      <c r="E95" s="24">
        <v>6</v>
      </c>
      <c r="F95" s="24" t="s">
        <v>70</v>
      </c>
      <c r="G95" s="24" t="s">
        <v>83</v>
      </c>
      <c r="H95" s="24">
        <v>16</v>
      </c>
      <c r="I95" s="24">
        <v>24</v>
      </c>
      <c r="J95" s="24" t="s">
        <v>83</v>
      </c>
      <c r="K95" s="24" t="s">
        <v>105</v>
      </c>
    </row>
    <row r="96" spans="1:11" x14ac:dyDescent="0.2">
      <c r="A96" s="24" t="s">
        <v>100</v>
      </c>
      <c r="B96" s="24" t="s">
        <v>104</v>
      </c>
      <c r="C96" s="24">
        <v>4.5999999999999996</v>
      </c>
      <c r="D96" s="24">
        <v>1999</v>
      </c>
      <c r="E96" s="24">
        <v>8</v>
      </c>
      <c r="F96" s="24" t="s">
        <v>82</v>
      </c>
      <c r="G96" s="24" t="s">
        <v>83</v>
      </c>
      <c r="H96" s="24">
        <v>15</v>
      </c>
      <c r="I96" s="24">
        <v>21</v>
      </c>
      <c r="J96" s="24" t="s">
        <v>83</v>
      </c>
      <c r="K96" s="24" t="s">
        <v>105</v>
      </c>
    </row>
    <row r="97" spans="1:11" x14ac:dyDescent="0.2">
      <c r="A97" s="24" t="s">
        <v>100</v>
      </c>
      <c r="B97" s="24" t="s">
        <v>104</v>
      </c>
      <c r="C97" s="24">
        <v>4.5999999999999996</v>
      </c>
      <c r="D97" s="24">
        <v>1999</v>
      </c>
      <c r="E97" s="24">
        <v>8</v>
      </c>
      <c r="F97" s="24" t="s">
        <v>73</v>
      </c>
      <c r="G97" s="24" t="s">
        <v>83</v>
      </c>
      <c r="H97" s="24">
        <v>15</v>
      </c>
      <c r="I97" s="24">
        <v>22</v>
      </c>
      <c r="J97" s="24" t="s">
        <v>83</v>
      </c>
      <c r="K97" s="24" t="s">
        <v>105</v>
      </c>
    </row>
    <row r="98" spans="1:11" x14ac:dyDescent="0.2">
      <c r="A98" s="24" t="s">
        <v>100</v>
      </c>
      <c r="B98" s="24" t="s">
        <v>104</v>
      </c>
      <c r="C98" s="24">
        <v>4.5999999999999996</v>
      </c>
      <c r="D98" s="24">
        <v>2008</v>
      </c>
      <c r="E98" s="24">
        <v>8</v>
      </c>
      <c r="F98" s="24" t="s">
        <v>73</v>
      </c>
      <c r="G98" s="24" t="s">
        <v>83</v>
      </c>
      <c r="H98" s="24">
        <v>15</v>
      </c>
      <c r="I98" s="24">
        <v>23</v>
      </c>
      <c r="J98" s="24" t="s">
        <v>83</v>
      </c>
      <c r="K98" s="24" t="s">
        <v>105</v>
      </c>
    </row>
    <row r="99" spans="1:11" x14ac:dyDescent="0.2">
      <c r="A99" s="24" t="s">
        <v>100</v>
      </c>
      <c r="B99" s="24" t="s">
        <v>104</v>
      </c>
      <c r="C99" s="24">
        <v>4.5999999999999996</v>
      </c>
      <c r="D99" s="24">
        <v>2008</v>
      </c>
      <c r="E99" s="24">
        <v>8</v>
      </c>
      <c r="F99" s="24" t="s">
        <v>70</v>
      </c>
      <c r="G99" s="24" t="s">
        <v>83</v>
      </c>
      <c r="H99" s="24">
        <v>15</v>
      </c>
      <c r="I99" s="24">
        <v>22</v>
      </c>
      <c r="J99" s="24" t="s">
        <v>83</v>
      </c>
      <c r="K99" s="24" t="s">
        <v>105</v>
      </c>
    </row>
    <row r="100" spans="1:11" x14ac:dyDescent="0.2">
      <c r="A100" s="24" t="s">
        <v>100</v>
      </c>
      <c r="B100" s="24" t="s">
        <v>104</v>
      </c>
      <c r="C100" s="24">
        <v>5.4</v>
      </c>
      <c r="D100" s="24">
        <v>2008</v>
      </c>
      <c r="E100" s="24">
        <v>8</v>
      </c>
      <c r="F100" s="24" t="s">
        <v>74</v>
      </c>
      <c r="G100" s="24" t="s">
        <v>83</v>
      </c>
      <c r="H100" s="24">
        <v>14</v>
      </c>
      <c r="I100" s="24">
        <v>20</v>
      </c>
      <c r="J100" s="24" t="s">
        <v>5</v>
      </c>
      <c r="K100" s="24" t="s">
        <v>105</v>
      </c>
    </row>
    <row r="101" spans="1:11" x14ac:dyDescent="0.2">
      <c r="A101" s="24" t="s">
        <v>106</v>
      </c>
      <c r="B101" s="24" t="s">
        <v>107</v>
      </c>
      <c r="C101" s="24">
        <v>1.6</v>
      </c>
      <c r="D101" s="24">
        <v>1999</v>
      </c>
      <c r="E101" s="24">
        <v>4</v>
      </c>
      <c r="F101" s="24" t="s">
        <v>73</v>
      </c>
      <c r="G101" s="24" t="s">
        <v>71</v>
      </c>
      <c r="H101" s="24">
        <v>28</v>
      </c>
      <c r="I101" s="24">
        <v>33</v>
      </c>
      <c r="J101" s="24" t="s">
        <v>83</v>
      </c>
      <c r="K101" s="24" t="s">
        <v>105</v>
      </c>
    </row>
    <row r="102" spans="1:11" x14ac:dyDescent="0.2">
      <c r="A102" s="24" t="s">
        <v>106</v>
      </c>
      <c r="B102" s="24" t="s">
        <v>107</v>
      </c>
      <c r="C102" s="24">
        <v>1.6</v>
      </c>
      <c r="D102" s="24">
        <v>1999</v>
      </c>
      <c r="E102" s="24">
        <v>4</v>
      </c>
      <c r="F102" s="24" t="s">
        <v>82</v>
      </c>
      <c r="G102" s="24" t="s">
        <v>71</v>
      </c>
      <c r="H102" s="24">
        <v>24</v>
      </c>
      <c r="I102" s="24">
        <v>32</v>
      </c>
      <c r="J102" s="24" t="s">
        <v>83</v>
      </c>
      <c r="K102" s="24" t="s">
        <v>105</v>
      </c>
    </row>
    <row r="103" spans="1:11" x14ac:dyDescent="0.2">
      <c r="A103" s="24" t="s">
        <v>106</v>
      </c>
      <c r="B103" s="24" t="s">
        <v>107</v>
      </c>
      <c r="C103" s="24">
        <v>1.6</v>
      </c>
      <c r="D103" s="24">
        <v>1999</v>
      </c>
      <c r="E103" s="24">
        <v>4</v>
      </c>
      <c r="F103" s="24" t="s">
        <v>73</v>
      </c>
      <c r="G103" s="24" t="s">
        <v>71</v>
      </c>
      <c r="H103" s="24">
        <v>25</v>
      </c>
      <c r="I103" s="24">
        <v>32</v>
      </c>
      <c r="J103" s="24" t="s">
        <v>83</v>
      </c>
      <c r="K103" s="24" t="s">
        <v>105</v>
      </c>
    </row>
    <row r="104" spans="1:11" x14ac:dyDescent="0.2">
      <c r="A104" s="24" t="s">
        <v>106</v>
      </c>
      <c r="B104" s="24" t="s">
        <v>107</v>
      </c>
      <c r="C104" s="24">
        <v>1.6</v>
      </c>
      <c r="D104" s="24">
        <v>1999</v>
      </c>
      <c r="E104" s="24">
        <v>4</v>
      </c>
      <c r="F104" s="24" t="s">
        <v>73</v>
      </c>
      <c r="G104" s="24" t="s">
        <v>71</v>
      </c>
      <c r="H104" s="24">
        <v>23</v>
      </c>
      <c r="I104" s="24">
        <v>29</v>
      </c>
      <c r="J104" s="24" t="s">
        <v>5</v>
      </c>
      <c r="K104" s="24" t="s">
        <v>105</v>
      </c>
    </row>
    <row r="105" spans="1:11" x14ac:dyDescent="0.2">
      <c r="A105" s="24" t="s">
        <v>106</v>
      </c>
      <c r="B105" s="24" t="s">
        <v>107</v>
      </c>
      <c r="C105" s="24">
        <v>1.6</v>
      </c>
      <c r="D105" s="24">
        <v>1999</v>
      </c>
      <c r="E105" s="24">
        <v>4</v>
      </c>
      <c r="F105" s="24" t="s">
        <v>82</v>
      </c>
      <c r="G105" s="24" t="s">
        <v>71</v>
      </c>
      <c r="H105" s="24">
        <v>24</v>
      </c>
      <c r="I105" s="24">
        <v>32</v>
      </c>
      <c r="J105" s="24" t="s">
        <v>83</v>
      </c>
      <c r="K105" s="24" t="s">
        <v>105</v>
      </c>
    </row>
    <row r="106" spans="1:11" x14ac:dyDescent="0.2">
      <c r="A106" s="24" t="s">
        <v>106</v>
      </c>
      <c r="B106" s="24" t="s">
        <v>107</v>
      </c>
      <c r="C106" s="24">
        <v>1.8</v>
      </c>
      <c r="D106" s="24">
        <v>2008</v>
      </c>
      <c r="E106" s="24">
        <v>4</v>
      </c>
      <c r="F106" s="24" t="s">
        <v>73</v>
      </c>
      <c r="G106" s="24" t="s">
        <v>71</v>
      </c>
      <c r="H106" s="24">
        <v>26</v>
      </c>
      <c r="I106" s="24">
        <v>34</v>
      </c>
      <c r="J106" s="24" t="s">
        <v>83</v>
      </c>
      <c r="K106" s="24" t="s">
        <v>105</v>
      </c>
    </row>
    <row r="107" spans="1:11" x14ac:dyDescent="0.2">
      <c r="A107" s="24" t="s">
        <v>106</v>
      </c>
      <c r="B107" s="24" t="s">
        <v>107</v>
      </c>
      <c r="C107" s="24">
        <v>1.8</v>
      </c>
      <c r="D107" s="24">
        <v>2008</v>
      </c>
      <c r="E107" s="24">
        <v>4</v>
      </c>
      <c r="F107" s="24" t="s">
        <v>70</v>
      </c>
      <c r="G107" s="24" t="s">
        <v>71</v>
      </c>
      <c r="H107" s="24">
        <v>25</v>
      </c>
      <c r="I107" s="24">
        <v>36</v>
      </c>
      <c r="J107" s="24" t="s">
        <v>83</v>
      </c>
      <c r="K107" s="24" t="s">
        <v>105</v>
      </c>
    </row>
    <row r="108" spans="1:11" x14ac:dyDescent="0.2">
      <c r="A108" s="24" t="s">
        <v>106</v>
      </c>
      <c r="B108" s="24" t="s">
        <v>107</v>
      </c>
      <c r="C108" s="24">
        <v>1.8</v>
      </c>
      <c r="D108" s="24">
        <v>2008</v>
      </c>
      <c r="E108" s="24">
        <v>4</v>
      </c>
      <c r="F108" s="24" t="s">
        <v>70</v>
      </c>
      <c r="G108" s="24" t="s">
        <v>71</v>
      </c>
      <c r="H108" s="24">
        <v>24</v>
      </c>
      <c r="I108" s="24">
        <v>36</v>
      </c>
      <c r="J108" s="24" t="s">
        <v>108</v>
      </c>
      <c r="K108" s="24" t="s">
        <v>105</v>
      </c>
    </row>
    <row r="109" spans="1:11" x14ac:dyDescent="0.2">
      <c r="A109" s="24" t="s">
        <v>106</v>
      </c>
      <c r="B109" s="24" t="s">
        <v>107</v>
      </c>
      <c r="C109" s="24">
        <v>2</v>
      </c>
      <c r="D109" s="24">
        <v>2008</v>
      </c>
      <c r="E109" s="24">
        <v>4</v>
      </c>
      <c r="F109" s="24" t="s">
        <v>74</v>
      </c>
      <c r="G109" s="24" t="s">
        <v>71</v>
      </c>
      <c r="H109" s="24">
        <v>21</v>
      </c>
      <c r="I109" s="24">
        <v>29</v>
      </c>
      <c r="J109" s="24" t="s">
        <v>5</v>
      </c>
      <c r="K109" s="24" t="s">
        <v>105</v>
      </c>
    </row>
    <row r="110" spans="1:11" x14ac:dyDescent="0.2">
      <c r="A110" s="24" t="s">
        <v>109</v>
      </c>
      <c r="B110" s="24" t="s">
        <v>110</v>
      </c>
      <c r="C110" s="24">
        <v>2.4</v>
      </c>
      <c r="D110" s="24">
        <v>1999</v>
      </c>
      <c r="E110" s="24">
        <v>4</v>
      </c>
      <c r="F110" s="24" t="s">
        <v>82</v>
      </c>
      <c r="G110" s="24" t="s">
        <v>71</v>
      </c>
      <c r="H110" s="24">
        <v>18</v>
      </c>
      <c r="I110" s="24">
        <v>26</v>
      </c>
      <c r="J110" s="24" t="s">
        <v>83</v>
      </c>
      <c r="K110" s="24" t="s">
        <v>79</v>
      </c>
    </row>
    <row r="111" spans="1:11" x14ac:dyDescent="0.2">
      <c r="A111" s="24" t="s">
        <v>109</v>
      </c>
      <c r="B111" s="24" t="s">
        <v>110</v>
      </c>
      <c r="C111" s="24">
        <v>2.4</v>
      </c>
      <c r="D111" s="24">
        <v>1999</v>
      </c>
      <c r="E111" s="24">
        <v>4</v>
      </c>
      <c r="F111" s="24" t="s">
        <v>73</v>
      </c>
      <c r="G111" s="24" t="s">
        <v>71</v>
      </c>
      <c r="H111" s="24">
        <v>18</v>
      </c>
      <c r="I111" s="24">
        <v>27</v>
      </c>
      <c r="J111" s="24" t="s">
        <v>83</v>
      </c>
      <c r="K111" s="24" t="s">
        <v>79</v>
      </c>
    </row>
    <row r="112" spans="1:11" x14ac:dyDescent="0.2">
      <c r="A112" s="24" t="s">
        <v>109</v>
      </c>
      <c r="B112" s="24" t="s">
        <v>110</v>
      </c>
      <c r="C112" s="24">
        <v>2.4</v>
      </c>
      <c r="D112" s="24">
        <v>2008</v>
      </c>
      <c r="E112" s="24">
        <v>4</v>
      </c>
      <c r="F112" s="24" t="s">
        <v>82</v>
      </c>
      <c r="G112" s="24" t="s">
        <v>71</v>
      </c>
      <c r="H112" s="24">
        <v>21</v>
      </c>
      <c r="I112" s="24">
        <v>30</v>
      </c>
      <c r="J112" s="24" t="s">
        <v>83</v>
      </c>
      <c r="K112" s="24" t="s">
        <v>79</v>
      </c>
    </row>
    <row r="113" spans="1:11" x14ac:dyDescent="0.2">
      <c r="A113" s="24" t="s">
        <v>109</v>
      </c>
      <c r="B113" s="24" t="s">
        <v>110</v>
      </c>
      <c r="C113" s="24">
        <v>2.4</v>
      </c>
      <c r="D113" s="24">
        <v>2008</v>
      </c>
      <c r="E113" s="24">
        <v>4</v>
      </c>
      <c r="F113" s="24" t="s">
        <v>73</v>
      </c>
      <c r="G113" s="24" t="s">
        <v>71</v>
      </c>
      <c r="H113" s="24">
        <v>21</v>
      </c>
      <c r="I113" s="24">
        <v>31</v>
      </c>
      <c r="J113" s="24" t="s">
        <v>83</v>
      </c>
      <c r="K113" s="24" t="s">
        <v>79</v>
      </c>
    </row>
    <row r="114" spans="1:11" x14ac:dyDescent="0.2">
      <c r="A114" s="24" t="s">
        <v>109</v>
      </c>
      <c r="B114" s="24" t="s">
        <v>110</v>
      </c>
      <c r="C114" s="24">
        <v>2.5</v>
      </c>
      <c r="D114" s="24">
        <v>1999</v>
      </c>
      <c r="E114" s="24">
        <v>6</v>
      </c>
      <c r="F114" s="24" t="s">
        <v>82</v>
      </c>
      <c r="G114" s="24" t="s">
        <v>71</v>
      </c>
      <c r="H114" s="24">
        <v>18</v>
      </c>
      <c r="I114" s="24">
        <v>26</v>
      </c>
      <c r="J114" s="24" t="s">
        <v>83</v>
      </c>
      <c r="K114" s="24" t="s">
        <v>79</v>
      </c>
    </row>
    <row r="115" spans="1:11" x14ac:dyDescent="0.2">
      <c r="A115" s="24" t="s">
        <v>109</v>
      </c>
      <c r="B115" s="24" t="s">
        <v>110</v>
      </c>
      <c r="C115" s="24">
        <v>2.5</v>
      </c>
      <c r="D115" s="24">
        <v>1999</v>
      </c>
      <c r="E115" s="24">
        <v>6</v>
      </c>
      <c r="F115" s="24" t="s">
        <v>73</v>
      </c>
      <c r="G115" s="24" t="s">
        <v>71</v>
      </c>
      <c r="H115" s="24">
        <v>18</v>
      </c>
      <c r="I115" s="24">
        <v>26</v>
      </c>
      <c r="J115" s="24" t="s">
        <v>83</v>
      </c>
      <c r="K115" s="24" t="s">
        <v>79</v>
      </c>
    </row>
    <row r="116" spans="1:11" x14ac:dyDescent="0.2">
      <c r="A116" s="24" t="s">
        <v>109</v>
      </c>
      <c r="B116" s="24" t="s">
        <v>110</v>
      </c>
      <c r="C116" s="24">
        <v>3.3</v>
      </c>
      <c r="D116" s="24">
        <v>2008</v>
      </c>
      <c r="E116" s="24">
        <v>6</v>
      </c>
      <c r="F116" s="24" t="s">
        <v>70</v>
      </c>
      <c r="G116" s="24" t="s">
        <v>71</v>
      </c>
      <c r="H116" s="24">
        <v>19</v>
      </c>
      <c r="I116" s="24">
        <v>28</v>
      </c>
      <c r="J116" s="24" t="s">
        <v>83</v>
      </c>
      <c r="K116" s="24" t="s">
        <v>79</v>
      </c>
    </row>
    <row r="117" spans="1:11" x14ac:dyDescent="0.2">
      <c r="A117" s="24" t="s">
        <v>109</v>
      </c>
      <c r="B117" s="24" t="s">
        <v>111</v>
      </c>
      <c r="C117" s="24">
        <v>2</v>
      </c>
      <c r="D117" s="24">
        <v>1999</v>
      </c>
      <c r="E117" s="24">
        <v>4</v>
      </c>
      <c r="F117" s="24" t="s">
        <v>82</v>
      </c>
      <c r="G117" s="24" t="s">
        <v>71</v>
      </c>
      <c r="H117" s="24">
        <v>19</v>
      </c>
      <c r="I117" s="24">
        <v>26</v>
      </c>
      <c r="J117" s="24" t="s">
        <v>83</v>
      </c>
      <c r="K117" s="24" t="s">
        <v>105</v>
      </c>
    </row>
    <row r="118" spans="1:11" x14ac:dyDescent="0.2">
      <c r="A118" s="24" t="s">
        <v>109</v>
      </c>
      <c r="B118" s="24" t="s">
        <v>111</v>
      </c>
      <c r="C118" s="24">
        <v>2</v>
      </c>
      <c r="D118" s="24">
        <v>1999</v>
      </c>
      <c r="E118" s="24">
        <v>4</v>
      </c>
      <c r="F118" s="24" t="s">
        <v>73</v>
      </c>
      <c r="G118" s="24" t="s">
        <v>71</v>
      </c>
      <c r="H118" s="24">
        <v>19</v>
      </c>
      <c r="I118" s="24">
        <v>29</v>
      </c>
      <c r="J118" s="24" t="s">
        <v>83</v>
      </c>
      <c r="K118" s="24" t="s">
        <v>105</v>
      </c>
    </row>
    <row r="119" spans="1:11" x14ac:dyDescent="0.2">
      <c r="A119" s="24" t="s">
        <v>109</v>
      </c>
      <c r="B119" s="24" t="s">
        <v>111</v>
      </c>
      <c r="C119" s="24">
        <v>2</v>
      </c>
      <c r="D119" s="24">
        <v>2008</v>
      </c>
      <c r="E119" s="24">
        <v>4</v>
      </c>
      <c r="F119" s="24" t="s">
        <v>73</v>
      </c>
      <c r="G119" s="24" t="s">
        <v>71</v>
      </c>
      <c r="H119" s="24">
        <v>20</v>
      </c>
      <c r="I119" s="24">
        <v>28</v>
      </c>
      <c r="J119" s="24" t="s">
        <v>83</v>
      </c>
      <c r="K119" s="24" t="s">
        <v>105</v>
      </c>
    </row>
    <row r="120" spans="1:11" x14ac:dyDescent="0.2">
      <c r="A120" s="24" t="s">
        <v>109</v>
      </c>
      <c r="B120" s="24" t="s">
        <v>111</v>
      </c>
      <c r="C120" s="24">
        <v>2</v>
      </c>
      <c r="D120" s="24">
        <v>2008</v>
      </c>
      <c r="E120" s="24">
        <v>4</v>
      </c>
      <c r="F120" s="24" t="s">
        <v>82</v>
      </c>
      <c r="G120" s="24" t="s">
        <v>71</v>
      </c>
      <c r="H120" s="24">
        <v>20</v>
      </c>
      <c r="I120" s="24">
        <v>27</v>
      </c>
      <c r="J120" s="24" t="s">
        <v>83</v>
      </c>
      <c r="K120" s="24" t="s">
        <v>105</v>
      </c>
    </row>
    <row r="121" spans="1:11" x14ac:dyDescent="0.2">
      <c r="A121" s="24" t="s">
        <v>109</v>
      </c>
      <c r="B121" s="24" t="s">
        <v>111</v>
      </c>
      <c r="C121" s="24">
        <v>2.7</v>
      </c>
      <c r="D121" s="24">
        <v>2008</v>
      </c>
      <c r="E121" s="24">
        <v>6</v>
      </c>
      <c r="F121" s="24" t="s">
        <v>82</v>
      </c>
      <c r="G121" s="24" t="s">
        <v>71</v>
      </c>
      <c r="H121" s="24">
        <v>17</v>
      </c>
      <c r="I121" s="24">
        <v>24</v>
      </c>
      <c r="J121" s="24" t="s">
        <v>83</v>
      </c>
      <c r="K121" s="24" t="s">
        <v>105</v>
      </c>
    </row>
    <row r="122" spans="1:11" x14ac:dyDescent="0.2">
      <c r="A122" s="24" t="s">
        <v>109</v>
      </c>
      <c r="B122" s="24" t="s">
        <v>111</v>
      </c>
      <c r="C122" s="24">
        <v>2.7</v>
      </c>
      <c r="D122" s="24">
        <v>2008</v>
      </c>
      <c r="E122" s="24">
        <v>6</v>
      </c>
      <c r="F122" s="24" t="s">
        <v>74</v>
      </c>
      <c r="G122" s="24" t="s">
        <v>71</v>
      </c>
      <c r="H122" s="24">
        <v>16</v>
      </c>
      <c r="I122" s="24">
        <v>24</v>
      </c>
      <c r="J122" s="24" t="s">
        <v>83</v>
      </c>
      <c r="K122" s="24" t="s">
        <v>105</v>
      </c>
    </row>
    <row r="123" spans="1:11" x14ac:dyDescent="0.2">
      <c r="A123" s="24" t="s">
        <v>109</v>
      </c>
      <c r="B123" s="24" t="s">
        <v>111</v>
      </c>
      <c r="C123" s="24">
        <v>2.7</v>
      </c>
      <c r="D123" s="24">
        <v>2008</v>
      </c>
      <c r="E123" s="24">
        <v>6</v>
      </c>
      <c r="F123" s="24" t="s">
        <v>73</v>
      </c>
      <c r="G123" s="24" t="s">
        <v>71</v>
      </c>
      <c r="H123" s="24">
        <v>17</v>
      </c>
      <c r="I123" s="24">
        <v>24</v>
      </c>
      <c r="J123" s="24" t="s">
        <v>83</v>
      </c>
      <c r="K123" s="24" t="s">
        <v>105</v>
      </c>
    </row>
    <row r="124" spans="1:11" x14ac:dyDescent="0.2">
      <c r="A124" s="24" t="s">
        <v>112</v>
      </c>
      <c r="B124" s="24" t="s">
        <v>113</v>
      </c>
      <c r="C124" s="24">
        <v>3</v>
      </c>
      <c r="D124" s="24">
        <v>2008</v>
      </c>
      <c r="E124" s="24">
        <v>6</v>
      </c>
      <c r="F124" s="24" t="s">
        <v>70</v>
      </c>
      <c r="G124" s="24">
        <v>4</v>
      </c>
      <c r="H124" s="24">
        <v>17</v>
      </c>
      <c r="I124" s="24">
        <v>22</v>
      </c>
      <c r="J124" s="24" t="s">
        <v>89</v>
      </c>
      <c r="K124" s="24" t="s">
        <v>84</v>
      </c>
    </row>
    <row r="125" spans="1:11" x14ac:dyDescent="0.2">
      <c r="A125" s="24" t="s">
        <v>112</v>
      </c>
      <c r="B125" s="24" t="s">
        <v>113</v>
      </c>
      <c r="C125" s="24">
        <v>3.7</v>
      </c>
      <c r="D125" s="24">
        <v>2008</v>
      </c>
      <c r="E125" s="24">
        <v>6</v>
      </c>
      <c r="F125" s="24" t="s">
        <v>70</v>
      </c>
      <c r="G125" s="24">
        <v>4</v>
      </c>
      <c r="H125" s="24">
        <v>15</v>
      </c>
      <c r="I125" s="24">
        <v>19</v>
      </c>
      <c r="J125" s="24" t="s">
        <v>83</v>
      </c>
      <c r="K125" s="24" t="s">
        <v>84</v>
      </c>
    </row>
    <row r="126" spans="1:11" x14ac:dyDescent="0.2">
      <c r="A126" s="24" t="s">
        <v>112</v>
      </c>
      <c r="B126" s="24" t="s">
        <v>113</v>
      </c>
      <c r="C126" s="24">
        <v>4</v>
      </c>
      <c r="D126" s="24">
        <v>1999</v>
      </c>
      <c r="E126" s="24">
        <v>6</v>
      </c>
      <c r="F126" s="24" t="s">
        <v>82</v>
      </c>
      <c r="G126" s="24">
        <v>4</v>
      </c>
      <c r="H126" s="24">
        <v>15</v>
      </c>
      <c r="I126" s="24">
        <v>20</v>
      </c>
      <c r="J126" s="24" t="s">
        <v>83</v>
      </c>
      <c r="K126" s="24" t="s">
        <v>84</v>
      </c>
    </row>
    <row r="127" spans="1:11" x14ac:dyDescent="0.2">
      <c r="A127" s="24" t="s">
        <v>112</v>
      </c>
      <c r="B127" s="24" t="s">
        <v>113</v>
      </c>
      <c r="C127" s="24">
        <v>4.7</v>
      </c>
      <c r="D127" s="24">
        <v>1999</v>
      </c>
      <c r="E127" s="24">
        <v>8</v>
      </c>
      <c r="F127" s="24" t="s">
        <v>82</v>
      </c>
      <c r="G127" s="24">
        <v>4</v>
      </c>
      <c r="H127" s="24">
        <v>14</v>
      </c>
      <c r="I127" s="24">
        <v>17</v>
      </c>
      <c r="J127" s="24" t="s">
        <v>83</v>
      </c>
      <c r="K127" s="24" t="s">
        <v>84</v>
      </c>
    </row>
    <row r="128" spans="1:11" x14ac:dyDescent="0.2">
      <c r="A128" s="24" t="s">
        <v>112</v>
      </c>
      <c r="B128" s="24" t="s">
        <v>113</v>
      </c>
      <c r="C128" s="24">
        <v>4.7</v>
      </c>
      <c r="D128" s="24">
        <v>2008</v>
      </c>
      <c r="E128" s="24">
        <v>8</v>
      </c>
      <c r="F128" s="24" t="s">
        <v>70</v>
      </c>
      <c r="G128" s="24">
        <v>4</v>
      </c>
      <c r="H128" s="24">
        <v>9</v>
      </c>
      <c r="I128" s="24">
        <v>12</v>
      </c>
      <c r="J128" s="24" t="s">
        <v>85</v>
      </c>
      <c r="K128" s="24" t="s">
        <v>84</v>
      </c>
    </row>
    <row r="129" spans="1:11" x14ac:dyDescent="0.2">
      <c r="A129" s="24" t="s">
        <v>112</v>
      </c>
      <c r="B129" s="24" t="s">
        <v>113</v>
      </c>
      <c r="C129" s="24">
        <v>4.7</v>
      </c>
      <c r="D129" s="24">
        <v>2008</v>
      </c>
      <c r="E129" s="24">
        <v>8</v>
      </c>
      <c r="F129" s="24" t="s">
        <v>70</v>
      </c>
      <c r="G129" s="24">
        <v>4</v>
      </c>
      <c r="H129" s="24">
        <v>14</v>
      </c>
      <c r="I129" s="24">
        <v>19</v>
      </c>
      <c r="J129" s="24" t="s">
        <v>83</v>
      </c>
      <c r="K129" s="24" t="s">
        <v>84</v>
      </c>
    </row>
    <row r="130" spans="1:11" x14ac:dyDescent="0.2">
      <c r="A130" s="24" t="s">
        <v>112</v>
      </c>
      <c r="B130" s="24" t="s">
        <v>113</v>
      </c>
      <c r="C130" s="24">
        <v>5.7</v>
      </c>
      <c r="D130" s="24">
        <v>2008</v>
      </c>
      <c r="E130" s="24">
        <v>8</v>
      </c>
      <c r="F130" s="24" t="s">
        <v>70</v>
      </c>
      <c r="G130" s="24">
        <v>4</v>
      </c>
      <c r="H130" s="24">
        <v>13</v>
      </c>
      <c r="I130" s="24">
        <v>18</v>
      </c>
      <c r="J130" s="24" t="s">
        <v>83</v>
      </c>
      <c r="K130" s="24" t="s">
        <v>84</v>
      </c>
    </row>
    <row r="131" spans="1:11" x14ac:dyDescent="0.2">
      <c r="A131" s="24" t="s">
        <v>112</v>
      </c>
      <c r="B131" s="24" t="s">
        <v>113</v>
      </c>
      <c r="C131" s="24">
        <v>6.1</v>
      </c>
      <c r="D131" s="24">
        <v>2008</v>
      </c>
      <c r="E131" s="24">
        <v>8</v>
      </c>
      <c r="F131" s="24" t="s">
        <v>70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84</v>
      </c>
    </row>
    <row r="132" spans="1:11" x14ac:dyDescent="0.2">
      <c r="A132" s="24" t="s">
        <v>114</v>
      </c>
      <c r="B132" s="24" t="s">
        <v>115</v>
      </c>
      <c r="C132" s="24">
        <v>4</v>
      </c>
      <c r="D132" s="24">
        <v>1999</v>
      </c>
      <c r="E132" s="24">
        <v>8</v>
      </c>
      <c r="F132" s="24" t="s">
        <v>82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84</v>
      </c>
    </row>
    <row r="133" spans="1:11" x14ac:dyDescent="0.2">
      <c r="A133" s="24" t="s">
        <v>114</v>
      </c>
      <c r="B133" s="24" t="s">
        <v>115</v>
      </c>
      <c r="C133" s="24">
        <v>4.2</v>
      </c>
      <c r="D133" s="24">
        <v>2008</v>
      </c>
      <c r="E133" s="24">
        <v>8</v>
      </c>
      <c r="F133" s="24" t="s">
        <v>77</v>
      </c>
      <c r="G133" s="24">
        <v>4</v>
      </c>
      <c r="H133" s="24">
        <v>12</v>
      </c>
      <c r="I133" s="24">
        <v>18</v>
      </c>
      <c r="J133" s="24" t="s">
        <v>83</v>
      </c>
      <c r="K133" s="24" t="s">
        <v>84</v>
      </c>
    </row>
    <row r="134" spans="1:11" x14ac:dyDescent="0.2">
      <c r="A134" s="24" t="s">
        <v>114</v>
      </c>
      <c r="B134" s="24" t="s">
        <v>115</v>
      </c>
      <c r="C134" s="24">
        <v>4.4000000000000004</v>
      </c>
      <c r="D134" s="24">
        <v>2008</v>
      </c>
      <c r="E134" s="24">
        <v>8</v>
      </c>
      <c r="F134" s="24" t="s">
        <v>77</v>
      </c>
      <c r="G134" s="24">
        <v>4</v>
      </c>
      <c r="H134" s="24">
        <v>12</v>
      </c>
      <c r="I134" s="24">
        <v>18</v>
      </c>
      <c r="J134" s="24" t="s">
        <v>83</v>
      </c>
      <c r="K134" s="24" t="s">
        <v>84</v>
      </c>
    </row>
    <row r="135" spans="1:11" x14ac:dyDescent="0.2">
      <c r="A135" s="24" t="s">
        <v>114</v>
      </c>
      <c r="B135" s="24" t="s">
        <v>115</v>
      </c>
      <c r="C135" s="24">
        <v>4.5999999999999996</v>
      </c>
      <c r="D135" s="24">
        <v>1999</v>
      </c>
      <c r="E135" s="24">
        <v>8</v>
      </c>
      <c r="F135" s="24" t="s">
        <v>82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84</v>
      </c>
    </row>
    <row r="136" spans="1:11" x14ac:dyDescent="0.2">
      <c r="A136" s="24" t="s">
        <v>116</v>
      </c>
      <c r="B136" s="24" t="s">
        <v>117</v>
      </c>
      <c r="C136" s="24">
        <v>5.4</v>
      </c>
      <c r="D136" s="24">
        <v>1999</v>
      </c>
      <c r="E136" s="24">
        <v>8</v>
      </c>
      <c r="F136" s="24" t="s">
        <v>82</v>
      </c>
      <c r="G136" s="24" t="s">
        <v>83</v>
      </c>
      <c r="H136" s="24">
        <v>11</v>
      </c>
      <c r="I136" s="24">
        <v>17</v>
      </c>
      <c r="J136" s="24" t="s">
        <v>83</v>
      </c>
      <c r="K136" s="24" t="s">
        <v>84</v>
      </c>
    </row>
    <row r="137" spans="1:11" x14ac:dyDescent="0.2">
      <c r="A137" s="24" t="s">
        <v>116</v>
      </c>
      <c r="B137" s="24" t="s">
        <v>117</v>
      </c>
      <c r="C137" s="24">
        <v>5.4</v>
      </c>
      <c r="D137" s="24">
        <v>1999</v>
      </c>
      <c r="E137" s="24">
        <v>8</v>
      </c>
      <c r="F137" s="24" t="s">
        <v>82</v>
      </c>
      <c r="G137" s="24" t="s">
        <v>83</v>
      </c>
      <c r="H137" s="24">
        <v>11</v>
      </c>
      <c r="I137" s="24">
        <v>16</v>
      </c>
      <c r="J137" s="24" t="s">
        <v>5</v>
      </c>
      <c r="K137" s="24" t="s">
        <v>84</v>
      </c>
    </row>
    <row r="138" spans="1:11" x14ac:dyDescent="0.2">
      <c r="A138" s="24" t="s">
        <v>116</v>
      </c>
      <c r="B138" s="24" t="s">
        <v>117</v>
      </c>
      <c r="C138" s="24">
        <v>5.4</v>
      </c>
      <c r="D138" s="24">
        <v>2008</v>
      </c>
      <c r="E138" s="24">
        <v>8</v>
      </c>
      <c r="F138" s="24" t="s">
        <v>95</v>
      </c>
      <c r="G138" s="24" t="s">
        <v>83</v>
      </c>
      <c r="H138" s="24">
        <v>12</v>
      </c>
      <c r="I138" s="24">
        <v>18</v>
      </c>
      <c r="J138" s="24" t="s">
        <v>83</v>
      </c>
      <c r="K138" s="24" t="s">
        <v>84</v>
      </c>
    </row>
    <row r="139" spans="1:11" x14ac:dyDescent="0.2">
      <c r="A139" s="24" t="s">
        <v>118</v>
      </c>
      <c r="B139" s="24" t="s">
        <v>119</v>
      </c>
      <c r="C139" s="24">
        <v>4</v>
      </c>
      <c r="D139" s="24">
        <v>1999</v>
      </c>
      <c r="E139" s="24">
        <v>6</v>
      </c>
      <c r="F139" s="24" t="s">
        <v>70</v>
      </c>
      <c r="G139" s="24">
        <v>4</v>
      </c>
      <c r="H139" s="24">
        <v>14</v>
      </c>
      <c r="I139" s="24">
        <v>17</v>
      </c>
      <c r="J139" s="24" t="s">
        <v>83</v>
      </c>
      <c r="K139" s="24" t="s">
        <v>84</v>
      </c>
    </row>
    <row r="140" spans="1:11" x14ac:dyDescent="0.2">
      <c r="A140" s="24" t="s">
        <v>118</v>
      </c>
      <c r="B140" s="24" t="s">
        <v>119</v>
      </c>
      <c r="C140" s="24">
        <v>4</v>
      </c>
      <c r="D140" s="24">
        <v>2008</v>
      </c>
      <c r="E140" s="24">
        <v>6</v>
      </c>
      <c r="F140" s="24" t="s">
        <v>70</v>
      </c>
      <c r="G140" s="24">
        <v>4</v>
      </c>
      <c r="H140" s="24">
        <v>13</v>
      </c>
      <c r="I140" s="24">
        <v>19</v>
      </c>
      <c r="J140" s="24" t="s">
        <v>83</v>
      </c>
      <c r="K140" s="24" t="s">
        <v>84</v>
      </c>
    </row>
    <row r="141" spans="1:11" x14ac:dyDescent="0.2">
      <c r="A141" s="24" t="s">
        <v>118</v>
      </c>
      <c r="B141" s="24" t="s">
        <v>119</v>
      </c>
      <c r="C141" s="24">
        <v>4.5999999999999996</v>
      </c>
      <c r="D141" s="24">
        <v>2008</v>
      </c>
      <c r="E141" s="24">
        <v>8</v>
      </c>
      <c r="F141" s="24" t="s">
        <v>95</v>
      </c>
      <c r="G141" s="24">
        <v>4</v>
      </c>
      <c r="H141" s="24">
        <v>13</v>
      </c>
      <c r="I141" s="24">
        <v>19</v>
      </c>
      <c r="J141" s="24" t="s">
        <v>83</v>
      </c>
      <c r="K141" s="24" t="s">
        <v>84</v>
      </c>
    </row>
    <row r="142" spans="1:11" x14ac:dyDescent="0.2">
      <c r="A142" s="24" t="s">
        <v>118</v>
      </c>
      <c r="B142" s="24" t="s">
        <v>119</v>
      </c>
      <c r="C142" s="24">
        <v>5</v>
      </c>
      <c r="D142" s="24">
        <v>1999</v>
      </c>
      <c r="E142" s="24">
        <v>8</v>
      </c>
      <c r="F142" s="24" t="s">
        <v>82</v>
      </c>
      <c r="G142" s="24">
        <v>4</v>
      </c>
      <c r="H142" s="24">
        <v>13</v>
      </c>
      <c r="I142" s="24">
        <v>17</v>
      </c>
      <c r="J142" s="24" t="s">
        <v>83</v>
      </c>
      <c r="K142" s="24" t="s">
        <v>84</v>
      </c>
    </row>
    <row r="143" spans="1:11" x14ac:dyDescent="0.2">
      <c r="A143" s="24" t="s">
        <v>120</v>
      </c>
      <c r="B143" s="24" t="s">
        <v>121</v>
      </c>
      <c r="C143" s="24">
        <v>2.4</v>
      </c>
      <c r="D143" s="24">
        <v>1999</v>
      </c>
      <c r="E143" s="24">
        <v>4</v>
      </c>
      <c r="F143" s="24" t="s">
        <v>73</v>
      </c>
      <c r="G143" s="24" t="s">
        <v>71</v>
      </c>
      <c r="H143" s="24">
        <v>21</v>
      </c>
      <c r="I143" s="24">
        <v>29</v>
      </c>
      <c r="J143" s="24" t="s">
        <v>83</v>
      </c>
      <c r="K143" s="24" t="s">
        <v>72</v>
      </c>
    </row>
    <row r="144" spans="1:11" x14ac:dyDescent="0.2">
      <c r="A144" s="24" t="s">
        <v>120</v>
      </c>
      <c r="B144" s="24" t="s">
        <v>121</v>
      </c>
      <c r="C144" s="24">
        <v>2.4</v>
      </c>
      <c r="D144" s="24">
        <v>1999</v>
      </c>
      <c r="E144" s="24">
        <v>4</v>
      </c>
      <c r="F144" s="24" t="s">
        <v>82</v>
      </c>
      <c r="G144" s="24" t="s">
        <v>71</v>
      </c>
      <c r="H144" s="24">
        <v>19</v>
      </c>
      <c r="I144" s="24">
        <v>27</v>
      </c>
      <c r="J144" s="24" t="s">
        <v>83</v>
      </c>
      <c r="K144" s="24" t="s">
        <v>72</v>
      </c>
    </row>
    <row r="145" spans="1:11" x14ac:dyDescent="0.2">
      <c r="A145" s="24" t="s">
        <v>120</v>
      </c>
      <c r="B145" s="24" t="s">
        <v>121</v>
      </c>
      <c r="C145" s="24">
        <v>2.5</v>
      </c>
      <c r="D145" s="24">
        <v>2008</v>
      </c>
      <c r="E145" s="24">
        <v>4</v>
      </c>
      <c r="F145" s="24" t="s">
        <v>75</v>
      </c>
      <c r="G145" s="24" t="s">
        <v>71</v>
      </c>
      <c r="H145" s="24">
        <v>23</v>
      </c>
      <c r="I145" s="24">
        <v>31</v>
      </c>
      <c r="J145" s="24" t="s">
        <v>83</v>
      </c>
      <c r="K145" s="24" t="s">
        <v>79</v>
      </c>
    </row>
    <row r="146" spans="1:11" x14ac:dyDescent="0.2">
      <c r="A146" s="24" t="s">
        <v>120</v>
      </c>
      <c r="B146" s="24" t="s">
        <v>121</v>
      </c>
      <c r="C146" s="24">
        <v>2.5</v>
      </c>
      <c r="D146" s="24">
        <v>2008</v>
      </c>
      <c r="E146" s="24">
        <v>4</v>
      </c>
      <c r="F146" s="24" t="s">
        <v>74</v>
      </c>
      <c r="G146" s="24" t="s">
        <v>71</v>
      </c>
      <c r="H146" s="24">
        <v>23</v>
      </c>
      <c r="I146" s="24">
        <v>32</v>
      </c>
      <c r="J146" s="24" t="s">
        <v>83</v>
      </c>
      <c r="K146" s="24" t="s">
        <v>79</v>
      </c>
    </row>
    <row r="147" spans="1:11" x14ac:dyDescent="0.2">
      <c r="A147" s="24" t="s">
        <v>120</v>
      </c>
      <c r="B147" s="24" t="s">
        <v>121</v>
      </c>
      <c r="C147" s="24">
        <v>3.5</v>
      </c>
      <c r="D147" s="24">
        <v>2008</v>
      </c>
      <c r="E147" s="24">
        <v>6</v>
      </c>
      <c r="F147" s="24" t="s">
        <v>74</v>
      </c>
      <c r="G147" s="24" t="s">
        <v>71</v>
      </c>
      <c r="H147" s="24">
        <v>19</v>
      </c>
      <c r="I147" s="24">
        <v>27</v>
      </c>
      <c r="J147" s="24" t="s">
        <v>5</v>
      </c>
      <c r="K147" s="24" t="s">
        <v>79</v>
      </c>
    </row>
    <row r="148" spans="1:11" x14ac:dyDescent="0.2">
      <c r="A148" s="24" t="s">
        <v>120</v>
      </c>
      <c r="B148" s="24" t="s">
        <v>121</v>
      </c>
      <c r="C148" s="24">
        <v>3.5</v>
      </c>
      <c r="D148" s="24">
        <v>2008</v>
      </c>
      <c r="E148" s="24">
        <v>6</v>
      </c>
      <c r="F148" s="24" t="s">
        <v>75</v>
      </c>
      <c r="G148" s="24" t="s">
        <v>71</v>
      </c>
      <c r="H148" s="24">
        <v>19</v>
      </c>
      <c r="I148" s="24">
        <v>26</v>
      </c>
      <c r="J148" s="24" t="s">
        <v>5</v>
      </c>
      <c r="K148" s="24" t="s">
        <v>79</v>
      </c>
    </row>
    <row r="149" spans="1:11" x14ac:dyDescent="0.2">
      <c r="A149" s="24" t="s">
        <v>120</v>
      </c>
      <c r="B149" s="24" t="s">
        <v>122</v>
      </c>
      <c r="C149" s="24">
        <v>3</v>
      </c>
      <c r="D149" s="24">
        <v>1999</v>
      </c>
      <c r="E149" s="24">
        <v>6</v>
      </c>
      <c r="F149" s="24" t="s">
        <v>82</v>
      </c>
      <c r="G149" s="24" t="s">
        <v>71</v>
      </c>
      <c r="H149" s="24">
        <v>18</v>
      </c>
      <c r="I149" s="24">
        <v>26</v>
      </c>
      <c r="J149" s="24" t="s">
        <v>83</v>
      </c>
      <c r="K149" s="24" t="s">
        <v>79</v>
      </c>
    </row>
    <row r="150" spans="1:11" x14ac:dyDescent="0.2">
      <c r="A150" s="24" t="s">
        <v>120</v>
      </c>
      <c r="B150" s="24" t="s">
        <v>122</v>
      </c>
      <c r="C150" s="24">
        <v>3</v>
      </c>
      <c r="D150" s="24">
        <v>1999</v>
      </c>
      <c r="E150" s="24">
        <v>6</v>
      </c>
      <c r="F150" s="24" t="s">
        <v>73</v>
      </c>
      <c r="G150" s="24" t="s">
        <v>71</v>
      </c>
      <c r="H150" s="24">
        <v>19</v>
      </c>
      <c r="I150" s="24">
        <v>25</v>
      </c>
      <c r="J150" s="24" t="s">
        <v>83</v>
      </c>
      <c r="K150" s="24" t="s">
        <v>79</v>
      </c>
    </row>
    <row r="151" spans="1:11" x14ac:dyDescent="0.2">
      <c r="A151" s="24" t="s">
        <v>120</v>
      </c>
      <c r="B151" s="24" t="s">
        <v>122</v>
      </c>
      <c r="C151" s="24">
        <v>3.5</v>
      </c>
      <c r="D151" s="24">
        <v>2008</v>
      </c>
      <c r="E151" s="24">
        <v>6</v>
      </c>
      <c r="F151" s="24" t="s">
        <v>75</v>
      </c>
      <c r="G151" s="24" t="s">
        <v>71</v>
      </c>
      <c r="H151" s="24">
        <v>19</v>
      </c>
      <c r="I151" s="24">
        <v>25</v>
      </c>
      <c r="J151" s="24" t="s">
        <v>5</v>
      </c>
      <c r="K151" s="24" t="s">
        <v>79</v>
      </c>
    </row>
    <row r="152" spans="1:11" x14ac:dyDescent="0.2">
      <c r="A152" s="24" t="s">
        <v>120</v>
      </c>
      <c r="B152" s="24" t="s">
        <v>123</v>
      </c>
      <c r="C152" s="24">
        <v>3.3</v>
      </c>
      <c r="D152" s="24">
        <v>1999</v>
      </c>
      <c r="E152" s="24">
        <v>6</v>
      </c>
      <c r="F152" s="24" t="s">
        <v>82</v>
      </c>
      <c r="G152" s="24">
        <v>4</v>
      </c>
      <c r="H152" s="24">
        <v>14</v>
      </c>
      <c r="I152" s="24">
        <v>17</v>
      </c>
      <c r="J152" s="24" t="s">
        <v>83</v>
      </c>
      <c r="K152" s="24" t="s">
        <v>84</v>
      </c>
    </row>
    <row r="153" spans="1:11" x14ac:dyDescent="0.2">
      <c r="A153" s="24" t="s">
        <v>120</v>
      </c>
      <c r="B153" s="24" t="s">
        <v>123</v>
      </c>
      <c r="C153" s="24">
        <v>3.3</v>
      </c>
      <c r="D153" s="24">
        <v>1999</v>
      </c>
      <c r="E153" s="24">
        <v>6</v>
      </c>
      <c r="F153" s="24" t="s">
        <v>73</v>
      </c>
      <c r="G153" s="24">
        <v>4</v>
      </c>
      <c r="H153" s="24">
        <v>15</v>
      </c>
      <c r="I153" s="24">
        <v>17</v>
      </c>
      <c r="J153" s="24" t="s">
        <v>83</v>
      </c>
      <c r="K153" s="24" t="s">
        <v>84</v>
      </c>
    </row>
    <row r="154" spans="1:11" x14ac:dyDescent="0.2">
      <c r="A154" s="24" t="s">
        <v>120</v>
      </c>
      <c r="B154" s="24" t="s">
        <v>123</v>
      </c>
      <c r="C154" s="24">
        <v>4</v>
      </c>
      <c r="D154" s="24">
        <v>2008</v>
      </c>
      <c r="E154" s="24">
        <v>6</v>
      </c>
      <c r="F154" s="24" t="s">
        <v>70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84</v>
      </c>
    </row>
    <row r="155" spans="1:11" x14ac:dyDescent="0.2">
      <c r="A155" s="24" t="s">
        <v>120</v>
      </c>
      <c r="B155" s="24" t="s">
        <v>123</v>
      </c>
      <c r="C155" s="24">
        <v>5.6</v>
      </c>
      <c r="D155" s="24">
        <v>2008</v>
      </c>
      <c r="E155" s="24">
        <v>8</v>
      </c>
      <c r="F155" s="24" t="s">
        <v>124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84</v>
      </c>
    </row>
    <row r="156" spans="1:11" x14ac:dyDescent="0.2">
      <c r="A156" s="24" t="s">
        <v>125</v>
      </c>
      <c r="B156" s="24" t="s">
        <v>126</v>
      </c>
      <c r="C156" s="24">
        <v>3.1</v>
      </c>
      <c r="D156" s="24">
        <v>1999</v>
      </c>
      <c r="E156" s="24">
        <v>6</v>
      </c>
      <c r="F156" s="24" t="s">
        <v>82</v>
      </c>
      <c r="G156" s="24" t="s">
        <v>71</v>
      </c>
      <c r="H156" s="24">
        <v>18</v>
      </c>
      <c r="I156" s="24">
        <v>26</v>
      </c>
      <c r="J156" s="24" t="s">
        <v>83</v>
      </c>
      <c r="K156" s="24" t="s">
        <v>79</v>
      </c>
    </row>
    <row r="157" spans="1:11" x14ac:dyDescent="0.2">
      <c r="A157" s="24" t="s">
        <v>125</v>
      </c>
      <c r="B157" s="24" t="s">
        <v>126</v>
      </c>
      <c r="C157" s="24">
        <v>3.8</v>
      </c>
      <c r="D157" s="24">
        <v>1999</v>
      </c>
      <c r="E157" s="24">
        <v>6</v>
      </c>
      <c r="F157" s="24" t="s">
        <v>82</v>
      </c>
      <c r="G157" s="24" t="s">
        <v>71</v>
      </c>
      <c r="H157" s="24">
        <v>16</v>
      </c>
      <c r="I157" s="24">
        <v>26</v>
      </c>
      <c r="J157" s="24" t="s">
        <v>5</v>
      </c>
      <c r="K157" s="24" t="s">
        <v>79</v>
      </c>
    </row>
    <row r="158" spans="1:11" x14ac:dyDescent="0.2">
      <c r="A158" s="24" t="s">
        <v>125</v>
      </c>
      <c r="B158" s="24" t="s">
        <v>126</v>
      </c>
      <c r="C158" s="24">
        <v>3.8</v>
      </c>
      <c r="D158" s="24">
        <v>1999</v>
      </c>
      <c r="E158" s="24">
        <v>6</v>
      </c>
      <c r="F158" s="24" t="s">
        <v>82</v>
      </c>
      <c r="G158" s="24" t="s">
        <v>71</v>
      </c>
      <c r="H158" s="24">
        <v>17</v>
      </c>
      <c r="I158" s="24">
        <v>27</v>
      </c>
      <c r="J158" s="24" t="s">
        <v>83</v>
      </c>
      <c r="K158" s="24" t="s">
        <v>79</v>
      </c>
    </row>
    <row r="159" spans="1:11" x14ac:dyDescent="0.2">
      <c r="A159" s="24" t="s">
        <v>125</v>
      </c>
      <c r="B159" s="24" t="s">
        <v>126</v>
      </c>
      <c r="C159" s="24">
        <v>3.8</v>
      </c>
      <c r="D159" s="24">
        <v>2008</v>
      </c>
      <c r="E159" s="24">
        <v>6</v>
      </c>
      <c r="F159" s="24" t="s">
        <v>82</v>
      </c>
      <c r="G159" s="24" t="s">
        <v>71</v>
      </c>
      <c r="H159" s="24">
        <v>18</v>
      </c>
      <c r="I159" s="24">
        <v>28</v>
      </c>
      <c r="J159" s="24" t="s">
        <v>83</v>
      </c>
      <c r="K159" s="24" t="s">
        <v>79</v>
      </c>
    </row>
    <row r="160" spans="1:11" x14ac:dyDescent="0.2">
      <c r="A160" s="24" t="s">
        <v>125</v>
      </c>
      <c r="B160" s="24" t="s">
        <v>126</v>
      </c>
      <c r="C160" s="24">
        <v>5.3</v>
      </c>
      <c r="D160" s="24">
        <v>2008</v>
      </c>
      <c r="E160" s="24">
        <v>8</v>
      </c>
      <c r="F160" s="24" t="s">
        <v>127</v>
      </c>
      <c r="G160" s="24" t="s">
        <v>71</v>
      </c>
      <c r="H160" s="24">
        <v>16</v>
      </c>
      <c r="I160" s="24">
        <v>25</v>
      </c>
      <c r="J160" s="24" t="s">
        <v>5</v>
      </c>
      <c r="K160" s="24" t="s">
        <v>79</v>
      </c>
    </row>
    <row r="161" spans="1:11" x14ac:dyDescent="0.2">
      <c r="A161" s="24" t="s">
        <v>128</v>
      </c>
      <c r="B161" s="24" t="s">
        <v>129</v>
      </c>
      <c r="C161" s="24">
        <v>2.5</v>
      </c>
      <c r="D161" s="24">
        <v>1999</v>
      </c>
      <c r="E161" s="24">
        <v>4</v>
      </c>
      <c r="F161" s="24" t="s">
        <v>73</v>
      </c>
      <c r="G161" s="24">
        <v>4</v>
      </c>
      <c r="H161" s="24">
        <v>18</v>
      </c>
      <c r="I161" s="24">
        <v>25</v>
      </c>
      <c r="J161" s="24" t="s">
        <v>83</v>
      </c>
      <c r="K161" s="24" t="s">
        <v>84</v>
      </c>
    </row>
    <row r="162" spans="1:11" x14ac:dyDescent="0.2">
      <c r="A162" s="24" t="s">
        <v>128</v>
      </c>
      <c r="B162" s="24" t="s">
        <v>129</v>
      </c>
      <c r="C162" s="24">
        <v>2.5</v>
      </c>
      <c r="D162" s="24">
        <v>1999</v>
      </c>
      <c r="E162" s="24">
        <v>4</v>
      </c>
      <c r="F162" s="24" t="s">
        <v>82</v>
      </c>
      <c r="G162" s="24">
        <v>4</v>
      </c>
      <c r="H162" s="24">
        <v>18</v>
      </c>
      <c r="I162" s="24">
        <v>24</v>
      </c>
      <c r="J162" s="24" t="s">
        <v>83</v>
      </c>
      <c r="K162" s="24" t="s">
        <v>84</v>
      </c>
    </row>
    <row r="163" spans="1:11" x14ac:dyDescent="0.2">
      <c r="A163" s="24" t="s">
        <v>128</v>
      </c>
      <c r="B163" s="24" t="s">
        <v>129</v>
      </c>
      <c r="C163" s="24">
        <v>2.5</v>
      </c>
      <c r="D163" s="24">
        <v>2008</v>
      </c>
      <c r="E163" s="24">
        <v>4</v>
      </c>
      <c r="F163" s="24" t="s">
        <v>73</v>
      </c>
      <c r="G163" s="24">
        <v>4</v>
      </c>
      <c r="H163" s="24">
        <v>20</v>
      </c>
      <c r="I163" s="24">
        <v>27</v>
      </c>
      <c r="J163" s="24" t="s">
        <v>83</v>
      </c>
      <c r="K163" s="24" t="s">
        <v>84</v>
      </c>
    </row>
    <row r="164" spans="1:11" x14ac:dyDescent="0.2">
      <c r="A164" s="24" t="s">
        <v>128</v>
      </c>
      <c r="B164" s="24" t="s">
        <v>129</v>
      </c>
      <c r="C164" s="24">
        <v>2.5</v>
      </c>
      <c r="D164" s="24">
        <v>2008</v>
      </c>
      <c r="E164" s="24">
        <v>4</v>
      </c>
      <c r="F164" s="24" t="s">
        <v>73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84</v>
      </c>
    </row>
    <row r="165" spans="1:11" x14ac:dyDescent="0.2">
      <c r="A165" s="24" t="s">
        <v>128</v>
      </c>
      <c r="B165" s="24" t="s">
        <v>129</v>
      </c>
      <c r="C165" s="24">
        <v>2.5</v>
      </c>
      <c r="D165" s="24">
        <v>2008</v>
      </c>
      <c r="E165" s="24">
        <v>4</v>
      </c>
      <c r="F165" s="24" t="s">
        <v>82</v>
      </c>
      <c r="G165" s="24">
        <v>4</v>
      </c>
      <c r="H165" s="24">
        <v>20</v>
      </c>
      <c r="I165" s="24">
        <v>26</v>
      </c>
      <c r="J165" s="24" t="s">
        <v>83</v>
      </c>
      <c r="K165" s="24" t="s">
        <v>84</v>
      </c>
    </row>
    <row r="166" spans="1:11" x14ac:dyDescent="0.2">
      <c r="A166" s="24" t="s">
        <v>128</v>
      </c>
      <c r="B166" s="24" t="s">
        <v>129</v>
      </c>
      <c r="C166" s="24">
        <v>2.5</v>
      </c>
      <c r="D166" s="24">
        <v>2008</v>
      </c>
      <c r="E166" s="24">
        <v>4</v>
      </c>
      <c r="F166" s="24" t="s">
        <v>82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84</v>
      </c>
    </row>
    <row r="167" spans="1:11" x14ac:dyDescent="0.2">
      <c r="A167" s="24" t="s">
        <v>128</v>
      </c>
      <c r="B167" s="24" t="s">
        <v>130</v>
      </c>
      <c r="C167" s="24">
        <v>2.2000000000000002</v>
      </c>
      <c r="D167" s="24">
        <v>1999</v>
      </c>
      <c r="E167" s="24">
        <v>4</v>
      </c>
      <c r="F167" s="24" t="s">
        <v>82</v>
      </c>
      <c r="G167" s="24">
        <v>4</v>
      </c>
      <c r="H167" s="24">
        <v>21</v>
      </c>
      <c r="I167" s="24">
        <v>26</v>
      </c>
      <c r="J167" s="24" t="s">
        <v>83</v>
      </c>
      <c r="K167" s="24" t="s">
        <v>105</v>
      </c>
    </row>
    <row r="168" spans="1:11" x14ac:dyDescent="0.2">
      <c r="A168" s="24" t="s">
        <v>128</v>
      </c>
      <c r="B168" s="24" t="s">
        <v>130</v>
      </c>
      <c r="C168" s="24">
        <v>2.2000000000000002</v>
      </c>
      <c r="D168" s="24">
        <v>1999</v>
      </c>
      <c r="E168" s="24">
        <v>4</v>
      </c>
      <c r="F168" s="24" t="s">
        <v>73</v>
      </c>
      <c r="G168" s="24">
        <v>4</v>
      </c>
      <c r="H168" s="24">
        <v>19</v>
      </c>
      <c r="I168" s="24">
        <v>26</v>
      </c>
      <c r="J168" s="24" t="s">
        <v>83</v>
      </c>
      <c r="K168" s="24" t="s">
        <v>105</v>
      </c>
    </row>
    <row r="169" spans="1:11" x14ac:dyDescent="0.2">
      <c r="A169" s="24" t="s">
        <v>128</v>
      </c>
      <c r="B169" s="24" t="s">
        <v>130</v>
      </c>
      <c r="C169" s="24">
        <v>2.5</v>
      </c>
      <c r="D169" s="24">
        <v>1999</v>
      </c>
      <c r="E169" s="24">
        <v>4</v>
      </c>
      <c r="F169" s="24" t="s">
        <v>73</v>
      </c>
      <c r="G169" s="24">
        <v>4</v>
      </c>
      <c r="H169" s="24">
        <v>19</v>
      </c>
      <c r="I169" s="24">
        <v>26</v>
      </c>
      <c r="J169" s="24" t="s">
        <v>83</v>
      </c>
      <c r="K169" s="24" t="s">
        <v>105</v>
      </c>
    </row>
    <row r="170" spans="1:11" x14ac:dyDescent="0.2">
      <c r="A170" s="24" t="s">
        <v>128</v>
      </c>
      <c r="B170" s="24" t="s">
        <v>130</v>
      </c>
      <c r="C170" s="24">
        <v>2.5</v>
      </c>
      <c r="D170" s="24">
        <v>1999</v>
      </c>
      <c r="E170" s="24">
        <v>4</v>
      </c>
      <c r="F170" s="24" t="s">
        <v>82</v>
      </c>
      <c r="G170" s="24">
        <v>4</v>
      </c>
      <c r="H170" s="24">
        <v>19</v>
      </c>
      <c r="I170" s="24">
        <v>26</v>
      </c>
      <c r="J170" s="24" t="s">
        <v>83</v>
      </c>
      <c r="K170" s="24" t="s">
        <v>105</v>
      </c>
    </row>
    <row r="171" spans="1:11" x14ac:dyDescent="0.2">
      <c r="A171" s="24" t="s">
        <v>128</v>
      </c>
      <c r="B171" s="24" t="s">
        <v>130</v>
      </c>
      <c r="C171" s="24">
        <v>2.5</v>
      </c>
      <c r="D171" s="24">
        <v>2008</v>
      </c>
      <c r="E171" s="24">
        <v>4</v>
      </c>
      <c r="F171" s="24" t="s">
        <v>127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72</v>
      </c>
    </row>
    <row r="172" spans="1:11" x14ac:dyDescent="0.2">
      <c r="A172" s="24" t="s">
        <v>128</v>
      </c>
      <c r="B172" s="24" t="s">
        <v>130</v>
      </c>
      <c r="C172" s="24">
        <v>2.5</v>
      </c>
      <c r="D172" s="24">
        <v>2008</v>
      </c>
      <c r="E172" s="24">
        <v>4</v>
      </c>
      <c r="F172" s="24" t="s">
        <v>127</v>
      </c>
      <c r="G172" s="24">
        <v>4</v>
      </c>
      <c r="H172" s="24">
        <v>20</v>
      </c>
      <c r="I172" s="24">
        <v>27</v>
      </c>
      <c r="J172" s="24" t="s">
        <v>83</v>
      </c>
      <c r="K172" s="24" t="s">
        <v>72</v>
      </c>
    </row>
    <row r="173" spans="1:11" x14ac:dyDescent="0.2">
      <c r="A173" s="24" t="s">
        <v>128</v>
      </c>
      <c r="B173" s="24" t="s">
        <v>130</v>
      </c>
      <c r="C173" s="24">
        <v>2.5</v>
      </c>
      <c r="D173" s="24">
        <v>2008</v>
      </c>
      <c r="E173" s="24">
        <v>4</v>
      </c>
      <c r="F173" s="24" t="s">
        <v>73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72</v>
      </c>
    </row>
    <row r="174" spans="1:11" x14ac:dyDescent="0.2">
      <c r="A174" s="24" t="s">
        <v>128</v>
      </c>
      <c r="B174" s="24" t="s">
        <v>130</v>
      </c>
      <c r="C174" s="24">
        <v>2.5</v>
      </c>
      <c r="D174" s="24">
        <v>2008</v>
      </c>
      <c r="E174" s="24">
        <v>4</v>
      </c>
      <c r="F174" s="24" t="s">
        <v>73</v>
      </c>
      <c r="G174" s="24">
        <v>4</v>
      </c>
      <c r="H174" s="24">
        <v>20</v>
      </c>
      <c r="I174" s="24">
        <v>27</v>
      </c>
      <c r="J174" s="24" t="s">
        <v>83</v>
      </c>
      <c r="K174" s="24" t="s">
        <v>72</v>
      </c>
    </row>
    <row r="175" spans="1:11" x14ac:dyDescent="0.2">
      <c r="A175" s="24" t="s">
        <v>131</v>
      </c>
      <c r="B175" s="24" t="s">
        <v>132</v>
      </c>
      <c r="C175" s="24">
        <v>2.7</v>
      </c>
      <c r="D175" s="24">
        <v>1999</v>
      </c>
      <c r="E175" s="24">
        <v>4</v>
      </c>
      <c r="F175" s="24" t="s">
        <v>73</v>
      </c>
      <c r="G175" s="24">
        <v>4</v>
      </c>
      <c r="H175" s="24">
        <v>15</v>
      </c>
      <c r="I175" s="24">
        <v>20</v>
      </c>
      <c r="J175" s="24" t="s">
        <v>83</v>
      </c>
      <c r="K175" s="24" t="s">
        <v>84</v>
      </c>
    </row>
    <row r="176" spans="1:11" x14ac:dyDescent="0.2">
      <c r="A176" s="24" t="s">
        <v>131</v>
      </c>
      <c r="B176" s="24" t="s">
        <v>132</v>
      </c>
      <c r="C176" s="24">
        <v>2.7</v>
      </c>
      <c r="D176" s="24">
        <v>1999</v>
      </c>
      <c r="E176" s="24">
        <v>4</v>
      </c>
      <c r="F176" s="24" t="s">
        <v>82</v>
      </c>
      <c r="G176" s="24">
        <v>4</v>
      </c>
      <c r="H176" s="24">
        <v>16</v>
      </c>
      <c r="I176" s="24">
        <v>20</v>
      </c>
      <c r="J176" s="24" t="s">
        <v>83</v>
      </c>
      <c r="K176" s="24" t="s">
        <v>84</v>
      </c>
    </row>
    <row r="177" spans="1:11" x14ac:dyDescent="0.2">
      <c r="A177" s="24" t="s">
        <v>131</v>
      </c>
      <c r="B177" s="24" t="s">
        <v>132</v>
      </c>
      <c r="C177" s="24">
        <v>3.4</v>
      </c>
      <c r="D177" s="24">
        <v>1999</v>
      </c>
      <c r="E177" s="24">
        <v>6</v>
      </c>
      <c r="F177" s="24" t="s">
        <v>82</v>
      </c>
      <c r="G177" s="24">
        <v>4</v>
      </c>
      <c r="H177" s="24">
        <v>15</v>
      </c>
      <c r="I177" s="24">
        <v>19</v>
      </c>
      <c r="J177" s="24" t="s">
        <v>83</v>
      </c>
      <c r="K177" s="24" t="s">
        <v>84</v>
      </c>
    </row>
    <row r="178" spans="1:11" x14ac:dyDescent="0.2">
      <c r="A178" s="24" t="s">
        <v>131</v>
      </c>
      <c r="B178" s="24" t="s">
        <v>132</v>
      </c>
      <c r="C178" s="24">
        <v>3.4</v>
      </c>
      <c r="D178" s="24">
        <v>1999</v>
      </c>
      <c r="E178" s="24">
        <v>6</v>
      </c>
      <c r="F178" s="24" t="s">
        <v>73</v>
      </c>
      <c r="G178" s="24">
        <v>4</v>
      </c>
      <c r="H178" s="24">
        <v>15</v>
      </c>
      <c r="I178" s="24">
        <v>17</v>
      </c>
      <c r="J178" s="24" t="s">
        <v>83</v>
      </c>
      <c r="K178" s="24" t="s">
        <v>84</v>
      </c>
    </row>
    <row r="179" spans="1:11" x14ac:dyDescent="0.2">
      <c r="A179" s="24" t="s">
        <v>131</v>
      </c>
      <c r="B179" s="24" t="s">
        <v>132</v>
      </c>
      <c r="C179" s="24">
        <v>4</v>
      </c>
      <c r="D179" s="24">
        <v>2008</v>
      </c>
      <c r="E179" s="24">
        <v>6</v>
      </c>
      <c r="F179" s="24" t="s">
        <v>70</v>
      </c>
      <c r="G179" s="24">
        <v>4</v>
      </c>
      <c r="H179" s="24">
        <v>16</v>
      </c>
      <c r="I179" s="24">
        <v>20</v>
      </c>
      <c r="J179" s="24" t="s">
        <v>83</v>
      </c>
      <c r="K179" s="24" t="s">
        <v>84</v>
      </c>
    </row>
    <row r="180" spans="1:11" x14ac:dyDescent="0.2">
      <c r="A180" s="24" t="s">
        <v>131</v>
      </c>
      <c r="B180" s="24" t="s">
        <v>132</v>
      </c>
      <c r="C180" s="24">
        <v>4.7</v>
      </c>
      <c r="D180" s="24">
        <v>2008</v>
      </c>
      <c r="E180" s="24">
        <v>8</v>
      </c>
      <c r="F180" s="24" t="s">
        <v>70</v>
      </c>
      <c r="G180" s="24">
        <v>4</v>
      </c>
      <c r="H180" s="24">
        <v>14</v>
      </c>
      <c r="I180" s="24">
        <v>17</v>
      </c>
      <c r="J180" s="24" t="s">
        <v>83</v>
      </c>
      <c r="K180" s="24" t="s">
        <v>84</v>
      </c>
    </row>
    <row r="181" spans="1:11" x14ac:dyDescent="0.2">
      <c r="A181" s="24" t="s">
        <v>131</v>
      </c>
      <c r="B181" s="24" t="s">
        <v>133</v>
      </c>
      <c r="C181" s="24">
        <v>2.2000000000000002</v>
      </c>
      <c r="D181" s="24">
        <v>1999</v>
      </c>
      <c r="E181" s="24">
        <v>4</v>
      </c>
      <c r="F181" s="24" t="s">
        <v>73</v>
      </c>
      <c r="G181" s="24" t="s">
        <v>71</v>
      </c>
      <c r="H181" s="24">
        <v>21</v>
      </c>
      <c r="I181" s="24">
        <v>29</v>
      </c>
      <c r="J181" s="24" t="s">
        <v>83</v>
      </c>
      <c r="K181" s="24" t="s">
        <v>79</v>
      </c>
    </row>
    <row r="182" spans="1:11" x14ac:dyDescent="0.2">
      <c r="A182" s="24" t="s">
        <v>131</v>
      </c>
      <c r="B182" s="24" t="s">
        <v>133</v>
      </c>
      <c r="C182" s="24">
        <v>2.2000000000000002</v>
      </c>
      <c r="D182" s="24">
        <v>1999</v>
      </c>
      <c r="E182" s="24">
        <v>4</v>
      </c>
      <c r="F182" s="24" t="s">
        <v>82</v>
      </c>
      <c r="G182" s="24" t="s">
        <v>71</v>
      </c>
      <c r="H182" s="24">
        <v>21</v>
      </c>
      <c r="I182" s="24">
        <v>27</v>
      </c>
      <c r="J182" s="24" t="s">
        <v>83</v>
      </c>
      <c r="K182" s="24" t="s">
        <v>79</v>
      </c>
    </row>
    <row r="183" spans="1:11" x14ac:dyDescent="0.2">
      <c r="A183" s="24" t="s">
        <v>131</v>
      </c>
      <c r="B183" s="24" t="s">
        <v>133</v>
      </c>
      <c r="C183" s="24">
        <v>2.4</v>
      </c>
      <c r="D183" s="24">
        <v>2008</v>
      </c>
      <c r="E183" s="24">
        <v>4</v>
      </c>
      <c r="F183" s="24" t="s">
        <v>73</v>
      </c>
      <c r="G183" s="24" t="s">
        <v>71</v>
      </c>
      <c r="H183" s="24">
        <v>21</v>
      </c>
      <c r="I183" s="24">
        <v>31</v>
      </c>
      <c r="J183" s="24" t="s">
        <v>83</v>
      </c>
      <c r="K183" s="24" t="s">
        <v>79</v>
      </c>
    </row>
    <row r="184" spans="1:11" x14ac:dyDescent="0.2">
      <c r="A184" s="24" t="s">
        <v>131</v>
      </c>
      <c r="B184" s="24" t="s">
        <v>133</v>
      </c>
      <c r="C184" s="24">
        <v>2.4</v>
      </c>
      <c r="D184" s="24">
        <v>2008</v>
      </c>
      <c r="E184" s="24">
        <v>4</v>
      </c>
      <c r="F184" s="24" t="s">
        <v>70</v>
      </c>
      <c r="G184" s="24" t="s">
        <v>71</v>
      </c>
      <c r="H184" s="24">
        <v>21</v>
      </c>
      <c r="I184" s="24">
        <v>31</v>
      </c>
      <c r="J184" s="24" t="s">
        <v>83</v>
      </c>
      <c r="K184" s="24" t="s">
        <v>79</v>
      </c>
    </row>
    <row r="185" spans="1:11" x14ac:dyDescent="0.2">
      <c r="A185" s="24" t="s">
        <v>131</v>
      </c>
      <c r="B185" s="24" t="s">
        <v>133</v>
      </c>
      <c r="C185" s="24">
        <v>3</v>
      </c>
      <c r="D185" s="24">
        <v>1999</v>
      </c>
      <c r="E185" s="24">
        <v>6</v>
      </c>
      <c r="F185" s="24" t="s">
        <v>82</v>
      </c>
      <c r="G185" s="24" t="s">
        <v>71</v>
      </c>
      <c r="H185" s="24">
        <v>18</v>
      </c>
      <c r="I185" s="24">
        <v>26</v>
      </c>
      <c r="J185" s="24" t="s">
        <v>83</v>
      </c>
      <c r="K185" s="24" t="s">
        <v>79</v>
      </c>
    </row>
    <row r="186" spans="1:11" x14ac:dyDescent="0.2">
      <c r="A186" s="24" t="s">
        <v>131</v>
      </c>
      <c r="B186" s="24" t="s">
        <v>133</v>
      </c>
      <c r="C186" s="24">
        <v>3</v>
      </c>
      <c r="D186" s="24">
        <v>1999</v>
      </c>
      <c r="E186" s="24">
        <v>6</v>
      </c>
      <c r="F186" s="24" t="s">
        <v>73</v>
      </c>
      <c r="G186" s="24" t="s">
        <v>71</v>
      </c>
      <c r="H186" s="24">
        <v>18</v>
      </c>
      <c r="I186" s="24">
        <v>26</v>
      </c>
      <c r="J186" s="24" t="s">
        <v>83</v>
      </c>
      <c r="K186" s="24" t="s">
        <v>79</v>
      </c>
    </row>
    <row r="187" spans="1:11" x14ac:dyDescent="0.2">
      <c r="A187" s="24" t="s">
        <v>131</v>
      </c>
      <c r="B187" s="24" t="s">
        <v>133</v>
      </c>
      <c r="C187" s="24">
        <v>3.5</v>
      </c>
      <c r="D187" s="24">
        <v>2008</v>
      </c>
      <c r="E187" s="24">
        <v>6</v>
      </c>
      <c r="F187" s="24" t="s">
        <v>77</v>
      </c>
      <c r="G187" s="24" t="s">
        <v>71</v>
      </c>
      <c r="H187" s="24">
        <v>19</v>
      </c>
      <c r="I187" s="24">
        <v>28</v>
      </c>
      <c r="J187" s="24" t="s">
        <v>83</v>
      </c>
      <c r="K187" s="24" t="s">
        <v>79</v>
      </c>
    </row>
    <row r="188" spans="1:11" x14ac:dyDescent="0.2">
      <c r="A188" s="24" t="s">
        <v>131</v>
      </c>
      <c r="B188" s="24" t="s">
        <v>134</v>
      </c>
      <c r="C188" s="24">
        <v>2.2000000000000002</v>
      </c>
      <c r="D188" s="24">
        <v>1999</v>
      </c>
      <c r="E188" s="24">
        <v>4</v>
      </c>
      <c r="F188" s="24" t="s">
        <v>82</v>
      </c>
      <c r="G188" s="24" t="s">
        <v>71</v>
      </c>
      <c r="H188" s="24">
        <v>21</v>
      </c>
      <c r="I188" s="24">
        <v>27</v>
      </c>
      <c r="J188" s="24" t="s">
        <v>83</v>
      </c>
      <c r="K188" s="24" t="s">
        <v>72</v>
      </c>
    </row>
    <row r="189" spans="1:11" x14ac:dyDescent="0.2">
      <c r="A189" s="24" t="s">
        <v>131</v>
      </c>
      <c r="B189" s="24" t="s">
        <v>134</v>
      </c>
      <c r="C189" s="24">
        <v>2.2000000000000002</v>
      </c>
      <c r="D189" s="24">
        <v>1999</v>
      </c>
      <c r="E189" s="24">
        <v>4</v>
      </c>
      <c r="F189" s="24" t="s">
        <v>73</v>
      </c>
      <c r="G189" s="24" t="s">
        <v>71</v>
      </c>
      <c r="H189" s="24">
        <v>21</v>
      </c>
      <c r="I189" s="24">
        <v>29</v>
      </c>
      <c r="J189" s="24" t="s">
        <v>83</v>
      </c>
      <c r="K189" s="24" t="s">
        <v>72</v>
      </c>
    </row>
    <row r="190" spans="1:11" x14ac:dyDescent="0.2">
      <c r="A190" s="24" t="s">
        <v>131</v>
      </c>
      <c r="B190" s="24" t="s">
        <v>134</v>
      </c>
      <c r="C190" s="24">
        <v>2.4</v>
      </c>
      <c r="D190" s="24">
        <v>2008</v>
      </c>
      <c r="E190" s="24">
        <v>4</v>
      </c>
      <c r="F190" s="24" t="s">
        <v>73</v>
      </c>
      <c r="G190" s="24" t="s">
        <v>71</v>
      </c>
      <c r="H190" s="24">
        <v>21</v>
      </c>
      <c r="I190" s="24">
        <v>31</v>
      </c>
      <c r="J190" s="24" t="s">
        <v>83</v>
      </c>
      <c r="K190" s="24" t="s">
        <v>72</v>
      </c>
    </row>
    <row r="191" spans="1:11" x14ac:dyDescent="0.2">
      <c r="A191" s="24" t="s">
        <v>131</v>
      </c>
      <c r="B191" s="24" t="s">
        <v>134</v>
      </c>
      <c r="C191" s="24">
        <v>2.4</v>
      </c>
      <c r="D191" s="24">
        <v>2008</v>
      </c>
      <c r="E191" s="24">
        <v>4</v>
      </c>
      <c r="F191" s="24" t="s">
        <v>124</v>
      </c>
      <c r="G191" s="24" t="s">
        <v>71</v>
      </c>
      <c r="H191" s="24">
        <v>22</v>
      </c>
      <c r="I191" s="24">
        <v>31</v>
      </c>
      <c r="J191" s="24" t="s">
        <v>83</v>
      </c>
      <c r="K191" s="24" t="s">
        <v>72</v>
      </c>
    </row>
    <row r="192" spans="1:11" x14ac:dyDescent="0.2">
      <c r="A192" s="24" t="s">
        <v>131</v>
      </c>
      <c r="B192" s="24" t="s">
        <v>134</v>
      </c>
      <c r="C192" s="24">
        <v>3</v>
      </c>
      <c r="D192" s="24">
        <v>1999</v>
      </c>
      <c r="E192" s="24">
        <v>6</v>
      </c>
      <c r="F192" s="24" t="s">
        <v>82</v>
      </c>
      <c r="G192" s="24" t="s">
        <v>71</v>
      </c>
      <c r="H192" s="24">
        <v>18</v>
      </c>
      <c r="I192" s="24">
        <v>26</v>
      </c>
      <c r="J192" s="24" t="s">
        <v>83</v>
      </c>
      <c r="K192" s="24" t="s">
        <v>72</v>
      </c>
    </row>
    <row r="193" spans="1:11" x14ac:dyDescent="0.2">
      <c r="A193" s="24" t="s">
        <v>131</v>
      </c>
      <c r="B193" s="24" t="s">
        <v>134</v>
      </c>
      <c r="C193" s="24">
        <v>3</v>
      </c>
      <c r="D193" s="24">
        <v>1999</v>
      </c>
      <c r="E193" s="24">
        <v>6</v>
      </c>
      <c r="F193" s="24" t="s">
        <v>73</v>
      </c>
      <c r="G193" s="24" t="s">
        <v>71</v>
      </c>
      <c r="H193" s="24">
        <v>18</v>
      </c>
      <c r="I193" s="24">
        <v>26</v>
      </c>
      <c r="J193" s="24" t="s">
        <v>83</v>
      </c>
      <c r="K193" s="24" t="s">
        <v>72</v>
      </c>
    </row>
    <row r="194" spans="1:11" x14ac:dyDescent="0.2">
      <c r="A194" s="24" t="s">
        <v>131</v>
      </c>
      <c r="B194" s="24" t="s">
        <v>134</v>
      </c>
      <c r="C194" s="24">
        <v>3.3</v>
      </c>
      <c r="D194" s="24">
        <v>2008</v>
      </c>
      <c r="E194" s="24">
        <v>6</v>
      </c>
      <c r="F194" s="24" t="s">
        <v>124</v>
      </c>
      <c r="G194" s="24" t="s">
        <v>71</v>
      </c>
      <c r="H194" s="24">
        <v>18</v>
      </c>
      <c r="I194" s="24">
        <v>27</v>
      </c>
      <c r="J194" s="24" t="s">
        <v>83</v>
      </c>
      <c r="K194" s="24" t="s">
        <v>72</v>
      </c>
    </row>
    <row r="195" spans="1:11" x14ac:dyDescent="0.2">
      <c r="A195" s="24" t="s">
        <v>131</v>
      </c>
      <c r="B195" s="24" t="s">
        <v>135</v>
      </c>
      <c r="C195" s="24">
        <v>1.8</v>
      </c>
      <c r="D195" s="24">
        <v>1999</v>
      </c>
      <c r="E195" s="24">
        <v>4</v>
      </c>
      <c r="F195" s="24" t="s">
        <v>93</v>
      </c>
      <c r="G195" s="24" t="s">
        <v>71</v>
      </c>
      <c r="H195" s="24">
        <v>24</v>
      </c>
      <c r="I195" s="24">
        <v>30</v>
      </c>
      <c r="J195" s="24" t="s">
        <v>83</v>
      </c>
      <c r="K195" s="24" t="s">
        <v>72</v>
      </c>
    </row>
    <row r="196" spans="1:11" x14ac:dyDescent="0.2">
      <c r="A196" s="24" t="s">
        <v>131</v>
      </c>
      <c r="B196" s="24" t="s">
        <v>135</v>
      </c>
      <c r="C196" s="24">
        <v>1.8</v>
      </c>
      <c r="D196" s="24">
        <v>1999</v>
      </c>
      <c r="E196" s="24">
        <v>4</v>
      </c>
      <c r="F196" s="24" t="s">
        <v>82</v>
      </c>
      <c r="G196" s="24" t="s">
        <v>71</v>
      </c>
      <c r="H196" s="24">
        <v>24</v>
      </c>
      <c r="I196" s="24">
        <v>33</v>
      </c>
      <c r="J196" s="24" t="s">
        <v>83</v>
      </c>
      <c r="K196" s="24" t="s">
        <v>72</v>
      </c>
    </row>
    <row r="197" spans="1:11" x14ac:dyDescent="0.2">
      <c r="A197" s="24" t="s">
        <v>131</v>
      </c>
      <c r="B197" s="24" t="s">
        <v>135</v>
      </c>
      <c r="C197" s="24">
        <v>1.8</v>
      </c>
      <c r="D197" s="24">
        <v>1999</v>
      </c>
      <c r="E197" s="24">
        <v>4</v>
      </c>
      <c r="F197" s="24" t="s">
        <v>73</v>
      </c>
      <c r="G197" s="24" t="s">
        <v>71</v>
      </c>
      <c r="H197" s="24">
        <v>26</v>
      </c>
      <c r="I197" s="24">
        <v>35</v>
      </c>
      <c r="J197" s="24" t="s">
        <v>83</v>
      </c>
      <c r="K197" s="24" t="s">
        <v>72</v>
      </c>
    </row>
    <row r="198" spans="1:11" x14ac:dyDescent="0.2">
      <c r="A198" s="24" t="s">
        <v>131</v>
      </c>
      <c r="B198" s="24" t="s">
        <v>135</v>
      </c>
      <c r="C198" s="24">
        <v>1.8</v>
      </c>
      <c r="D198" s="24">
        <v>2008</v>
      </c>
      <c r="E198" s="24">
        <v>4</v>
      </c>
      <c r="F198" s="24" t="s">
        <v>73</v>
      </c>
      <c r="G198" s="24" t="s">
        <v>71</v>
      </c>
      <c r="H198" s="24">
        <v>28</v>
      </c>
      <c r="I198" s="24">
        <v>37</v>
      </c>
      <c r="J198" s="24" t="s">
        <v>83</v>
      </c>
      <c r="K198" s="24" t="s">
        <v>72</v>
      </c>
    </row>
    <row r="199" spans="1:11" x14ac:dyDescent="0.2">
      <c r="A199" s="24" t="s">
        <v>131</v>
      </c>
      <c r="B199" s="24" t="s">
        <v>135</v>
      </c>
      <c r="C199" s="24">
        <v>1.8</v>
      </c>
      <c r="D199" s="24">
        <v>2008</v>
      </c>
      <c r="E199" s="24">
        <v>4</v>
      </c>
      <c r="F199" s="24" t="s">
        <v>82</v>
      </c>
      <c r="G199" s="24" t="s">
        <v>71</v>
      </c>
      <c r="H199" s="24">
        <v>26</v>
      </c>
      <c r="I199" s="24">
        <v>35</v>
      </c>
      <c r="J199" s="24" t="s">
        <v>83</v>
      </c>
      <c r="K199" s="24" t="s">
        <v>72</v>
      </c>
    </row>
    <row r="200" spans="1:11" x14ac:dyDescent="0.2">
      <c r="A200" s="24" t="s">
        <v>131</v>
      </c>
      <c r="B200" s="24" t="s">
        <v>136</v>
      </c>
      <c r="C200" s="24">
        <v>4.7</v>
      </c>
      <c r="D200" s="24">
        <v>1999</v>
      </c>
      <c r="E200" s="24">
        <v>8</v>
      </c>
      <c r="F200" s="24" t="s">
        <v>82</v>
      </c>
      <c r="G200" s="24">
        <v>4</v>
      </c>
      <c r="H200" s="24">
        <v>11</v>
      </c>
      <c r="I200" s="24">
        <v>15</v>
      </c>
      <c r="J200" s="24" t="s">
        <v>83</v>
      </c>
      <c r="K200" s="24" t="s">
        <v>84</v>
      </c>
    </row>
    <row r="201" spans="1:11" x14ac:dyDescent="0.2">
      <c r="A201" s="24" t="s">
        <v>131</v>
      </c>
      <c r="B201" s="24" t="s">
        <v>136</v>
      </c>
      <c r="C201" s="24">
        <v>5.7</v>
      </c>
      <c r="D201" s="24">
        <v>2008</v>
      </c>
      <c r="E201" s="24">
        <v>8</v>
      </c>
      <c r="F201" s="24" t="s">
        <v>77</v>
      </c>
      <c r="G201" s="24">
        <v>4</v>
      </c>
      <c r="H201" s="24">
        <v>13</v>
      </c>
      <c r="I201" s="24">
        <v>18</v>
      </c>
      <c r="J201" s="24" t="s">
        <v>83</v>
      </c>
      <c r="K201" s="24" t="s">
        <v>84</v>
      </c>
    </row>
    <row r="202" spans="1:11" x14ac:dyDescent="0.2">
      <c r="A202" s="24" t="s">
        <v>131</v>
      </c>
      <c r="B202" s="24" t="s">
        <v>137</v>
      </c>
      <c r="C202" s="24">
        <v>2.7</v>
      </c>
      <c r="D202" s="24">
        <v>1999</v>
      </c>
      <c r="E202" s="24">
        <v>4</v>
      </c>
      <c r="F202" s="24" t="s">
        <v>73</v>
      </c>
      <c r="G202" s="24">
        <v>4</v>
      </c>
      <c r="H202" s="24">
        <v>15</v>
      </c>
      <c r="I202" s="24">
        <v>20</v>
      </c>
      <c r="J202" s="24" t="s">
        <v>83</v>
      </c>
      <c r="K202" s="24" t="s">
        <v>97</v>
      </c>
    </row>
    <row r="203" spans="1:11" x14ac:dyDescent="0.2">
      <c r="A203" s="24" t="s">
        <v>131</v>
      </c>
      <c r="B203" s="24" t="s">
        <v>137</v>
      </c>
      <c r="C203" s="24">
        <v>2.7</v>
      </c>
      <c r="D203" s="24">
        <v>1999</v>
      </c>
      <c r="E203" s="24">
        <v>4</v>
      </c>
      <c r="F203" s="24" t="s">
        <v>82</v>
      </c>
      <c r="G203" s="24">
        <v>4</v>
      </c>
      <c r="H203" s="24">
        <v>16</v>
      </c>
      <c r="I203" s="24">
        <v>20</v>
      </c>
      <c r="J203" s="24" t="s">
        <v>83</v>
      </c>
      <c r="K203" s="24" t="s">
        <v>97</v>
      </c>
    </row>
    <row r="204" spans="1:11" x14ac:dyDescent="0.2">
      <c r="A204" s="24" t="s">
        <v>131</v>
      </c>
      <c r="B204" s="24" t="s">
        <v>137</v>
      </c>
      <c r="C204" s="24">
        <v>2.7</v>
      </c>
      <c r="D204" s="24">
        <v>2008</v>
      </c>
      <c r="E204" s="24">
        <v>4</v>
      </c>
      <c r="F204" s="24" t="s">
        <v>73</v>
      </c>
      <c r="G204" s="24">
        <v>4</v>
      </c>
      <c r="H204" s="24">
        <v>17</v>
      </c>
      <c r="I204" s="24">
        <v>22</v>
      </c>
      <c r="J204" s="24" t="s">
        <v>83</v>
      </c>
      <c r="K204" s="24" t="s">
        <v>97</v>
      </c>
    </row>
    <row r="205" spans="1:11" x14ac:dyDescent="0.2">
      <c r="A205" s="24" t="s">
        <v>131</v>
      </c>
      <c r="B205" s="24" t="s">
        <v>137</v>
      </c>
      <c r="C205" s="24">
        <v>3.4</v>
      </c>
      <c r="D205" s="24">
        <v>1999</v>
      </c>
      <c r="E205" s="24">
        <v>6</v>
      </c>
      <c r="F205" s="24" t="s">
        <v>73</v>
      </c>
      <c r="G205" s="24">
        <v>4</v>
      </c>
      <c r="H205" s="24">
        <v>15</v>
      </c>
      <c r="I205" s="24">
        <v>17</v>
      </c>
      <c r="J205" s="24" t="s">
        <v>83</v>
      </c>
      <c r="K205" s="24" t="s">
        <v>97</v>
      </c>
    </row>
    <row r="206" spans="1:11" x14ac:dyDescent="0.2">
      <c r="A206" s="24" t="s">
        <v>131</v>
      </c>
      <c r="B206" s="24" t="s">
        <v>137</v>
      </c>
      <c r="C206" s="24">
        <v>3.4</v>
      </c>
      <c r="D206" s="24">
        <v>1999</v>
      </c>
      <c r="E206" s="24">
        <v>6</v>
      </c>
      <c r="F206" s="24" t="s">
        <v>82</v>
      </c>
      <c r="G206" s="24">
        <v>4</v>
      </c>
      <c r="H206" s="24">
        <v>15</v>
      </c>
      <c r="I206" s="24">
        <v>19</v>
      </c>
      <c r="J206" s="24" t="s">
        <v>83</v>
      </c>
      <c r="K206" s="24" t="s">
        <v>97</v>
      </c>
    </row>
    <row r="207" spans="1:11" x14ac:dyDescent="0.2">
      <c r="A207" s="24" t="s">
        <v>131</v>
      </c>
      <c r="B207" s="24" t="s">
        <v>137</v>
      </c>
      <c r="C207" s="24">
        <v>4</v>
      </c>
      <c r="D207" s="24">
        <v>2008</v>
      </c>
      <c r="E207" s="24">
        <v>6</v>
      </c>
      <c r="F207" s="24" t="s">
        <v>74</v>
      </c>
      <c r="G207" s="24">
        <v>4</v>
      </c>
      <c r="H207" s="24">
        <v>15</v>
      </c>
      <c r="I207" s="24">
        <v>18</v>
      </c>
      <c r="J207" s="24" t="s">
        <v>83</v>
      </c>
      <c r="K207" s="24" t="s">
        <v>97</v>
      </c>
    </row>
    <row r="208" spans="1:11" x14ac:dyDescent="0.2">
      <c r="A208" s="24" t="s">
        <v>131</v>
      </c>
      <c r="B208" s="24" t="s">
        <v>137</v>
      </c>
      <c r="C208" s="24">
        <v>4</v>
      </c>
      <c r="D208" s="24">
        <v>2008</v>
      </c>
      <c r="E208" s="24">
        <v>6</v>
      </c>
      <c r="F208" s="24" t="s">
        <v>70</v>
      </c>
      <c r="G208" s="24">
        <v>4</v>
      </c>
      <c r="H208" s="24">
        <v>16</v>
      </c>
      <c r="I208" s="24">
        <v>20</v>
      </c>
      <c r="J208" s="24" t="s">
        <v>83</v>
      </c>
      <c r="K208" s="24" t="s">
        <v>97</v>
      </c>
    </row>
    <row r="209" spans="1:11" x14ac:dyDescent="0.2">
      <c r="A209" s="24" t="s">
        <v>138</v>
      </c>
      <c r="B209" s="24" t="s">
        <v>139</v>
      </c>
      <c r="C209" s="24">
        <v>2</v>
      </c>
      <c r="D209" s="24">
        <v>1999</v>
      </c>
      <c r="E209" s="24">
        <v>4</v>
      </c>
      <c r="F209" s="24" t="s">
        <v>73</v>
      </c>
      <c r="G209" s="24" t="s">
        <v>71</v>
      </c>
      <c r="H209" s="24">
        <v>21</v>
      </c>
      <c r="I209" s="24">
        <v>29</v>
      </c>
      <c r="J209" s="24" t="s">
        <v>83</v>
      </c>
      <c r="K209" s="24" t="s">
        <v>72</v>
      </c>
    </row>
    <row r="210" spans="1:11" x14ac:dyDescent="0.2">
      <c r="A210" s="24" t="s">
        <v>138</v>
      </c>
      <c r="B210" s="24" t="s">
        <v>139</v>
      </c>
      <c r="C210" s="24">
        <v>2</v>
      </c>
      <c r="D210" s="24">
        <v>1999</v>
      </c>
      <c r="E210" s="24">
        <v>4</v>
      </c>
      <c r="F210" s="24" t="s">
        <v>82</v>
      </c>
      <c r="G210" s="24" t="s">
        <v>71</v>
      </c>
      <c r="H210" s="24">
        <v>19</v>
      </c>
      <c r="I210" s="24">
        <v>26</v>
      </c>
      <c r="J210" s="24" t="s">
        <v>83</v>
      </c>
      <c r="K210" s="24" t="s">
        <v>72</v>
      </c>
    </row>
    <row r="211" spans="1:11" x14ac:dyDescent="0.2">
      <c r="A211" s="24" t="s">
        <v>138</v>
      </c>
      <c r="B211" s="24" t="s">
        <v>139</v>
      </c>
      <c r="C211" s="24">
        <v>2</v>
      </c>
      <c r="D211" s="24">
        <v>2008</v>
      </c>
      <c r="E211" s="24">
        <v>4</v>
      </c>
      <c r="F211" s="24" t="s">
        <v>74</v>
      </c>
      <c r="G211" s="24" t="s">
        <v>71</v>
      </c>
      <c r="H211" s="24">
        <v>21</v>
      </c>
      <c r="I211" s="24">
        <v>29</v>
      </c>
      <c r="J211" s="24" t="s">
        <v>5</v>
      </c>
      <c r="K211" s="24" t="s">
        <v>72</v>
      </c>
    </row>
    <row r="212" spans="1:11" x14ac:dyDescent="0.2">
      <c r="A212" s="24" t="s">
        <v>138</v>
      </c>
      <c r="B212" s="24" t="s">
        <v>139</v>
      </c>
      <c r="C212" s="24">
        <v>2</v>
      </c>
      <c r="D212" s="24">
        <v>2008</v>
      </c>
      <c r="E212" s="24">
        <v>4</v>
      </c>
      <c r="F212" s="24" t="s">
        <v>77</v>
      </c>
      <c r="G212" s="24" t="s">
        <v>71</v>
      </c>
      <c r="H212" s="24">
        <v>22</v>
      </c>
      <c r="I212" s="24">
        <v>29</v>
      </c>
      <c r="J212" s="24" t="s">
        <v>5</v>
      </c>
      <c r="K212" s="24" t="s">
        <v>72</v>
      </c>
    </row>
    <row r="213" spans="1:11" x14ac:dyDescent="0.2">
      <c r="A213" s="24" t="s">
        <v>138</v>
      </c>
      <c r="B213" s="24" t="s">
        <v>139</v>
      </c>
      <c r="C213" s="24">
        <v>2.8</v>
      </c>
      <c r="D213" s="24">
        <v>1999</v>
      </c>
      <c r="E213" s="24">
        <v>6</v>
      </c>
      <c r="F213" s="24" t="s">
        <v>73</v>
      </c>
      <c r="G213" s="24" t="s">
        <v>71</v>
      </c>
      <c r="H213" s="24">
        <v>17</v>
      </c>
      <c r="I213" s="24">
        <v>24</v>
      </c>
      <c r="J213" s="24" t="s">
        <v>83</v>
      </c>
      <c r="K213" s="24" t="s">
        <v>72</v>
      </c>
    </row>
    <row r="214" spans="1:11" x14ac:dyDescent="0.2">
      <c r="A214" s="24" t="s">
        <v>138</v>
      </c>
      <c r="B214" s="24" t="s">
        <v>140</v>
      </c>
      <c r="C214" s="24">
        <v>1.9</v>
      </c>
      <c r="D214" s="24">
        <v>1999</v>
      </c>
      <c r="E214" s="24">
        <v>4</v>
      </c>
      <c r="F214" s="24" t="s">
        <v>73</v>
      </c>
      <c r="G214" s="24" t="s">
        <v>71</v>
      </c>
      <c r="H214" s="24">
        <v>33</v>
      </c>
      <c r="I214" s="24">
        <v>44</v>
      </c>
      <c r="J214" s="24" t="s">
        <v>89</v>
      </c>
      <c r="K214" s="24" t="s">
        <v>72</v>
      </c>
    </row>
    <row r="215" spans="1:11" x14ac:dyDescent="0.2">
      <c r="A215" s="24" t="s">
        <v>138</v>
      </c>
      <c r="B215" s="24" t="s">
        <v>140</v>
      </c>
      <c r="C215" s="24">
        <v>2</v>
      </c>
      <c r="D215" s="24">
        <v>1999</v>
      </c>
      <c r="E215" s="24">
        <v>4</v>
      </c>
      <c r="F215" s="24" t="s">
        <v>73</v>
      </c>
      <c r="G215" s="24" t="s">
        <v>71</v>
      </c>
      <c r="H215" s="24">
        <v>21</v>
      </c>
      <c r="I215" s="24">
        <v>29</v>
      </c>
      <c r="J215" s="24" t="s">
        <v>83</v>
      </c>
      <c r="K215" s="24" t="s">
        <v>72</v>
      </c>
    </row>
    <row r="216" spans="1:11" x14ac:dyDescent="0.2">
      <c r="A216" s="24" t="s">
        <v>138</v>
      </c>
      <c r="B216" s="24" t="s">
        <v>140</v>
      </c>
      <c r="C216" s="24">
        <v>2</v>
      </c>
      <c r="D216" s="24">
        <v>1999</v>
      </c>
      <c r="E216" s="24">
        <v>4</v>
      </c>
      <c r="F216" s="24" t="s">
        <v>82</v>
      </c>
      <c r="G216" s="24" t="s">
        <v>71</v>
      </c>
      <c r="H216" s="24">
        <v>19</v>
      </c>
      <c r="I216" s="24">
        <v>26</v>
      </c>
      <c r="J216" s="24" t="s">
        <v>83</v>
      </c>
      <c r="K216" s="24" t="s">
        <v>72</v>
      </c>
    </row>
    <row r="217" spans="1:11" x14ac:dyDescent="0.2">
      <c r="A217" s="24" t="s">
        <v>138</v>
      </c>
      <c r="B217" s="24" t="s">
        <v>140</v>
      </c>
      <c r="C217" s="24">
        <v>2</v>
      </c>
      <c r="D217" s="24">
        <v>2008</v>
      </c>
      <c r="E217" s="24">
        <v>4</v>
      </c>
      <c r="F217" s="24" t="s">
        <v>77</v>
      </c>
      <c r="G217" s="24" t="s">
        <v>71</v>
      </c>
      <c r="H217" s="24">
        <v>22</v>
      </c>
      <c r="I217" s="24">
        <v>29</v>
      </c>
      <c r="J217" s="24" t="s">
        <v>5</v>
      </c>
      <c r="K217" s="24" t="s">
        <v>72</v>
      </c>
    </row>
    <row r="218" spans="1:11" x14ac:dyDescent="0.2">
      <c r="A218" s="24" t="s">
        <v>138</v>
      </c>
      <c r="B218" s="24" t="s">
        <v>140</v>
      </c>
      <c r="C218" s="24">
        <v>2</v>
      </c>
      <c r="D218" s="24">
        <v>2008</v>
      </c>
      <c r="E218" s="24">
        <v>4</v>
      </c>
      <c r="F218" s="24" t="s">
        <v>74</v>
      </c>
      <c r="G218" s="24" t="s">
        <v>71</v>
      </c>
      <c r="H218" s="24">
        <v>21</v>
      </c>
      <c r="I218" s="24">
        <v>29</v>
      </c>
      <c r="J218" s="24" t="s">
        <v>5</v>
      </c>
      <c r="K218" s="24" t="s">
        <v>72</v>
      </c>
    </row>
    <row r="219" spans="1:11" x14ac:dyDescent="0.2">
      <c r="A219" s="24" t="s">
        <v>138</v>
      </c>
      <c r="B219" s="24" t="s">
        <v>140</v>
      </c>
      <c r="C219" s="24">
        <v>2.5</v>
      </c>
      <c r="D219" s="24">
        <v>2008</v>
      </c>
      <c r="E219" s="24">
        <v>5</v>
      </c>
      <c r="F219" s="24" t="s">
        <v>77</v>
      </c>
      <c r="G219" s="24" t="s">
        <v>71</v>
      </c>
      <c r="H219" s="24">
        <v>21</v>
      </c>
      <c r="I219" s="24">
        <v>29</v>
      </c>
      <c r="J219" s="24" t="s">
        <v>83</v>
      </c>
      <c r="K219" s="24" t="s">
        <v>72</v>
      </c>
    </row>
    <row r="220" spans="1:11" x14ac:dyDescent="0.2">
      <c r="A220" s="24" t="s">
        <v>138</v>
      </c>
      <c r="B220" s="24" t="s">
        <v>140</v>
      </c>
      <c r="C220" s="24">
        <v>2.5</v>
      </c>
      <c r="D220" s="24">
        <v>2008</v>
      </c>
      <c r="E220" s="24">
        <v>5</v>
      </c>
      <c r="F220" s="24" t="s">
        <v>73</v>
      </c>
      <c r="G220" s="24" t="s">
        <v>71</v>
      </c>
      <c r="H220" s="24">
        <v>21</v>
      </c>
      <c r="I220" s="24">
        <v>29</v>
      </c>
      <c r="J220" s="24" t="s">
        <v>83</v>
      </c>
      <c r="K220" s="24" t="s">
        <v>72</v>
      </c>
    </row>
    <row r="221" spans="1:11" x14ac:dyDescent="0.2">
      <c r="A221" s="24" t="s">
        <v>138</v>
      </c>
      <c r="B221" s="24" t="s">
        <v>140</v>
      </c>
      <c r="C221" s="24">
        <v>2.8</v>
      </c>
      <c r="D221" s="24">
        <v>1999</v>
      </c>
      <c r="E221" s="24">
        <v>6</v>
      </c>
      <c r="F221" s="24" t="s">
        <v>82</v>
      </c>
      <c r="G221" s="24" t="s">
        <v>71</v>
      </c>
      <c r="H221" s="24">
        <v>16</v>
      </c>
      <c r="I221" s="24">
        <v>23</v>
      </c>
      <c r="J221" s="24" t="s">
        <v>83</v>
      </c>
      <c r="K221" s="24" t="s">
        <v>72</v>
      </c>
    </row>
    <row r="222" spans="1:11" x14ac:dyDescent="0.2">
      <c r="A222" s="24" t="s">
        <v>138</v>
      </c>
      <c r="B222" s="24" t="s">
        <v>140</v>
      </c>
      <c r="C222" s="24">
        <v>2.8</v>
      </c>
      <c r="D222" s="24">
        <v>1999</v>
      </c>
      <c r="E222" s="24">
        <v>6</v>
      </c>
      <c r="F222" s="24" t="s">
        <v>73</v>
      </c>
      <c r="G222" s="24" t="s">
        <v>71</v>
      </c>
      <c r="H222" s="24">
        <v>17</v>
      </c>
      <c r="I222" s="24">
        <v>24</v>
      </c>
      <c r="J222" s="24" t="s">
        <v>83</v>
      </c>
      <c r="K222" s="24" t="s">
        <v>72</v>
      </c>
    </row>
    <row r="223" spans="1:11" x14ac:dyDescent="0.2">
      <c r="A223" s="24" t="s">
        <v>138</v>
      </c>
      <c r="B223" s="24" t="s">
        <v>141</v>
      </c>
      <c r="C223" s="24">
        <v>1.9</v>
      </c>
      <c r="D223" s="24">
        <v>1999</v>
      </c>
      <c r="E223" s="24">
        <v>4</v>
      </c>
      <c r="F223" s="24" t="s">
        <v>73</v>
      </c>
      <c r="G223" s="24" t="s">
        <v>71</v>
      </c>
      <c r="H223" s="24">
        <v>35</v>
      </c>
      <c r="I223" s="24">
        <v>44</v>
      </c>
      <c r="J223" s="24" t="s">
        <v>89</v>
      </c>
      <c r="K223" s="24" t="s">
        <v>105</v>
      </c>
    </row>
    <row r="224" spans="1:11" x14ac:dyDescent="0.2">
      <c r="A224" s="24" t="s">
        <v>138</v>
      </c>
      <c r="B224" s="24" t="s">
        <v>141</v>
      </c>
      <c r="C224" s="24">
        <v>1.9</v>
      </c>
      <c r="D224" s="24">
        <v>1999</v>
      </c>
      <c r="E224" s="24">
        <v>4</v>
      </c>
      <c r="F224" s="24" t="s">
        <v>82</v>
      </c>
      <c r="G224" s="24" t="s">
        <v>71</v>
      </c>
      <c r="H224" s="24">
        <v>29</v>
      </c>
      <c r="I224" s="24">
        <v>41</v>
      </c>
      <c r="J224" s="24" t="s">
        <v>89</v>
      </c>
      <c r="K224" s="24" t="s">
        <v>105</v>
      </c>
    </row>
    <row r="225" spans="1:11" x14ac:dyDescent="0.2">
      <c r="A225" s="24" t="s">
        <v>138</v>
      </c>
      <c r="B225" s="24" t="s">
        <v>141</v>
      </c>
      <c r="C225" s="24">
        <v>2</v>
      </c>
      <c r="D225" s="24">
        <v>1999</v>
      </c>
      <c r="E225" s="24">
        <v>4</v>
      </c>
      <c r="F225" s="24" t="s">
        <v>73</v>
      </c>
      <c r="G225" s="24" t="s">
        <v>71</v>
      </c>
      <c r="H225" s="24">
        <v>21</v>
      </c>
      <c r="I225" s="24">
        <v>29</v>
      </c>
      <c r="J225" s="24" t="s">
        <v>83</v>
      </c>
      <c r="K225" s="24" t="s">
        <v>105</v>
      </c>
    </row>
    <row r="226" spans="1:11" x14ac:dyDescent="0.2">
      <c r="A226" s="24" t="s">
        <v>138</v>
      </c>
      <c r="B226" s="24" t="s">
        <v>141</v>
      </c>
      <c r="C226" s="24">
        <v>2</v>
      </c>
      <c r="D226" s="24">
        <v>1999</v>
      </c>
      <c r="E226" s="24">
        <v>4</v>
      </c>
      <c r="F226" s="24" t="s">
        <v>82</v>
      </c>
      <c r="G226" s="24" t="s">
        <v>71</v>
      </c>
      <c r="H226" s="24">
        <v>19</v>
      </c>
      <c r="I226" s="24">
        <v>26</v>
      </c>
      <c r="J226" s="24" t="s">
        <v>83</v>
      </c>
      <c r="K226" s="24" t="s">
        <v>105</v>
      </c>
    </row>
    <row r="227" spans="1:11" x14ac:dyDescent="0.2">
      <c r="A227" s="24" t="s">
        <v>138</v>
      </c>
      <c r="B227" s="24" t="s">
        <v>141</v>
      </c>
      <c r="C227" s="24">
        <v>2.5</v>
      </c>
      <c r="D227" s="24">
        <v>2008</v>
      </c>
      <c r="E227" s="24">
        <v>5</v>
      </c>
      <c r="F227" s="24" t="s">
        <v>73</v>
      </c>
      <c r="G227" s="24" t="s">
        <v>71</v>
      </c>
      <c r="H227" s="24">
        <v>20</v>
      </c>
      <c r="I227" s="24">
        <v>28</v>
      </c>
      <c r="J227" s="24" t="s">
        <v>83</v>
      </c>
      <c r="K227" s="24" t="s">
        <v>105</v>
      </c>
    </row>
    <row r="228" spans="1:11" x14ac:dyDescent="0.2">
      <c r="A228" s="24" t="s">
        <v>138</v>
      </c>
      <c r="B228" s="24" t="s">
        <v>141</v>
      </c>
      <c r="C228" s="24">
        <v>2.5</v>
      </c>
      <c r="D228" s="24">
        <v>2008</v>
      </c>
      <c r="E228" s="24">
        <v>5</v>
      </c>
      <c r="F228" s="24" t="s">
        <v>77</v>
      </c>
      <c r="G228" s="24" t="s">
        <v>71</v>
      </c>
      <c r="H228" s="24">
        <v>20</v>
      </c>
      <c r="I228" s="24">
        <v>29</v>
      </c>
      <c r="J228" s="24" t="s">
        <v>83</v>
      </c>
      <c r="K228" s="24" t="s">
        <v>105</v>
      </c>
    </row>
    <row r="229" spans="1:11" x14ac:dyDescent="0.2">
      <c r="A229" s="24" t="s">
        <v>138</v>
      </c>
      <c r="B229" s="24" t="s">
        <v>142</v>
      </c>
      <c r="C229" s="24">
        <v>1.8</v>
      </c>
      <c r="D229" s="24">
        <v>1999</v>
      </c>
      <c r="E229" s="24">
        <v>4</v>
      </c>
      <c r="F229" s="24" t="s">
        <v>73</v>
      </c>
      <c r="G229" s="24" t="s">
        <v>71</v>
      </c>
      <c r="H229" s="24">
        <v>21</v>
      </c>
      <c r="I229" s="24">
        <v>29</v>
      </c>
      <c r="J229" s="24" t="s">
        <v>5</v>
      </c>
      <c r="K229" s="24" t="s">
        <v>79</v>
      </c>
    </row>
    <row r="230" spans="1:11" x14ac:dyDescent="0.2">
      <c r="A230" s="24" t="s">
        <v>138</v>
      </c>
      <c r="B230" s="24" t="s">
        <v>142</v>
      </c>
      <c r="C230" s="24">
        <v>1.8</v>
      </c>
      <c r="D230" s="24">
        <v>1999</v>
      </c>
      <c r="E230" s="24">
        <v>4</v>
      </c>
      <c r="F230" s="24" t="s">
        <v>70</v>
      </c>
      <c r="G230" s="24" t="s">
        <v>71</v>
      </c>
      <c r="H230" s="24">
        <v>18</v>
      </c>
      <c r="I230" s="24">
        <v>29</v>
      </c>
      <c r="J230" s="24" t="s">
        <v>5</v>
      </c>
      <c r="K230" s="24" t="s">
        <v>79</v>
      </c>
    </row>
    <row r="231" spans="1:11" x14ac:dyDescent="0.2">
      <c r="A231" s="24" t="s">
        <v>138</v>
      </c>
      <c r="B231" s="24" t="s">
        <v>142</v>
      </c>
      <c r="C231" s="24">
        <v>2</v>
      </c>
      <c r="D231" s="24">
        <v>2008</v>
      </c>
      <c r="E231" s="24">
        <v>4</v>
      </c>
      <c r="F231" s="24" t="s">
        <v>77</v>
      </c>
      <c r="G231" s="24" t="s">
        <v>71</v>
      </c>
      <c r="H231" s="24">
        <v>19</v>
      </c>
      <c r="I231" s="24">
        <v>28</v>
      </c>
      <c r="J231" s="24" t="s">
        <v>5</v>
      </c>
      <c r="K231" s="24" t="s">
        <v>79</v>
      </c>
    </row>
    <row r="232" spans="1:11" x14ac:dyDescent="0.2">
      <c r="A232" s="24" t="s">
        <v>138</v>
      </c>
      <c r="B232" s="24" t="s">
        <v>142</v>
      </c>
      <c r="C232" s="24">
        <v>2</v>
      </c>
      <c r="D232" s="24">
        <v>2008</v>
      </c>
      <c r="E232" s="24">
        <v>4</v>
      </c>
      <c r="F232" s="24" t="s">
        <v>74</v>
      </c>
      <c r="G232" s="24" t="s">
        <v>71</v>
      </c>
      <c r="H232" s="24">
        <v>21</v>
      </c>
      <c r="I232" s="24">
        <v>29</v>
      </c>
      <c r="J232" s="24" t="s">
        <v>5</v>
      </c>
      <c r="K232" s="24" t="s">
        <v>79</v>
      </c>
    </row>
    <row r="233" spans="1:11" x14ac:dyDescent="0.2">
      <c r="A233" s="24" t="s">
        <v>138</v>
      </c>
      <c r="B233" s="24" t="s">
        <v>142</v>
      </c>
      <c r="C233" s="24">
        <v>2.8</v>
      </c>
      <c r="D233" s="24">
        <v>1999</v>
      </c>
      <c r="E233" s="24">
        <v>6</v>
      </c>
      <c r="F233" s="24" t="s">
        <v>70</v>
      </c>
      <c r="G233" s="24" t="s">
        <v>71</v>
      </c>
      <c r="H233" s="24">
        <v>16</v>
      </c>
      <c r="I233" s="24">
        <v>26</v>
      </c>
      <c r="J233" s="24" t="s">
        <v>5</v>
      </c>
      <c r="K233" s="24" t="s">
        <v>79</v>
      </c>
    </row>
    <row r="234" spans="1:11" x14ac:dyDescent="0.2">
      <c r="A234" s="24" t="s">
        <v>138</v>
      </c>
      <c r="B234" s="24" t="s">
        <v>142</v>
      </c>
      <c r="C234" s="24">
        <v>2.8</v>
      </c>
      <c r="D234" s="24">
        <v>1999</v>
      </c>
      <c r="E234" s="24">
        <v>6</v>
      </c>
      <c r="F234" s="24" t="s">
        <v>73</v>
      </c>
      <c r="G234" s="24" t="s">
        <v>71</v>
      </c>
      <c r="H234" s="24">
        <v>18</v>
      </c>
      <c r="I234" s="24">
        <v>26</v>
      </c>
      <c r="J234" s="24" t="s">
        <v>5</v>
      </c>
      <c r="K234" s="24" t="s">
        <v>79</v>
      </c>
    </row>
    <row r="235" spans="1:11" x14ac:dyDescent="0.2">
      <c r="A235" s="24" t="s">
        <v>138</v>
      </c>
      <c r="B235" s="24" t="s">
        <v>142</v>
      </c>
      <c r="C235" s="24">
        <v>3.6</v>
      </c>
      <c r="D235" s="24">
        <v>2008</v>
      </c>
      <c r="E235" s="24">
        <v>6</v>
      </c>
      <c r="F235" s="24" t="s">
        <v>77</v>
      </c>
      <c r="G235" s="24" t="s">
        <v>71</v>
      </c>
      <c r="H235" s="24">
        <v>17</v>
      </c>
      <c r="I235" s="24">
        <v>26</v>
      </c>
      <c r="J235" s="24" t="s">
        <v>5</v>
      </c>
      <c r="K235" s="24" t="s">
        <v>79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2" x14ac:dyDescent="0.2">
      <c r="A1" s="24" t="s">
        <v>64</v>
      </c>
      <c r="B1" s="24" t="s">
        <v>143</v>
      </c>
      <c r="C1" s="24"/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</row>
    <row r="2" spans="1:12" x14ac:dyDescent="0.2">
      <c r="A2" s="24">
        <v>18</v>
      </c>
      <c r="B2" s="24">
        <v>1</v>
      </c>
      <c r="C2" s="24"/>
      <c r="D2" s="25" cm="1">
        <f t="array" ref="D2:D235">TREND(A2:A235,B2:B235,B2:B235,FALSE)</f>
        <v>16.858974358974358</v>
      </c>
      <c r="E2" s="25">
        <f>D2-A2</f>
        <v>-1.1410256410256423</v>
      </c>
      <c r="F2" s="25">
        <f>STDEV(E2:E235)</f>
        <v>4.2559456788893932</v>
      </c>
      <c r="G2" s="25">
        <f>_xlfn.NORM.DIST(E2,0,$F$2,FALSE)</f>
        <v>9.0428595220514676E-2</v>
      </c>
      <c r="H2" s="25" cm="1">
        <f t="array" ref="H2">SUM(LN(G2:G235))</f>
        <v>-670.43779208802937</v>
      </c>
      <c r="I2" s="25">
        <f>COUNT(A2:A235)</f>
        <v>234</v>
      </c>
      <c r="J2" s="25">
        <v>1</v>
      </c>
      <c r="K2" s="25">
        <f>-2*H2+2*J2</f>
        <v>1342.8755841760587</v>
      </c>
      <c r="L2" s="25"/>
    </row>
    <row r="3" spans="1:12" x14ac:dyDescent="0.2">
      <c r="A3" s="24">
        <v>21</v>
      </c>
      <c r="B3" s="24">
        <v>1</v>
      </c>
      <c r="C3" s="24"/>
      <c r="D3" s="25">
        <v>16.858974358974358</v>
      </c>
      <c r="E3" s="25">
        <f t="shared" ref="E3:E66" si="0">D3-A3</f>
        <v>-4.1410256410256423</v>
      </c>
      <c r="G3" s="25">
        <f t="shared" ref="G3:G66" si="1">_xlfn.NORM.DIST(E3,0,$F$2,FALSE)</f>
        <v>5.8389578885814829E-2</v>
      </c>
      <c r="L3" s="25"/>
    </row>
    <row r="4" spans="1:12" x14ac:dyDescent="0.2">
      <c r="A4" s="24">
        <v>20</v>
      </c>
      <c r="B4" s="24">
        <v>1</v>
      </c>
      <c r="C4" s="24"/>
      <c r="D4" s="25">
        <v>16.858974358974358</v>
      </c>
      <c r="E4" s="25">
        <f t="shared" si="0"/>
        <v>-3.1410256410256423</v>
      </c>
      <c r="G4" s="25">
        <f t="shared" si="1"/>
        <v>7.138971945227178E-2</v>
      </c>
      <c r="H4" s="25" t="s">
        <v>151</v>
      </c>
      <c r="I4" s="25" t="s">
        <v>152</v>
      </c>
      <c r="L4" s="25"/>
    </row>
    <row r="5" spans="1:12" x14ac:dyDescent="0.2">
      <c r="A5" s="24">
        <v>21</v>
      </c>
      <c r="B5" s="24">
        <v>1</v>
      </c>
      <c r="C5" s="24"/>
      <c r="D5" s="25">
        <v>16.858974358974358</v>
      </c>
      <c r="E5" s="25">
        <f t="shared" si="0"/>
        <v>-4.1410256410256423</v>
      </c>
      <c r="G5" s="25">
        <f t="shared" si="1"/>
        <v>5.8389578885814829E-2</v>
      </c>
      <c r="H5" s="25">
        <f>SUMSQ(E2:E235)</f>
        <v>4220.3461538461506</v>
      </c>
      <c r="I5" s="25">
        <f>H5/I2</f>
        <v>18.035667324128848</v>
      </c>
      <c r="L5" s="25"/>
    </row>
    <row r="6" spans="1:12" x14ac:dyDescent="0.2">
      <c r="A6" s="24">
        <v>16</v>
      </c>
      <c r="B6" s="24">
        <v>1</v>
      </c>
      <c r="C6" s="24"/>
      <c r="D6" s="25">
        <v>16.858974358974358</v>
      </c>
      <c r="E6" s="25">
        <f t="shared" si="0"/>
        <v>0.8589743589743577</v>
      </c>
      <c r="G6" s="25">
        <f t="shared" si="1"/>
        <v>9.1847742433773194E-2</v>
      </c>
      <c r="L6" s="25"/>
    </row>
    <row r="7" spans="1:12" x14ac:dyDescent="0.2">
      <c r="A7" s="24">
        <v>18</v>
      </c>
      <c r="B7" s="24">
        <v>1</v>
      </c>
      <c r="C7" s="24"/>
      <c r="D7" s="25">
        <v>16.858974358974358</v>
      </c>
      <c r="E7" s="25">
        <f t="shared" si="0"/>
        <v>-1.1410256410256423</v>
      </c>
      <c r="G7" s="25">
        <f t="shared" si="1"/>
        <v>9.0428595220514676E-2</v>
      </c>
      <c r="H7" s="25" t="s">
        <v>154</v>
      </c>
      <c r="K7" s="25" t="s">
        <v>156</v>
      </c>
      <c r="L7" s="25"/>
    </row>
    <row r="8" spans="1:12" x14ac:dyDescent="0.2">
      <c r="A8" s="24">
        <v>18</v>
      </c>
      <c r="B8" s="24">
        <v>1</v>
      </c>
      <c r="C8" s="24"/>
      <c r="D8" s="25">
        <v>16.858974358974358</v>
      </c>
      <c r="E8" s="25">
        <f t="shared" si="0"/>
        <v>-1.1410256410256423</v>
      </c>
      <c r="G8" s="25">
        <f t="shared" si="1"/>
        <v>9.0428595220514676E-2</v>
      </c>
      <c r="H8" s="25">
        <f>I2*LN(I5)</f>
        <v>676.81020777694471</v>
      </c>
      <c r="K8" s="25">
        <f>H8+2*J2</f>
        <v>678.81020777694471</v>
      </c>
      <c r="L8" s="25"/>
    </row>
    <row r="9" spans="1:12" x14ac:dyDescent="0.2">
      <c r="A9" s="24">
        <v>18</v>
      </c>
      <c r="B9" s="24">
        <v>1</v>
      </c>
      <c r="C9" s="24"/>
      <c r="D9" s="25">
        <v>16.858974358974358</v>
      </c>
      <c r="E9" s="25">
        <f t="shared" si="0"/>
        <v>-1.1410256410256423</v>
      </c>
      <c r="G9" s="25">
        <f t="shared" si="1"/>
        <v>9.0428595220514676E-2</v>
      </c>
      <c r="L9" s="25"/>
    </row>
    <row r="10" spans="1:12" x14ac:dyDescent="0.2">
      <c r="A10" s="24">
        <v>16</v>
      </c>
      <c r="B10" s="24">
        <v>1</v>
      </c>
      <c r="C10" s="24"/>
      <c r="D10" s="25">
        <v>16.858974358974358</v>
      </c>
      <c r="E10" s="25">
        <f t="shared" si="0"/>
        <v>0.8589743589743577</v>
      </c>
      <c r="G10" s="25">
        <f t="shared" si="1"/>
        <v>9.1847742433773194E-2</v>
      </c>
      <c r="H10" s="25" t="s">
        <v>155</v>
      </c>
      <c r="L10" s="25"/>
    </row>
    <row r="11" spans="1:12" x14ac:dyDescent="0.2">
      <c r="A11" s="24">
        <v>20</v>
      </c>
      <c r="B11" s="24">
        <v>1</v>
      </c>
      <c r="C11" s="24"/>
      <c r="D11" s="25">
        <v>16.858974358974358</v>
      </c>
      <c r="E11" s="25">
        <f t="shared" si="0"/>
        <v>-3.1410256410256423</v>
      </c>
      <c r="G11" s="25">
        <f t="shared" si="1"/>
        <v>7.138971945227178E-2</v>
      </c>
      <c r="H11" s="25">
        <f>I2*LN(2*PI())</f>
        <v>430.06323353978684</v>
      </c>
      <c r="L11" s="25"/>
    </row>
    <row r="12" spans="1:12" x14ac:dyDescent="0.2">
      <c r="A12" s="24">
        <v>19</v>
      </c>
      <c r="B12" s="24">
        <v>1</v>
      </c>
      <c r="C12" s="24"/>
      <c r="D12" s="25">
        <v>16.858974358974358</v>
      </c>
      <c r="E12" s="25">
        <f t="shared" si="0"/>
        <v>-2.1410256410256423</v>
      </c>
      <c r="G12" s="25">
        <f t="shared" si="1"/>
        <v>8.2596026638649928E-2</v>
      </c>
      <c r="L12" s="25"/>
    </row>
    <row r="13" spans="1:12" x14ac:dyDescent="0.2">
      <c r="A13" s="24">
        <v>15</v>
      </c>
      <c r="B13" s="24">
        <v>1</v>
      </c>
      <c r="C13" s="24"/>
      <c r="D13" s="25">
        <v>16.858974358974358</v>
      </c>
      <c r="E13" s="25">
        <f t="shared" si="0"/>
        <v>1.8589743589743577</v>
      </c>
      <c r="G13" s="25">
        <f t="shared" si="1"/>
        <v>8.5208821600122359E-2</v>
      </c>
      <c r="H13" s="25" t="s">
        <v>153</v>
      </c>
      <c r="K13" s="25" t="s">
        <v>149</v>
      </c>
      <c r="L13" s="25"/>
    </row>
    <row r="14" spans="1:12" x14ac:dyDescent="0.2">
      <c r="A14" s="24">
        <v>17</v>
      </c>
      <c r="B14" s="24">
        <v>1</v>
      </c>
      <c r="C14" s="24"/>
      <c r="D14" s="25">
        <v>16.858974358974358</v>
      </c>
      <c r="E14" s="25">
        <f t="shared" si="0"/>
        <v>-0.1410256410256423</v>
      </c>
      <c r="G14" s="25">
        <f t="shared" si="1"/>
        <v>9.3686186441259228E-2</v>
      </c>
      <c r="H14" s="25">
        <f>H8+H11+I2</f>
        <v>1340.8734413167315</v>
      </c>
      <c r="K14" s="25">
        <f>H14+2*J2</f>
        <v>1342.8734413167315</v>
      </c>
      <c r="L14" s="25"/>
    </row>
    <row r="15" spans="1:12" x14ac:dyDescent="0.2">
      <c r="A15" s="24">
        <v>17</v>
      </c>
      <c r="B15" s="24">
        <v>1</v>
      </c>
      <c r="C15" s="24"/>
      <c r="D15" s="25">
        <v>16.858974358974358</v>
      </c>
      <c r="E15" s="25">
        <f t="shared" si="0"/>
        <v>-0.1410256410256423</v>
      </c>
      <c r="G15" s="25">
        <f t="shared" si="1"/>
        <v>9.3686186441259228E-2</v>
      </c>
      <c r="L15" s="25"/>
    </row>
    <row r="16" spans="1:12" x14ac:dyDescent="0.2">
      <c r="A16" s="24">
        <v>15</v>
      </c>
      <c r="B16" s="24">
        <v>1</v>
      </c>
      <c r="C16" s="24"/>
      <c r="D16" s="25">
        <v>16.858974358974358</v>
      </c>
      <c r="E16" s="25">
        <f t="shared" si="0"/>
        <v>1.8589743589743577</v>
      </c>
      <c r="G16" s="25">
        <f t="shared" si="1"/>
        <v>8.5208821600122359E-2</v>
      </c>
      <c r="L16" s="25"/>
    </row>
    <row r="17" spans="1:12" x14ac:dyDescent="0.2">
      <c r="A17" s="24">
        <v>15</v>
      </c>
      <c r="B17" s="24">
        <v>1</v>
      </c>
      <c r="C17" s="24"/>
      <c r="D17" s="25">
        <v>16.858974358974358</v>
      </c>
      <c r="E17" s="25">
        <f t="shared" si="0"/>
        <v>1.8589743589743577</v>
      </c>
      <c r="G17" s="25">
        <f t="shared" si="1"/>
        <v>8.5208821600122359E-2</v>
      </c>
      <c r="L17" s="25"/>
    </row>
    <row r="18" spans="1:12" x14ac:dyDescent="0.2">
      <c r="A18" s="24">
        <v>17</v>
      </c>
      <c r="B18" s="24">
        <v>1</v>
      </c>
      <c r="C18" s="24"/>
      <c r="D18" s="25">
        <v>16.858974358974358</v>
      </c>
      <c r="E18" s="25">
        <f t="shared" si="0"/>
        <v>-0.1410256410256423</v>
      </c>
      <c r="G18" s="25">
        <f t="shared" si="1"/>
        <v>9.3686186441259228E-2</v>
      </c>
      <c r="L18" s="25"/>
    </row>
    <row r="19" spans="1:12" x14ac:dyDescent="0.2">
      <c r="A19" s="24">
        <v>16</v>
      </c>
      <c r="B19" s="24">
        <v>1</v>
      </c>
      <c r="C19" s="24"/>
      <c r="D19" s="25">
        <v>16.858974358974358</v>
      </c>
      <c r="E19" s="25">
        <f t="shared" si="0"/>
        <v>0.8589743589743577</v>
      </c>
      <c r="G19" s="25">
        <f t="shared" si="1"/>
        <v>9.1847742433773194E-2</v>
      </c>
      <c r="L19" s="25"/>
    </row>
    <row r="20" spans="1:12" x14ac:dyDescent="0.2">
      <c r="A20" s="24">
        <v>14</v>
      </c>
      <c r="B20" s="24">
        <v>1</v>
      </c>
      <c r="C20" s="24"/>
      <c r="D20" s="25">
        <v>16.858974358974358</v>
      </c>
      <c r="E20" s="25">
        <f t="shared" si="0"/>
        <v>2.8589743589743577</v>
      </c>
      <c r="G20" s="25">
        <f t="shared" si="1"/>
        <v>7.4803820711623142E-2</v>
      </c>
      <c r="L20" s="25"/>
    </row>
    <row r="21" spans="1:12" x14ac:dyDescent="0.2">
      <c r="A21" s="24">
        <v>11</v>
      </c>
      <c r="B21" s="24">
        <v>1</v>
      </c>
      <c r="C21" s="24"/>
      <c r="D21" s="25">
        <v>16.858974358974358</v>
      </c>
      <c r="E21" s="25">
        <f t="shared" si="0"/>
        <v>5.8589743589743577</v>
      </c>
      <c r="G21" s="25">
        <f t="shared" si="1"/>
        <v>3.6339616015446226E-2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/>
      <c r="D22" s="25">
        <v>16.858974358974358</v>
      </c>
      <c r="E22" s="25">
        <f t="shared" si="0"/>
        <v>2.8589743589743577</v>
      </c>
      <c r="G22" s="25">
        <f t="shared" si="1"/>
        <v>7.4803820711623142E-2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/>
      <c r="D23" s="25">
        <v>16.858974358974358</v>
      </c>
      <c r="E23" s="25">
        <f t="shared" si="0"/>
        <v>3.8589743589743577</v>
      </c>
      <c r="G23" s="25">
        <f t="shared" si="1"/>
        <v>6.2142132155231941E-2</v>
      </c>
      <c r="J23" s="37"/>
      <c r="K23" s="43" t="s">
        <v>272</v>
      </c>
      <c r="L23" s="39"/>
    </row>
    <row r="24" spans="1:12" x14ac:dyDescent="0.2">
      <c r="A24" s="24">
        <v>12</v>
      </c>
      <c r="B24" s="24">
        <v>1</v>
      </c>
      <c r="C24" s="24"/>
      <c r="D24" s="25">
        <v>16.858974358974358</v>
      </c>
      <c r="E24" s="25">
        <f t="shared" si="0"/>
        <v>4.8589743589743577</v>
      </c>
      <c r="G24" s="25">
        <f t="shared" si="1"/>
        <v>4.8850798619149906E-2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/>
      <c r="D25" s="25">
        <v>16.858974358974358</v>
      </c>
      <c r="E25" s="25">
        <f t="shared" si="0"/>
        <v>0.8589743589743577</v>
      </c>
      <c r="G25" s="25">
        <f t="shared" si="1"/>
        <v>9.1847742433773194E-2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/>
      <c r="D26" s="25">
        <v>16.858974358974358</v>
      </c>
      <c r="E26" s="25">
        <f t="shared" si="0"/>
        <v>1.8589743589743577</v>
      </c>
      <c r="G26" s="25">
        <f t="shared" si="1"/>
        <v>8.5208821600122359E-2</v>
      </c>
      <c r="L26" s="25"/>
    </row>
    <row r="27" spans="1:12" x14ac:dyDescent="0.2">
      <c r="A27" s="24">
        <v>16</v>
      </c>
      <c r="B27" s="24">
        <v>1</v>
      </c>
      <c r="C27" s="24"/>
      <c r="D27" s="25">
        <v>16.858974358974358</v>
      </c>
      <c r="E27" s="25">
        <f t="shared" si="0"/>
        <v>0.8589743589743577</v>
      </c>
      <c r="G27" s="25">
        <f t="shared" si="1"/>
        <v>9.1847742433773194E-2</v>
      </c>
      <c r="L27" s="25"/>
    </row>
    <row r="28" spans="1:12" x14ac:dyDescent="0.2">
      <c r="A28" s="24">
        <v>15</v>
      </c>
      <c r="B28" s="24">
        <v>1</v>
      </c>
      <c r="C28" s="24"/>
      <c r="D28" s="25">
        <v>16.858974358974358</v>
      </c>
      <c r="E28" s="25">
        <f t="shared" si="0"/>
        <v>1.8589743589743577</v>
      </c>
      <c r="G28" s="25">
        <f t="shared" si="1"/>
        <v>8.5208821600122359E-2</v>
      </c>
      <c r="L28" s="25"/>
    </row>
    <row r="29" spans="1:12" x14ac:dyDescent="0.2">
      <c r="A29" s="24">
        <v>15</v>
      </c>
      <c r="B29" s="24">
        <v>1</v>
      </c>
      <c r="C29" s="24"/>
      <c r="D29" s="25">
        <v>16.858974358974358</v>
      </c>
      <c r="E29" s="25">
        <f t="shared" si="0"/>
        <v>1.8589743589743577</v>
      </c>
      <c r="G29" s="25">
        <f t="shared" si="1"/>
        <v>8.5208821600122359E-2</v>
      </c>
      <c r="L29" s="25"/>
    </row>
    <row r="30" spans="1:12" x14ac:dyDescent="0.2">
      <c r="A30" s="24">
        <v>14</v>
      </c>
      <c r="B30" s="24">
        <v>1</v>
      </c>
      <c r="C30" s="24"/>
      <c r="D30" s="25">
        <v>16.858974358974358</v>
      </c>
      <c r="E30" s="25">
        <f t="shared" si="0"/>
        <v>2.8589743589743577</v>
      </c>
      <c r="G30" s="25">
        <f t="shared" si="1"/>
        <v>7.4803820711623142E-2</v>
      </c>
      <c r="L30" s="25"/>
    </row>
    <row r="31" spans="1:12" x14ac:dyDescent="0.2">
      <c r="A31" s="24">
        <v>11</v>
      </c>
      <c r="B31" s="24">
        <v>1</v>
      </c>
      <c r="C31" s="24"/>
      <c r="D31" s="25">
        <v>16.858974358974358</v>
      </c>
      <c r="E31" s="25">
        <f t="shared" si="0"/>
        <v>5.8589743589743577</v>
      </c>
      <c r="G31" s="25">
        <f t="shared" si="1"/>
        <v>3.6339616015446226E-2</v>
      </c>
      <c r="L31" s="25"/>
    </row>
    <row r="32" spans="1:12" x14ac:dyDescent="0.2">
      <c r="A32" s="24">
        <v>11</v>
      </c>
      <c r="B32" s="24">
        <v>1</v>
      </c>
      <c r="C32" s="24"/>
      <c r="D32" s="25">
        <v>16.858974358974358</v>
      </c>
      <c r="E32" s="25">
        <f t="shared" si="0"/>
        <v>5.8589743589743577</v>
      </c>
      <c r="G32" s="25">
        <f t="shared" si="1"/>
        <v>3.6339616015446226E-2</v>
      </c>
      <c r="L32" s="25"/>
    </row>
    <row r="33" spans="1:12" x14ac:dyDescent="0.2">
      <c r="A33" s="24">
        <v>14</v>
      </c>
      <c r="B33" s="24">
        <v>1</v>
      </c>
      <c r="C33" s="24"/>
      <c r="D33" s="25">
        <v>16.858974358974358</v>
      </c>
      <c r="E33" s="25">
        <f t="shared" si="0"/>
        <v>2.8589743589743577</v>
      </c>
      <c r="G33" s="25">
        <f t="shared" si="1"/>
        <v>7.4803820711623142E-2</v>
      </c>
      <c r="L33" s="25"/>
    </row>
    <row r="34" spans="1:12" x14ac:dyDescent="0.2">
      <c r="A34" s="24">
        <v>19</v>
      </c>
      <c r="B34" s="24">
        <v>1</v>
      </c>
      <c r="C34" s="24"/>
      <c r="D34" s="25">
        <v>16.858974358974358</v>
      </c>
      <c r="E34" s="25">
        <f t="shared" si="0"/>
        <v>-2.1410256410256423</v>
      </c>
      <c r="G34" s="25">
        <f t="shared" si="1"/>
        <v>8.2596026638649928E-2</v>
      </c>
      <c r="L34" s="25"/>
    </row>
    <row r="35" spans="1:12" x14ac:dyDescent="0.2">
      <c r="A35" s="24">
        <v>22</v>
      </c>
      <c r="B35" s="24">
        <v>1</v>
      </c>
      <c r="C35" s="24"/>
      <c r="D35" s="25">
        <v>16.858974358974358</v>
      </c>
      <c r="E35" s="25">
        <f t="shared" si="0"/>
        <v>-5.1410256410256423</v>
      </c>
      <c r="G35" s="25">
        <f t="shared" si="1"/>
        <v>4.5191645925457373E-2</v>
      </c>
      <c r="L35" s="25"/>
    </row>
    <row r="36" spans="1:12" x14ac:dyDescent="0.2">
      <c r="A36" s="24">
        <v>18</v>
      </c>
      <c r="B36" s="24">
        <v>1</v>
      </c>
      <c r="C36" s="24"/>
      <c r="D36" s="25">
        <v>16.858974358974358</v>
      </c>
      <c r="E36" s="25">
        <f t="shared" si="0"/>
        <v>-1.1410256410256423</v>
      </c>
      <c r="G36" s="25">
        <f t="shared" si="1"/>
        <v>9.0428595220514676E-2</v>
      </c>
      <c r="L36" s="25"/>
    </row>
    <row r="37" spans="1:12" x14ac:dyDescent="0.2">
      <c r="A37" s="24">
        <v>18</v>
      </c>
      <c r="B37" s="24">
        <v>1</v>
      </c>
      <c r="C37" s="24"/>
      <c r="D37" s="25">
        <v>16.858974358974358</v>
      </c>
      <c r="E37" s="25">
        <f t="shared" si="0"/>
        <v>-1.1410256410256423</v>
      </c>
      <c r="G37" s="25">
        <f t="shared" si="1"/>
        <v>9.0428595220514676E-2</v>
      </c>
      <c r="L37" s="25"/>
    </row>
    <row r="38" spans="1:12" x14ac:dyDescent="0.2">
      <c r="A38" s="24">
        <v>17</v>
      </c>
      <c r="B38" s="24">
        <v>1</v>
      </c>
      <c r="C38" s="24"/>
      <c r="D38" s="25">
        <v>16.858974358974358</v>
      </c>
      <c r="E38" s="25">
        <f t="shared" si="0"/>
        <v>-0.1410256410256423</v>
      </c>
      <c r="G38" s="25">
        <f t="shared" si="1"/>
        <v>9.3686186441259228E-2</v>
      </c>
      <c r="L38" s="25"/>
    </row>
    <row r="39" spans="1:12" x14ac:dyDescent="0.2">
      <c r="A39" s="24">
        <v>18</v>
      </c>
      <c r="B39" s="24">
        <v>1</v>
      </c>
      <c r="C39" s="24"/>
      <c r="D39" s="25">
        <v>16.858974358974358</v>
      </c>
      <c r="E39" s="25">
        <f t="shared" si="0"/>
        <v>-1.1410256410256423</v>
      </c>
      <c r="G39" s="25">
        <f t="shared" si="1"/>
        <v>9.0428595220514676E-2</v>
      </c>
      <c r="L39" s="25"/>
    </row>
    <row r="40" spans="1:12" x14ac:dyDescent="0.2">
      <c r="A40" s="24">
        <v>17</v>
      </c>
      <c r="B40" s="24">
        <v>1</v>
      </c>
      <c r="C40" s="24"/>
      <c r="D40" s="25">
        <v>16.858974358974358</v>
      </c>
      <c r="E40" s="25">
        <f t="shared" si="0"/>
        <v>-0.1410256410256423</v>
      </c>
      <c r="G40" s="25">
        <f t="shared" si="1"/>
        <v>9.3686186441259228E-2</v>
      </c>
      <c r="L40" s="25"/>
    </row>
    <row r="41" spans="1:12" x14ac:dyDescent="0.2">
      <c r="A41" s="24">
        <v>16</v>
      </c>
      <c r="B41" s="24">
        <v>1</v>
      </c>
      <c r="C41" s="24"/>
      <c r="D41" s="25">
        <v>16.858974358974358</v>
      </c>
      <c r="E41" s="25">
        <f t="shared" si="0"/>
        <v>0.8589743589743577</v>
      </c>
      <c r="G41" s="25">
        <f t="shared" si="1"/>
        <v>9.1847742433773194E-2</v>
      </c>
      <c r="L41" s="25"/>
    </row>
    <row r="42" spans="1:12" x14ac:dyDescent="0.2">
      <c r="A42" s="24">
        <v>16</v>
      </c>
      <c r="B42" s="24">
        <v>1</v>
      </c>
      <c r="C42" s="24"/>
      <c r="D42" s="25">
        <v>16.858974358974358</v>
      </c>
      <c r="E42" s="25">
        <f t="shared" si="0"/>
        <v>0.8589743589743577</v>
      </c>
      <c r="G42" s="25">
        <f t="shared" si="1"/>
        <v>9.1847742433773194E-2</v>
      </c>
      <c r="L42" s="25"/>
    </row>
    <row r="43" spans="1:12" x14ac:dyDescent="0.2">
      <c r="A43" s="24">
        <v>17</v>
      </c>
      <c r="B43" s="24">
        <v>1</v>
      </c>
      <c r="C43" s="24"/>
      <c r="D43" s="25">
        <v>16.858974358974358</v>
      </c>
      <c r="E43" s="25">
        <f t="shared" si="0"/>
        <v>-0.1410256410256423</v>
      </c>
      <c r="G43" s="25">
        <f t="shared" si="1"/>
        <v>9.3686186441259228E-2</v>
      </c>
      <c r="L43" s="25"/>
    </row>
    <row r="44" spans="1:12" x14ac:dyDescent="0.2">
      <c r="A44" s="24">
        <v>17</v>
      </c>
      <c r="B44" s="24">
        <v>1</v>
      </c>
      <c r="C44" s="24"/>
      <c r="D44" s="25">
        <v>16.858974358974358</v>
      </c>
      <c r="E44" s="25">
        <f t="shared" si="0"/>
        <v>-0.1410256410256423</v>
      </c>
      <c r="G44" s="25">
        <f t="shared" si="1"/>
        <v>9.3686186441259228E-2</v>
      </c>
      <c r="L44" s="25"/>
    </row>
    <row r="45" spans="1:12" x14ac:dyDescent="0.2">
      <c r="A45" s="24">
        <v>11</v>
      </c>
      <c r="B45" s="24">
        <v>1</v>
      </c>
      <c r="C45" s="24"/>
      <c r="D45" s="25">
        <v>16.858974358974358</v>
      </c>
      <c r="E45" s="25">
        <f t="shared" si="0"/>
        <v>5.8589743589743577</v>
      </c>
      <c r="G45" s="25">
        <f t="shared" si="1"/>
        <v>3.6339616015446226E-2</v>
      </c>
      <c r="L45" s="25"/>
    </row>
    <row r="46" spans="1:12" x14ac:dyDescent="0.2">
      <c r="A46" s="24">
        <v>15</v>
      </c>
      <c r="B46" s="24">
        <v>1</v>
      </c>
      <c r="C46" s="24"/>
      <c r="D46" s="25">
        <v>16.858974358974358</v>
      </c>
      <c r="E46" s="25">
        <f t="shared" si="0"/>
        <v>1.8589743589743577</v>
      </c>
      <c r="G46" s="25">
        <f t="shared" si="1"/>
        <v>8.5208821600122359E-2</v>
      </c>
      <c r="L46" s="25"/>
    </row>
    <row r="47" spans="1:12" x14ac:dyDescent="0.2">
      <c r="A47" s="24">
        <v>15</v>
      </c>
      <c r="B47" s="24">
        <v>1</v>
      </c>
      <c r="C47" s="24"/>
      <c r="D47" s="25">
        <v>16.858974358974358</v>
      </c>
      <c r="E47" s="25">
        <f t="shared" si="0"/>
        <v>1.8589743589743577</v>
      </c>
      <c r="G47" s="25">
        <f t="shared" si="1"/>
        <v>8.5208821600122359E-2</v>
      </c>
      <c r="L47" s="25"/>
    </row>
    <row r="48" spans="1:12" x14ac:dyDescent="0.2">
      <c r="A48" s="24">
        <v>16</v>
      </c>
      <c r="B48" s="24">
        <v>1</v>
      </c>
      <c r="C48" s="24"/>
      <c r="D48" s="25">
        <v>16.858974358974358</v>
      </c>
      <c r="E48" s="25">
        <f t="shared" si="0"/>
        <v>0.8589743589743577</v>
      </c>
      <c r="G48" s="25">
        <f t="shared" si="1"/>
        <v>9.1847742433773194E-2</v>
      </c>
      <c r="L48" s="25"/>
    </row>
    <row r="49" spans="1:12" x14ac:dyDescent="0.2">
      <c r="A49" s="24">
        <v>16</v>
      </c>
      <c r="B49" s="24">
        <v>1</v>
      </c>
      <c r="C49" s="24"/>
      <c r="D49" s="25">
        <v>16.858974358974358</v>
      </c>
      <c r="E49" s="25">
        <f t="shared" si="0"/>
        <v>0.8589743589743577</v>
      </c>
      <c r="G49" s="25">
        <f t="shared" si="1"/>
        <v>9.1847742433773194E-2</v>
      </c>
      <c r="L49" s="25"/>
    </row>
    <row r="50" spans="1:12" x14ac:dyDescent="0.2">
      <c r="A50" s="24">
        <v>15</v>
      </c>
      <c r="B50" s="24">
        <v>1</v>
      </c>
      <c r="C50" s="24"/>
      <c r="D50" s="25">
        <v>16.858974358974358</v>
      </c>
      <c r="E50" s="25">
        <f t="shared" si="0"/>
        <v>1.8589743589743577</v>
      </c>
      <c r="G50" s="25">
        <f t="shared" si="1"/>
        <v>8.5208821600122359E-2</v>
      </c>
      <c r="L50" s="25"/>
    </row>
    <row r="51" spans="1:12" x14ac:dyDescent="0.2">
      <c r="A51" s="24">
        <v>14</v>
      </c>
      <c r="B51" s="24">
        <v>1</v>
      </c>
      <c r="C51" s="24"/>
      <c r="D51" s="25">
        <v>16.858974358974358</v>
      </c>
      <c r="E51" s="25">
        <f t="shared" si="0"/>
        <v>2.8589743589743577</v>
      </c>
      <c r="G51" s="25">
        <f t="shared" si="1"/>
        <v>7.4803820711623142E-2</v>
      </c>
      <c r="L51" s="25"/>
    </row>
    <row r="52" spans="1:12" x14ac:dyDescent="0.2">
      <c r="A52" s="24">
        <v>13</v>
      </c>
      <c r="B52" s="24">
        <v>1</v>
      </c>
      <c r="C52" s="24"/>
      <c r="D52" s="25">
        <v>16.858974358974358</v>
      </c>
      <c r="E52" s="25">
        <f t="shared" si="0"/>
        <v>3.8589743589743577</v>
      </c>
      <c r="G52" s="25">
        <f t="shared" si="1"/>
        <v>6.2142132155231941E-2</v>
      </c>
      <c r="L52" s="25"/>
    </row>
    <row r="53" spans="1:12" x14ac:dyDescent="0.2">
      <c r="A53" s="24">
        <v>14</v>
      </c>
      <c r="B53" s="24">
        <v>1</v>
      </c>
      <c r="C53" s="24"/>
      <c r="D53" s="25">
        <v>16.858974358974358</v>
      </c>
      <c r="E53" s="25">
        <f t="shared" si="0"/>
        <v>2.8589743589743577</v>
      </c>
      <c r="G53" s="25">
        <f t="shared" si="1"/>
        <v>7.4803820711623142E-2</v>
      </c>
      <c r="L53" s="25"/>
    </row>
    <row r="54" spans="1:12" x14ac:dyDescent="0.2">
      <c r="A54" s="24">
        <v>14</v>
      </c>
      <c r="B54" s="24">
        <v>1</v>
      </c>
      <c r="C54" s="24"/>
      <c r="D54" s="25">
        <v>16.858974358974358</v>
      </c>
      <c r="E54" s="25">
        <f t="shared" si="0"/>
        <v>2.8589743589743577</v>
      </c>
      <c r="G54" s="25">
        <f t="shared" si="1"/>
        <v>7.4803820711623142E-2</v>
      </c>
      <c r="L54" s="25"/>
    </row>
    <row r="55" spans="1:12" x14ac:dyDescent="0.2">
      <c r="A55" s="24">
        <v>14</v>
      </c>
      <c r="B55" s="24">
        <v>1</v>
      </c>
      <c r="C55" s="24"/>
      <c r="D55" s="25">
        <v>16.858974358974358</v>
      </c>
      <c r="E55" s="25">
        <f t="shared" si="0"/>
        <v>2.8589743589743577</v>
      </c>
      <c r="G55" s="25">
        <f t="shared" si="1"/>
        <v>7.4803820711623142E-2</v>
      </c>
      <c r="L55" s="25"/>
    </row>
    <row r="56" spans="1:12" x14ac:dyDescent="0.2">
      <c r="A56" s="24">
        <v>9</v>
      </c>
      <c r="B56" s="24">
        <v>1</v>
      </c>
      <c r="C56" s="24"/>
      <c r="D56" s="25">
        <v>16.858974358974358</v>
      </c>
      <c r="E56" s="25">
        <f t="shared" si="0"/>
        <v>7.8589743589743577</v>
      </c>
      <c r="G56" s="25">
        <f t="shared" si="1"/>
        <v>1.7039902700084295E-2</v>
      </c>
      <c r="L56" s="25"/>
    </row>
    <row r="57" spans="1:12" x14ac:dyDescent="0.2">
      <c r="A57" s="24">
        <v>11</v>
      </c>
      <c r="B57" s="24">
        <v>1</v>
      </c>
      <c r="C57" s="24"/>
      <c r="D57" s="25">
        <v>16.858974358974358</v>
      </c>
      <c r="E57" s="25">
        <f t="shared" si="0"/>
        <v>5.8589743589743577</v>
      </c>
      <c r="G57" s="25">
        <f t="shared" si="1"/>
        <v>3.6339616015446226E-2</v>
      </c>
      <c r="L57" s="25"/>
    </row>
    <row r="58" spans="1:12" x14ac:dyDescent="0.2">
      <c r="A58" s="24">
        <v>11</v>
      </c>
      <c r="B58" s="24">
        <v>1</v>
      </c>
      <c r="C58" s="24"/>
      <c r="D58" s="25">
        <v>16.858974358974358</v>
      </c>
      <c r="E58" s="25">
        <f t="shared" si="0"/>
        <v>5.8589743589743577</v>
      </c>
      <c r="G58" s="25">
        <f t="shared" si="1"/>
        <v>3.6339616015446226E-2</v>
      </c>
      <c r="L58" s="25"/>
    </row>
    <row r="59" spans="1:12" x14ac:dyDescent="0.2">
      <c r="A59" s="24">
        <v>13</v>
      </c>
      <c r="B59" s="24">
        <v>1</v>
      </c>
      <c r="C59" s="24"/>
      <c r="D59" s="25">
        <v>16.858974358974358</v>
      </c>
      <c r="E59" s="25">
        <f t="shared" si="0"/>
        <v>3.8589743589743577</v>
      </c>
      <c r="G59" s="25">
        <f t="shared" si="1"/>
        <v>6.2142132155231941E-2</v>
      </c>
      <c r="L59" s="25"/>
    </row>
    <row r="60" spans="1:12" x14ac:dyDescent="0.2">
      <c r="A60" s="24">
        <v>13</v>
      </c>
      <c r="B60" s="24">
        <v>1</v>
      </c>
      <c r="C60" s="24"/>
      <c r="D60" s="25">
        <v>16.858974358974358</v>
      </c>
      <c r="E60" s="25">
        <f t="shared" si="0"/>
        <v>3.8589743589743577</v>
      </c>
      <c r="G60" s="25">
        <f t="shared" si="1"/>
        <v>6.2142132155231941E-2</v>
      </c>
      <c r="L60" s="25"/>
    </row>
    <row r="61" spans="1:12" x14ac:dyDescent="0.2">
      <c r="A61" s="24">
        <v>9</v>
      </c>
      <c r="B61" s="24">
        <v>1</v>
      </c>
      <c r="C61" s="24"/>
      <c r="D61" s="25">
        <v>16.858974358974358</v>
      </c>
      <c r="E61" s="25">
        <f t="shared" si="0"/>
        <v>7.8589743589743577</v>
      </c>
      <c r="G61" s="25">
        <f t="shared" si="1"/>
        <v>1.7039902700084295E-2</v>
      </c>
      <c r="L61" s="25"/>
    </row>
    <row r="62" spans="1:12" x14ac:dyDescent="0.2">
      <c r="A62" s="24">
        <v>13</v>
      </c>
      <c r="B62" s="24">
        <v>1</v>
      </c>
      <c r="C62" s="24"/>
      <c r="D62" s="25">
        <v>16.858974358974358</v>
      </c>
      <c r="E62" s="25">
        <f t="shared" si="0"/>
        <v>3.8589743589743577</v>
      </c>
      <c r="G62" s="25">
        <f t="shared" si="1"/>
        <v>6.2142132155231941E-2</v>
      </c>
      <c r="L62" s="25"/>
    </row>
    <row r="63" spans="1:12" x14ac:dyDescent="0.2">
      <c r="A63" s="24">
        <v>11</v>
      </c>
      <c r="B63" s="24">
        <v>1</v>
      </c>
      <c r="C63" s="24"/>
      <c r="D63" s="25">
        <v>16.858974358974358</v>
      </c>
      <c r="E63" s="25">
        <f t="shared" si="0"/>
        <v>5.8589743589743577</v>
      </c>
      <c r="G63" s="25">
        <f t="shared" si="1"/>
        <v>3.6339616015446226E-2</v>
      </c>
      <c r="L63" s="25"/>
    </row>
    <row r="64" spans="1:12" x14ac:dyDescent="0.2">
      <c r="A64" s="24">
        <v>13</v>
      </c>
      <c r="B64" s="24">
        <v>1</v>
      </c>
      <c r="C64" s="24"/>
      <c r="D64" s="25">
        <v>16.858974358974358</v>
      </c>
      <c r="E64" s="25">
        <f t="shared" si="0"/>
        <v>3.8589743589743577</v>
      </c>
      <c r="G64" s="25">
        <f t="shared" si="1"/>
        <v>6.2142132155231941E-2</v>
      </c>
      <c r="L64" s="25"/>
    </row>
    <row r="65" spans="1:12" x14ac:dyDescent="0.2">
      <c r="A65" s="24">
        <v>11</v>
      </c>
      <c r="B65" s="24">
        <v>1</v>
      </c>
      <c r="C65" s="24"/>
      <c r="D65" s="25">
        <v>16.858974358974358</v>
      </c>
      <c r="E65" s="25">
        <f t="shared" si="0"/>
        <v>5.8589743589743577</v>
      </c>
      <c r="G65" s="25">
        <f t="shared" si="1"/>
        <v>3.6339616015446226E-2</v>
      </c>
      <c r="L65" s="25"/>
    </row>
    <row r="66" spans="1:12" x14ac:dyDescent="0.2">
      <c r="A66" s="24">
        <v>12</v>
      </c>
      <c r="B66" s="24">
        <v>1</v>
      </c>
      <c r="C66" s="24"/>
      <c r="D66" s="25">
        <v>16.858974358974358</v>
      </c>
      <c r="E66" s="25">
        <f t="shared" si="0"/>
        <v>4.8589743589743577</v>
      </c>
      <c r="G66" s="25">
        <f t="shared" si="1"/>
        <v>4.8850798619149906E-2</v>
      </c>
      <c r="L66" s="25"/>
    </row>
    <row r="67" spans="1:12" x14ac:dyDescent="0.2">
      <c r="A67" s="24">
        <v>9</v>
      </c>
      <c r="B67" s="24">
        <v>1</v>
      </c>
      <c r="C67" s="24"/>
      <c r="D67" s="25">
        <v>16.858974358974358</v>
      </c>
      <c r="E67" s="25">
        <f t="shared" ref="E67:E130" si="2">D67-A67</f>
        <v>7.8589743589743577</v>
      </c>
      <c r="G67" s="25">
        <f t="shared" ref="G67:G130" si="3">_xlfn.NORM.DIST(E67,0,$F$2,FALSE)</f>
        <v>1.7039902700084295E-2</v>
      </c>
      <c r="L67" s="25"/>
    </row>
    <row r="68" spans="1:12" x14ac:dyDescent="0.2">
      <c r="A68" s="24">
        <v>13</v>
      </c>
      <c r="B68" s="24">
        <v>1</v>
      </c>
      <c r="C68" s="24"/>
      <c r="D68" s="25">
        <v>16.858974358974358</v>
      </c>
      <c r="E68" s="25">
        <f t="shared" si="2"/>
        <v>3.8589743589743577</v>
      </c>
      <c r="G68" s="25">
        <f t="shared" si="3"/>
        <v>6.2142132155231941E-2</v>
      </c>
      <c r="L68" s="25"/>
    </row>
    <row r="69" spans="1:12" x14ac:dyDescent="0.2">
      <c r="A69" s="24">
        <v>13</v>
      </c>
      <c r="B69" s="24">
        <v>1</v>
      </c>
      <c r="C69" s="24"/>
      <c r="D69" s="25">
        <v>16.858974358974358</v>
      </c>
      <c r="E69" s="25">
        <f t="shared" si="2"/>
        <v>3.8589743589743577</v>
      </c>
      <c r="G69" s="25">
        <f t="shared" si="3"/>
        <v>6.2142132155231941E-2</v>
      </c>
      <c r="L69" s="25"/>
    </row>
    <row r="70" spans="1:12" x14ac:dyDescent="0.2">
      <c r="A70" s="24">
        <v>12</v>
      </c>
      <c r="B70" s="24">
        <v>1</v>
      </c>
      <c r="C70" s="24"/>
      <c r="D70" s="25">
        <v>16.858974358974358</v>
      </c>
      <c r="E70" s="25">
        <f t="shared" si="2"/>
        <v>4.8589743589743577</v>
      </c>
      <c r="G70" s="25">
        <f t="shared" si="3"/>
        <v>4.8850798619149906E-2</v>
      </c>
      <c r="L70" s="25"/>
    </row>
    <row r="71" spans="1:12" x14ac:dyDescent="0.2">
      <c r="A71" s="24">
        <v>9</v>
      </c>
      <c r="B71" s="24">
        <v>1</v>
      </c>
      <c r="C71" s="24"/>
      <c r="D71" s="25">
        <v>16.858974358974358</v>
      </c>
      <c r="E71" s="25">
        <f t="shared" si="2"/>
        <v>7.8589743589743577</v>
      </c>
      <c r="G71" s="25">
        <f t="shared" si="3"/>
        <v>1.7039902700084295E-2</v>
      </c>
      <c r="L71" s="25"/>
    </row>
    <row r="72" spans="1:12" x14ac:dyDescent="0.2">
      <c r="A72" s="24">
        <v>11</v>
      </c>
      <c r="B72" s="24">
        <v>1</v>
      </c>
      <c r="C72" s="24"/>
      <c r="D72" s="25">
        <v>16.858974358974358</v>
      </c>
      <c r="E72" s="25">
        <f t="shared" si="2"/>
        <v>5.8589743589743577</v>
      </c>
      <c r="G72" s="25">
        <f t="shared" si="3"/>
        <v>3.6339616015446226E-2</v>
      </c>
      <c r="L72" s="25"/>
    </row>
    <row r="73" spans="1:12" x14ac:dyDescent="0.2">
      <c r="A73" s="24">
        <v>11</v>
      </c>
      <c r="B73" s="24">
        <v>1</v>
      </c>
      <c r="C73" s="24"/>
      <c r="D73" s="25">
        <v>16.858974358974358</v>
      </c>
      <c r="E73" s="25">
        <f t="shared" si="2"/>
        <v>5.8589743589743577</v>
      </c>
      <c r="G73" s="25">
        <f t="shared" si="3"/>
        <v>3.6339616015446226E-2</v>
      </c>
      <c r="L73" s="25"/>
    </row>
    <row r="74" spans="1:12" x14ac:dyDescent="0.2">
      <c r="A74" s="24">
        <v>13</v>
      </c>
      <c r="B74" s="24">
        <v>1</v>
      </c>
      <c r="C74" s="24"/>
      <c r="D74" s="25">
        <v>16.858974358974358</v>
      </c>
      <c r="E74" s="25">
        <f t="shared" si="2"/>
        <v>3.8589743589743577</v>
      </c>
      <c r="G74" s="25">
        <f t="shared" si="3"/>
        <v>6.2142132155231941E-2</v>
      </c>
      <c r="L74" s="25"/>
    </row>
    <row r="75" spans="1:12" x14ac:dyDescent="0.2">
      <c r="A75" s="24">
        <v>11</v>
      </c>
      <c r="B75" s="24">
        <v>1</v>
      </c>
      <c r="C75" s="24"/>
      <c r="D75" s="25">
        <v>16.858974358974358</v>
      </c>
      <c r="E75" s="25">
        <f t="shared" si="2"/>
        <v>5.8589743589743577</v>
      </c>
      <c r="G75" s="25">
        <f t="shared" si="3"/>
        <v>3.6339616015446226E-2</v>
      </c>
      <c r="L75" s="25"/>
    </row>
    <row r="76" spans="1:12" x14ac:dyDescent="0.2">
      <c r="A76" s="24">
        <v>11</v>
      </c>
      <c r="B76" s="24">
        <v>1</v>
      </c>
      <c r="C76" s="24"/>
      <c r="D76" s="25">
        <v>16.858974358974358</v>
      </c>
      <c r="E76" s="25">
        <f t="shared" si="2"/>
        <v>5.8589743589743577</v>
      </c>
      <c r="G76" s="25">
        <f t="shared" si="3"/>
        <v>3.6339616015446226E-2</v>
      </c>
      <c r="L76" s="25"/>
    </row>
    <row r="77" spans="1:12" x14ac:dyDescent="0.2">
      <c r="A77" s="24">
        <v>11</v>
      </c>
      <c r="B77" s="24">
        <v>1</v>
      </c>
      <c r="C77" s="24"/>
      <c r="D77" s="25">
        <v>16.858974358974358</v>
      </c>
      <c r="E77" s="25">
        <f t="shared" si="2"/>
        <v>5.8589743589743577</v>
      </c>
      <c r="G77" s="25">
        <f t="shared" si="3"/>
        <v>3.6339616015446226E-2</v>
      </c>
      <c r="L77" s="25"/>
    </row>
    <row r="78" spans="1:12" x14ac:dyDescent="0.2">
      <c r="A78" s="24">
        <v>12</v>
      </c>
      <c r="B78" s="24">
        <v>1</v>
      </c>
      <c r="C78" s="24"/>
      <c r="D78" s="25">
        <v>16.858974358974358</v>
      </c>
      <c r="E78" s="25">
        <f t="shared" si="2"/>
        <v>4.8589743589743577</v>
      </c>
      <c r="G78" s="25">
        <f t="shared" si="3"/>
        <v>4.8850798619149906E-2</v>
      </c>
      <c r="L78" s="25"/>
    </row>
    <row r="79" spans="1:12" x14ac:dyDescent="0.2">
      <c r="A79" s="24">
        <v>14</v>
      </c>
      <c r="B79" s="24">
        <v>1</v>
      </c>
      <c r="C79" s="24"/>
      <c r="D79" s="25">
        <v>16.858974358974358</v>
      </c>
      <c r="E79" s="25">
        <f t="shared" si="2"/>
        <v>2.8589743589743577</v>
      </c>
      <c r="G79" s="25">
        <f t="shared" si="3"/>
        <v>7.4803820711623142E-2</v>
      </c>
      <c r="L79" s="25"/>
    </row>
    <row r="80" spans="1:12" x14ac:dyDescent="0.2">
      <c r="A80" s="24">
        <v>15</v>
      </c>
      <c r="B80" s="24">
        <v>1</v>
      </c>
      <c r="C80" s="24"/>
      <c r="D80" s="25">
        <v>16.858974358974358</v>
      </c>
      <c r="E80" s="25">
        <f t="shared" si="2"/>
        <v>1.8589743589743577</v>
      </c>
      <c r="G80" s="25">
        <f t="shared" si="3"/>
        <v>8.5208821600122359E-2</v>
      </c>
      <c r="L80" s="25"/>
    </row>
    <row r="81" spans="1:12" x14ac:dyDescent="0.2">
      <c r="A81" s="24">
        <v>14</v>
      </c>
      <c r="B81" s="24">
        <v>1</v>
      </c>
      <c r="C81" s="24"/>
      <c r="D81" s="25">
        <v>16.858974358974358</v>
      </c>
      <c r="E81" s="25">
        <f t="shared" si="2"/>
        <v>2.8589743589743577</v>
      </c>
      <c r="G81" s="25">
        <f t="shared" si="3"/>
        <v>7.4803820711623142E-2</v>
      </c>
      <c r="L81" s="25"/>
    </row>
    <row r="82" spans="1:12" x14ac:dyDescent="0.2">
      <c r="A82" s="24">
        <v>13</v>
      </c>
      <c r="B82" s="24">
        <v>1</v>
      </c>
      <c r="C82" s="24"/>
      <c r="D82" s="25">
        <v>16.858974358974358</v>
      </c>
      <c r="E82" s="25">
        <f t="shared" si="2"/>
        <v>3.8589743589743577</v>
      </c>
      <c r="G82" s="25">
        <f t="shared" si="3"/>
        <v>6.2142132155231941E-2</v>
      </c>
      <c r="L82" s="25"/>
    </row>
    <row r="83" spans="1:12" x14ac:dyDescent="0.2">
      <c r="A83" s="24">
        <v>13</v>
      </c>
      <c r="B83" s="24">
        <v>1</v>
      </c>
      <c r="C83" s="24"/>
      <c r="D83" s="25">
        <v>16.858974358974358</v>
      </c>
      <c r="E83" s="25">
        <f t="shared" si="2"/>
        <v>3.8589743589743577</v>
      </c>
      <c r="G83" s="25">
        <f t="shared" si="3"/>
        <v>6.2142132155231941E-2</v>
      </c>
      <c r="L83" s="25"/>
    </row>
    <row r="84" spans="1:12" x14ac:dyDescent="0.2">
      <c r="A84" s="24">
        <v>13</v>
      </c>
      <c r="B84" s="24">
        <v>1</v>
      </c>
      <c r="C84" s="24"/>
      <c r="D84" s="25">
        <v>16.858974358974358</v>
      </c>
      <c r="E84" s="25">
        <f t="shared" si="2"/>
        <v>3.8589743589743577</v>
      </c>
      <c r="G84" s="25">
        <f t="shared" si="3"/>
        <v>6.2142132155231941E-2</v>
      </c>
      <c r="L84" s="25"/>
    </row>
    <row r="85" spans="1:12" x14ac:dyDescent="0.2">
      <c r="A85" s="24">
        <v>14</v>
      </c>
      <c r="B85" s="24">
        <v>1</v>
      </c>
      <c r="C85" s="24"/>
      <c r="D85" s="25">
        <v>16.858974358974358</v>
      </c>
      <c r="E85" s="25">
        <f t="shared" si="2"/>
        <v>2.8589743589743577</v>
      </c>
      <c r="G85" s="25">
        <f t="shared" si="3"/>
        <v>7.4803820711623142E-2</v>
      </c>
      <c r="L85" s="25"/>
    </row>
    <row r="86" spans="1:12" x14ac:dyDescent="0.2">
      <c r="A86" s="24">
        <v>14</v>
      </c>
      <c r="B86" s="24">
        <v>1</v>
      </c>
      <c r="C86" s="24"/>
      <c r="D86" s="25">
        <v>16.858974358974358</v>
      </c>
      <c r="E86" s="25">
        <f t="shared" si="2"/>
        <v>2.8589743589743577</v>
      </c>
      <c r="G86" s="25">
        <f t="shared" si="3"/>
        <v>7.4803820711623142E-2</v>
      </c>
      <c r="L86" s="25"/>
    </row>
    <row r="87" spans="1:12" x14ac:dyDescent="0.2">
      <c r="A87" s="24">
        <v>13</v>
      </c>
      <c r="B87" s="24">
        <v>1</v>
      </c>
      <c r="C87" s="24"/>
      <c r="D87" s="25">
        <v>16.858974358974358</v>
      </c>
      <c r="E87" s="25">
        <f t="shared" si="2"/>
        <v>3.8589743589743577</v>
      </c>
      <c r="G87" s="25">
        <f t="shared" si="3"/>
        <v>6.2142132155231941E-2</v>
      </c>
      <c r="L87" s="25"/>
    </row>
    <row r="88" spans="1:12" x14ac:dyDescent="0.2">
      <c r="A88" s="24">
        <v>13</v>
      </c>
      <c r="B88" s="24">
        <v>1</v>
      </c>
      <c r="C88" s="24"/>
      <c r="D88" s="25">
        <v>16.858974358974358</v>
      </c>
      <c r="E88" s="25">
        <f t="shared" si="2"/>
        <v>3.8589743589743577</v>
      </c>
      <c r="G88" s="25">
        <f t="shared" si="3"/>
        <v>6.2142132155231941E-2</v>
      </c>
      <c r="L88" s="25"/>
    </row>
    <row r="89" spans="1:12" x14ac:dyDescent="0.2">
      <c r="A89" s="24">
        <v>13</v>
      </c>
      <c r="B89" s="24">
        <v>1</v>
      </c>
      <c r="C89" s="24"/>
      <c r="D89" s="25">
        <v>16.858974358974358</v>
      </c>
      <c r="E89" s="25">
        <f t="shared" si="2"/>
        <v>3.8589743589743577</v>
      </c>
      <c r="G89" s="25">
        <f t="shared" si="3"/>
        <v>6.2142132155231941E-2</v>
      </c>
      <c r="L89" s="25"/>
    </row>
    <row r="90" spans="1:12" x14ac:dyDescent="0.2">
      <c r="A90" s="24">
        <v>11</v>
      </c>
      <c r="B90" s="24">
        <v>1</v>
      </c>
      <c r="C90" s="24"/>
      <c r="D90" s="25">
        <v>16.858974358974358</v>
      </c>
      <c r="E90" s="25">
        <f t="shared" si="2"/>
        <v>5.8589743589743577</v>
      </c>
      <c r="G90" s="25">
        <f t="shared" si="3"/>
        <v>3.6339616015446226E-2</v>
      </c>
      <c r="L90" s="25"/>
    </row>
    <row r="91" spans="1:12" x14ac:dyDescent="0.2">
      <c r="A91" s="24">
        <v>13</v>
      </c>
      <c r="B91" s="24">
        <v>1</v>
      </c>
      <c r="C91" s="24"/>
      <c r="D91" s="25">
        <v>16.858974358974358</v>
      </c>
      <c r="E91" s="25">
        <f t="shared" si="2"/>
        <v>3.8589743589743577</v>
      </c>
      <c r="G91" s="25">
        <f t="shared" si="3"/>
        <v>6.2142132155231941E-2</v>
      </c>
      <c r="L91" s="25"/>
    </row>
    <row r="92" spans="1:12" x14ac:dyDescent="0.2">
      <c r="A92" s="24">
        <v>18</v>
      </c>
      <c r="B92" s="24">
        <v>1</v>
      </c>
      <c r="C92" s="24"/>
      <c r="D92" s="25">
        <v>16.858974358974358</v>
      </c>
      <c r="E92" s="25">
        <f t="shared" si="2"/>
        <v>-1.1410256410256423</v>
      </c>
      <c r="G92" s="25">
        <f t="shared" si="3"/>
        <v>9.0428595220514676E-2</v>
      </c>
      <c r="L92" s="25"/>
    </row>
    <row r="93" spans="1:12" x14ac:dyDescent="0.2">
      <c r="A93" s="24">
        <v>18</v>
      </c>
      <c r="B93" s="24">
        <v>1</v>
      </c>
      <c r="C93" s="24"/>
      <c r="D93" s="25">
        <v>16.858974358974358</v>
      </c>
      <c r="E93" s="25">
        <f t="shared" si="2"/>
        <v>-1.1410256410256423</v>
      </c>
      <c r="G93" s="25">
        <f t="shared" si="3"/>
        <v>9.0428595220514676E-2</v>
      </c>
      <c r="L93" s="25"/>
    </row>
    <row r="94" spans="1:12" x14ac:dyDescent="0.2">
      <c r="A94" s="24">
        <v>17</v>
      </c>
      <c r="B94" s="24">
        <v>1</v>
      </c>
      <c r="C94" s="24"/>
      <c r="D94" s="25">
        <v>16.858974358974358</v>
      </c>
      <c r="E94" s="25">
        <f t="shared" si="2"/>
        <v>-0.1410256410256423</v>
      </c>
      <c r="G94" s="25">
        <f t="shared" si="3"/>
        <v>9.3686186441259228E-2</v>
      </c>
      <c r="L94" s="25"/>
    </row>
    <row r="95" spans="1:12" x14ac:dyDescent="0.2">
      <c r="A95" s="24">
        <v>16</v>
      </c>
      <c r="B95" s="24">
        <v>1</v>
      </c>
      <c r="C95" s="24"/>
      <c r="D95" s="25">
        <v>16.858974358974358</v>
      </c>
      <c r="E95" s="25">
        <f t="shared" si="2"/>
        <v>0.8589743589743577</v>
      </c>
      <c r="G95" s="25">
        <f t="shared" si="3"/>
        <v>9.1847742433773194E-2</v>
      </c>
      <c r="L95" s="25"/>
    </row>
    <row r="96" spans="1:12" x14ac:dyDescent="0.2">
      <c r="A96" s="24">
        <v>15</v>
      </c>
      <c r="B96" s="24">
        <v>1</v>
      </c>
      <c r="C96" s="24"/>
      <c r="D96" s="25">
        <v>16.858974358974358</v>
      </c>
      <c r="E96" s="25">
        <f t="shared" si="2"/>
        <v>1.8589743589743577</v>
      </c>
      <c r="G96" s="25">
        <f t="shared" si="3"/>
        <v>8.5208821600122359E-2</v>
      </c>
      <c r="L96" s="25"/>
    </row>
    <row r="97" spans="1:12" x14ac:dyDescent="0.2">
      <c r="A97" s="24">
        <v>15</v>
      </c>
      <c r="B97" s="24">
        <v>1</v>
      </c>
      <c r="C97" s="24"/>
      <c r="D97" s="25">
        <v>16.858974358974358</v>
      </c>
      <c r="E97" s="25">
        <f t="shared" si="2"/>
        <v>1.8589743589743577</v>
      </c>
      <c r="G97" s="25">
        <f t="shared" si="3"/>
        <v>8.5208821600122359E-2</v>
      </c>
      <c r="L97" s="25"/>
    </row>
    <row r="98" spans="1:12" x14ac:dyDescent="0.2">
      <c r="A98" s="24">
        <v>15</v>
      </c>
      <c r="B98" s="24">
        <v>1</v>
      </c>
      <c r="C98" s="24"/>
      <c r="D98" s="25">
        <v>16.858974358974358</v>
      </c>
      <c r="E98" s="25">
        <f t="shared" si="2"/>
        <v>1.8589743589743577</v>
      </c>
      <c r="G98" s="25">
        <f t="shared" si="3"/>
        <v>8.5208821600122359E-2</v>
      </c>
      <c r="L98" s="25"/>
    </row>
    <row r="99" spans="1:12" x14ac:dyDescent="0.2">
      <c r="A99" s="24">
        <v>15</v>
      </c>
      <c r="B99" s="24">
        <v>1</v>
      </c>
      <c r="C99" s="24"/>
      <c r="D99" s="25">
        <v>16.858974358974358</v>
      </c>
      <c r="E99" s="25">
        <f t="shared" si="2"/>
        <v>1.8589743589743577</v>
      </c>
      <c r="G99" s="25">
        <f t="shared" si="3"/>
        <v>8.5208821600122359E-2</v>
      </c>
      <c r="L99" s="25"/>
    </row>
    <row r="100" spans="1:12" x14ac:dyDescent="0.2">
      <c r="A100" s="24">
        <v>14</v>
      </c>
      <c r="B100" s="24">
        <v>1</v>
      </c>
      <c r="C100" s="24"/>
      <c r="D100" s="25">
        <v>16.858974358974358</v>
      </c>
      <c r="E100" s="25">
        <f t="shared" si="2"/>
        <v>2.8589743589743577</v>
      </c>
      <c r="G100" s="25">
        <f t="shared" si="3"/>
        <v>7.4803820711623142E-2</v>
      </c>
      <c r="L100" s="25"/>
    </row>
    <row r="101" spans="1:12" x14ac:dyDescent="0.2">
      <c r="A101" s="24">
        <v>28</v>
      </c>
      <c r="B101" s="24">
        <v>1</v>
      </c>
      <c r="C101" s="24"/>
      <c r="D101" s="25">
        <v>16.858974358974358</v>
      </c>
      <c r="E101" s="25">
        <f t="shared" si="2"/>
        <v>-11.141025641025642</v>
      </c>
      <c r="G101" s="25">
        <f t="shared" si="3"/>
        <v>3.0470611306731058E-3</v>
      </c>
      <c r="L101" s="25"/>
    </row>
    <row r="102" spans="1:12" x14ac:dyDescent="0.2">
      <c r="A102" s="24">
        <v>24</v>
      </c>
      <c r="B102" s="24">
        <v>1</v>
      </c>
      <c r="C102" s="24"/>
      <c r="D102" s="25">
        <v>16.858974358974358</v>
      </c>
      <c r="E102" s="25">
        <f t="shared" si="2"/>
        <v>-7.1410256410256423</v>
      </c>
      <c r="G102" s="25">
        <f t="shared" si="3"/>
        <v>2.293893420103504E-2</v>
      </c>
      <c r="L102" s="25"/>
    </row>
    <row r="103" spans="1:12" x14ac:dyDescent="0.2">
      <c r="A103" s="24">
        <v>25</v>
      </c>
      <c r="B103" s="24">
        <v>1</v>
      </c>
      <c r="C103" s="24"/>
      <c r="D103" s="25">
        <v>16.858974358974358</v>
      </c>
      <c r="E103" s="25">
        <f t="shared" si="2"/>
        <v>-8.1410256410256423</v>
      </c>
      <c r="G103" s="25">
        <f t="shared" si="3"/>
        <v>1.5044075220828471E-2</v>
      </c>
      <c r="L103" s="25"/>
    </row>
    <row r="104" spans="1:12" x14ac:dyDescent="0.2">
      <c r="A104" s="24">
        <v>23</v>
      </c>
      <c r="B104" s="24">
        <v>1</v>
      </c>
      <c r="C104" s="24"/>
      <c r="D104" s="25">
        <v>16.858974358974358</v>
      </c>
      <c r="E104" s="25">
        <f t="shared" si="2"/>
        <v>-6.1410256410256423</v>
      </c>
      <c r="G104" s="25">
        <f t="shared" si="3"/>
        <v>3.3098180744967454E-2</v>
      </c>
      <c r="L104" s="25"/>
    </row>
    <row r="105" spans="1:12" x14ac:dyDescent="0.2">
      <c r="A105" s="24">
        <v>24</v>
      </c>
      <c r="B105" s="24">
        <v>1</v>
      </c>
      <c r="C105" s="24"/>
      <c r="D105" s="25">
        <v>16.858974358974358</v>
      </c>
      <c r="E105" s="25">
        <f t="shared" si="2"/>
        <v>-7.1410256410256423</v>
      </c>
      <c r="G105" s="25">
        <f t="shared" si="3"/>
        <v>2.293893420103504E-2</v>
      </c>
      <c r="L105" s="25"/>
    </row>
    <row r="106" spans="1:12" x14ac:dyDescent="0.2">
      <c r="A106" s="24">
        <v>26</v>
      </c>
      <c r="B106" s="24">
        <v>1</v>
      </c>
      <c r="C106" s="24"/>
      <c r="D106" s="25">
        <v>16.858974358974358</v>
      </c>
      <c r="E106" s="25">
        <f t="shared" si="2"/>
        <v>-9.1410256410256423</v>
      </c>
      <c r="G106" s="25">
        <f t="shared" si="3"/>
        <v>9.3364312813032559E-3</v>
      </c>
      <c r="L106" s="25"/>
    </row>
    <row r="107" spans="1:12" x14ac:dyDescent="0.2">
      <c r="A107" s="24">
        <v>25</v>
      </c>
      <c r="B107" s="24">
        <v>1</v>
      </c>
      <c r="C107" s="24"/>
      <c r="D107" s="25">
        <v>16.858974358974358</v>
      </c>
      <c r="E107" s="25">
        <f t="shared" si="2"/>
        <v>-8.1410256410256423</v>
      </c>
      <c r="G107" s="25">
        <f t="shared" si="3"/>
        <v>1.5044075220828471E-2</v>
      </c>
      <c r="L107" s="25"/>
    </row>
    <row r="108" spans="1:12" x14ac:dyDescent="0.2">
      <c r="A108" s="24">
        <v>24</v>
      </c>
      <c r="B108" s="24">
        <v>1</v>
      </c>
      <c r="C108" s="24"/>
      <c r="D108" s="25">
        <v>16.858974358974358</v>
      </c>
      <c r="E108" s="25">
        <f t="shared" si="2"/>
        <v>-7.1410256410256423</v>
      </c>
      <c r="G108" s="25">
        <f t="shared" si="3"/>
        <v>2.293893420103504E-2</v>
      </c>
      <c r="L108" s="25"/>
    </row>
    <row r="109" spans="1:12" x14ac:dyDescent="0.2">
      <c r="A109" s="24">
        <v>21</v>
      </c>
      <c r="B109" s="24">
        <v>1</v>
      </c>
      <c r="C109" s="24"/>
      <c r="D109" s="25">
        <v>16.858974358974358</v>
      </c>
      <c r="E109" s="25">
        <f t="shared" si="2"/>
        <v>-4.1410256410256423</v>
      </c>
      <c r="G109" s="25">
        <f t="shared" si="3"/>
        <v>5.8389578885814829E-2</v>
      </c>
      <c r="L109" s="25"/>
    </row>
    <row r="110" spans="1:12" x14ac:dyDescent="0.2">
      <c r="A110" s="24">
        <v>18</v>
      </c>
      <c r="B110" s="24">
        <v>1</v>
      </c>
      <c r="C110" s="24"/>
      <c r="D110" s="25">
        <v>16.858974358974358</v>
      </c>
      <c r="E110" s="25">
        <f t="shared" si="2"/>
        <v>-1.1410256410256423</v>
      </c>
      <c r="G110" s="25">
        <f t="shared" si="3"/>
        <v>9.0428595220514676E-2</v>
      </c>
      <c r="L110" s="25"/>
    </row>
    <row r="111" spans="1:12" x14ac:dyDescent="0.2">
      <c r="A111" s="24">
        <v>18</v>
      </c>
      <c r="B111" s="24">
        <v>1</v>
      </c>
      <c r="C111" s="24"/>
      <c r="D111" s="25">
        <v>16.858974358974358</v>
      </c>
      <c r="E111" s="25">
        <f t="shared" si="2"/>
        <v>-1.1410256410256423</v>
      </c>
      <c r="G111" s="25">
        <f t="shared" si="3"/>
        <v>9.0428595220514676E-2</v>
      </c>
      <c r="L111" s="25"/>
    </row>
    <row r="112" spans="1:12" x14ac:dyDescent="0.2">
      <c r="A112" s="24">
        <v>21</v>
      </c>
      <c r="B112" s="24">
        <v>1</v>
      </c>
      <c r="C112" s="24"/>
      <c r="D112" s="25">
        <v>16.858974358974358</v>
      </c>
      <c r="E112" s="25">
        <f t="shared" si="2"/>
        <v>-4.1410256410256423</v>
      </c>
      <c r="G112" s="25">
        <f t="shared" si="3"/>
        <v>5.8389578885814829E-2</v>
      </c>
      <c r="L112" s="25"/>
    </row>
    <row r="113" spans="1:12" x14ac:dyDescent="0.2">
      <c r="A113" s="24">
        <v>21</v>
      </c>
      <c r="B113" s="24">
        <v>1</v>
      </c>
      <c r="C113" s="24"/>
      <c r="D113" s="25">
        <v>16.858974358974358</v>
      </c>
      <c r="E113" s="25">
        <f t="shared" si="2"/>
        <v>-4.1410256410256423</v>
      </c>
      <c r="G113" s="25">
        <f t="shared" si="3"/>
        <v>5.8389578885814829E-2</v>
      </c>
      <c r="L113" s="25"/>
    </row>
    <row r="114" spans="1:12" x14ac:dyDescent="0.2">
      <c r="A114" s="24">
        <v>18</v>
      </c>
      <c r="B114" s="24">
        <v>1</v>
      </c>
      <c r="C114" s="24"/>
      <c r="D114" s="25">
        <v>16.858974358974358</v>
      </c>
      <c r="E114" s="25">
        <f t="shared" si="2"/>
        <v>-1.1410256410256423</v>
      </c>
      <c r="G114" s="25">
        <f t="shared" si="3"/>
        <v>9.0428595220514676E-2</v>
      </c>
      <c r="L114" s="25"/>
    </row>
    <row r="115" spans="1:12" x14ac:dyDescent="0.2">
      <c r="A115" s="24">
        <v>18</v>
      </c>
      <c r="B115" s="24">
        <v>1</v>
      </c>
      <c r="C115" s="24"/>
      <c r="D115" s="25">
        <v>16.858974358974358</v>
      </c>
      <c r="E115" s="25">
        <f t="shared" si="2"/>
        <v>-1.1410256410256423</v>
      </c>
      <c r="G115" s="25">
        <f t="shared" si="3"/>
        <v>9.0428595220514676E-2</v>
      </c>
      <c r="L115" s="25"/>
    </row>
    <row r="116" spans="1:12" x14ac:dyDescent="0.2">
      <c r="A116" s="24">
        <v>19</v>
      </c>
      <c r="B116" s="24">
        <v>1</v>
      </c>
      <c r="C116" s="24"/>
      <c r="D116" s="25">
        <v>16.858974358974358</v>
      </c>
      <c r="E116" s="25">
        <f t="shared" si="2"/>
        <v>-2.1410256410256423</v>
      </c>
      <c r="G116" s="25">
        <f t="shared" si="3"/>
        <v>8.2596026638649928E-2</v>
      </c>
      <c r="L116" s="25"/>
    </row>
    <row r="117" spans="1:12" x14ac:dyDescent="0.2">
      <c r="A117" s="24">
        <v>19</v>
      </c>
      <c r="B117" s="24">
        <v>1</v>
      </c>
      <c r="C117" s="24"/>
      <c r="D117" s="25">
        <v>16.858974358974358</v>
      </c>
      <c r="E117" s="25">
        <f t="shared" si="2"/>
        <v>-2.1410256410256423</v>
      </c>
      <c r="G117" s="25">
        <f t="shared" si="3"/>
        <v>8.2596026638649928E-2</v>
      </c>
      <c r="L117" s="25"/>
    </row>
    <row r="118" spans="1:12" x14ac:dyDescent="0.2">
      <c r="A118" s="24">
        <v>19</v>
      </c>
      <c r="B118" s="24">
        <v>1</v>
      </c>
      <c r="C118" s="24"/>
      <c r="D118" s="25">
        <v>16.858974358974358</v>
      </c>
      <c r="E118" s="25">
        <f t="shared" si="2"/>
        <v>-2.1410256410256423</v>
      </c>
      <c r="G118" s="25">
        <f t="shared" si="3"/>
        <v>8.2596026638649928E-2</v>
      </c>
      <c r="L118" s="25"/>
    </row>
    <row r="119" spans="1:12" x14ac:dyDescent="0.2">
      <c r="A119" s="24">
        <v>20</v>
      </c>
      <c r="B119" s="24">
        <v>1</v>
      </c>
      <c r="C119" s="24"/>
      <c r="D119" s="25">
        <v>16.858974358974358</v>
      </c>
      <c r="E119" s="25">
        <f t="shared" si="2"/>
        <v>-3.1410256410256423</v>
      </c>
      <c r="G119" s="25">
        <f t="shared" si="3"/>
        <v>7.138971945227178E-2</v>
      </c>
      <c r="L119" s="25"/>
    </row>
    <row r="120" spans="1:12" x14ac:dyDescent="0.2">
      <c r="A120" s="24">
        <v>20</v>
      </c>
      <c r="B120" s="24">
        <v>1</v>
      </c>
      <c r="C120" s="24"/>
      <c r="D120" s="25">
        <v>16.858974358974358</v>
      </c>
      <c r="E120" s="25">
        <f t="shared" si="2"/>
        <v>-3.1410256410256423</v>
      </c>
      <c r="G120" s="25">
        <f t="shared" si="3"/>
        <v>7.138971945227178E-2</v>
      </c>
      <c r="L120" s="25"/>
    </row>
    <row r="121" spans="1:12" x14ac:dyDescent="0.2">
      <c r="A121" s="24">
        <v>17</v>
      </c>
      <c r="B121" s="24">
        <v>1</v>
      </c>
      <c r="C121" s="24"/>
      <c r="D121" s="25">
        <v>16.858974358974358</v>
      </c>
      <c r="E121" s="25">
        <f t="shared" si="2"/>
        <v>-0.1410256410256423</v>
      </c>
      <c r="G121" s="25">
        <f t="shared" si="3"/>
        <v>9.3686186441259228E-2</v>
      </c>
      <c r="L121" s="25"/>
    </row>
    <row r="122" spans="1:12" x14ac:dyDescent="0.2">
      <c r="A122" s="24">
        <v>16</v>
      </c>
      <c r="B122" s="24">
        <v>1</v>
      </c>
      <c r="C122" s="24"/>
      <c r="D122" s="25">
        <v>16.858974358974358</v>
      </c>
      <c r="E122" s="25">
        <f t="shared" si="2"/>
        <v>0.8589743589743577</v>
      </c>
      <c r="G122" s="25">
        <f t="shared" si="3"/>
        <v>9.1847742433773194E-2</v>
      </c>
      <c r="L122" s="25"/>
    </row>
    <row r="123" spans="1:12" x14ac:dyDescent="0.2">
      <c r="A123" s="24">
        <v>17</v>
      </c>
      <c r="B123" s="24">
        <v>1</v>
      </c>
      <c r="C123" s="24"/>
      <c r="D123" s="25">
        <v>16.858974358974358</v>
      </c>
      <c r="E123" s="25">
        <f t="shared" si="2"/>
        <v>-0.1410256410256423</v>
      </c>
      <c r="G123" s="25">
        <f t="shared" si="3"/>
        <v>9.3686186441259228E-2</v>
      </c>
      <c r="L123" s="25"/>
    </row>
    <row r="124" spans="1:12" x14ac:dyDescent="0.2">
      <c r="A124" s="24">
        <v>17</v>
      </c>
      <c r="B124" s="24">
        <v>1</v>
      </c>
      <c r="C124" s="24"/>
      <c r="D124" s="25">
        <v>16.858974358974358</v>
      </c>
      <c r="E124" s="25">
        <f t="shared" si="2"/>
        <v>-0.1410256410256423</v>
      </c>
      <c r="G124" s="25">
        <f t="shared" si="3"/>
        <v>9.3686186441259228E-2</v>
      </c>
      <c r="L124" s="25"/>
    </row>
    <row r="125" spans="1:12" x14ac:dyDescent="0.2">
      <c r="A125" s="24">
        <v>15</v>
      </c>
      <c r="B125" s="24">
        <v>1</v>
      </c>
      <c r="C125" s="24"/>
      <c r="D125" s="25">
        <v>16.858974358974358</v>
      </c>
      <c r="E125" s="25">
        <f t="shared" si="2"/>
        <v>1.8589743589743577</v>
      </c>
      <c r="G125" s="25">
        <f t="shared" si="3"/>
        <v>8.5208821600122359E-2</v>
      </c>
      <c r="L125" s="25"/>
    </row>
    <row r="126" spans="1:12" x14ac:dyDescent="0.2">
      <c r="A126" s="24">
        <v>15</v>
      </c>
      <c r="B126" s="24">
        <v>1</v>
      </c>
      <c r="C126" s="24"/>
      <c r="D126" s="25">
        <v>16.858974358974358</v>
      </c>
      <c r="E126" s="25">
        <f t="shared" si="2"/>
        <v>1.8589743589743577</v>
      </c>
      <c r="G126" s="25">
        <f t="shared" si="3"/>
        <v>8.5208821600122359E-2</v>
      </c>
      <c r="L126" s="25"/>
    </row>
    <row r="127" spans="1:12" x14ac:dyDescent="0.2">
      <c r="A127" s="24">
        <v>14</v>
      </c>
      <c r="B127" s="24">
        <v>1</v>
      </c>
      <c r="C127" s="24"/>
      <c r="D127" s="25">
        <v>16.858974358974358</v>
      </c>
      <c r="E127" s="25">
        <f t="shared" si="2"/>
        <v>2.8589743589743577</v>
      </c>
      <c r="G127" s="25">
        <f t="shared" si="3"/>
        <v>7.4803820711623142E-2</v>
      </c>
      <c r="L127" s="25"/>
    </row>
    <row r="128" spans="1:12" x14ac:dyDescent="0.2">
      <c r="A128" s="24">
        <v>9</v>
      </c>
      <c r="B128" s="24">
        <v>1</v>
      </c>
      <c r="C128" s="24"/>
      <c r="D128" s="25">
        <v>16.858974358974358</v>
      </c>
      <c r="E128" s="25">
        <f t="shared" si="2"/>
        <v>7.8589743589743577</v>
      </c>
      <c r="G128" s="25">
        <f t="shared" si="3"/>
        <v>1.7039902700084295E-2</v>
      </c>
      <c r="L128" s="25"/>
    </row>
    <row r="129" spans="1:12" x14ac:dyDescent="0.2">
      <c r="A129" s="24">
        <v>14</v>
      </c>
      <c r="B129" s="24">
        <v>1</v>
      </c>
      <c r="C129" s="24"/>
      <c r="D129" s="25">
        <v>16.858974358974358</v>
      </c>
      <c r="E129" s="25">
        <f t="shared" si="2"/>
        <v>2.8589743589743577</v>
      </c>
      <c r="G129" s="25">
        <f t="shared" si="3"/>
        <v>7.4803820711623142E-2</v>
      </c>
      <c r="L129" s="25"/>
    </row>
    <row r="130" spans="1:12" x14ac:dyDescent="0.2">
      <c r="A130" s="24">
        <v>13</v>
      </c>
      <c r="B130" s="24">
        <v>1</v>
      </c>
      <c r="C130" s="24"/>
      <c r="D130" s="25">
        <v>16.858974358974358</v>
      </c>
      <c r="E130" s="25">
        <f t="shared" si="2"/>
        <v>3.8589743589743577</v>
      </c>
      <c r="G130" s="25">
        <f t="shared" si="3"/>
        <v>6.2142132155231941E-2</v>
      </c>
      <c r="L130" s="25"/>
    </row>
    <row r="131" spans="1:12" x14ac:dyDescent="0.2">
      <c r="A131" s="24">
        <v>11</v>
      </c>
      <c r="B131" s="24">
        <v>1</v>
      </c>
      <c r="C131" s="24"/>
      <c r="D131" s="25">
        <v>16.858974358974358</v>
      </c>
      <c r="E131" s="25">
        <f t="shared" ref="E131:E194" si="4">D131-A131</f>
        <v>5.8589743589743577</v>
      </c>
      <c r="G131" s="25">
        <f t="shared" ref="G131:G194" si="5">_xlfn.NORM.DIST(E131,0,$F$2,FALSE)</f>
        <v>3.6339616015446226E-2</v>
      </c>
      <c r="L131" s="25"/>
    </row>
    <row r="132" spans="1:12" x14ac:dyDescent="0.2">
      <c r="A132" s="24">
        <v>11</v>
      </c>
      <c r="B132" s="24">
        <v>1</v>
      </c>
      <c r="C132" s="24"/>
      <c r="D132" s="25">
        <v>16.858974358974358</v>
      </c>
      <c r="E132" s="25">
        <f t="shared" si="4"/>
        <v>5.8589743589743577</v>
      </c>
      <c r="G132" s="25">
        <f t="shared" si="5"/>
        <v>3.6339616015446226E-2</v>
      </c>
      <c r="L132" s="25"/>
    </row>
    <row r="133" spans="1:12" x14ac:dyDescent="0.2">
      <c r="A133" s="24">
        <v>12</v>
      </c>
      <c r="B133" s="24">
        <v>1</v>
      </c>
      <c r="C133" s="24"/>
      <c r="D133" s="25">
        <v>16.858974358974358</v>
      </c>
      <c r="E133" s="25">
        <f t="shared" si="4"/>
        <v>4.8589743589743577</v>
      </c>
      <c r="G133" s="25">
        <f t="shared" si="5"/>
        <v>4.8850798619149906E-2</v>
      </c>
      <c r="L133" s="25"/>
    </row>
    <row r="134" spans="1:12" x14ac:dyDescent="0.2">
      <c r="A134" s="24">
        <v>12</v>
      </c>
      <c r="B134" s="24">
        <v>1</v>
      </c>
      <c r="C134" s="24"/>
      <c r="D134" s="25">
        <v>16.858974358974358</v>
      </c>
      <c r="E134" s="25">
        <f t="shared" si="4"/>
        <v>4.8589743589743577</v>
      </c>
      <c r="G134" s="25">
        <f t="shared" si="5"/>
        <v>4.8850798619149906E-2</v>
      </c>
      <c r="L134" s="25"/>
    </row>
    <row r="135" spans="1:12" x14ac:dyDescent="0.2">
      <c r="A135" s="24">
        <v>11</v>
      </c>
      <c r="B135" s="24">
        <v>1</v>
      </c>
      <c r="C135" s="24"/>
      <c r="D135" s="25">
        <v>16.858974358974358</v>
      </c>
      <c r="E135" s="25">
        <f t="shared" si="4"/>
        <v>5.8589743589743577</v>
      </c>
      <c r="G135" s="25">
        <f t="shared" si="5"/>
        <v>3.6339616015446226E-2</v>
      </c>
      <c r="L135" s="25"/>
    </row>
    <row r="136" spans="1:12" x14ac:dyDescent="0.2">
      <c r="A136" s="24">
        <v>11</v>
      </c>
      <c r="B136" s="24">
        <v>1</v>
      </c>
      <c r="C136" s="24"/>
      <c r="D136" s="25">
        <v>16.858974358974358</v>
      </c>
      <c r="E136" s="25">
        <f t="shared" si="4"/>
        <v>5.8589743589743577</v>
      </c>
      <c r="G136" s="25">
        <f t="shared" si="5"/>
        <v>3.6339616015446226E-2</v>
      </c>
      <c r="L136" s="25"/>
    </row>
    <row r="137" spans="1:12" x14ac:dyDescent="0.2">
      <c r="A137" s="24">
        <v>11</v>
      </c>
      <c r="B137" s="24">
        <v>1</v>
      </c>
      <c r="C137" s="24"/>
      <c r="D137" s="25">
        <v>16.858974358974358</v>
      </c>
      <c r="E137" s="25">
        <f t="shared" si="4"/>
        <v>5.8589743589743577</v>
      </c>
      <c r="G137" s="25">
        <f t="shared" si="5"/>
        <v>3.6339616015446226E-2</v>
      </c>
      <c r="L137" s="25"/>
    </row>
    <row r="138" spans="1:12" x14ac:dyDescent="0.2">
      <c r="A138" s="24">
        <v>12</v>
      </c>
      <c r="B138" s="24">
        <v>1</v>
      </c>
      <c r="C138" s="24"/>
      <c r="D138" s="25">
        <v>16.858974358974358</v>
      </c>
      <c r="E138" s="25">
        <f t="shared" si="4"/>
        <v>4.8589743589743577</v>
      </c>
      <c r="G138" s="25">
        <f t="shared" si="5"/>
        <v>4.8850798619149906E-2</v>
      </c>
      <c r="L138" s="25"/>
    </row>
    <row r="139" spans="1:12" x14ac:dyDescent="0.2">
      <c r="A139" s="24">
        <v>14</v>
      </c>
      <c r="B139" s="24">
        <v>1</v>
      </c>
      <c r="C139" s="24"/>
      <c r="D139" s="25">
        <v>16.858974358974358</v>
      </c>
      <c r="E139" s="25">
        <f t="shared" si="4"/>
        <v>2.8589743589743577</v>
      </c>
      <c r="G139" s="25">
        <f t="shared" si="5"/>
        <v>7.4803820711623142E-2</v>
      </c>
      <c r="L139" s="25"/>
    </row>
    <row r="140" spans="1:12" x14ac:dyDescent="0.2">
      <c r="A140" s="24">
        <v>13</v>
      </c>
      <c r="B140" s="24">
        <v>1</v>
      </c>
      <c r="C140" s="24"/>
      <c r="D140" s="25">
        <v>16.858974358974358</v>
      </c>
      <c r="E140" s="25">
        <f t="shared" si="4"/>
        <v>3.8589743589743577</v>
      </c>
      <c r="G140" s="25">
        <f t="shared" si="5"/>
        <v>6.2142132155231941E-2</v>
      </c>
      <c r="L140" s="25"/>
    </row>
    <row r="141" spans="1:12" x14ac:dyDescent="0.2">
      <c r="A141" s="24">
        <v>13</v>
      </c>
      <c r="B141" s="24">
        <v>1</v>
      </c>
      <c r="C141" s="24"/>
      <c r="D141" s="25">
        <v>16.858974358974358</v>
      </c>
      <c r="E141" s="25">
        <f t="shared" si="4"/>
        <v>3.8589743589743577</v>
      </c>
      <c r="G141" s="25">
        <f t="shared" si="5"/>
        <v>6.2142132155231941E-2</v>
      </c>
      <c r="L141" s="25"/>
    </row>
    <row r="142" spans="1:12" x14ac:dyDescent="0.2">
      <c r="A142" s="24">
        <v>13</v>
      </c>
      <c r="B142" s="24">
        <v>1</v>
      </c>
      <c r="C142" s="24"/>
      <c r="D142" s="25">
        <v>16.858974358974358</v>
      </c>
      <c r="E142" s="25">
        <f t="shared" si="4"/>
        <v>3.8589743589743577</v>
      </c>
      <c r="G142" s="25">
        <f t="shared" si="5"/>
        <v>6.2142132155231941E-2</v>
      </c>
      <c r="L142" s="25"/>
    </row>
    <row r="143" spans="1:12" x14ac:dyDescent="0.2">
      <c r="A143" s="24">
        <v>21</v>
      </c>
      <c r="B143" s="24">
        <v>1</v>
      </c>
      <c r="C143" s="24"/>
      <c r="D143" s="25">
        <v>16.858974358974358</v>
      </c>
      <c r="E143" s="25">
        <f t="shared" si="4"/>
        <v>-4.1410256410256423</v>
      </c>
      <c r="G143" s="25">
        <f t="shared" si="5"/>
        <v>5.8389578885814829E-2</v>
      </c>
      <c r="L143" s="25"/>
    </row>
    <row r="144" spans="1:12" x14ac:dyDescent="0.2">
      <c r="A144" s="24">
        <v>19</v>
      </c>
      <c r="B144" s="24">
        <v>1</v>
      </c>
      <c r="C144" s="24"/>
      <c r="D144" s="25">
        <v>16.858974358974358</v>
      </c>
      <c r="E144" s="25">
        <f t="shared" si="4"/>
        <v>-2.1410256410256423</v>
      </c>
      <c r="G144" s="25">
        <f t="shared" si="5"/>
        <v>8.2596026638649928E-2</v>
      </c>
      <c r="L144" s="25"/>
    </row>
    <row r="145" spans="1:12" x14ac:dyDescent="0.2">
      <c r="A145" s="24">
        <v>23</v>
      </c>
      <c r="B145" s="24">
        <v>1</v>
      </c>
      <c r="C145" s="24"/>
      <c r="D145" s="25">
        <v>16.858974358974358</v>
      </c>
      <c r="E145" s="25">
        <f t="shared" si="4"/>
        <v>-6.1410256410256423</v>
      </c>
      <c r="G145" s="25">
        <f t="shared" si="5"/>
        <v>3.3098180744967454E-2</v>
      </c>
      <c r="L145" s="25"/>
    </row>
    <row r="146" spans="1:12" x14ac:dyDescent="0.2">
      <c r="A146" s="24">
        <v>23</v>
      </c>
      <c r="B146" s="24">
        <v>1</v>
      </c>
      <c r="C146" s="24"/>
      <c r="D146" s="25">
        <v>16.858974358974358</v>
      </c>
      <c r="E146" s="25">
        <f t="shared" si="4"/>
        <v>-6.1410256410256423</v>
      </c>
      <c r="G146" s="25">
        <f t="shared" si="5"/>
        <v>3.3098180744967454E-2</v>
      </c>
      <c r="L146" s="25"/>
    </row>
    <row r="147" spans="1:12" x14ac:dyDescent="0.2">
      <c r="A147" s="24">
        <v>19</v>
      </c>
      <c r="B147" s="24">
        <v>1</v>
      </c>
      <c r="C147" s="24"/>
      <c r="D147" s="25">
        <v>16.858974358974358</v>
      </c>
      <c r="E147" s="25">
        <f t="shared" si="4"/>
        <v>-2.1410256410256423</v>
      </c>
      <c r="G147" s="25">
        <f t="shared" si="5"/>
        <v>8.2596026638649928E-2</v>
      </c>
      <c r="L147" s="25"/>
    </row>
    <row r="148" spans="1:12" x14ac:dyDescent="0.2">
      <c r="A148" s="24">
        <v>19</v>
      </c>
      <c r="B148" s="24">
        <v>1</v>
      </c>
      <c r="C148" s="24"/>
      <c r="D148" s="25">
        <v>16.858974358974358</v>
      </c>
      <c r="E148" s="25">
        <f t="shared" si="4"/>
        <v>-2.1410256410256423</v>
      </c>
      <c r="G148" s="25">
        <f t="shared" si="5"/>
        <v>8.2596026638649928E-2</v>
      </c>
      <c r="L148" s="25"/>
    </row>
    <row r="149" spans="1:12" x14ac:dyDescent="0.2">
      <c r="A149" s="24">
        <v>18</v>
      </c>
      <c r="B149" s="24">
        <v>1</v>
      </c>
      <c r="C149" s="24"/>
      <c r="D149" s="25">
        <v>16.858974358974358</v>
      </c>
      <c r="E149" s="25">
        <f t="shared" si="4"/>
        <v>-1.1410256410256423</v>
      </c>
      <c r="G149" s="25">
        <f t="shared" si="5"/>
        <v>9.0428595220514676E-2</v>
      </c>
      <c r="L149" s="25"/>
    </row>
    <row r="150" spans="1:12" x14ac:dyDescent="0.2">
      <c r="A150" s="24">
        <v>19</v>
      </c>
      <c r="B150" s="24">
        <v>1</v>
      </c>
      <c r="C150" s="24"/>
      <c r="D150" s="25">
        <v>16.858974358974358</v>
      </c>
      <c r="E150" s="25">
        <f t="shared" si="4"/>
        <v>-2.1410256410256423</v>
      </c>
      <c r="G150" s="25">
        <f t="shared" si="5"/>
        <v>8.2596026638649928E-2</v>
      </c>
      <c r="L150" s="25"/>
    </row>
    <row r="151" spans="1:12" x14ac:dyDescent="0.2">
      <c r="A151" s="24">
        <v>19</v>
      </c>
      <c r="B151" s="24">
        <v>1</v>
      </c>
      <c r="C151" s="24"/>
      <c r="D151" s="25">
        <v>16.858974358974358</v>
      </c>
      <c r="E151" s="25">
        <f t="shared" si="4"/>
        <v>-2.1410256410256423</v>
      </c>
      <c r="G151" s="25">
        <f t="shared" si="5"/>
        <v>8.2596026638649928E-2</v>
      </c>
      <c r="L151" s="25"/>
    </row>
    <row r="152" spans="1:12" x14ac:dyDescent="0.2">
      <c r="A152" s="24">
        <v>14</v>
      </c>
      <c r="B152" s="24">
        <v>1</v>
      </c>
      <c r="C152" s="24"/>
      <c r="D152" s="25">
        <v>16.858974358974358</v>
      </c>
      <c r="E152" s="25">
        <f t="shared" si="4"/>
        <v>2.8589743589743577</v>
      </c>
      <c r="G152" s="25">
        <f t="shared" si="5"/>
        <v>7.4803820711623142E-2</v>
      </c>
      <c r="L152" s="25"/>
    </row>
    <row r="153" spans="1:12" x14ac:dyDescent="0.2">
      <c r="A153" s="24">
        <v>15</v>
      </c>
      <c r="B153" s="24">
        <v>1</v>
      </c>
      <c r="C153" s="24"/>
      <c r="D153" s="25">
        <v>16.858974358974358</v>
      </c>
      <c r="E153" s="25">
        <f t="shared" si="4"/>
        <v>1.8589743589743577</v>
      </c>
      <c r="G153" s="25">
        <f t="shared" si="5"/>
        <v>8.5208821600122359E-2</v>
      </c>
      <c r="L153" s="25"/>
    </row>
    <row r="154" spans="1:12" x14ac:dyDescent="0.2">
      <c r="A154" s="24">
        <v>14</v>
      </c>
      <c r="B154" s="24">
        <v>1</v>
      </c>
      <c r="C154" s="24"/>
      <c r="D154" s="25">
        <v>16.858974358974358</v>
      </c>
      <c r="E154" s="25">
        <f t="shared" si="4"/>
        <v>2.8589743589743577</v>
      </c>
      <c r="G154" s="25">
        <f t="shared" si="5"/>
        <v>7.4803820711623142E-2</v>
      </c>
      <c r="L154" s="25"/>
    </row>
    <row r="155" spans="1:12" x14ac:dyDescent="0.2">
      <c r="A155" s="24">
        <v>12</v>
      </c>
      <c r="B155" s="24">
        <v>1</v>
      </c>
      <c r="C155" s="24"/>
      <c r="D155" s="25">
        <v>16.858974358974358</v>
      </c>
      <c r="E155" s="25">
        <f t="shared" si="4"/>
        <v>4.8589743589743577</v>
      </c>
      <c r="G155" s="25">
        <f t="shared" si="5"/>
        <v>4.8850798619149906E-2</v>
      </c>
      <c r="L155" s="25"/>
    </row>
    <row r="156" spans="1:12" x14ac:dyDescent="0.2">
      <c r="A156" s="24">
        <v>18</v>
      </c>
      <c r="B156" s="24">
        <v>1</v>
      </c>
      <c r="C156" s="24"/>
      <c r="D156" s="25">
        <v>16.858974358974358</v>
      </c>
      <c r="E156" s="25">
        <f t="shared" si="4"/>
        <v>-1.1410256410256423</v>
      </c>
      <c r="G156" s="25">
        <f t="shared" si="5"/>
        <v>9.0428595220514676E-2</v>
      </c>
      <c r="L156" s="25"/>
    </row>
    <row r="157" spans="1:12" x14ac:dyDescent="0.2">
      <c r="A157" s="24">
        <v>16</v>
      </c>
      <c r="B157" s="24">
        <v>1</v>
      </c>
      <c r="C157" s="24"/>
      <c r="D157" s="25">
        <v>16.858974358974358</v>
      </c>
      <c r="E157" s="25">
        <f t="shared" si="4"/>
        <v>0.8589743589743577</v>
      </c>
      <c r="G157" s="25">
        <f t="shared" si="5"/>
        <v>9.1847742433773194E-2</v>
      </c>
      <c r="L157" s="25"/>
    </row>
    <row r="158" spans="1:12" x14ac:dyDescent="0.2">
      <c r="A158" s="24">
        <v>17</v>
      </c>
      <c r="B158" s="24">
        <v>1</v>
      </c>
      <c r="C158" s="24"/>
      <c r="D158" s="25">
        <v>16.858974358974358</v>
      </c>
      <c r="E158" s="25">
        <f t="shared" si="4"/>
        <v>-0.1410256410256423</v>
      </c>
      <c r="G158" s="25">
        <f t="shared" si="5"/>
        <v>9.3686186441259228E-2</v>
      </c>
      <c r="L158" s="25"/>
    </row>
    <row r="159" spans="1:12" x14ac:dyDescent="0.2">
      <c r="A159" s="24">
        <v>18</v>
      </c>
      <c r="B159" s="24">
        <v>1</v>
      </c>
      <c r="C159" s="24"/>
      <c r="D159" s="25">
        <v>16.858974358974358</v>
      </c>
      <c r="E159" s="25">
        <f t="shared" si="4"/>
        <v>-1.1410256410256423</v>
      </c>
      <c r="G159" s="25">
        <f t="shared" si="5"/>
        <v>9.0428595220514676E-2</v>
      </c>
      <c r="L159" s="25"/>
    </row>
    <row r="160" spans="1:12" x14ac:dyDescent="0.2">
      <c r="A160" s="24">
        <v>16</v>
      </c>
      <c r="B160" s="24">
        <v>1</v>
      </c>
      <c r="C160" s="24"/>
      <c r="D160" s="25">
        <v>16.858974358974358</v>
      </c>
      <c r="E160" s="25">
        <f t="shared" si="4"/>
        <v>0.8589743589743577</v>
      </c>
      <c r="G160" s="25">
        <f t="shared" si="5"/>
        <v>9.1847742433773194E-2</v>
      </c>
      <c r="L160" s="25"/>
    </row>
    <row r="161" spans="1:12" x14ac:dyDescent="0.2">
      <c r="A161" s="24">
        <v>18</v>
      </c>
      <c r="B161" s="24">
        <v>1</v>
      </c>
      <c r="C161" s="24"/>
      <c r="D161" s="25">
        <v>16.858974358974358</v>
      </c>
      <c r="E161" s="25">
        <f t="shared" si="4"/>
        <v>-1.1410256410256423</v>
      </c>
      <c r="G161" s="25">
        <f t="shared" si="5"/>
        <v>9.0428595220514676E-2</v>
      </c>
      <c r="L161" s="25"/>
    </row>
    <row r="162" spans="1:12" x14ac:dyDescent="0.2">
      <c r="A162" s="24">
        <v>18</v>
      </c>
      <c r="B162" s="24">
        <v>1</v>
      </c>
      <c r="C162" s="24"/>
      <c r="D162" s="25">
        <v>16.858974358974358</v>
      </c>
      <c r="E162" s="25">
        <f t="shared" si="4"/>
        <v>-1.1410256410256423</v>
      </c>
      <c r="G162" s="25">
        <f t="shared" si="5"/>
        <v>9.0428595220514676E-2</v>
      </c>
      <c r="L162" s="25"/>
    </row>
    <row r="163" spans="1:12" x14ac:dyDescent="0.2">
      <c r="A163" s="24">
        <v>20</v>
      </c>
      <c r="B163" s="24">
        <v>1</v>
      </c>
      <c r="C163" s="24"/>
      <c r="D163" s="25">
        <v>16.858974358974358</v>
      </c>
      <c r="E163" s="25">
        <f t="shared" si="4"/>
        <v>-3.1410256410256423</v>
      </c>
      <c r="G163" s="25">
        <f t="shared" si="5"/>
        <v>7.138971945227178E-2</v>
      </c>
      <c r="L163" s="25"/>
    </row>
    <row r="164" spans="1:12" x14ac:dyDescent="0.2">
      <c r="A164" s="24">
        <v>19</v>
      </c>
      <c r="B164" s="24">
        <v>1</v>
      </c>
      <c r="C164" s="24"/>
      <c r="D164" s="25">
        <v>16.858974358974358</v>
      </c>
      <c r="E164" s="25">
        <f t="shared" si="4"/>
        <v>-2.1410256410256423</v>
      </c>
      <c r="G164" s="25">
        <f t="shared" si="5"/>
        <v>8.2596026638649928E-2</v>
      </c>
      <c r="L164" s="25"/>
    </row>
    <row r="165" spans="1:12" x14ac:dyDescent="0.2">
      <c r="A165" s="24">
        <v>20</v>
      </c>
      <c r="B165" s="24">
        <v>1</v>
      </c>
      <c r="C165" s="24"/>
      <c r="D165" s="25">
        <v>16.858974358974358</v>
      </c>
      <c r="E165" s="25">
        <f t="shared" si="4"/>
        <v>-3.1410256410256423</v>
      </c>
      <c r="G165" s="25">
        <f t="shared" si="5"/>
        <v>7.138971945227178E-2</v>
      </c>
      <c r="L165" s="25"/>
    </row>
    <row r="166" spans="1:12" x14ac:dyDescent="0.2">
      <c r="A166" s="24">
        <v>18</v>
      </c>
      <c r="B166" s="24">
        <v>1</v>
      </c>
      <c r="C166" s="24"/>
      <c r="D166" s="25">
        <v>16.858974358974358</v>
      </c>
      <c r="E166" s="25">
        <f t="shared" si="4"/>
        <v>-1.1410256410256423</v>
      </c>
      <c r="G166" s="25">
        <f t="shared" si="5"/>
        <v>9.0428595220514676E-2</v>
      </c>
      <c r="L166" s="25"/>
    </row>
    <row r="167" spans="1:12" x14ac:dyDescent="0.2">
      <c r="A167" s="24">
        <v>21</v>
      </c>
      <c r="B167" s="24">
        <v>1</v>
      </c>
      <c r="C167" s="24"/>
      <c r="D167" s="25">
        <v>16.858974358974358</v>
      </c>
      <c r="E167" s="25">
        <f t="shared" si="4"/>
        <v>-4.1410256410256423</v>
      </c>
      <c r="G167" s="25">
        <f t="shared" si="5"/>
        <v>5.8389578885814829E-2</v>
      </c>
      <c r="L167" s="25"/>
    </row>
    <row r="168" spans="1:12" x14ac:dyDescent="0.2">
      <c r="A168" s="24">
        <v>19</v>
      </c>
      <c r="B168" s="24">
        <v>1</v>
      </c>
      <c r="C168" s="24"/>
      <c r="D168" s="25">
        <v>16.858974358974358</v>
      </c>
      <c r="E168" s="25">
        <f t="shared" si="4"/>
        <v>-2.1410256410256423</v>
      </c>
      <c r="G168" s="25">
        <f t="shared" si="5"/>
        <v>8.2596026638649928E-2</v>
      </c>
      <c r="L168" s="25"/>
    </row>
    <row r="169" spans="1:12" x14ac:dyDescent="0.2">
      <c r="A169" s="24">
        <v>19</v>
      </c>
      <c r="B169" s="24">
        <v>1</v>
      </c>
      <c r="C169" s="24"/>
      <c r="D169" s="25">
        <v>16.858974358974358</v>
      </c>
      <c r="E169" s="25">
        <f t="shared" si="4"/>
        <v>-2.1410256410256423</v>
      </c>
      <c r="G169" s="25">
        <f t="shared" si="5"/>
        <v>8.2596026638649928E-2</v>
      </c>
      <c r="L169" s="25"/>
    </row>
    <row r="170" spans="1:12" x14ac:dyDescent="0.2">
      <c r="A170" s="24">
        <v>19</v>
      </c>
      <c r="B170" s="24">
        <v>1</v>
      </c>
      <c r="C170" s="24"/>
      <c r="D170" s="25">
        <v>16.858974358974358</v>
      </c>
      <c r="E170" s="25">
        <f t="shared" si="4"/>
        <v>-2.1410256410256423</v>
      </c>
      <c r="G170" s="25">
        <f t="shared" si="5"/>
        <v>8.2596026638649928E-2</v>
      </c>
      <c r="L170" s="25"/>
    </row>
    <row r="171" spans="1:12" x14ac:dyDescent="0.2">
      <c r="A171" s="24">
        <v>20</v>
      </c>
      <c r="B171" s="24">
        <v>1</v>
      </c>
      <c r="C171" s="24"/>
      <c r="D171" s="25">
        <v>16.858974358974358</v>
      </c>
      <c r="E171" s="25">
        <f t="shared" si="4"/>
        <v>-3.1410256410256423</v>
      </c>
      <c r="G171" s="25">
        <f t="shared" si="5"/>
        <v>7.138971945227178E-2</v>
      </c>
      <c r="L171" s="25"/>
    </row>
    <row r="172" spans="1:12" x14ac:dyDescent="0.2">
      <c r="A172" s="24">
        <v>20</v>
      </c>
      <c r="B172" s="24">
        <v>1</v>
      </c>
      <c r="C172" s="24"/>
      <c r="D172" s="25">
        <v>16.858974358974358</v>
      </c>
      <c r="E172" s="25">
        <f t="shared" si="4"/>
        <v>-3.1410256410256423</v>
      </c>
      <c r="G172" s="25">
        <f t="shared" si="5"/>
        <v>7.138971945227178E-2</v>
      </c>
      <c r="L172" s="25"/>
    </row>
    <row r="173" spans="1:12" x14ac:dyDescent="0.2">
      <c r="A173" s="24">
        <v>19</v>
      </c>
      <c r="B173" s="24">
        <v>1</v>
      </c>
      <c r="C173" s="24"/>
      <c r="D173" s="25">
        <v>16.858974358974358</v>
      </c>
      <c r="E173" s="25">
        <f t="shared" si="4"/>
        <v>-2.1410256410256423</v>
      </c>
      <c r="G173" s="25">
        <f t="shared" si="5"/>
        <v>8.2596026638649928E-2</v>
      </c>
      <c r="L173" s="25"/>
    </row>
    <row r="174" spans="1:12" x14ac:dyDescent="0.2">
      <c r="A174" s="24">
        <v>20</v>
      </c>
      <c r="B174" s="24">
        <v>1</v>
      </c>
      <c r="C174" s="24"/>
      <c r="D174" s="25">
        <v>16.858974358974358</v>
      </c>
      <c r="E174" s="25">
        <f t="shared" si="4"/>
        <v>-3.1410256410256423</v>
      </c>
      <c r="G174" s="25">
        <f t="shared" si="5"/>
        <v>7.138971945227178E-2</v>
      </c>
      <c r="L174" s="25"/>
    </row>
    <row r="175" spans="1:12" x14ac:dyDescent="0.2">
      <c r="A175" s="24">
        <v>15</v>
      </c>
      <c r="B175" s="24">
        <v>1</v>
      </c>
      <c r="C175" s="24"/>
      <c r="D175" s="25">
        <v>16.858974358974358</v>
      </c>
      <c r="E175" s="25">
        <f t="shared" si="4"/>
        <v>1.8589743589743577</v>
      </c>
      <c r="G175" s="25">
        <f t="shared" si="5"/>
        <v>8.5208821600122359E-2</v>
      </c>
      <c r="L175" s="25"/>
    </row>
    <row r="176" spans="1:12" x14ac:dyDescent="0.2">
      <c r="A176" s="24">
        <v>16</v>
      </c>
      <c r="B176" s="24">
        <v>1</v>
      </c>
      <c r="C176" s="24"/>
      <c r="D176" s="25">
        <v>16.858974358974358</v>
      </c>
      <c r="E176" s="25">
        <f t="shared" si="4"/>
        <v>0.8589743589743577</v>
      </c>
      <c r="G176" s="25">
        <f t="shared" si="5"/>
        <v>9.1847742433773194E-2</v>
      </c>
      <c r="L176" s="25"/>
    </row>
    <row r="177" spans="1:12" x14ac:dyDescent="0.2">
      <c r="A177" s="24">
        <v>15</v>
      </c>
      <c r="B177" s="24">
        <v>1</v>
      </c>
      <c r="C177" s="24"/>
      <c r="D177" s="25">
        <v>16.858974358974358</v>
      </c>
      <c r="E177" s="25">
        <f t="shared" si="4"/>
        <v>1.8589743589743577</v>
      </c>
      <c r="G177" s="25">
        <f t="shared" si="5"/>
        <v>8.5208821600122359E-2</v>
      </c>
      <c r="L177" s="25"/>
    </row>
    <row r="178" spans="1:12" x14ac:dyDescent="0.2">
      <c r="A178" s="24">
        <v>15</v>
      </c>
      <c r="B178" s="24">
        <v>1</v>
      </c>
      <c r="C178" s="24"/>
      <c r="D178" s="25">
        <v>16.858974358974358</v>
      </c>
      <c r="E178" s="25">
        <f t="shared" si="4"/>
        <v>1.8589743589743577</v>
      </c>
      <c r="G178" s="25">
        <f t="shared" si="5"/>
        <v>8.5208821600122359E-2</v>
      </c>
      <c r="L178" s="25"/>
    </row>
    <row r="179" spans="1:12" x14ac:dyDescent="0.2">
      <c r="A179" s="24">
        <v>16</v>
      </c>
      <c r="B179" s="24">
        <v>1</v>
      </c>
      <c r="C179" s="24"/>
      <c r="D179" s="25">
        <v>16.858974358974358</v>
      </c>
      <c r="E179" s="25">
        <f t="shared" si="4"/>
        <v>0.8589743589743577</v>
      </c>
      <c r="G179" s="25">
        <f t="shared" si="5"/>
        <v>9.1847742433773194E-2</v>
      </c>
      <c r="L179" s="25"/>
    </row>
    <row r="180" spans="1:12" x14ac:dyDescent="0.2">
      <c r="A180" s="24">
        <v>14</v>
      </c>
      <c r="B180" s="24">
        <v>1</v>
      </c>
      <c r="C180" s="24"/>
      <c r="D180" s="25">
        <v>16.858974358974358</v>
      </c>
      <c r="E180" s="25">
        <f t="shared" si="4"/>
        <v>2.8589743589743577</v>
      </c>
      <c r="G180" s="25">
        <f t="shared" si="5"/>
        <v>7.4803820711623142E-2</v>
      </c>
      <c r="L180" s="25"/>
    </row>
    <row r="181" spans="1:12" x14ac:dyDescent="0.2">
      <c r="A181" s="24">
        <v>21</v>
      </c>
      <c r="B181" s="24">
        <v>1</v>
      </c>
      <c r="C181" s="24"/>
      <c r="D181" s="25">
        <v>16.858974358974358</v>
      </c>
      <c r="E181" s="25">
        <f t="shared" si="4"/>
        <v>-4.1410256410256423</v>
      </c>
      <c r="G181" s="25">
        <f t="shared" si="5"/>
        <v>5.8389578885814829E-2</v>
      </c>
      <c r="L181" s="25"/>
    </row>
    <row r="182" spans="1:12" x14ac:dyDescent="0.2">
      <c r="A182" s="24">
        <v>21</v>
      </c>
      <c r="B182" s="24">
        <v>1</v>
      </c>
      <c r="C182" s="24"/>
      <c r="D182" s="25">
        <v>16.858974358974358</v>
      </c>
      <c r="E182" s="25">
        <f t="shared" si="4"/>
        <v>-4.1410256410256423</v>
      </c>
      <c r="G182" s="25">
        <f t="shared" si="5"/>
        <v>5.8389578885814829E-2</v>
      </c>
      <c r="L182" s="25"/>
    </row>
    <row r="183" spans="1:12" x14ac:dyDescent="0.2">
      <c r="A183" s="24">
        <v>21</v>
      </c>
      <c r="B183" s="24">
        <v>1</v>
      </c>
      <c r="C183" s="24"/>
      <c r="D183" s="25">
        <v>16.858974358974358</v>
      </c>
      <c r="E183" s="25">
        <f t="shared" si="4"/>
        <v>-4.1410256410256423</v>
      </c>
      <c r="G183" s="25">
        <f t="shared" si="5"/>
        <v>5.8389578885814829E-2</v>
      </c>
      <c r="L183" s="25"/>
    </row>
    <row r="184" spans="1:12" x14ac:dyDescent="0.2">
      <c r="A184" s="24">
        <v>21</v>
      </c>
      <c r="B184" s="24">
        <v>1</v>
      </c>
      <c r="C184" s="24"/>
      <c r="D184" s="25">
        <v>16.858974358974358</v>
      </c>
      <c r="E184" s="25">
        <f t="shared" si="4"/>
        <v>-4.1410256410256423</v>
      </c>
      <c r="G184" s="25">
        <f t="shared" si="5"/>
        <v>5.8389578885814829E-2</v>
      </c>
      <c r="L184" s="25"/>
    </row>
    <row r="185" spans="1:12" x14ac:dyDescent="0.2">
      <c r="A185" s="24">
        <v>18</v>
      </c>
      <c r="B185" s="24">
        <v>1</v>
      </c>
      <c r="C185" s="24"/>
      <c r="D185" s="25">
        <v>16.858974358974358</v>
      </c>
      <c r="E185" s="25">
        <f t="shared" si="4"/>
        <v>-1.1410256410256423</v>
      </c>
      <c r="G185" s="25">
        <f t="shared" si="5"/>
        <v>9.0428595220514676E-2</v>
      </c>
      <c r="L185" s="25"/>
    </row>
    <row r="186" spans="1:12" x14ac:dyDescent="0.2">
      <c r="A186" s="24">
        <v>18</v>
      </c>
      <c r="B186" s="24">
        <v>1</v>
      </c>
      <c r="C186" s="24"/>
      <c r="D186" s="25">
        <v>16.858974358974358</v>
      </c>
      <c r="E186" s="25">
        <f t="shared" si="4"/>
        <v>-1.1410256410256423</v>
      </c>
      <c r="G186" s="25">
        <f t="shared" si="5"/>
        <v>9.0428595220514676E-2</v>
      </c>
      <c r="L186" s="25"/>
    </row>
    <row r="187" spans="1:12" x14ac:dyDescent="0.2">
      <c r="A187" s="24">
        <v>19</v>
      </c>
      <c r="B187" s="24">
        <v>1</v>
      </c>
      <c r="C187" s="24"/>
      <c r="D187" s="25">
        <v>16.858974358974358</v>
      </c>
      <c r="E187" s="25">
        <f t="shared" si="4"/>
        <v>-2.1410256410256423</v>
      </c>
      <c r="G187" s="25">
        <f t="shared" si="5"/>
        <v>8.2596026638649928E-2</v>
      </c>
      <c r="L187" s="25"/>
    </row>
    <row r="188" spans="1:12" x14ac:dyDescent="0.2">
      <c r="A188" s="24">
        <v>21</v>
      </c>
      <c r="B188" s="24">
        <v>1</v>
      </c>
      <c r="C188" s="24"/>
      <c r="D188" s="25">
        <v>16.858974358974358</v>
      </c>
      <c r="E188" s="25">
        <f t="shared" si="4"/>
        <v>-4.1410256410256423</v>
      </c>
      <c r="G188" s="25">
        <f t="shared" si="5"/>
        <v>5.8389578885814829E-2</v>
      </c>
      <c r="L188" s="25"/>
    </row>
    <row r="189" spans="1:12" x14ac:dyDescent="0.2">
      <c r="A189" s="24">
        <v>21</v>
      </c>
      <c r="B189" s="24">
        <v>1</v>
      </c>
      <c r="C189" s="24"/>
      <c r="D189" s="25">
        <v>16.858974358974358</v>
      </c>
      <c r="E189" s="25">
        <f t="shared" si="4"/>
        <v>-4.1410256410256423</v>
      </c>
      <c r="G189" s="25">
        <f t="shared" si="5"/>
        <v>5.8389578885814829E-2</v>
      </c>
      <c r="L189" s="25"/>
    </row>
    <row r="190" spans="1:12" x14ac:dyDescent="0.2">
      <c r="A190" s="24">
        <v>21</v>
      </c>
      <c r="B190" s="24">
        <v>1</v>
      </c>
      <c r="C190" s="24"/>
      <c r="D190" s="25">
        <v>16.858974358974358</v>
      </c>
      <c r="E190" s="25">
        <f t="shared" si="4"/>
        <v>-4.1410256410256423</v>
      </c>
      <c r="G190" s="25">
        <f t="shared" si="5"/>
        <v>5.8389578885814829E-2</v>
      </c>
      <c r="L190" s="25"/>
    </row>
    <row r="191" spans="1:12" x14ac:dyDescent="0.2">
      <c r="A191" s="24">
        <v>22</v>
      </c>
      <c r="B191" s="24">
        <v>1</v>
      </c>
      <c r="C191" s="24"/>
      <c r="D191" s="25">
        <v>16.858974358974358</v>
      </c>
      <c r="E191" s="25">
        <f t="shared" si="4"/>
        <v>-5.1410256410256423</v>
      </c>
      <c r="G191" s="25">
        <f t="shared" si="5"/>
        <v>4.5191645925457373E-2</v>
      </c>
      <c r="L191" s="25"/>
    </row>
    <row r="192" spans="1:12" x14ac:dyDescent="0.2">
      <c r="A192" s="24">
        <v>18</v>
      </c>
      <c r="B192" s="24">
        <v>1</v>
      </c>
      <c r="C192" s="24"/>
      <c r="D192" s="25">
        <v>16.858974358974358</v>
      </c>
      <c r="E192" s="25">
        <f t="shared" si="4"/>
        <v>-1.1410256410256423</v>
      </c>
      <c r="G192" s="25">
        <f t="shared" si="5"/>
        <v>9.0428595220514676E-2</v>
      </c>
      <c r="L192" s="25"/>
    </row>
    <row r="193" spans="1:12" x14ac:dyDescent="0.2">
      <c r="A193" s="24">
        <v>18</v>
      </c>
      <c r="B193" s="24">
        <v>1</v>
      </c>
      <c r="C193" s="24"/>
      <c r="D193" s="25">
        <v>16.858974358974358</v>
      </c>
      <c r="E193" s="25">
        <f t="shared" si="4"/>
        <v>-1.1410256410256423</v>
      </c>
      <c r="G193" s="25">
        <f t="shared" si="5"/>
        <v>9.0428595220514676E-2</v>
      </c>
      <c r="L193" s="25"/>
    </row>
    <row r="194" spans="1:12" x14ac:dyDescent="0.2">
      <c r="A194" s="24">
        <v>18</v>
      </c>
      <c r="B194" s="24">
        <v>1</v>
      </c>
      <c r="C194" s="24"/>
      <c r="D194" s="25">
        <v>16.858974358974358</v>
      </c>
      <c r="E194" s="25">
        <f t="shared" si="4"/>
        <v>-1.1410256410256423</v>
      </c>
      <c r="G194" s="25">
        <f t="shared" si="5"/>
        <v>9.0428595220514676E-2</v>
      </c>
      <c r="L194" s="25"/>
    </row>
    <row r="195" spans="1:12" x14ac:dyDescent="0.2">
      <c r="A195" s="24">
        <v>24</v>
      </c>
      <c r="B195" s="24">
        <v>1</v>
      </c>
      <c r="C195" s="24"/>
      <c r="D195" s="25">
        <v>16.858974358974358</v>
      </c>
      <c r="E195" s="25">
        <f t="shared" ref="E195:E235" si="6">D195-A195</f>
        <v>-7.1410256410256423</v>
      </c>
      <c r="G195" s="25">
        <f t="shared" ref="G195:G235" si="7">_xlfn.NORM.DIST(E195,0,$F$2,FALSE)</f>
        <v>2.293893420103504E-2</v>
      </c>
      <c r="L195" s="25"/>
    </row>
    <row r="196" spans="1:12" x14ac:dyDescent="0.2">
      <c r="A196" s="24">
        <v>24</v>
      </c>
      <c r="B196" s="24">
        <v>1</v>
      </c>
      <c r="C196" s="24"/>
      <c r="D196" s="25">
        <v>16.858974358974358</v>
      </c>
      <c r="E196" s="25">
        <f t="shared" si="6"/>
        <v>-7.1410256410256423</v>
      </c>
      <c r="G196" s="25">
        <f t="shared" si="7"/>
        <v>2.293893420103504E-2</v>
      </c>
      <c r="L196" s="25"/>
    </row>
    <row r="197" spans="1:12" x14ac:dyDescent="0.2">
      <c r="A197" s="24">
        <v>26</v>
      </c>
      <c r="B197" s="24">
        <v>1</v>
      </c>
      <c r="C197" s="24"/>
      <c r="D197" s="25">
        <v>16.858974358974358</v>
      </c>
      <c r="E197" s="25">
        <f t="shared" si="6"/>
        <v>-9.1410256410256423</v>
      </c>
      <c r="G197" s="25">
        <f t="shared" si="7"/>
        <v>9.3364312813032559E-3</v>
      </c>
      <c r="L197" s="25"/>
    </row>
    <row r="198" spans="1:12" x14ac:dyDescent="0.2">
      <c r="A198" s="24">
        <v>28</v>
      </c>
      <c r="B198" s="24">
        <v>1</v>
      </c>
      <c r="C198" s="24"/>
      <c r="D198" s="25">
        <v>16.858974358974358</v>
      </c>
      <c r="E198" s="25">
        <f t="shared" si="6"/>
        <v>-11.141025641025642</v>
      </c>
      <c r="G198" s="25">
        <f t="shared" si="7"/>
        <v>3.0470611306731058E-3</v>
      </c>
      <c r="L198" s="25"/>
    </row>
    <row r="199" spans="1:12" x14ac:dyDescent="0.2">
      <c r="A199" s="24">
        <v>26</v>
      </c>
      <c r="B199" s="24">
        <v>1</v>
      </c>
      <c r="C199" s="24"/>
      <c r="D199" s="25">
        <v>16.858974358974358</v>
      </c>
      <c r="E199" s="25">
        <f t="shared" si="6"/>
        <v>-9.1410256410256423</v>
      </c>
      <c r="G199" s="25">
        <f t="shared" si="7"/>
        <v>9.3364312813032559E-3</v>
      </c>
      <c r="L199" s="25"/>
    </row>
    <row r="200" spans="1:12" x14ac:dyDescent="0.2">
      <c r="A200" s="24">
        <v>11</v>
      </c>
      <c r="B200" s="24">
        <v>1</v>
      </c>
      <c r="C200" s="24"/>
      <c r="D200" s="25">
        <v>16.858974358974358</v>
      </c>
      <c r="E200" s="25">
        <f t="shared" si="6"/>
        <v>5.8589743589743577</v>
      </c>
      <c r="G200" s="25">
        <f t="shared" si="7"/>
        <v>3.6339616015446226E-2</v>
      </c>
      <c r="L200" s="25"/>
    </row>
    <row r="201" spans="1:12" x14ac:dyDescent="0.2">
      <c r="A201" s="24">
        <v>13</v>
      </c>
      <c r="B201" s="24">
        <v>1</v>
      </c>
      <c r="C201" s="24"/>
      <c r="D201" s="25">
        <v>16.858974358974358</v>
      </c>
      <c r="E201" s="25">
        <f t="shared" si="6"/>
        <v>3.8589743589743577</v>
      </c>
      <c r="G201" s="25">
        <f t="shared" si="7"/>
        <v>6.2142132155231941E-2</v>
      </c>
      <c r="L201" s="25"/>
    </row>
    <row r="202" spans="1:12" x14ac:dyDescent="0.2">
      <c r="A202" s="24">
        <v>15</v>
      </c>
      <c r="B202" s="24">
        <v>1</v>
      </c>
      <c r="C202" s="24"/>
      <c r="D202" s="25">
        <v>16.858974358974358</v>
      </c>
      <c r="E202" s="25">
        <f t="shared" si="6"/>
        <v>1.8589743589743577</v>
      </c>
      <c r="G202" s="25">
        <f t="shared" si="7"/>
        <v>8.5208821600122359E-2</v>
      </c>
      <c r="L202" s="25"/>
    </row>
    <row r="203" spans="1:12" x14ac:dyDescent="0.2">
      <c r="A203" s="24">
        <v>16</v>
      </c>
      <c r="B203" s="24">
        <v>1</v>
      </c>
      <c r="C203" s="24"/>
      <c r="D203" s="25">
        <v>16.858974358974358</v>
      </c>
      <c r="E203" s="25">
        <f t="shared" si="6"/>
        <v>0.8589743589743577</v>
      </c>
      <c r="G203" s="25">
        <f t="shared" si="7"/>
        <v>9.1847742433773194E-2</v>
      </c>
      <c r="L203" s="25"/>
    </row>
    <row r="204" spans="1:12" x14ac:dyDescent="0.2">
      <c r="A204" s="24">
        <v>17</v>
      </c>
      <c r="B204" s="24">
        <v>1</v>
      </c>
      <c r="C204" s="24"/>
      <c r="D204" s="25">
        <v>16.858974358974358</v>
      </c>
      <c r="E204" s="25">
        <f t="shared" si="6"/>
        <v>-0.1410256410256423</v>
      </c>
      <c r="G204" s="25">
        <f t="shared" si="7"/>
        <v>9.3686186441259228E-2</v>
      </c>
      <c r="L204" s="25"/>
    </row>
    <row r="205" spans="1:12" x14ac:dyDescent="0.2">
      <c r="A205" s="24">
        <v>15</v>
      </c>
      <c r="B205" s="24">
        <v>1</v>
      </c>
      <c r="C205" s="24"/>
      <c r="D205" s="25">
        <v>16.858974358974358</v>
      </c>
      <c r="E205" s="25">
        <f t="shared" si="6"/>
        <v>1.8589743589743577</v>
      </c>
      <c r="G205" s="25">
        <f t="shared" si="7"/>
        <v>8.5208821600122359E-2</v>
      </c>
      <c r="L205" s="25"/>
    </row>
    <row r="206" spans="1:12" x14ac:dyDescent="0.2">
      <c r="A206" s="24">
        <v>15</v>
      </c>
      <c r="B206" s="24">
        <v>1</v>
      </c>
      <c r="C206" s="24"/>
      <c r="D206" s="25">
        <v>16.858974358974358</v>
      </c>
      <c r="E206" s="25">
        <f t="shared" si="6"/>
        <v>1.8589743589743577</v>
      </c>
      <c r="G206" s="25">
        <f t="shared" si="7"/>
        <v>8.5208821600122359E-2</v>
      </c>
      <c r="L206" s="25"/>
    </row>
    <row r="207" spans="1:12" x14ac:dyDescent="0.2">
      <c r="A207" s="24">
        <v>15</v>
      </c>
      <c r="B207" s="24">
        <v>1</v>
      </c>
      <c r="C207" s="24"/>
      <c r="D207" s="25">
        <v>16.858974358974358</v>
      </c>
      <c r="E207" s="25">
        <f t="shared" si="6"/>
        <v>1.8589743589743577</v>
      </c>
      <c r="G207" s="25">
        <f t="shared" si="7"/>
        <v>8.5208821600122359E-2</v>
      </c>
      <c r="L207" s="25"/>
    </row>
    <row r="208" spans="1:12" x14ac:dyDescent="0.2">
      <c r="A208" s="24">
        <v>16</v>
      </c>
      <c r="B208" s="24">
        <v>1</v>
      </c>
      <c r="C208" s="24"/>
      <c r="D208" s="25">
        <v>16.858974358974358</v>
      </c>
      <c r="E208" s="25">
        <f t="shared" si="6"/>
        <v>0.8589743589743577</v>
      </c>
      <c r="G208" s="25">
        <f t="shared" si="7"/>
        <v>9.1847742433773194E-2</v>
      </c>
      <c r="L208" s="25"/>
    </row>
    <row r="209" spans="1:12" x14ac:dyDescent="0.2">
      <c r="A209" s="24">
        <v>21</v>
      </c>
      <c r="B209" s="24">
        <v>1</v>
      </c>
      <c r="C209" s="24"/>
      <c r="D209" s="25">
        <v>16.858974358974358</v>
      </c>
      <c r="E209" s="25">
        <f t="shared" si="6"/>
        <v>-4.1410256410256423</v>
      </c>
      <c r="G209" s="25">
        <f t="shared" si="7"/>
        <v>5.8389578885814829E-2</v>
      </c>
      <c r="L209" s="25"/>
    </row>
    <row r="210" spans="1:12" x14ac:dyDescent="0.2">
      <c r="A210" s="24">
        <v>19</v>
      </c>
      <c r="B210" s="24">
        <v>1</v>
      </c>
      <c r="C210" s="24"/>
      <c r="D210" s="25">
        <v>16.858974358974358</v>
      </c>
      <c r="E210" s="25">
        <f t="shared" si="6"/>
        <v>-2.1410256410256423</v>
      </c>
      <c r="G210" s="25">
        <f t="shared" si="7"/>
        <v>8.2596026638649928E-2</v>
      </c>
      <c r="L210" s="25"/>
    </row>
    <row r="211" spans="1:12" x14ac:dyDescent="0.2">
      <c r="A211" s="24">
        <v>21</v>
      </c>
      <c r="B211" s="24">
        <v>1</v>
      </c>
      <c r="C211" s="24"/>
      <c r="D211" s="25">
        <v>16.858974358974358</v>
      </c>
      <c r="E211" s="25">
        <f t="shared" si="6"/>
        <v>-4.1410256410256423</v>
      </c>
      <c r="G211" s="25">
        <f t="shared" si="7"/>
        <v>5.8389578885814829E-2</v>
      </c>
      <c r="L211" s="25"/>
    </row>
    <row r="212" spans="1:12" x14ac:dyDescent="0.2">
      <c r="A212" s="24">
        <v>22</v>
      </c>
      <c r="B212" s="24">
        <v>1</v>
      </c>
      <c r="C212" s="24"/>
      <c r="D212" s="25">
        <v>16.858974358974358</v>
      </c>
      <c r="E212" s="25">
        <f t="shared" si="6"/>
        <v>-5.1410256410256423</v>
      </c>
      <c r="G212" s="25">
        <f t="shared" si="7"/>
        <v>4.5191645925457373E-2</v>
      </c>
      <c r="L212" s="25"/>
    </row>
    <row r="213" spans="1:12" x14ac:dyDescent="0.2">
      <c r="A213" s="24">
        <v>17</v>
      </c>
      <c r="B213" s="24">
        <v>1</v>
      </c>
      <c r="C213" s="24"/>
      <c r="D213" s="25">
        <v>16.858974358974358</v>
      </c>
      <c r="E213" s="25">
        <f t="shared" si="6"/>
        <v>-0.1410256410256423</v>
      </c>
      <c r="G213" s="25">
        <f t="shared" si="7"/>
        <v>9.3686186441259228E-2</v>
      </c>
      <c r="L213" s="25"/>
    </row>
    <row r="214" spans="1:12" x14ac:dyDescent="0.2">
      <c r="A214" s="24">
        <v>33</v>
      </c>
      <c r="B214" s="24">
        <v>1</v>
      </c>
      <c r="C214" s="24"/>
      <c r="D214" s="25">
        <v>16.858974358974358</v>
      </c>
      <c r="E214" s="25">
        <f t="shared" si="6"/>
        <v>-16.141025641025642</v>
      </c>
      <c r="G214" s="25">
        <f t="shared" si="7"/>
        <v>7.0556481624534586E-5</v>
      </c>
      <c r="L214" s="25"/>
    </row>
    <row r="215" spans="1:12" x14ac:dyDescent="0.2">
      <c r="A215" s="24">
        <v>21</v>
      </c>
      <c r="B215" s="24">
        <v>1</v>
      </c>
      <c r="C215" s="24"/>
      <c r="D215" s="25">
        <v>16.858974358974358</v>
      </c>
      <c r="E215" s="25">
        <f t="shared" si="6"/>
        <v>-4.1410256410256423</v>
      </c>
      <c r="G215" s="25">
        <f t="shared" si="7"/>
        <v>5.8389578885814829E-2</v>
      </c>
      <c r="L215" s="25"/>
    </row>
    <row r="216" spans="1:12" x14ac:dyDescent="0.2">
      <c r="A216" s="24">
        <v>19</v>
      </c>
      <c r="B216" s="24">
        <v>1</v>
      </c>
      <c r="C216" s="24"/>
      <c r="D216" s="25">
        <v>16.858974358974358</v>
      </c>
      <c r="E216" s="25">
        <f t="shared" si="6"/>
        <v>-2.1410256410256423</v>
      </c>
      <c r="G216" s="25">
        <f t="shared" si="7"/>
        <v>8.2596026638649928E-2</v>
      </c>
      <c r="L216" s="25"/>
    </row>
    <row r="217" spans="1:12" x14ac:dyDescent="0.2">
      <c r="A217" s="24">
        <v>22</v>
      </c>
      <c r="B217" s="24">
        <v>1</v>
      </c>
      <c r="C217" s="24"/>
      <c r="D217" s="25">
        <v>16.858974358974358</v>
      </c>
      <c r="E217" s="25">
        <f t="shared" si="6"/>
        <v>-5.1410256410256423</v>
      </c>
      <c r="G217" s="25">
        <f t="shared" si="7"/>
        <v>4.5191645925457373E-2</v>
      </c>
      <c r="L217" s="25"/>
    </row>
    <row r="218" spans="1:12" x14ac:dyDescent="0.2">
      <c r="A218" s="24">
        <v>21</v>
      </c>
      <c r="B218" s="24">
        <v>1</v>
      </c>
      <c r="C218" s="24"/>
      <c r="D218" s="25">
        <v>16.858974358974358</v>
      </c>
      <c r="E218" s="25">
        <f t="shared" si="6"/>
        <v>-4.1410256410256423</v>
      </c>
      <c r="G218" s="25">
        <f t="shared" si="7"/>
        <v>5.8389578885814829E-2</v>
      </c>
      <c r="L218" s="25"/>
    </row>
    <row r="219" spans="1:12" x14ac:dyDescent="0.2">
      <c r="A219" s="24">
        <v>21</v>
      </c>
      <c r="B219" s="24">
        <v>1</v>
      </c>
      <c r="C219" s="24"/>
      <c r="D219" s="25">
        <v>16.858974358974358</v>
      </c>
      <c r="E219" s="25">
        <f t="shared" si="6"/>
        <v>-4.1410256410256423</v>
      </c>
      <c r="G219" s="25">
        <f t="shared" si="7"/>
        <v>5.8389578885814829E-2</v>
      </c>
      <c r="L219" s="25"/>
    </row>
    <row r="220" spans="1:12" x14ac:dyDescent="0.2">
      <c r="A220" s="24">
        <v>21</v>
      </c>
      <c r="B220" s="24">
        <v>1</v>
      </c>
      <c r="C220" s="24"/>
      <c r="D220" s="25">
        <v>16.858974358974358</v>
      </c>
      <c r="E220" s="25">
        <f t="shared" si="6"/>
        <v>-4.1410256410256423</v>
      </c>
      <c r="G220" s="25">
        <f t="shared" si="7"/>
        <v>5.8389578885814829E-2</v>
      </c>
      <c r="L220" s="25"/>
    </row>
    <row r="221" spans="1:12" x14ac:dyDescent="0.2">
      <c r="A221" s="24">
        <v>16</v>
      </c>
      <c r="B221" s="24">
        <v>1</v>
      </c>
      <c r="C221" s="24"/>
      <c r="D221" s="25">
        <v>16.858974358974358</v>
      </c>
      <c r="E221" s="25">
        <f t="shared" si="6"/>
        <v>0.8589743589743577</v>
      </c>
      <c r="G221" s="25">
        <f t="shared" si="7"/>
        <v>9.1847742433773194E-2</v>
      </c>
      <c r="L221" s="25"/>
    </row>
    <row r="222" spans="1:12" x14ac:dyDescent="0.2">
      <c r="A222" s="24">
        <v>17</v>
      </c>
      <c r="B222" s="24">
        <v>1</v>
      </c>
      <c r="C222" s="24"/>
      <c r="D222" s="25">
        <v>16.858974358974358</v>
      </c>
      <c r="E222" s="25">
        <f t="shared" si="6"/>
        <v>-0.1410256410256423</v>
      </c>
      <c r="G222" s="25">
        <f t="shared" si="7"/>
        <v>9.3686186441259228E-2</v>
      </c>
      <c r="L222" s="25"/>
    </row>
    <row r="223" spans="1:12" x14ac:dyDescent="0.2">
      <c r="A223" s="24">
        <v>35</v>
      </c>
      <c r="B223" s="24">
        <v>1</v>
      </c>
      <c r="C223" s="24"/>
      <c r="D223" s="25">
        <v>16.858974358974358</v>
      </c>
      <c r="E223" s="25">
        <f t="shared" si="6"/>
        <v>-18.141025641025642</v>
      </c>
      <c r="G223" s="25">
        <f t="shared" si="7"/>
        <v>1.0630685082524548E-5</v>
      </c>
      <c r="L223" s="25"/>
    </row>
    <row r="224" spans="1:12" x14ac:dyDescent="0.2">
      <c r="A224" s="24">
        <v>29</v>
      </c>
      <c r="B224" s="24">
        <v>1</v>
      </c>
      <c r="C224" s="24"/>
      <c r="D224" s="25">
        <v>16.858974358974358</v>
      </c>
      <c r="E224" s="25">
        <f t="shared" si="6"/>
        <v>-12.141025641025642</v>
      </c>
      <c r="G224" s="25">
        <f t="shared" si="7"/>
        <v>1.60238186282746E-3</v>
      </c>
      <c r="L224" s="25"/>
    </row>
    <row r="225" spans="1:12" x14ac:dyDescent="0.2">
      <c r="A225" s="24">
        <v>21</v>
      </c>
      <c r="B225" s="24">
        <v>1</v>
      </c>
      <c r="C225" s="24"/>
      <c r="D225" s="25">
        <v>16.858974358974358</v>
      </c>
      <c r="E225" s="25">
        <f t="shared" si="6"/>
        <v>-4.1410256410256423</v>
      </c>
      <c r="G225" s="25">
        <f t="shared" si="7"/>
        <v>5.8389578885814829E-2</v>
      </c>
      <c r="L225" s="25"/>
    </row>
    <row r="226" spans="1:12" x14ac:dyDescent="0.2">
      <c r="A226" s="24">
        <v>19</v>
      </c>
      <c r="B226" s="24">
        <v>1</v>
      </c>
      <c r="C226" s="24"/>
      <c r="D226" s="25">
        <v>16.858974358974358</v>
      </c>
      <c r="E226" s="25">
        <f t="shared" si="6"/>
        <v>-2.1410256410256423</v>
      </c>
      <c r="G226" s="25">
        <f t="shared" si="7"/>
        <v>8.2596026638649928E-2</v>
      </c>
      <c r="L226" s="25"/>
    </row>
    <row r="227" spans="1:12" x14ac:dyDescent="0.2">
      <c r="A227" s="24">
        <v>20</v>
      </c>
      <c r="B227" s="24">
        <v>1</v>
      </c>
      <c r="C227" s="24"/>
      <c r="D227" s="25">
        <v>16.858974358974358</v>
      </c>
      <c r="E227" s="25">
        <f t="shared" si="6"/>
        <v>-3.1410256410256423</v>
      </c>
      <c r="G227" s="25">
        <f t="shared" si="7"/>
        <v>7.138971945227178E-2</v>
      </c>
      <c r="L227" s="25"/>
    </row>
    <row r="228" spans="1:12" x14ac:dyDescent="0.2">
      <c r="A228" s="24">
        <v>20</v>
      </c>
      <c r="B228" s="24">
        <v>1</v>
      </c>
      <c r="C228" s="24"/>
      <c r="D228" s="25">
        <v>16.858974358974358</v>
      </c>
      <c r="E228" s="25">
        <f t="shared" si="6"/>
        <v>-3.1410256410256423</v>
      </c>
      <c r="G228" s="25">
        <f t="shared" si="7"/>
        <v>7.138971945227178E-2</v>
      </c>
      <c r="L228" s="25"/>
    </row>
    <row r="229" spans="1:12" x14ac:dyDescent="0.2">
      <c r="A229" s="24">
        <v>21</v>
      </c>
      <c r="B229" s="24">
        <v>1</v>
      </c>
      <c r="C229" s="24"/>
      <c r="D229" s="25">
        <v>16.858974358974358</v>
      </c>
      <c r="E229" s="25">
        <f t="shared" si="6"/>
        <v>-4.1410256410256423</v>
      </c>
      <c r="G229" s="25">
        <f t="shared" si="7"/>
        <v>5.8389578885814829E-2</v>
      </c>
      <c r="L229" s="25"/>
    </row>
    <row r="230" spans="1:12" x14ac:dyDescent="0.2">
      <c r="A230" s="24">
        <v>18</v>
      </c>
      <c r="B230" s="24">
        <v>1</v>
      </c>
      <c r="C230" s="24"/>
      <c r="D230" s="25">
        <v>16.858974358974358</v>
      </c>
      <c r="E230" s="25">
        <f t="shared" si="6"/>
        <v>-1.1410256410256423</v>
      </c>
      <c r="G230" s="25">
        <f t="shared" si="7"/>
        <v>9.0428595220514676E-2</v>
      </c>
      <c r="L230" s="25"/>
    </row>
    <row r="231" spans="1:12" x14ac:dyDescent="0.2">
      <c r="A231" s="24">
        <v>19</v>
      </c>
      <c r="B231" s="24">
        <v>1</v>
      </c>
      <c r="C231" s="24"/>
      <c r="D231" s="25">
        <v>16.858974358974358</v>
      </c>
      <c r="E231" s="25">
        <f t="shared" si="6"/>
        <v>-2.1410256410256423</v>
      </c>
      <c r="G231" s="25">
        <f t="shared" si="7"/>
        <v>8.2596026638649928E-2</v>
      </c>
      <c r="L231" s="25"/>
    </row>
    <row r="232" spans="1:12" x14ac:dyDescent="0.2">
      <c r="A232" s="24">
        <v>21</v>
      </c>
      <c r="B232" s="24">
        <v>1</v>
      </c>
      <c r="C232" s="24"/>
      <c r="D232" s="25">
        <v>16.858974358974358</v>
      </c>
      <c r="E232" s="25">
        <f t="shared" si="6"/>
        <v>-4.1410256410256423</v>
      </c>
      <c r="G232" s="25">
        <f t="shared" si="7"/>
        <v>5.8389578885814829E-2</v>
      </c>
      <c r="L232" s="25"/>
    </row>
    <row r="233" spans="1:12" x14ac:dyDescent="0.2">
      <c r="A233" s="24">
        <v>16</v>
      </c>
      <c r="B233" s="24">
        <v>1</v>
      </c>
      <c r="C233" s="24"/>
      <c r="D233" s="25">
        <v>16.858974358974358</v>
      </c>
      <c r="E233" s="25">
        <f t="shared" si="6"/>
        <v>0.8589743589743577</v>
      </c>
      <c r="G233" s="25">
        <f t="shared" si="7"/>
        <v>9.1847742433773194E-2</v>
      </c>
      <c r="L233" s="25"/>
    </row>
    <row r="234" spans="1:12" x14ac:dyDescent="0.2">
      <c r="A234" s="24">
        <v>18</v>
      </c>
      <c r="B234" s="24">
        <v>1</v>
      </c>
      <c r="C234" s="24"/>
      <c r="D234" s="25">
        <v>16.858974358974358</v>
      </c>
      <c r="E234" s="25">
        <f t="shared" si="6"/>
        <v>-1.1410256410256423</v>
      </c>
      <c r="G234" s="25">
        <f t="shared" si="7"/>
        <v>9.0428595220514676E-2</v>
      </c>
      <c r="L234" s="25"/>
    </row>
    <row r="235" spans="1:12" x14ac:dyDescent="0.2">
      <c r="A235" s="24">
        <v>17</v>
      </c>
      <c r="B235" s="24">
        <v>1</v>
      </c>
      <c r="C235" s="24"/>
      <c r="D235" s="25">
        <v>16.858974358974358</v>
      </c>
      <c r="E235" s="25">
        <f t="shared" si="6"/>
        <v>-0.1410256410256423</v>
      </c>
      <c r="G235" s="25">
        <f t="shared" si="7"/>
        <v>9.3686186441259228E-2</v>
      </c>
      <c r="L235" s="25"/>
    </row>
  </sheetData>
  <hyperlinks>
    <hyperlink ref="K23" r:id="rId1" xr:uid="{6FF9A7E4-9F5A-B04D-A55F-4118178FE758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5" x14ac:dyDescent="0.2">
      <c r="A1" s="24" t="s">
        <v>64</v>
      </c>
      <c r="B1" s="24" t="s">
        <v>143</v>
      </c>
      <c r="C1" s="24" t="s">
        <v>65</v>
      </c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  <c r="M1" s="25" t="s">
        <v>157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25" cm="1">
        <f t="array" aca="1" ref="D2:D235" ca="1">TREND(A2:A235,B2:C235,,FALSE)</f>
        <v>20.657555830168075</v>
      </c>
      <c r="E2" s="25">
        <f ca="1">D2-A2</f>
        <v>2.6575558301680751</v>
      </c>
      <c r="F2" s="25">
        <f ca="1">STDEV(E2:E235)</f>
        <v>1.2497181822870325</v>
      </c>
      <c r="G2" s="25">
        <f ca="1">_xlfn.NORM.DIST(E2,0,$F$2,FALSE)</f>
        <v>3.327632904268165E-2</v>
      </c>
      <c r="H2" s="25" cm="1">
        <f t="array" aca="1" ref="H2" ca="1">SUM(LN(G2:G235))</f>
        <v>-383.6944455535961</v>
      </c>
      <c r="I2" s="25">
        <f>COUNT(A2:A235)</f>
        <v>234</v>
      </c>
      <c r="J2" s="25">
        <v>2</v>
      </c>
      <c r="K2" s="25">
        <f ca="1">-2*H2+2*J2</f>
        <v>771.38889110719219</v>
      </c>
      <c r="L2" s="25"/>
      <c r="N2" s="25" t="s">
        <v>156</v>
      </c>
      <c r="O2" s="25" t="s">
        <v>149</v>
      </c>
    </row>
    <row r="3" spans="1:15" x14ac:dyDescent="0.2">
      <c r="A3" s="24">
        <v>21</v>
      </c>
      <c r="B3" s="24">
        <v>1</v>
      </c>
      <c r="C3" s="24">
        <f ca="1"/>
        <v>29</v>
      </c>
      <c r="D3" s="25">
        <f ca="1"/>
        <v>20.657555830168075</v>
      </c>
      <c r="E3" s="25">
        <f t="shared" ref="E3:E66" ca="1" si="0">D3-A3</f>
        <v>-0.34244416983192494</v>
      </c>
      <c r="G3" s="25">
        <f t="shared" ref="G3:G66" ca="1" si="1">_xlfn.NORM.DIST(E3,0,$F$2,FALSE)</f>
        <v>0.30746337812452051</v>
      </c>
      <c r="L3" s="25"/>
      <c r="M3" s="26"/>
      <c r="N3" s="26">
        <f ca="1">K8</f>
        <v>107.32351470807653</v>
      </c>
      <c r="O3" s="26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25">
        <f ca="1"/>
        <v>22.023994053472194</v>
      </c>
      <c r="E4" s="25">
        <f t="shared" ca="1" si="0"/>
        <v>2.0239940534721939</v>
      </c>
      <c r="G4" s="25">
        <f t="shared" ca="1" si="1"/>
        <v>8.6005458292729375E-2</v>
      </c>
      <c r="H4" s="25" t="s">
        <v>151</v>
      </c>
      <c r="I4" s="25" t="s">
        <v>152</v>
      </c>
      <c r="L4" s="25"/>
      <c r="M4" s="26" t="s">
        <v>59</v>
      </c>
      <c r="N4" s="27">
        <f t="dataTable" ref="N4:O7" dt2D="0" dtr="0" r1="C1" ca="1"/>
        <v>443.27246802336475</v>
      </c>
      <c r="O4" s="27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25">
        <f ca="1"/>
        <v>21.340774941820136</v>
      </c>
      <c r="E5" s="25">
        <f t="shared" ca="1" si="0"/>
        <v>0.34077494182013623</v>
      </c>
      <c r="G5" s="25">
        <f t="shared" ca="1" si="1"/>
        <v>0.30757565599758996</v>
      </c>
      <c r="H5" s="25">
        <f ca="1">SUMSQ(E2:E235)</f>
        <v>363.8983596873415</v>
      </c>
      <c r="I5" s="25">
        <f ca="1">H5/I2</f>
        <v>1.5551211952450492</v>
      </c>
      <c r="L5" s="25"/>
      <c r="M5" s="26" t="s">
        <v>60</v>
      </c>
      <c r="N5" s="27">
        <v>680.48560175849059</v>
      </c>
      <c r="O5" s="27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25">
        <f ca="1"/>
        <v>18.607898495211895</v>
      </c>
      <c r="E6" s="25">
        <f t="shared" ca="1" si="0"/>
        <v>2.6078984952118951</v>
      </c>
      <c r="G6" s="25">
        <f t="shared" ca="1" si="1"/>
        <v>3.6181717224349638E-2</v>
      </c>
      <c r="L6" s="25"/>
      <c r="M6" s="26" t="s">
        <v>61</v>
      </c>
      <c r="N6" s="27">
        <v>435.64100584426035</v>
      </c>
      <c r="O6" s="27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25">
        <f ca="1"/>
        <v>18.607898495211895</v>
      </c>
      <c r="E7" s="25">
        <f t="shared" ca="1" si="0"/>
        <v>0.6078984952118951</v>
      </c>
      <c r="G7" s="25">
        <f t="shared" ca="1" si="1"/>
        <v>0.28360781451993688</v>
      </c>
      <c r="H7" s="25" t="s">
        <v>154</v>
      </c>
      <c r="K7" s="25" t="s">
        <v>156</v>
      </c>
      <c r="L7" s="25"/>
      <c r="M7" s="26" t="s">
        <v>65</v>
      </c>
      <c r="N7" s="27">
        <v>107.32351470807653</v>
      </c>
      <c r="O7" s="27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25">
        <f ca="1"/>
        <v>19.291117606863956</v>
      </c>
      <c r="E8" s="25">
        <f t="shared" ca="1" si="0"/>
        <v>1.2911176068639563</v>
      </c>
      <c r="G8" s="25">
        <f t="shared" ca="1" si="1"/>
        <v>0.18720849951963059</v>
      </c>
      <c r="H8" s="25">
        <f ca="1">I2*LN(I5)</f>
        <v>103.32351470807653</v>
      </c>
      <c r="K8" s="25">
        <f ca="1">H8+2*J2</f>
        <v>107.32351470807653</v>
      </c>
      <c r="L8" s="25"/>
    </row>
    <row r="9" spans="1:15" x14ac:dyDescent="0.2">
      <c r="A9" s="24">
        <v>18</v>
      </c>
      <c r="B9" s="24">
        <v>1</v>
      </c>
      <c r="C9" s="24">
        <f ca="1"/>
        <v>26</v>
      </c>
      <c r="D9" s="25">
        <f ca="1"/>
        <v>18.607898495211895</v>
      </c>
      <c r="E9" s="25">
        <f t="shared" ca="1" si="0"/>
        <v>0.6078984952118951</v>
      </c>
      <c r="G9" s="25">
        <f t="shared" ca="1" si="1"/>
        <v>0.28360781451993688</v>
      </c>
      <c r="L9" s="25"/>
    </row>
    <row r="10" spans="1:15" x14ac:dyDescent="0.2">
      <c r="A10" s="24">
        <v>16</v>
      </c>
      <c r="B10" s="24">
        <v>1</v>
      </c>
      <c r="C10" s="24">
        <f ca="1"/>
        <v>25</v>
      </c>
      <c r="D10" s="25">
        <f ca="1"/>
        <v>17.924679383559837</v>
      </c>
      <c r="E10" s="25">
        <f t="shared" ca="1" si="0"/>
        <v>1.9246793835598375</v>
      </c>
      <c r="G10" s="25">
        <f t="shared" ca="1" si="1"/>
        <v>9.7510391399401958E-2</v>
      </c>
      <c r="H10" s="25" t="s">
        <v>155</v>
      </c>
      <c r="L10" s="25"/>
    </row>
    <row r="11" spans="1:15" x14ac:dyDescent="0.2">
      <c r="A11" s="24">
        <v>20</v>
      </c>
      <c r="B11" s="24">
        <v>1</v>
      </c>
      <c r="C11" s="24">
        <f ca="1"/>
        <v>28</v>
      </c>
      <c r="D11" s="25">
        <f ca="1"/>
        <v>19.974336718516017</v>
      </c>
      <c r="E11" s="25">
        <f t="shared" ca="1" si="0"/>
        <v>-2.5663281483982558E-2</v>
      </c>
      <c r="G11" s="25">
        <f t="shared" ca="1" si="1"/>
        <v>0.31915849397187074</v>
      </c>
      <c r="H11" s="25">
        <f>I2*LN(2*PI())</f>
        <v>430.06323353978684</v>
      </c>
      <c r="L11" s="25"/>
    </row>
    <row r="12" spans="1:15" x14ac:dyDescent="0.2">
      <c r="A12" s="24">
        <v>19</v>
      </c>
      <c r="B12" s="24">
        <v>1</v>
      </c>
      <c r="C12" s="24">
        <f ca="1"/>
        <v>27</v>
      </c>
      <c r="D12" s="25">
        <f ca="1"/>
        <v>19.291117606863956</v>
      </c>
      <c r="E12" s="25">
        <f t="shared" ca="1" si="0"/>
        <v>0.29111760686395627</v>
      </c>
      <c r="G12" s="25">
        <f t="shared" ca="1" si="1"/>
        <v>0.31068098494392388</v>
      </c>
      <c r="L12" s="25"/>
    </row>
    <row r="13" spans="1:15" x14ac:dyDescent="0.2">
      <c r="A13" s="24">
        <v>15</v>
      </c>
      <c r="B13" s="24">
        <v>1</v>
      </c>
      <c r="C13" s="24">
        <f ca="1"/>
        <v>25</v>
      </c>
      <c r="D13" s="25">
        <f ca="1"/>
        <v>17.924679383559837</v>
      </c>
      <c r="E13" s="25">
        <f t="shared" ca="1" si="0"/>
        <v>2.9246793835598375</v>
      </c>
      <c r="G13" s="25">
        <f t="shared" ca="1" si="1"/>
        <v>2.0644814857305384E-2</v>
      </c>
      <c r="H13" s="25" t="s">
        <v>153</v>
      </c>
      <c r="K13" s="25" t="s">
        <v>149</v>
      </c>
      <c r="L13" s="25"/>
    </row>
    <row r="14" spans="1:15" x14ac:dyDescent="0.2">
      <c r="A14" s="24">
        <v>17</v>
      </c>
      <c r="B14" s="24">
        <v>1</v>
      </c>
      <c r="C14" s="24">
        <f ca="1"/>
        <v>25</v>
      </c>
      <c r="D14" s="25">
        <f ca="1"/>
        <v>17.924679383559837</v>
      </c>
      <c r="E14" s="25">
        <f t="shared" ca="1" si="0"/>
        <v>0.92467938355983748</v>
      </c>
      <c r="G14" s="25">
        <f t="shared" ca="1" si="1"/>
        <v>0.24278226945780421</v>
      </c>
      <c r="H14" s="25">
        <f ca="1">H8+H11+I2</f>
        <v>767.38674824786335</v>
      </c>
      <c r="K14" s="25">
        <f ca="1">H14+2*J2</f>
        <v>771.38674824786335</v>
      </c>
      <c r="L14" s="25"/>
    </row>
    <row r="15" spans="1:15" x14ac:dyDescent="0.2">
      <c r="A15" s="24">
        <v>17</v>
      </c>
      <c r="B15" s="24">
        <v>1</v>
      </c>
      <c r="C15" s="24">
        <f ca="1"/>
        <v>25</v>
      </c>
      <c r="D15" s="25">
        <f ca="1"/>
        <v>17.924679383559837</v>
      </c>
      <c r="E15" s="25">
        <f t="shared" ca="1" si="0"/>
        <v>0.92467938355983748</v>
      </c>
      <c r="G15" s="25">
        <f t="shared" ca="1" si="1"/>
        <v>0.24278226945780421</v>
      </c>
      <c r="L15" s="25"/>
    </row>
    <row r="16" spans="1:15" x14ac:dyDescent="0.2">
      <c r="A16" s="24">
        <v>15</v>
      </c>
      <c r="B16" s="24">
        <v>1</v>
      </c>
      <c r="C16" s="24">
        <f ca="1"/>
        <v>25</v>
      </c>
      <c r="D16" s="25">
        <f ca="1"/>
        <v>17.924679383559837</v>
      </c>
      <c r="E16" s="25">
        <f t="shared" ca="1" si="0"/>
        <v>2.9246793835598375</v>
      </c>
      <c r="G16" s="25">
        <f t="shared" ca="1" si="1"/>
        <v>2.0644814857305384E-2</v>
      </c>
      <c r="L16" s="25"/>
    </row>
    <row r="17" spans="1:12" x14ac:dyDescent="0.2">
      <c r="A17" s="24">
        <v>15</v>
      </c>
      <c r="B17" s="24">
        <v>1</v>
      </c>
      <c r="C17" s="24">
        <f ca="1"/>
        <v>24</v>
      </c>
      <c r="D17" s="25">
        <f ca="1"/>
        <v>17.241460271907776</v>
      </c>
      <c r="E17" s="25">
        <f t="shared" ca="1" si="0"/>
        <v>2.2414602719077763</v>
      </c>
      <c r="G17" s="25">
        <f t="shared" ca="1" si="1"/>
        <v>6.3908179860316897E-2</v>
      </c>
      <c r="L17" s="25"/>
    </row>
    <row r="18" spans="1:12" x14ac:dyDescent="0.2">
      <c r="A18" s="24">
        <v>17</v>
      </c>
      <c r="B18" s="24">
        <v>1</v>
      </c>
      <c r="C18" s="24">
        <f ca="1"/>
        <v>25</v>
      </c>
      <c r="D18" s="25">
        <f ca="1"/>
        <v>17.924679383559837</v>
      </c>
      <c r="E18" s="25">
        <f t="shared" ca="1" si="0"/>
        <v>0.92467938355983748</v>
      </c>
      <c r="G18" s="25">
        <f t="shared" ca="1" si="1"/>
        <v>0.24278226945780421</v>
      </c>
      <c r="L18" s="25"/>
    </row>
    <row r="19" spans="1:12" x14ac:dyDescent="0.2">
      <c r="A19" s="24">
        <v>16</v>
      </c>
      <c r="B19" s="24">
        <v>1</v>
      </c>
      <c r="C19" s="24">
        <f ca="1"/>
        <v>23</v>
      </c>
      <c r="D19" s="25">
        <f ca="1"/>
        <v>16.558241160255715</v>
      </c>
      <c r="E19" s="25">
        <f t="shared" ca="1" si="0"/>
        <v>0.55824116025571513</v>
      </c>
      <c r="G19" s="25">
        <f t="shared" ca="1" si="1"/>
        <v>0.28891457937292003</v>
      </c>
      <c r="L19" s="25"/>
    </row>
    <row r="20" spans="1:12" x14ac:dyDescent="0.2">
      <c r="A20" s="24">
        <v>14</v>
      </c>
      <c r="B20" s="24">
        <v>1</v>
      </c>
      <c r="C20" s="24">
        <f ca="1"/>
        <v>20</v>
      </c>
      <c r="D20" s="25">
        <f ca="1"/>
        <v>14.508583825299539</v>
      </c>
      <c r="E20" s="25">
        <f t="shared" ca="1" si="0"/>
        <v>0.50858382529953872</v>
      </c>
      <c r="G20" s="25">
        <f t="shared" ca="1" si="1"/>
        <v>0.29385631906225068</v>
      </c>
      <c r="L20" s="25"/>
    </row>
    <row r="21" spans="1:12" x14ac:dyDescent="0.2">
      <c r="A21" s="24">
        <v>11</v>
      </c>
      <c r="B21" s="24">
        <v>1</v>
      </c>
      <c r="C21" s="24">
        <f ca="1"/>
        <v>15</v>
      </c>
      <c r="D21" s="25">
        <f ca="1"/>
        <v>11.09248826703924</v>
      </c>
      <c r="E21" s="25">
        <f t="shared" ca="1" si="0"/>
        <v>9.2488267039239958E-2</v>
      </c>
      <c r="G21" s="25">
        <f t="shared" ca="1" si="1"/>
        <v>0.31835277839425191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>
        <f ca="1"/>
        <v>20</v>
      </c>
      <c r="D22" s="25">
        <f ca="1"/>
        <v>14.508583825299539</v>
      </c>
      <c r="E22" s="25">
        <f t="shared" ca="1" si="0"/>
        <v>0.50858382529953872</v>
      </c>
      <c r="G22" s="25">
        <f t="shared" ca="1" si="1"/>
        <v>0.29385631906225068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>
        <f ca="1"/>
        <v>17</v>
      </c>
      <c r="D23" s="25">
        <f ca="1"/>
        <v>12.458926490343359</v>
      </c>
      <c r="E23" s="25">
        <f t="shared" ca="1" si="0"/>
        <v>-0.54107350965664125</v>
      </c>
      <c r="G23" s="25">
        <f t="shared" ca="1" si="1"/>
        <v>0.29066547731752662</v>
      </c>
      <c r="J23" s="37"/>
      <c r="K23" s="43" t="s">
        <v>274</v>
      </c>
      <c r="L23" s="39"/>
    </row>
    <row r="24" spans="1:12" x14ac:dyDescent="0.2">
      <c r="A24" s="24">
        <v>12</v>
      </c>
      <c r="B24" s="24">
        <v>1</v>
      </c>
      <c r="C24" s="24">
        <f ca="1"/>
        <v>17</v>
      </c>
      <c r="D24" s="25">
        <f ca="1"/>
        <v>12.458926490343359</v>
      </c>
      <c r="E24" s="25">
        <f t="shared" ca="1" si="0"/>
        <v>0.45892649034335875</v>
      </c>
      <c r="G24" s="25">
        <f t="shared" ca="1" si="1"/>
        <v>0.29841106438288428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>
        <f ca="1"/>
        <v>26</v>
      </c>
      <c r="D25" s="25">
        <f ca="1"/>
        <v>18.607898495211895</v>
      </c>
      <c r="E25" s="25">
        <f t="shared" ca="1" si="0"/>
        <v>2.6078984952118951</v>
      </c>
      <c r="G25" s="25">
        <f t="shared" ca="1" si="1"/>
        <v>3.6181717224349638E-2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>
        <f ca="1"/>
        <v>23</v>
      </c>
      <c r="D26" s="25">
        <f ca="1"/>
        <v>16.558241160255715</v>
      </c>
      <c r="E26" s="25">
        <f t="shared" ca="1" si="0"/>
        <v>1.5582411602557151</v>
      </c>
      <c r="G26" s="25">
        <f t="shared" ca="1" si="1"/>
        <v>0.1467237015411641</v>
      </c>
      <c r="L26" s="25"/>
    </row>
    <row r="27" spans="1:12" x14ac:dyDescent="0.2">
      <c r="A27" s="24">
        <v>16</v>
      </c>
      <c r="B27" s="24">
        <v>1</v>
      </c>
      <c r="C27" s="24">
        <f ca="1"/>
        <v>26</v>
      </c>
      <c r="D27" s="25">
        <f ca="1"/>
        <v>18.607898495211895</v>
      </c>
      <c r="E27" s="25">
        <f t="shared" ca="1" si="0"/>
        <v>2.6078984952118951</v>
      </c>
      <c r="G27" s="25">
        <f t="shared" ca="1" si="1"/>
        <v>3.6181717224349638E-2</v>
      </c>
      <c r="L27" s="25"/>
    </row>
    <row r="28" spans="1:12" x14ac:dyDescent="0.2">
      <c r="A28" s="24">
        <v>15</v>
      </c>
      <c r="B28" s="24">
        <v>1</v>
      </c>
      <c r="C28" s="24">
        <f ca="1"/>
        <v>25</v>
      </c>
      <c r="D28" s="25">
        <f ca="1"/>
        <v>17.924679383559837</v>
      </c>
      <c r="E28" s="25">
        <f t="shared" ca="1" si="0"/>
        <v>2.9246793835598375</v>
      </c>
      <c r="G28" s="25">
        <f t="shared" ca="1" si="1"/>
        <v>2.0644814857305384E-2</v>
      </c>
      <c r="L28" s="25"/>
    </row>
    <row r="29" spans="1:12" x14ac:dyDescent="0.2">
      <c r="A29" s="24">
        <v>15</v>
      </c>
      <c r="B29" s="24">
        <v>1</v>
      </c>
      <c r="C29" s="24">
        <f ca="1"/>
        <v>24</v>
      </c>
      <c r="D29" s="25">
        <f ca="1"/>
        <v>17.241460271907776</v>
      </c>
      <c r="E29" s="25">
        <f t="shared" ca="1" si="0"/>
        <v>2.2414602719077763</v>
      </c>
      <c r="G29" s="25">
        <f t="shared" ca="1" si="1"/>
        <v>6.3908179860316897E-2</v>
      </c>
      <c r="L29" s="25"/>
    </row>
    <row r="30" spans="1:12" x14ac:dyDescent="0.2">
      <c r="A30" s="24">
        <v>14</v>
      </c>
      <c r="B30" s="24">
        <v>1</v>
      </c>
      <c r="C30" s="24">
        <f ca="1"/>
        <v>19</v>
      </c>
      <c r="D30" s="25">
        <f ca="1"/>
        <v>13.825364713647479</v>
      </c>
      <c r="E30" s="25">
        <f t="shared" ca="1" si="0"/>
        <v>-0.17463528635252068</v>
      </c>
      <c r="G30" s="25">
        <f t="shared" ca="1" si="1"/>
        <v>0.31612416936198534</v>
      </c>
      <c r="L30" s="25"/>
    </row>
    <row r="31" spans="1:12" x14ac:dyDescent="0.2">
      <c r="A31" s="24">
        <v>11</v>
      </c>
      <c r="B31" s="24">
        <v>1</v>
      </c>
      <c r="C31" s="24">
        <f ca="1"/>
        <v>14</v>
      </c>
      <c r="D31" s="25">
        <f ca="1"/>
        <v>10.409269155387181</v>
      </c>
      <c r="E31" s="25">
        <f t="shared" ca="1" si="0"/>
        <v>-0.59073084461281944</v>
      </c>
      <c r="G31" s="25">
        <f t="shared" ca="1" si="1"/>
        <v>0.28548233893943797</v>
      </c>
      <c r="L31" s="25"/>
    </row>
    <row r="32" spans="1:12" x14ac:dyDescent="0.2">
      <c r="A32" s="24">
        <v>11</v>
      </c>
      <c r="B32" s="24">
        <v>1</v>
      </c>
      <c r="C32" s="24">
        <f ca="1"/>
        <v>15</v>
      </c>
      <c r="D32" s="25">
        <f ca="1"/>
        <v>11.09248826703924</v>
      </c>
      <c r="E32" s="25">
        <f t="shared" ca="1" si="0"/>
        <v>9.2488267039239958E-2</v>
      </c>
      <c r="G32" s="25">
        <f t="shared" ca="1" si="1"/>
        <v>0.31835277839425191</v>
      </c>
      <c r="L32" s="25"/>
    </row>
    <row r="33" spans="1:12" x14ac:dyDescent="0.2">
      <c r="A33" s="24">
        <v>14</v>
      </c>
      <c r="B33" s="24">
        <v>1</v>
      </c>
      <c r="C33" s="24">
        <f ca="1"/>
        <v>17</v>
      </c>
      <c r="D33" s="25">
        <f ca="1"/>
        <v>12.458926490343359</v>
      </c>
      <c r="E33" s="25">
        <f t="shared" ca="1" si="0"/>
        <v>-1.5410735096566412</v>
      </c>
      <c r="G33" s="25">
        <f t="shared" ca="1" si="1"/>
        <v>0.14924443441661395</v>
      </c>
      <c r="L33" s="25"/>
    </row>
    <row r="34" spans="1:12" x14ac:dyDescent="0.2">
      <c r="A34" s="24">
        <v>19</v>
      </c>
      <c r="B34" s="24">
        <v>1</v>
      </c>
      <c r="C34" s="24">
        <f ca="1"/>
        <v>27</v>
      </c>
      <c r="D34" s="25">
        <f ca="1"/>
        <v>19.291117606863956</v>
      </c>
      <c r="E34" s="25">
        <f t="shared" ca="1" si="0"/>
        <v>0.29111760686395627</v>
      </c>
      <c r="G34" s="25">
        <f t="shared" ca="1" si="1"/>
        <v>0.31068098494392388</v>
      </c>
      <c r="L34" s="25"/>
    </row>
    <row r="35" spans="1:12" x14ac:dyDescent="0.2">
      <c r="A35" s="24">
        <v>22</v>
      </c>
      <c r="B35" s="24">
        <v>1</v>
      </c>
      <c r="C35" s="24">
        <f ca="1"/>
        <v>30</v>
      </c>
      <c r="D35" s="25">
        <f ca="1"/>
        <v>21.340774941820136</v>
      </c>
      <c r="E35" s="25">
        <f t="shared" ca="1" si="0"/>
        <v>-0.65922505817986377</v>
      </c>
      <c r="G35" s="25">
        <f t="shared" ca="1" si="1"/>
        <v>0.27776379398250539</v>
      </c>
      <c r="L35" s="25"/>
    </row>
    <row r="36" spans="1:12" x14ac:dyDescent="0.2">
      <c r="A36" s="24">
        <v>18</v>
      </c>
      <c r="B36" s="24">
        <v>1</v>
      </c>
      <c r="C36" s="24">
        <f ca="1"/>
        <v>26</v>
      </c>
      <c r="D36" s="25">
        <f ca="1"/>
        <v>18.607898495211895</v>
      </c>
      <c r="E36" s="25">
        <f t="shared" ca="1" si="0"/>
        <v>0.6078984952118951</v>
      </c>
      <c r="G36" s="25">
        <f t="shared" ca="1" si="1"/>
        <v>0.28360781451993688</v>
      </c>
      <c r="L36" s="25"/>
    </row>
    <row r="37" spans="1:12" x14ac:dyDescent="0.2">
      <c r="A37" s="24">
        <v>18</v>
      </c>
      <c r="B37" s="24">
        <v>1</v>
      </c>
      <c r="C37" s="24">
        <f ca="1"/>
        <v>29</v>
      </c>
      <c r="D37" s="25">
        <f ca="1"/>
        <v>20.657555830168075</v>
      </c>
      <c r="E37" s="25">
        <f t="shared" ca="1" si="0"/>
        <v>2.6575558301680751</v>
      </c>
      <c r="G37" s="25">
        <f t="shared" ca="1" si="1"/>
        <v>3.327632904268165E-2</v>
      </c>
      <c r="L37" s="25"/>
    </row>
    <row r="38" spans="1:12" x14ac:dyDescent="0.2">
      <c r="A38" s="24">
        <v>17</v>
      </c>
      <c r="B38" s="24">
        <v>1</v>
      </c>
      <c r="C38" s="24">
        <f ca="1"/>
        <v>26</v>
      </c>
      <c r="D38" s="25">
        <f ca="1"/>
        <v>18.607898495211895</v>
      </c>
      <c r="E38" s="25">
        <f t="shared" ca="1" si="0"/>
        <v>1.6078984952118951</v>
      </c>
      <c r="G38" s="25">
        <f t="shared" ca="1" si="1"/>
        <v>0.13952132892333158</v>
      </c>
      <c r="L38" s="25"/>
    </row>
    <row r="39" spans="1:12" x14ac:dyDescent="0.2">
      <c r="A39" s="24">
        <v>18</v>
      </c>
      <c r="B39" s="24">
        <v>1</v>
      </c>
      <c r="C39" s="24">
        <f ca="1"/>
        <v>24</v>
      </c>
      <c r="D39" s="25">
        <f ca="1"/>
        <v>17.241460271907776</v>
      </c>
      <c r="E39" s="25">
        <f t="shared" ca="1" si="0"/>
        <v>-0.7585397280922237</v>
      </c>
      <c r="G39" s="25">
        <f t="shared" ca="1" si="1"/>
        <v>0.2655208098682208</v>
      </c>
      <c r="L39" s="25"/>
    </row>
    <row r="40" spans="1:12" x14ac:dyDescent="0.2">
      <c r="A40" s="24">
        <v>17</v>
      </c>
      <c r="B40" s="24">
        <v>1</v>
      </c>
      <c r="C40" s="24">
        <f ca="1"/>
        <v>24</v>
      </c>
      <c r="D40" s="25">
        <f ca="1"/>
        <v>17.241460271907776</v>
      </c>
      <c r="E40" s="25">
        <f t="shared" ca="1" si="0"/>
        <v>0.2414602719077763</v>
      </c>
      <c r="G40" s="25">
        <f t="shared" ca="1" si="1"/>
        <v>0.31332258364370175</v>
      </c>
      <c r="L40" s="25"/>
    </row>
    <row r="41" spans="1:12" x14ac:dyDescent="0.2">
      <c r="A41" s="24">
        <v>16</v>
      </c>
      <c r="B41" s="24">
        <v>1</v>
      </c>
      <c r="C41" s="24">
        <f ca="1"/>
        <v>22</v>
      </c>
      <c r="D41" s="25">
        <f ca="1"/>
        <v>15.875022048603658</v>
      </c>
      <c r="E41" s="25">
        <f t="shared" ca="1" si="0"/>
        <v>-0.12497795139634249</v>
      </c>
      <c r="G41" s="25">
        <f t="shared" ca="1" si="1"/>
        <v>0.31763349392564566</v>
      </c>
      <c r="L41" s="25"/>
    </row>
    <row r="42" spans="1:12" x14ac:dyDescent="0.2">
      <c r="A42" s="24">
        <v>16</v>
      </c>
      <c r="B42" s="24">
        <v>1</v>
      </c>
      <c r="C42" s="24">
        <f ca="1"/>
        <v>22</v>
      </c>
      <c r="D42" s="25">
        <f ca="1"/>
        <v>15.875022048603658</v>
      </c>
      <c r="E42" s="25">
        <f t="shared" ca="1" si="0"/>
        <v>-0.12497795139634249</v>
      </c>
      <c r="G42" s="25">
        <f t="shared" ca="1" si="1"/>
        <v>0.31763349392564566</v>
      </c>
      <c r="L42" s="25"/>
    </row>
    <row r="43" spans="1:12" x14ac:dyDescent="0.2">
      <c r="A43" s="24">
        <v>17</v>
      </c>
      <c r="B43" s="24">
        <v>1</v>
      </c>
      <c r="C43" s="24">
        <f ca="1"/>
        <v>24</v>
      </c>
      <c r="D43" s="25">
        <f ca="1"/>
        <v>17.241460271907776</v>
      </c>
      <c r="E43" s="25">
        <f t="shared" ca="1" si="0"/>
        <v>0.2414602719077763</v>
      </c>
      <c r="G43" s="25">
        <f t="shared" ca="1" si="1"/>
        <v>0.31332258364370175</v>
      </c>
      <c r="L43" s="25"/>
    </row>
    <row r="44" spans="1:12" x14ac:dyDescent="0.2">
      <c r="A44" s="24">
        <v>17</v>
      </c>
      <c r="B44" s="24">
        <v>1</v>
      </c>
      <c r="C44" s="24">
        <f ca="1"/>
        <v>24</v>
      </c>
      <c r="D44" s="25">
        <f ca="1"/>
        <v>17.241460271907776</v>
      </c>
      <c r="E44" s="25">
        <f t="shared" ca="1" si="0"/>
        <v>0.2414602719077763</v>
      </c>
      <c r="G44" s="25">
        <f t="shared" ca="1" si="1"/>
        <v>0.31332258364370175</v>
      </c>
      <c r="L44" s="25"/>
    </row>
    <row r="45" spans="1:12" x14ac:dyDescent="0.2">
      <c r="A45" s="24">
        <v>11</v>
      </c>
      <c r="B45" s="24">
        <v>1</v>
      </c>
      <c r="C45" s="24">
        <f ca="1"/>
        <v>17</v>
      </c>
      <c r="D45" s="25">
        <f ca="1"/>
        <v>12.458926490343359</v>
      </c>
      <c r="E45" s="25">
        <f t="shared" ca="1" si="0"/>
        <v>1.4589264903433588</v>
      </c>
      <c r="G45" s="25">
        <f t="shared" ca="1" si="1"/>
        <v>0.16149629011123415</v>
      </c>
      <c r="L45" s="25"/>
    </row>
    <row r="46" spans="1:12" x14ac:dyDescent="0.2">
      <c r="A46" s="24">
        <v>15</v>
      </c>
      <c r="B46" s="24">
        <v>1</v>
      </c>
      <c r="C46" s="24">
        <f ca="1"/>
        <v>22</v>
      </c>
      <c r="D46" s="25">
        <f ca="1"/>
        <v>15.875022048603658</v>
      </c>
      <c r="E46" s="25">
        <f t="shared" ca="1" si="0"/>
        <v>0.87502204860365751</v>
      </c>
      <c r="G46" s="25">
        <f t="shared" ca="1" si="1"/>
        <v>0.2498287819911226</v>
      </c>
      <c r="L46" s="25"/>
    </row>
    <row r="47" spans="1:12" x14ac:dyDescent="0.2">
      <c r="A47" s="24">
        <v>15</v>
      </c>
      <c r="B47" s="24">
        <v>1</v>
      </c>
      <c r="C47" s="24">
        <f ca="1"/>
        <v>21</v>
      </c>
      <c r="D47" s="25">
        <f ca="1"/>
        <v>15.191802936951598</v>
      </c>
      <c r="E47" s="25">
        <f t="shared" ca="1" si="0"/>
        <v>0.19180293695159811</v>
      </c>
      <c r="G47" s="25">
        <f t="shared" ca="1" si="1"/>
        <v>0.31548813891774308</v>
      </c>
      <c r="L47" s="25"/>
    </row>
    <row r="48" spans="1:12" x14ac:dyDescent="0.2">
      <c r="A48" s="24">
        <v>16</v>
      </c>
      <c r="B48" s="24">
        <v>1</v>
      </c>
      <c r="C48" s="24">
        <f ca="1"/>
        <v>23</v>
      </c>
      <c r="D48" s="25">
        <f ca="1"/>
        <v>16.558241160255715</v>
      </c>
      <c r="E48" s="25">
        <f t="shared" ca="1" si="0"/>
        <v>0.55824116025571513</v>
      </c>
      <c r="G48" s="25">
        <f t="shared" ca="1" si="1"/>
        <v>0.28891457937292003</v>
      </c>
      <c r="L48" s="25"/>
    </row>
    <row r="49" spans="1:12" x14ac:dyDescent="0.2">
      <c r="A49" s="24">
        <v>16</v>
      </c>
      <c r="B49" s="24">
        <v>1</v>
      </c>
      <c r="C49" s="24">
        <f ca="1"/>
        <v>23</v>
      </c>
      <c r="D49" s="25">
        <f ca="1"/>
        <v>16.558241160255715</v>
      </c>
      <c r="E49" s="25">
        <f t="shared" ca="1" si="0"/>
        <v>0.55824116025571513</v>
      </c>
      <c r="G49" s="25">
        <f t="shared" ca="1" si="1"/>
        <v>0.28891457937292003</v>
      </c>
      <c r="L49" s="25"/>
    </row>
    <row r="50" spans="1:12" x14ac:dyDescent="0.2">
      <c r="A50" s="24">
        <v>15</v>
      </c>
      <c r="B50" s="24">
        <v>1</v>
      </c>
      <c r="C50" s="24">
        <f ca="1"/>
        <v>19</v>
      </c>
      <c r="D50" s="25">
        <f ca="1"/>
        <v>13.825364713647479</v>
      </c>
      <c r="E50" s="25">
        <f t="shared" ca="1" si="0"/>
        <v>-1.1746352863525207</v>
      </c>
      <c r="G50" s="25">
        <f t="shared" ca="1" si="1"/>
        <v>0.20523871008550823</v>
      </c>
      <c r="L50" s="25"/>
    </row>
    <row r="51" spans="1:12" x14ac:dyDescent="0.2">
      <c r="A51" s="24">
        <v>14</v>
      </c>
      <c r="B51" s="24">
        <v>1</v>
      </c>
      <c r="C51" s="24">
        <f ca="1"/>
        <v>18</v>
      </c>
      <c r="D51" s="25">
        <f ca="1"/>
        <v>13.142145601995418</v>
      </c>
      <c r="E51" s="25">
        <f t="shared" ca="1" si="0"/>
        <v>-0.85785439800458185</v>
      </c>
      <c r="G51" s="25">
        <f t="shared" ca="1" si="1"/>
        <v>0.25221954505601618</v>
      </c>
      <c r="L51" s="25"/>
    </row>
    <row r="52" spans="1:12" x14ac:dyDescent="0.2">
      <c r="A52" s="24">
        <v>13</v>
      </c>
      <c r="B52" s="24">
        <v>1</v>
      </c>
      <c r="C52" s="24">
        <f ca="1"/>
        <v>17</v>
      </c>
      <c r="D52" s="25">
        <f ca="1"/>
        <v>12.458926490343359</v>
      </c>
      <c r="E52" s="25">
        <f t="shared" ca="1" si="0"/>
        <v>-0.54107350965664125</v>
      </c>
      <c r="G52" s="25">
        <f t="shared" ca="1" si="1"/>
        <v>0.29066547731752662</v>
      </c>
      <c r="L52" s="25"/>
    </row>
    <row r="53" spans="1:12" x14ac:dyDescent="0.2">
      <c r="A53" s="24">
        <v>14</v>
      </c>
      <c r="B53" s="24">
        <v>1</v>
      </c>
      <c r="C53" s="24">
        <f ca="1"/>
        <v>17</v>
      </c>
      <c r="D53" s="25">
        <f ca="1"/>
        <v>12.458926490343359</v>
      </c>
      <c r="E53" s="25">
        <f t="shared" ca="1" si="0"/>
        <v>-1.5410735096566412</v>
      </c>
      <c r="G53" s="25">
        <f t="shared" ca="1" si="1"/>
        <v>0.14924443441661395</v>
      </c>
      <c r="L53" s="25"/>
    </row>
    <row r="54" spans="1:12" x14ac:dyDescent="0.2">
      <c r="A54" s="24">
        <v>14</v>
      </c>
      <c r="B54" s="24">
        <v>1</v>
      </c>
      <c r="C54" s="24">
        <f ca="1"/>
        <v>19</v>
      </c>
      <c r="D54" s="25">
        <f ca="1"/>
        <v>13.825364713647479</v>
      </c>
      <c r="E54" s="25">
        <f t="shared" ca="1" si="0"/>
        <v>-0.17463528635252068</v>
      </c>
      <c r="G54" s="25">
        <f t="shared" ca="1" si="1"/>
        <v>0.31612416936198534</v>
      </c>
      <c r="L54" s="25"/>
    </row>
    <row r="55" spans="1:12" x14ac:dyDescent="0.2">
      <c r="A55" s="24">
        <v>14</v>
      </c>
      <c r="B55" s="24">
        <v>1</v>
      </c>
      <c r="C55" s="24">
        <f ca="1"/>
        <v>19</v>
      </c>
      <c r="D55" s="25">
        <f ca="1"/>
        <v>13.825364713647479</v>
      </c>
      <c r="E55" s="25">
        <f t="shared" ca="1" si="0"/>
        <v>-0.17463528635252068</v>
      </c>
      <c r="G55" s="25">
        <f t="shared" ca="1" si="1"/>
        <v>0.31612416936198534</v>
      </c>
      <c r="L55" s="25"/>
    </row>
    <row r="56" spans="1:12" x14ac:dyDescent="0.2">
      <c r="A56" s="24">
        <v>9</v>
      </c>
      <c r="B56" s="24">
        <v>1</v>
      </c>
      <c r="C56" s="24">
        <f ca="1"/>
        <v>12</v>
      </c>
      <c r="D56" s="25">
        <f ca="1"/>
        <v>9.04283093208306</v>
      </c>
      <c r="E56" s="25">
        <f t="shared" ca="1" si="0"/>
        <v>4.2830932083059992E-2</v>
      </c>
      <c r="G56" s="25">
        <f t="shared" ca="1" si="1"/>
        <v>0.31903836846290684</v>
      </c>
      <c r="L56" s="25"/>
    </row>
    <row r="57" spans="1:12" x14ac:dyDescent="0.2">
      <c r="A57" s="24">
        <v>11</v>
      </c>
      <c r="B57" s="24">
        <v>1</v>
      </c>
      <c r="C57" s="24">
        <f ca="1"/>
        <v>17</v>
      </c>
      <c r="D57" s="25">
        <f ca="1"/>
        <v>12.458926490343359</v>
      </c>
      <c r="E57" s="25">
        <f t="shared" ca="1" si="0"/>
        <v>1.4589264903433588</v>
      </c>
      <c r="G57" s="25">
        <f t="shared" ca="1" si="1"/>
        <v>0.16149629011123415</v>
      </c>
      <c r="L57" s="25"/>
    </row>
    <row r="58" spans="1:12" x14ac:dyDescent="0.2">
      <c r="A58" s="24">
        <v>11</v>
      </c>
      <c r="B58" s="24">
        <v>1</v>
      </c>
      <c r="C58" s="24">
        <f ca="1"/>
        <v>15</v>
      </c>
      <c r="D58" s="25">
        <f ca="1"/>
        <v>11.09248826703924</v>
      </c>
      <c r="E58" s="25">
        <f t="shared" ca="1" si="0"/>
        <v>9.2488267039239958E-2</v>
      </c>
      <c r="G58" s="25">
        <f t="shared" ca="1" si="1"/>
        <v>0.31835277839425191</v>
      </c>
      <c r="L58" s="25"/>
    </row>
    <row r="59" spans="1:12" x14ac:dyDescent="0.2">
      <c r="A59" s="24">
        <v>13</v>
      </c>
      <c r="B59" s="24">
        <v>1</v>
      </c>
      <c r="C59" s="24">
        <f ca="1"/>
        <v>17</v>
      </c>
      <c r="D59" s="25">
        <f ca="1"/>
        <v>12.458926490343359</v>
      </c>
      <c r="E59" s="25">
        <f t="shared" ca="1" si="0"/>
        <v>-0.54107350965664125</v>
      </c>
      <c r="G59" s="25">
        <f t="shared" ca="1" si="1"/>
        <v>0.29066547731752662</v>
      </c>
      <c r="L59" s="25"/>
    </row>
    <row r="60" spans="1:12" x14ac:dyDescent="0.2">
      <c r="A60" s="24">
        <v>13</v>
      </c>
      <c r="B60" s="24">
        <v>1</v>
      </c>
      <c r="C60" s="24">
        <f ca="1"/>
        <v>17</v>
      </c>
      <c r="D60" s="25">
        <f ca="1"/>
        <v>12.458926490343359</v>
      </c>
      <c r="E60" s="25">
        <f t="shared" ca="1" si="0"/>
        <v>-0.54107350965664125</v>
      </c>
      <c r="G60" s="25">
        <f t="shared" ca="1" si="1"/>
        <v>0.29066547731752662</v>
      </c>
      <c r="L60" s="25"/>
    </row>
    <row r="61" spans="1:12" x14ac:dyDescent="0.2">
      <c r="A61" s="24">
        <v>9</v>
      </c>
      <c r="B61" s="24">
        <v>1</v>
      </c>
      <c r="C61" s="24">
        <f ca="1"/>
        <v>12</v>
      </c>
      <c r="D61" s="25">
        <f ca="1"/>
        <v>9.04283093208306</v>
      </c>
      <c r="E61" s="25">
        <f t="shared" ca="1" si="0"/>
        <v>4.2830932083059992E-2</v>
      </c>
      <c r="G61" s="25">
        <f t="shared" ca="1" si="1"/>
        <v>0.31903836846290684</v>
      </c>
      <c r="L61" s="25"/>
    </row>
    <row r="62" spans="1:12" x14ac:dyDescent="0.2">
      <c r="A62" s="24">
        <v>13</v>
      </c>
      <c r="B62" s="24">
        <v>1</v>
      </c>
      <c r="C62" s="24">
        <f ca="1"/>
        <v>17</v>
      </c>
      <c r="D62" s="25">
        <f ca="1"/>
        <v>12.458926490343359</v>
      </c>
      <c r="E62" s="25">
        <f t="shared" ca="1" si="0"/>
        <v>-0.54107350965664125</v>
      </c>
      <c r="G62" s="25">
        <f t="shared" ca="1" si="1"/>
        <v>0.29066547731752662</v>
      </c>
      <c r="L62" s="25"/>
    </row>
    <row r="63" spans="1:12" x14ac:dyDescent="0.2">
      <c r="A63" s="24">
        <v>11</v>
      </c>
      <c r="B63" s="24">
        <v>1</v>
      </c>
      <c r="C63" s="24">
        <f ca="1"/>
        <v>16</v>
      </c>
      <c r="D63" s="25">
        <f ca="1"/>
        <v>11.775707378691299</v>
      </c>
      <c r="E63" s="25">
        <f t="shared" ca="1" si="0"/>
        <v>0.77570737869129935</v>
      </c>
      <c r="G63" s="25">
        <f t="shared" ca="1" si="1"/>
        <v>0.26329124156712214</v>
      </c>
      <c r="L63" s="25"/>
    </row>
    <row r="64" spans="1:12" x14ac:dyDescent="0.2">
      <c r="A64" s="24">
        <v>13</v>
      </c>
      <c r="B64" s="24">
        <v>1</v>
      </c>
      <c r="C64" s="24">
        <f ca="1"/>
        <v>18</v>
      </c>
      <c r="D64" s="25">
        <f ca="1"/>
        <v>13.142145601995418</v>
      </c>
      <c r="E64" s="25">
        <f t="shared" ca="1" si="0"/>
        <v>0.14214560199541815</v>
      </c>
      <c r="G64" s="25">
        <f t="shared" ca="1" si="1"/>
        <v>0.31716750413300532</v>
      </c>
      <c r="L64" s="25"/>
    </row>
    <row r="65" spans="1:12" x14ac:dyDescent="0.2">
      <c r="A65" s="24">
        <v>11</v>
      </c>
      <c r="B65" s="24">
        <v>1</v>
      </c>
      <c r="C65" s="24">
        <f ca="1"/>
        <v>15</v>
      </c>
      <c r="D65" s="25">
        <f ca="1"/>
        <v>11.09248826703924</v>
      </c>
      <c r="E65" s="25">
        <f t="shared" ca="1" si="0"/>
        <v>9.2488267039239958E-2</v>
      </c>
      <c r="G65" s="25">
        <f t="shared" ca="1" si="1"/>
        <v>0.31835277839425191</v>
      </c>
      <c r="L65" s="25"/>
    </row>
    <row r="66" spans="1:12" x14ac:dyDescent="0.2">
      <c r="A66" s="24">
        <v>12</v>
      </c>
      <c r="B66" s="24">
        <v>1</v>
      </c>
      <c r="C66" s="24">
        <f ca="1"/>
        <v>16</v>
      </c>
      <c r="D66" s="25">
        <f ca="1"/>
        <v>11.775707378691299</v>
      </c>
      <c r="E66" s="25">
        <f t="shared" ca="1" si="0"/>
        <v>-0.22429262130870065</v>
      </c>
      <c r="G66" s="25">
        <f t="shared" ca="1" si="1"/>
        <v>0.31412566572102818</v>
      </c>
      <c r="L66" s="25"/>
    </row>
    <row r="67" spans="1:12" x14ac:dyDescent="0.2">
      <c r="A67" s="24">
        <v>9</v>
      </c>
      <c r="B67" s="24">
        <v>1</v>
      </c>
      <c r="C67" s="24">
        <f ca="1"/>
        <v>12</v>
      </c>
      <c r="D67" s="25">
        <f ca="1"/>
        <v>9.04283093208306</v>
      </c>
      <c r="E67" s="25">
        <f t="shared" ref="E67:E130" ca="1" si="2">D67-A67</f>
        <v>4.2830932083059992E-2</v>
      </c>
      <c r="G67" s="25">
        <f t="shared" ref="G67:G130" ca="1" si="3">_xlfn.NORM.DIST(E67,0,$F$2,FALSE)</f>
        <v>0.31903836846290684</v>
      </c>
      <c r="L67" s="25"/>
    </row>
    <row r="68" spans="1:12" x14ac:dyDescent="0.2">
      <c r="A68" s="24">
        <v>13</v>
      </c>
      <c r="B68" s="24">
        <v>1</v>
      </c>
      <c r="C68" s="24">
        <f ca="1"/>
        <v>17</v>
      </c>
      <c r="D68" s="25">
        <f ca="1"/>
        <v>12.458926490343359</v>
      </c>
      <c r="E68" s="25">
        <f t="shared" ca="1" si="2"/>
        <v>-0.54107350965664125</v>
      </c>
      <c r="G68" s="25">
        <f t="shared" ca="1" si="3"/>
        <v>0.29066547731752662</v>
      </c>
      <c r="L68" s="25"/>
    </row>
    <row r="69" spans="1:12" x14ac:dyDescent="0.2">
      <c r="A69" s="24">
        <v>13</v>
      </c>
      <c r="B69" s="24">
        <v>1</v>
      </c>
      <c r="C69" s="24">
        <f ca="1"/>
        <v>17</v>
      </c>
      <c r="D69" s="25">
        <f ca="1"/>
        <v>12.458926490343359</v>
      </c>
      <c r="E69" s="25">
        <f t="shared" ca="1" si="2"/>
        <v>-0.54107350965664125</v>
      </c>
      <c r="G69" s="25">
        <f t="shared" ca="1" si="3"/>
        <v>0.29066547731752662</v>
      </c>
      <c r="L69" s="25"/>
    </row>
    <row r="70" spans="1:12" x14ac:dyDescent="0.2">
      <c r="A70" s="24">
        <v>12</v>
      </c>
      <c r="B70" s="24">
        <v>1</v>
      </c>
      <c r="C70" s="24">
        <f ca="1"/>
        <v>16</v>
      </c>
      <c r="D70" s="25">
        <f ca="1"/>
        <v>11.775707378691299</v>
      </c>
      <c r="E70" s="25">
        <f t="shared" ca="1" si="2"/>
        <v>-0.22429262130870065</v>
      </c>
      <c r="G70" s="25">
        <f t="shared" ca="1" si="3"/>
        <v>0.31412566572102818</v>
      </c>
      <c r="L70" s="25"/>
    </row>
    <row r="71" spans="1:12" x14ac:dyDescent="0.2">
      <c r="A71" s="24">
        <v>9</v>
      </c>
      <c r="B71" s="24">
        <v>1</v>
      </c>
      <c r="C71" s="24">
        <f ca="1"/>
        <v>12</v>
      </c>
      <c r="D71" s="25">
        <f ca="1"/>
        <v>9.04283093208306</v>
      </c>
      <c r="E71" s="25">
        <f t="shared" ca="1" si="2"/>
        <v>4.2830932083059992E-2</v>
      </c>
      <c r="G71" s="25">
        <f t="shared" ca="1" si="3"/>
        <v>0.31903836846290684</v>
      </c>
      <c r="L71" s="25"/>
    </row>
    <row r="72" spans="1:12" x14ac:dyDescent="0.2">
      <c r="A72" s="24">
        <v>11</v>
      </c>
      <c r="B72" s="24">
        <v>1</v>
      </c>
      <c r="C72" s="24">
        <f ca="1"/>
        <v>15</v>
      </c>
      <c r="D72" s="25">
        <f ca="1"/>
        <v>11.09248826703924</v>
      </c>
      <c r="E72" s="25">
        <f t="shared" ca="1" si="2"/>
        <v>9.2488267039239958E-2</v>
      </c>
      <c r="G72" s="25">
        <f t="shared" ca="1" si="3"/>
        <v>0.31835277839425191</v>
      </c>
      <c r="L72" s="25"/>
    </row>
    <row r="73" spans="1:12" x14ac:dyDescent="0.2">
      <c r="A73" s="24">
        <v>11</v>
      </c>
      <c r="B73" s="24">
        <v>1</v>
      </c>
      <c r="C73" s="24">
        <f ca="1"/>
        <v>16</v>
      </c>
      <c r="D73" s="25">
        <f ca="1"/>
        <v>11.775707378691299</v>
      </c>
      <c r="E73" s="25">
        <f t="shared" ca="1" si="2"/>
        <v>0.77570737869129935</v>
      </c>
      <c r="G73" s="25">
        <f t="shared" ca="1" si="3"/>
        <v>0.26329124156712214</v>
      </c>
      <c r="L73" s="25"/>
    </row>
    <row r="74" spans="1:12" x14ac:dyDescent="0.2">
      <c r="A74" s="24">
        <v>13</v>
      </c>
      <c r="B74" s="24">
        <v>1</v>
      </c>
      <c r="C74" s="24">
        <f ca="1"/>
        <v>17</v>
      </c>
      <c r="D74" s="25">
        <f ca="1"/>
        <v>12.458926490343359</v>
      </c>
      <c r="E74" s="25">
        <f t="shared" ca="1" si="2"/>
        <v>-0.54107350965664125</v>
      </c>
      <c r="G74" s="25">
        <f t="shared" ca="1" si="3"/>
        <v>0.29066547731752662</v>
      </c>
      <c r="L74" s="25"/>
    </row>
    <row r="75" spans="1:12" x14ac:dyDescent="0.2">
      <c r="A75" s="24">
        <v>11</v>
      </c>
      <c r="B75" s="24">
        <v>1</v>
      </c>
      <c r="C75" s="24">
        <f ca="1"/>
        <v>15</v>
      </c>
      <c r="D75" s="25">
        <f ca="1"/>
        <v>11.09248826703924</v>
      </c>
      <c r="E75" s="25">
        <f t="shared" ca="1" si="2"/>
        <v>9.2488267039239958E-2</v>
      </c>
      <c r="G75" s="25">
        <f t="shared" ca="1" si="3"/>
        <v>0.31835277839425191</v>
      </c>
      <c r="L75" s="25"/>
    </row>
    <row r="76" spans="1:12" x14ac:dyDescent="0.2">
      <c r="A76" s="24">
        <v>11</v>
      </c>
      <c r="B76" s="24">
        <v>1</v>
      </c>
      <c r="C76" s="24">
        <f ca="1"/>
        <v>17</v>
      </c>
      <c r="D76" s="25">
        <f ca="1"/>
        <v>12.458926490343359</v>
      </c>
      <c r="E76" s="25">
        <f t="shared" ca="1" si="2"/>
        <v>1.4589264903433588</v>
      </c>
      <c r="G76" s="25">
        <f t="shared" ca="1" si="3"/>
        <v>0.16149629011123415</v>
      </c>
      <c r="L76" s="25"/>
    </row>
    <row r="77" spans="1:12" x14ac:dyDescent="0.2">
      <c r="A77" s="24">
        <v>11</v>
      </c>
      <c r="B77" s="24">
        <v>1</v>
      </c>
      <c r="C77" s="24">
        <f ca="1"/>
        <v>17</v>
      </c>
      <c r="D77" s="25">
        <f ca="1"/>
        <v>12.458926490343359</v>
      </c>
      <c r="E77" s="25">
        <f t="shared" ca="1" si="2"/>
        <v>1.4589264903433588</v>
      </c>
      <c r="G77" s="25">
        <f t="shared" ca="1" si="3"/>
        <v>0.16149629011123415</v>
      </c>
      <c r="L77" s="25"/>
    </row>
    <row r="78" spans="1:12" x14ac:dyDescent="0.2">
      <c r="A78" s="24">
        <v>12</v>
      </c>
      <c r="B78" s="24">
        <v>1</v>
      </c>
      <c r="C78" s="24">
        <f ca="1"/>
        <v>18</v>
      </c>
      <c r="D78" s="25">
        <f ca="1"/>
        <v>13.142145601995418</v>
      </c>
      <c r="E78" s="25">
        <f t="shared" ca="1" si="2"/>
        <v>1.1421456019954181</v>
      </c>
      <c r="G78" s="25">
        <f t="shared" ca="1" si="3"/>
        <v>0.21024457151414655</v>
      </c>
      <c r="L78" s="25"/>
    </row>
    <row r="79" spans="1:12" x14ac:dyDescent="0.2">
      <c r="A79" s="24">
        <v>14</v>
      </c>
      <c r="B79" s="24">
        <v>1</v>
      </c>
      <c r="C79" s="24">
        <f ca="1"/>
        <v>17</v>
      </c>
      <c r="D79" s="25">
        <f ca="1"/>
        <v>12.458926490343359</v>
      </c>
      <c r="E79" s="25">
        <f t="shared" ca="1" si="2"/>
        <v>-1.5410735096566412</v>
      </c>
      <c r="G79" s="25">
        <f t="shared" ca="1" si="3"/>
        <v>0.14924443441661395</v>
      </c>
      <c r="L79" s="25"/>
    </row>
    <row r="80" spans="1:12" x14ac:dyDescent="0.2">
      <c r="A80" s="24">
        <v>15</v>
      </c>
      <c r="B80" s="24">
        <v>1</v>
      </c>
      <c r="C80" s="24">
        <f ca="1"/>
        <v>19</v>
      </c>
      <c r="D80" s="25">
        <f ca="1"/>
        <v>13.825364713647479</v>
      </c>
      <c r="E80" s="25">
        <f t="shared" ca="1" si="2"/>
        <v>-1.1746352863525207</v>
      </c>
      <c r="G80" s="25">
        <f t="shared" ca="1" si="3"/>
        <v>0.20523871008550823</v>
      </c>
      <c r="L80" s="25"/>
    </row>
    <row r="81" spans="1:12" x14ac:dyDescent="0.2">
      <c r="A81" s="24">
        <v>14</v>
      </c>
      <c r="B81" s="24">
        <v>1</v>
      </c>
      <c r="C81" s="24">
        <f ca="1"/>
        <v>17</v>
      </c>
      <c r="D81" s="25">
        <f ca="1"/>
        <v>12.458926490343359</v>
      </c>
      <c r="E81" s="25">
        <f t="shared" ca="1" si="2"/>
        <v>-1.5410735096566412</v>
      </c>
      <c r="G81" s="25">
        <f t="shared" ca="1" si="3"/>
        <v>0.14924443441661395</v>
      </c>
      <c r="L81" s="25"/>
    </row>
    <row r="82" spans="1:12" x14ac:dyDescent="0.2">
      <c r="A82" s="24">
        <v>13</v>
      </c>
      <c r="B82" s="24">
        <v>1</v>
      </c>
      <c r="C82" s="24">
        <f ca="1"/>
        <v>19</v>
      </c>
      <c r="D82" s="25">
        <f ca="1"/>
        <v>13.825364713647479</v>
      </c>
      <c r="E82" s="25">
        <f t="shared" ca="1" si="2"/>
        <v>0.82536471364747932</v>
      </c>
      <c r="G82" s="25">
        <f t="shared" ca="1" si="3"/>
        <v>0.25667424064304967</v>
      </c>
      <c r="L82" s="25"/>
    </row>
    <row r="83" spans="1:12" x14ac:dyDescent="0.2">
      <c r="A83" s="24">
        <v>13</v>
      </c>
      <c r="B83" s="24">
        <v>1</v>
      </c>
      <c r="C83" s="24">
        <f ca="1"/>
        <v>19</v>
      </c>
      <c r="D83" s="25">
        <f ca="1"/>
        <v>13.825364713647479</v>
      </c>
      <c r="E83" s="25">
        <f t="shared" ca="1" si="2"/>
        <v>0.82536471364747932</v>
      </c>
      <c r="G83" s="25">
        <f t="shared" ca="1" si="3"/>
        <v>0.25667424064304967</v>
      </c>
      <c r="L83" s="25"/>
    </row>
    <row r="84" spans="1:12" x14ac:dyDescent="0.2">
      <c r="A84" s="24">
        <v>13</v>
      </c>
      <c r="B84" s="24">
        <v>1</v>
      </c>
      <c r="C84" s="24">
        <f ca="1"/>
        <v>17</v>
      </c>
      <c r="D84" s="25">
        <f ca="1"/>
        <v>12.458926490343359</v>
      </c>
      <c r="E84" s="25">
        <f t="shared" ca="1" si="2"/>
        <v>-0.54107350965664125</v>
      </c>
      <c r="G84" s="25">
        <f t="shared" ca="1" si="3"/>
        <v>0.29066547731752662</v>
      </c>
      <c r="L84" s="25"/>
    </row>
    <row r="85" spans="1:12" x14ac:dyDescent="0.2">
      <c r="A85" s="24">
        <v>14</v>
      </c>
      <c r="B85" s="24">
        <v>1</v>
      </c>
      <c r="C85" s="24">
        <f ca="1"/>
        <v>17</v>
      </c>
      <c r="D85" s="25">
        <f ca="1"/>
        <v>12.458926490343359</v>
      </c>
      <c r="E85" s="25">
        <f t="shared" ca="1" si="2"/>
        <v>-1.5410735096566412</v>
      </c>
      <c r="G85" s="25">
        <f t="shared" ca="1" si="3"/>
        <v>0.14924443441661395</v>
      </c>
      <c r="L85" s="25"/>
    </row>
    <row r="86" spans="1:12" x14ac:dyDescent="0.2">
      <c r="A86" s="24">
        <v>14</v>
      </c>
      <c r="B86" s="24">
        <v>1</v>
      </c>
      <c r="C86" s="24">
        <f ca="1"/>
        <v>17</v>
      </c>
      <c r="D86" s="25">
        <f ca="1"/>
        <v>12.458926490343359</v>
      </c>
      <c r="E86" s="25">
        <f t="shared" ca="1" si="2"/>
        <v>-1.5410735096566412</v>
      </c>
      <c r="G86" s="25">
        <f t="shared" ca="1" si="3"/>
        <v>0.14924443441661395</v>
      </c>
      <c r="L86" s="25"/>
    </row>
    <row r="87" spans="1:12" x14ac:dyDescent="0.2">
      <c r="A87" s="24">
        <v>13</v>
      </c>
      <c r="B87" s="24">
        <v>1</v>
      </c>
      <c r="C87" s="24">
        <f ca="1"/>
        <v>16</v>
      </c>
      <c r="D87" s="25">
        <f ca="1"/>
        <v>11.775707378691299</v>
      </c>
      <c r="E87" s="25">
        <f t="shared" ca="1" si="2"/>
        <v>-1.2242926213087006</v>
      </c>
      <c r="G87" s="25">
        <f t="shared" ca="1" si="3"/>
        <v>0.19755889639295596</v>
      </c>
      <c r="L87" s="25"/>
    </row>
    <row r="88" spans="1:12" x14ac:dyDescent="0.2">
      <c r="A88" s="24">
        <v>13</v>
      </c>
      <c r="B88" s="24">
        <v>1</v>
      </c>
      <c r="C88" s="24">
        <f ca="1"/>
        <v>16</v>
      </c>
      <c r="D88" s="25">
        <f ca="1"/>
        <v>11.775707378691299</v>
      </c>
      <c r="E88" s="25">
        <f t="shared" ca="1" si="2"/>
        <v>-1.2242926213087006</v>
      </c>
      <c r="G88" s="25">
        <f t="shared" ca="1" si="3"/>
        <v>0.19755889639295596</v>
      </c>
      <c r="L88" s="25"/>
    </row>
    <row r="89" spans="1:12" x14ac:dyDescent="0.2">
      <c r="A89" s="24">
        <v>13</v>
      </c>
      <c r="B89" s="24">
        <v>1</v>
      </c>
      <c r="C89" s="24">
        <f ca="1"/>
        <v>17</v>
      </c>
      <c r="D89" s="25">
        <f ca="1"/>
        <v>12.458926490343359</v>
      </c>
      <c r="E89" s="25">
        <f t="shared" ca="1" si="2"/>
        <v>-0.54107350965664125</v>
      </c>
      <c r="G89" s="25">
        <f t="shared" ca="1" si="3"/>
        <v>0.29066547731752662</v>
      </c>
      <c r="L89" s="25"/>
    </row>
    <row r="90" spans="1:12" x14ac:dyDescent="0.2">
      <c r="A90" s="24">
        <v>11</v>
      </c>
      <c r="B90" s="24">
        <v>1</v>
      </c>
      <c r="C90" s="24">
        <f ca="1"/>
        <v>15</v>
      </c>
      <c r="D90" s="25">
        <f ca="1"/>
        <v>11.09248826703924</v>
      </c>
      <c r="E90" s="25">
        <f t="shared" ca="1" si="2"/>
        <v>9.2488267039239958E-2</v>
      </c>
      <c r="G90" s="25">
        <f t="shared" ca="1" si="3"/>
        <v>0.31835277839425191</v>
      </c>
      <c r="L90" s="25"/>
    </row>
    <row r="91" spans="1:12" x14ac:dyDescent="0.2">
      <c r="A91" s="24">
        <v>13</v>
      </c>
      <c r="B91" s="24">
        <v>1</v>
      </c>
      <c r="C91" s="24">
        <f ca="1"/>
        <v>17</v>
      </c>
      <c r="D91" s="25">
        <f ca="1"/>
        <v>12.458926490343359</v>
      </c>
      <c r="E91" s="25">
        <f t="shared" ca="1" si="2"/>
        <v>-0.54107350965664125</v>
      </c>
      <c r="G91" s="25">
        <f t="shared" ca="1" si="3"/>
        <v>0.29066547731752662</v>
      </c>
      <c r="L91" s="25"/>
    </row>
    <row r="92" spans="1:12" x14ac:dyDescent="0.2">
      <c r="A92" s="24">
        <v>18</v>
      </c>
      <c r="B92" s="24">
        <v>1</v>
      </c>
      <c r="C92" s="24">
        <f ca="1"/>
        <v>26</v>
      </c>
      <c r="D92" s="25">
        <f ca="1"/>
        <v>18.607898495211895</v>
      </c>
      <c r="E92" s="25">
        <f t="shared" ca="1" si="2"/>
        <v>0.6078984952118951</v>
      </c>
      <c r="G92" s="25">
        <f t="shared" ca="1" si="3"/>
        <v>0.28360781451993688</v>
      </c>
      <c r="L92" s="25"/>
    </row>
    <row r="93" spans="1:12" x14ac:dyDescent="0.2">
      <c r="A93" s="24">
        <v>18</v>
      </c>
      <c r="B93" s="24">
        <v>1</v>
      </c>
      <c r="C93" s="24">
        <f ca="1"/>
        <v>25</v>
      </c>
      <c r="D93" s="25">
        <f ca="1"/>
        <v>17.924679383559837</v>
      </c>
      <c r="E93" s="25">
        <f t="shared" ca="1" si="2"/>
        <v>-7.5320616440162524E-2</v>
      </c>
      <c r="G93" s="25">
        <f t="shared" ca="1" si="3"/>
        <v>0.3186465302206829</v>
      </c>
      <c r="L93" s="25"/>
    </row>
    <row r="94" spans="1:12" x14ac:dyDescent="0.2">
      <c r="A94" s="24">
        <v>17</v>
      </c>
      <c r="B94" s="24">
        <v>1</v>
      </c>
      <c r="C94" s="24">
        <f ca="1"/>
        <v>26</v>
      </c>
      <c r="D94" s="25">
        <f ca="1"/>
        <v>18.607898495211895</v>
      </c>
      <c r="E94" s="25">
        <f t="shared" ca="1" si="2"/>
        <v>1.6078984952118951</v>
      </c>
      <c r="G94" s="25">
        <f t="shared" ca="1" si="3"/>
        <v>0.13952132892333158</v>
      </c>
      <c r="L94" s="25"/>
    </row>
    <row r="95" spans="1:12" x14ac:dyDescent="0.2">
      <c r="A95" s="24">
        <v>16</v>
      </c>
      <c r="B95" s="24">
        <v>1</v>
      </c>
      <c r="C95" s="24">
        <f ca="1"/>
        <v>24</v>
      </c>
      <c r="D95" s="25">
        <f ca="1"/>
        <v>17.241460271907776</v>
      </c>
      <c r="E95" s="25">
        <f t="shared" ca="1" si="2"/>
        <v>1.2414602719077763</v>
      </c>
      <c r="G95" s="25">
        <f t="shared" ca="1" si="3"/>
        <v>0.19489962071960723</v>
      </c>
      <c r="L95" s="25"/>
    </row>
    <row r="96" spans="1:12" x14ac:dyDescent="0.2">
      <c r="A96" s="24">
        <v>15</v>
      </c>
      <c r="B96" s="24">
        <v>1</v>
      </c>
      <c r="C96" s="24">
        <f ca="1"/>
        <v>21</v>
      </c>
      <c r="D96" s="25">
        <f ca="1"/>
        <v>15.191802936951598</v>
      </c>
      <c r="E96" s="25">
        <f t="shared" ca="1" si="2"/>
        <v>0.19180293695159811</v>
      </c>
      <c r="G96" s="25">
        <f t="shared" ca="1" si="3"/>
        <v>0.31548813891774308</v>
      </c>
      <c r="L96" s="25"/>
    </row>
    <row r="97" spans="1:12" x14ac:dyDescent="0.2">
      <c r="A97" s="24">
        <v>15</v>
      </c>
      <c r="B97" s="24">
        <v>1</v>
      </c>
      <c r="C97" s="24">
        <f ca="1"/>
        <v>22</v>
      </c>
      <c r="D97" s="25">
        <f ca="1"/>
        <v>15.875022048603658</v>
      </c>
      <c r="E97" s="25">
        <f t="shared" ca="1" si="2"/>
        <v>0.87502204860365751</v>
      </c>
      <c r="G97" s="25">
        <f t="shared" ca="1" si="3"/>
        <v>0.2498287819911226</v>
      </c>
      <c r="L97" s="25"/>
    </row>
    <row r="98" spans="1:12" x14ac:dyDescent="0.2">
      <c r="A98" s="24">
        <v>15</v>
      </c>
      <c r="B98" s="24">
        <v>1</v>
      </c>
      <c r="C98" s="24">
        <f ca="1"/>
        <v>23</v>
      </c>
      <c r="D98" s="25">
        <f ca="1"/>
        <v>16.558241160255715</v>
      </c>
      <c r="E98" s="25">
        <f t="shared" ca="1" si="2"/>
        <v>1.5582411602557151</v>
      </c>
      <c r="G98" s="25">
        <f t="shared" ca="1" si="3"/>
        <v>0.1467237015411641</v>
      </c>
      <c r="L98" s="25"/>
    </row>
    <row r="99" spans="1:12" x14ac:dyDescent="0.2">
      <c r="A99" s="24">
        <v>15</v>
      </c>
      <c r="B99" s="24">
        <v>1</v>
      </c>
      <c r="C99" s="24">
        <f ca="1"/>
        <v>22</v>
      </c>
      <c r="D99" s="25">
        <f ca="1"/>
        <v>15.875022048603658</v>
      </c>
      <c r="E99" s="25">
        <f t="shared" ca="1" si="2"/>
        <v>0.87502204860365751</v>
      </c>
      <c r="G99" s="25">
        <f t="shared" ca="1" si="3"/>
        <v>0.2498287819911226</v>
      </c>
      <c r="L99" s="25"/>
    </row>
    <row r="100" spans="1:12" x14ac:dyDescent="0.2">
      <c r="A100" s="24">
        <v>14</v>
      </c>
      <c r="B100" s="24">
        <v>1</v>
      </c>
      <c r="C100" s="24">
        <f ca="1"/>
        <v>20</v>
      </c>
      <c r="D100" s="25">
        <f ca="1"/>
        <v>14.508583825299539</v>
      </c>
      <c r="E100" s="25">
        <f t="shared" ca="1" si="2"/>
        <v>0.50858382529953872</v>
      </c>
      <c r="G100" s="25">
        <f t="shared" ca="1" si="3"/>
        <v>0.29385631906225068</v>
      </c>
      <c r="L100" s="25"/>
    </row>
    <row r="101" spans="1:12" x14ac:dyDescent="0.2">
      <c r="A101" s="24">
        <v>28</v>
      </c>
      <c r="B101" s="24">
        <v>1</v>
      </c>
      <c r="C101" s="24">
        <f ca="1"/>
        <v>33</v>
      </c>
      <c r="D101" s="25">
        <f ca="1"/>
        <v>23.390432276776316</v>
      </c>
      <c r="E101" s="25">
        <f t="shared" ca="1" si="2"/>
        <v>-4.6095677232236838</v>
      </c>
      <c r="G101" s="25">
        <f t="shared" ca="1" si="3"/>
        <v>3.5467090836049079E-4</v>
      </c>
      <c r="L101" s="25"/>
    </row>
    <row r="102" spans="1:12" x14ac:dyDescent="0.2">
      <c r="A102" s="24">
        <v>24</v>
      </c>
      <c r="B102" s="24">
        <v>1</v>
      </c>
      <c r="C102" s="24">
        <f ca="1"/>
        <v>32</v>
      </c>
      <c r="D102" s="25">
        <f ca="1"/>
        <v>22.707213165124255</v>
      </c>
      <c r="E102" s="25">
        <f t="shared" ca="1" si="2"/>
        <v>-1.292786834875745</v>
      </c>
      <c r="G102" s="25">
        <f t="shared" ca="1" si="3"/>
        <v>0.18695017615119994</v>
      </c>
      <c r="L102" s="25"/>
    </row>
    <row r="103" spans="1:12" x14ac:dyDescent="0.2">
      <c r="A103" s="24">
        <v>25</v>
      </c>
      <c r="B103" s="24">
        <v>1</v>
      </c>
      <c r="C103" s="24">
        <f ca="1"/>
        <v>32</v>
      </c>
      <c r="D103" s="25">
        <f ca="1"/>
        <v>22.707213165124255</v>
      </c>
      <c r="E103" s="25">
        <f t="shared" ca="1" si="2"/>
        <v>-2.292786834875745</v>
      </c>
      <c r="G103" s="25">
        <f t="shared" ca="1" si="3"/>
        <v>5.9319674466379105E-2</v>
      </c>
      <c r="L103" s="25"/>
    </row>
    <row r="104" spans="1:12" x14ac:dyDescent="0.2">
      <c r="A104" s="24">
        <v>23</v>
      </c>
      <c r="B104" s="24">
        <v>1</v>
      </c>
      <c r="C104" s="24">
        <f ca="1"/>
        <v>29</v>
      </c>
      <c r="D104" s="25">
        <f ca="1"/>
        <v>20.657555830168075</v>
      </c>
      <c r="E104" s="25">
        <f t="shared" ca="1" si="2"/>
        <v>-2.3424441698319249</v>
      </c>
      <c r="G104" s="25">
        <f t="shared" ca="1" si="3"/>
        <v>5.5105656873233724E-2</v>
      </c>
      <c r="L104" s="25"/>
    </row>
    <row r="105" spans="1:12" x14ac:dyDescent="0.2">
      <c r="A105" s="24">
        <v>24</v>
      </c>
      <c r="B105" s="24">
        <v>1</v>
      </c>
      <c r="C105" s="24">
        <f ca="1"/>
        <v>32</v>
      </c>
      <c r="D105" s="25">
        <f ca="1"/>
        <v>22.707213165124255</v>
      </c>
      <c r="E105" s="25">
        <f t="shared" ca="1" si="2"/>
        <v>-1.292786834875745</v>
      </c>
      <c r="G105" s="25">
        <f t="shared" ca="1" si="3"/>
        <v>0.18695017615119994</v>
      </c>
      <c r="L105" s="25"/>
    </row>
    <row r="106" spans="1:12" x14ac:dyDescent="0.2">
      <c r="A106" s="24">
        <v>26</v>
      </c>
      <c r="B106" s="24">
        <v>1</v>
      </c>
      <c r="C106" s="24">
        <f ca="1"/>
        <v>34</v>
      </c>
      <c r="D106" s="25">
        <f ca="1"/>
        <v>24.073651388428374</v>
      </c>
      <c r="E106" s="25">
        <f t="shared" ca="1" si="2"/>
        <v>-1.9263486115716262</v>
      </c>
      <c r="G106" s="25">
        <f t="shared" ca="1" si="3"/>
        <v>9.7309924689843758E-2</v>
      </c>
      <c r="L106" s="25"/>
    </row>
    <row r="107" spans="1:12" x14ac:dyDescent="0.2">
      <c r="A107" s="24">
        <v>25</v>
      </c>
      <c r="B107" s="24">
        <v>1</v>
      </c>
      <c r="C107" s="24">
        <f ca="1"/>
        <v>36</v>
      </c>
      <c r="D107" s="25">
        <f ca="1"/>
        <v>25.440089611732493</v>
      </c>
      <c r="E107" s="25">
        <f t="shared" ca="1" si="2"/>
        <v>0.44008961173249261</v>
      </c>
      <c r="G107" s="25">
        <f t="shared" ca="1" si="3"/>
        <v>0.30003330384512222</v>
      </c>
      <c r="L107" s="25"/>
    </row>
    <row r="108" spans="1:12" x14ac:dyDescent="0.2">
      <c r="A108" s="24">
        <v>24</v>
      </c>
      <c r="B108" s="24">
        <v>1</v>
      </c>
      <c r="C108" s="24">
        <f ca="1"/>
        <v>36</v>
      </c>
      <c r="D108" s="25">
        <f ca="1"/>
        <v>25.440089611732493</v>
      </c>
      <c r="E108" s="25">
        <f t="shared" ca="1" si="2"/>
        <v>1.4400896117324926</v>
      </c>
      <c r="G108" s="25">
        <f t="shared" ca="1" si="3"/>
        <v>0.16434448542706917</v>
      </c>
      <c r="L108" s="25"/>
    </row>
    <row r="109" spans="1:12" x14ac:dyDescent="0.2">
      <c r="A109" s="24">
        <v>21</v>
      </c>
      <c r="B109" s="24">
        <v>1</v>
      </c>
      <c r="C109" s="24">
        <f ca="1"/>
        <v>29</v>
      </c>
      <c r="D109" s="25">
        <f ca="1"/>
        <v>20.657555830168075</v>
      </c>
      <c r="E109" s="25">
        <f t="shared" ca="1" si="2"/>
        <v>-0.34244416983192494</v>
      </c>
      <c r="G109" s="25">
        <f t="shared" ca="1" si="3"/>
        <v>0.30746337812452051</v>
      </c>
      <c r="L109" s="25"/>
    </row>
    <row r="110" spans="1:12" x14ac:dyDescent="0.2">
      <c r="A110" s="24">
        <v>18</v>
      </c>
      <c r="B110" s="24">
        <v>1</v>
      </c>
      <c r="C110" s="24">
        <f ca="1"/>
        <v>26</v>
      </c>
      <c r="D110" s="25">
        <f ca="1"/>
        <v>18.607898495211895</v>
      </c>
      <c r="E110" s="25">
        <f t="shared" ca="1" si="2"/>
        <v>0.6078984952118951</v>
      </c>
      <c r="G110" s="25">
        <f t="shared" ca="1" si="3"/>
        <v>0.28360781451993688</v>
      </c>
      <c r="L110" s="25"/>
    </row>
    <row r="111" spans="1:12" x14ac:dyDescent="0.2">
      <c r="A111" s="24">
        <v>18</v>
      </c>
      <c r="B111" s="24">
        <v>1</v>
      </c>
      <c r="C111" s="24">
        <f ca="1"/>
        <v>27</v>
      </c>
      <c r="D111" s="25">
        <f ca="1"/>
        <v>19.291117606863956</v>
      </c>
      <c r="E111" s="25">
        <f t="shared" ca="1" si="2"/>
        <v>1.2911176068639563</v>
      </c>
      <c r="G111" s="25">
        <f t="shared" ca="1" si="3"/>
        <v>0.18720849951963059</v>
      </c>
      <c r="L111" s="25"/>
    </row>
    <row r="112" spans="1:12" x14ac:dyDescent="0.2">
      <c r="A112" s="24">
        <v>21</v>
      </c>
      <c r="B112" s="24">
        <v>1</v>
      </c>
      <c r="C112" s="24">
        <f ca="1"/>
        <v>30</v>
      </c>
      <c r="D112" s="25">
        <f ca="1"/>
        <v>21.340774941820136</v>
      </c>
      <c r="E112" s="25">
        <f t="shared" ca="1" si="2"/>
        <v>0.34077494182013623</v>
      </c>
      <c r="G112" s="25">
        <f t="shared" ca="1" si="3"/>
        <v>0.30757565599758996</v>
      </c>
      <c r="L112" s="25"/>
    </row>
    <row r="113" spans="1:12" x14ac:dyDescent="0.2">
      <c r="A113" s="24">
        <v>21</v>
      </c>
      <c r="B113" s="24">
        <v>1</v>
      </c>
      <c r="C113" s="24">
        <f ca="1"/>
        <v>31</v>
      </c>
      <c r="D113" s="25">
        <f ca="1"/>
        <v>22.023994053472194</v>
      </c>
      <c r="E113" s="25">
        <f t="shared" ca="1" si="2"/>
        <v>1.0239940534721939</v>
      </c>
      <c r="G113" s="25">
        <f t="shared" ca="1" si="3"/>
        <v>0.22819645484299309</v>
      </c>
      <c r="L113" s="25"/>
    </row>
    <row r="114" spans="1:12" x14ac:dyDescent="0.2">
      <c r="A114" s="24">
        <v>18</v>
      </c>
      <c r="B114" s="24">
        <v>1</v>
      </c>
      <c r="C114" s="24">
        <f ca="1"/>
        <v>26</v>
      </c>
      <c r="D114" s="25">
        <f ca="1"/>
        <v>18.607898495211895</v>
      </c>
      <c r="E114" s="25">
        <f t="shared" ca="1" si="2"/>
        <v>0.6078984952118951</v>
      </c>
      <c r="G114" s="25">
        <f t="shared" ca="1" si="3"/>
        <v>0.28360781451993688</v>
      </c>
      <c r="L114" s="25"/>
    </row>
    <row r="115" spans="1:12" x14ac:dyDescent="0.2">
      <c r="A115" s="24">
        <v>18</v>
      </c>
      <c r="B115" s="24">
        <v>1</v>
      </c>
      <c r="C115" s="24">
        <f ca="1"/>
        <v>26</v>
      </c>
      <c r="D115" s="25">
        <f ca="1"/>
        <v>18.607898495211895</v>
      </c>
      <c r="E115" s="25">
        <f t="shared" ca="1" si="2"/>
        <v>0.6078984952118951</v>
      </c>
      <c r="G115" s="25">
        <f t="shared" ca="1" si="3"/>
        <v>0.28360781451993688</v>
      </c>
      <c r="L115" s="25"/>
    </row>
    <row r="116" spans="1:12" x14ac:dyDescent="0.2">
      <c r="A116" s="24">
        <v>19</v>
      </c>
      <c r="B116" s="24">
        <v>1</v>
      </c>
      <c r="C116" s="24">
        <f ca="1"/>
        <v>28</v>
      </c>
      <c r="D116" s="25">
        <f ca="1"/>
        <v>19.974336718516017</v>
      </c>
      <c r="E116" s="25">
        <f t="shared" ca="1" si="2"/>
        <v>0.97433671851601744</v>
      </c>
      <c r="G116" s="25">
        <f t="shared" ca="1" si="3"/>
        <v>0.23556229359930655</v>
      </c>
      <c r="L116" s="25"/>
    </row>
    <row r="117" spans="1:12" x14ac:dyDescent="0.2">
      <c r="A117" s="24">
        <v>19</v>
      </c>
      <c r="B117" s="24">
        <v>1</v>
      </c>
      <c r="C117" s="24">
        <f ca="1"/>
        <v>26</v>
      </c>
      <c r="D117" s="25">
        <f ca="1"/>
        <v>18.607898495211895</v>
      </c>
      <c r="E117" s="25">
        <f t="shared" ca="1" si="2"/>
        <v>-0.3921015047881049</v>
      </c>
      <c r="G117" s="25">
        <f t="shared" ca="1" si="3"/>
        <v>0.30389387162696274</v>
      </c>
      <c r="L117" s="25"/>
    </row>
    <row r="118" spans="1:12" x14ac:dyDescent="0.2">
      <c r="A118" s="24">
        <v>19</v>
      </c>
      <c r="B118" s="24">
        <v>1</v>
      </c>
      <c r="C118" s="24">
        <f ca="1"/>
        <v>29</v>
      </c>
      <c r="D118" s="25">
        <f ca="1"/>
        <v>20.657555830168075</v>
      </c>
      <c r="E118" s="25">
        <f t="shared" ca="1" si="2"/>
        <v>1.6575558301680751</v>
      </c>
      <c r="G118" s="25">
        <f t="shared" ca="1" si="3"/>
        <v>0.13246320078694085</v>
      </c>
      <c r="L118" s="25"/>
    </row>
    <row r="119" spans="1:12" x14ac:dyDescent="0.2">
      <c r="A119" s="24">
        <v>20</v>
      </c>
      <c r="B119" s="24">
        <v>1</v>
      </c>
      <c r="C119" s="24">
        <f ca="1"/>
        <v>28</v>
      </c>
      <c r="D119" s="25">
        <f ca="1"/>
        <v>19.974336718516017</v>
      </c>
      <c r="E119" s="25">
        <f t="shared" ca="1" si="2"/>
        <v>-2.5663281483982558E-2</v>
      </c>
      <c r="G119" s="25">
        <f t="shared" ca="1" si="3"/>
        <v>0.31915849397187074</v>
      </c>
      <c r="L119" s="25"/>
    </row>
    <row r="120" spans="1:12" x14ac:dyDescent="0.2">
      <c r="A120" s="24">
        <v>20</v>
      </c>
      <c r="B120" s="24">
        <v>1</v>
      </c>
      <c r="C120" s="24">
        <f ca="1"/>
        <v>27</v>
      </c>
      <c r="D120" s="25">
        <f ca="1"/>
        <v>19.291117606863956</v>
      </c>
      <c r="E120" s="25">
        <f t="shared" ca="1" si="2"/>
        <v>-0.70888239313604373</v>
      </c>
      <c r="G120" s="25">
        <f t="shared" ca="1" si="3"/>
        <v>0.2717877911689337</v>
      </c>
      <c r="L120" s="25"/>
    </row>
    <row r="121" spans="1:12" x14ac:dyDescent="0.2">
      <c r="A121" s="24">
        <v>17</v>
      </c>
      <c r="B121" s="24">
        <v>1</v>
      </c>
      <c r="C121" s="24">
        <f ca="1"/>
        <v>24</v>
      </c>
      <c r="D121" s="25">
        <f ca="1"/>
        <v>17.241460271907776</v>
      </c>
      <c r="E121" s="25">
        <f t="shared" ca="1" si="2"/>
        <v>0.2414602719077763</v>
      </c>
      <c r="G121" s="25">
        <f t="shared" ca="1" si="3"/>
        <v>0.31332258364370175</v>
      </c>
      <c r="L121" s="25"/>
    </row>
    <row r="122" spans="1:12" x14ac:dyDescent="0.2">
      <c r="A122" s="24">
        <v>16</v>
      </c>
      <c r="B122" s="24">
        <v>1</v>
      </c>
      <c r="C122" s="24">
        <f ca="1"/>
        <v>24</v>
      </c>
      <c r="D122" s="25">
        <f ca="1"/>
        <v>17.241460271907776</v>
      </c>
      <c r="E122" s="25">
        <f t="shared" ca="1" si="2"/>
        <v>1.2414602719077763</v>
      </c>
      <c r="G122" s="25">
        <f t="shared" ca="1" si="3"/>
        <v>0.19489962071960723</v>
      </c>
      <c r="L122" s="25"/>
    </row>
    <row r="123" spans="1:12" x14ac:dyDescent="0.2">
      <c r="A123" s="24">
        <v>17</v>
      </c>
      <c r="B123" s="24">
        <v>1</v>
      </c>
      <c r="C123" s="24">
        <f ca="1"/>
        <v>24</v>
      </c>
      <c r="D123" s="25">
        <f ca="1"/>
        <v>17.241460271907776</v>
      </c>
      <c r="E123" s="25">
        <f t="shared" ca="1" si="2"/>
        <v>0.2414602719077763</v>
      </c>
      <c r="G123" s="25">
        <f t="shared" ca="1" si="3"/>
        <v>0.31332258364370175</v>
      </c>
      <c r="L123" s="25"/>
    </row>
    <row r="124" spans="1:12" x14ac:dyDescent="0.2">
      <c r="A124" s="24">
        <v>17</v>
      </c>
      <c r="B124" s="24">
        <v>1</v>
      </c>
      <c r="C124" s="24">
        <f ca="1"/>
        <v>22</v>
      </c>
      <c r="D124" s="25">
        <f ca="1"/>
        <v>15.875022048603658</v>
      </c>
      <c r="E124" s="25">
        <f t="shared" ca="1" si="2"/>
        <v>-1.1249779513963425</v>
      </c>
      <c r="G124" s="25">
        <f t="shared" ca="1" si="3"/>
        <v>0.21288069180319472</v>
      </c>
      <c r="L124" s="25"/>
    </row>
    <row r="125" spans="1:12" x14ac:dyDescent="0.2">
      <c r="A125" s="24">
        <v>15</v>
      </c>
      <c r="B125" s="24">
        <v>1</v>
      </c>
      <c r="C125" s="24">
        <f ca="1"/>
        <v>19</v>
      </c>
      <c r="D125" s="25">
        <f ca="1"/>
        <v>13.825364713647479</v>
      </c>
      <c r="E125" s="25">
        <f t="shared" ca="1" si="2"/>
        <v>-1.1746352863525207</v>
      </c>
      <c r="G125" s="25">
        <f t="shared" ca="1" si="3"/>
        <v>0.20523871008550823</v>
      </c>
      <c r="L125" s="25"/>
    </row>
    <row r="126" spans="1:12" x14ac:dyDescent="0.2">
      <c r="A126" s="24">
        <v>15</v>
      </c>
      <c r="B126" s="24">
        <v>1</v>
      </c>
      <c r="C126" s="24">
        <f ca="1"/>
        <v>20</v>
      </c>
      <c r="D126" s="25">
        <f ca="1"/>
        <v>14.508583825299539</v>
      </c>
      <c r="E126" s="25">
        <f t="shared" ca="1" si="2"/>
        <v>-0.49141617470046128</v>
      </c>
      <c r="G126" s="25">
        <f t="shared" ca="1" si="3"/>
        <v>0.29547583692562635</v>
      </c>
      <c r="L126" s="25"/>
    </row>
    <row r="127" spans="1:12" x14ac:dyDescent="0.2">
      <c r="A127" s="24">
        <v>14</v>
      </c>
      <c r="B127" s="24">
        <v>1</v>
      </c>
      <c r="C127" s="24">
        <f ca="1"/>
        <v>17</v>
      </c>
      <c r="D127" s="25">
        <f ca="1"/>
        <v>12.458926490343359</v>
      </c>
      <c r="E127" s="25">
        <f t="shared" ca="1" si="2"/>
        <v>-1.5410735096566412</v>
      </c>
      <c r="G127" s="25">
        <f t="shared" ca="1" si="3"/>
        <v>0.14924443441661395</v>
      </c>
      <c r="L127" s="25"/>
    </row>
    <row r="128" spans="1:12" x14ac:dyDescent="0.2">
      <c r="A128" s="24">
        <v>9</v>
      </c>
      <c r="B128" s="24">
        <v>1</v>
      </c>
      <c r="C128" s="24">
        <f ca="1"/>
        <v>12</v>
      </c>
      <c r="D128" s="25">
        <f ca="1"/>
        <v>9.04283093208306</v>
      </c>
      <c r="E128" s="25">
        <f t="shared" ca="1" si="2"/>
        <v>4.2830932083059992E-2</v>
      </c>
      <c r="G128" s="25">
        <f t="shared" ca="1" si="3"/>
        <v>0.31903836846290684</v>
      </c>
      <c r="L128" s="25"/>
    </row>
    <row r="129" spans="1:12" x14ac:dyDescent="0.2">
      <c r="A129" s="24">
        <v>14</v>
      </c>
      <c r="B129" s="24">
        <v>1</v>
      </c>
      <c r="C129" s="24">
        <f ca="1"/>
        <v>19</v>
      </c>
      <c r="D129" s="25">
        <f ca="1"/>
        <v>13.825364713647479</v>
      </c>
      <c r="E129" s="25">
        <f t="shared" ca="1" si="2"/>
        <v>-0.17463528635252068</v>
      </c>
      <c r="G129" s="25">
        <f t="shared" ca="1" si="3"/>
        <v>0.31612416936198534</v>
      </c>
      <c r="L129" s="25"/>
    </row>
    <row r="130" spans="1:12" x14ac:dyDescent="0.2">
      <c r="A130" s="24">
        <v>13</v>
      </c>
      <c r="B130" s="24">
        <v>1</v>
      </c>
      <c r="C130" s="24">
        <f ca="1"/>
        <v>18</v>
      </c>
      <c r="D130" s="25">
        <f ca="1"/>
        <v>13.142145601995418</v>
      </c>
      <c r="E130" s="25">
        <f t="shared" ca="1" si="2"/>
        <v>0.14214560199541815</v>
      </c>
      <c r="G130" s="25">
        <f t="shared" ca="1" si="3"/>
        <v>0.31716750413300532</v>
      </c>
      <c r="L130" s="25"/>
    </row>
    <row r="131" spans="1:12" x14ac:dyDescent="0.2">
      <c r="A131" s="24">
        <v>11</v>
      </c>
      <c r="B131" s="24">
        <v>1</v>
      </c>
      <c r="C131" s="24">
        <f ca="1"/>
        <v>14</v>
      </c>
      <c r="D131" s="25">
        <f ca="1"/>
        <v>10.409269155387181</v>
      </c>
      <c r="E131" s="25">
        <f t="shared" ref="E131:E194" ca="1" si="4">D131-A131</f>
        <v>-0.59073084461281944</v>
      </c>
      <c r="G131" s="25">
        <f t="shared" ref="G131:G194" ca="1" si="5">_xlfn.NORM.DIST(E131,0,$F$2,FALSE)</f>
        <v>0.28548233893943797</v>
      </c>
      <c r="L131" s="25"/>
    </row>
    <row r="132" spans="1:12" x14ac:dyDescent="0.2">
      <c r="A132" s="24">
        <v>11</v>
      </c>
      <c r="B132" s="24">
        <v>1</v>
      </c>
      <c r="C132" s="24">
        <f ca="1"/>
        <v>15</v>
      </c>
      <c r="D132" s="25">
        <f ca="1"/>
        <v>11.09248826703924</v>
      </c>
      <c r="E132" s="25">
        <f t="shared" ca="1" si="4"/>
        <v>9.2488267039239958E-2</v>
      </c>
      <c r="G132" s="25">
        <f t="shared" ca="1" si="5"/>
        <v>0.31835277839425191</v>
      </c>
      <c r="L132" s="25"/>
    </row>
    <row r="133" spans="1:12" x14ac:dyDescent="0.2">
      <c r="A133" s="24">
        <v>12</v>
      </c>
      <c r="B133" s="24">
        <v>1</v>
      </c>
      <c r="C133" s="24">
        <f ca="1"/>
        <v>18</v>
      </c>
      <c r="D133" s="25">
        <f ca="1"/>
        <v>13.142145601995418</v>
      </c>
      <c r="E133" s="25">
        <f t="shared" ca="1" si="4"/>
        <v>1.1421456019954181</v>
      </c>
      <c r="G133" s="25">
        <f t="shared" ca="1" si="5"/>
        <v>0.21024457151414655</v>
      </c>
      <c r="L133" s="25"/>
    </row>
    <row r="134" spans="1:12" x14ac:dyDescent="0.2">
      <c r="A134" s="24">
        <v>12</v>
      </c>
      <c r="B134" s="24">
        <v>1</v>
      </c>
      <c r="C134" s="24">
        <f ca="1"/>
        <v>18</v>
      </c>
      <c r="D134" s="25">
        <f ca="1"/>
        <v>13.142145601995418</v>
      </c>
      <c r="E134" s="25">
        <f t="shared" ca="1" si="4"/>
        <v>1.1421456019954181</v>
      </c>
      <c r="G134" s="25">
        <f t="shared" ca="1" si="5"/>
        <v>0.21024457151414655</v>
      </c>
      <c r="L134" s="25"/>
    </row>
    <row r="135" spans="1:12" x14ac:dyDescent="0.2">
      <c r="A135" s="24">
        <v>11</v>
      </c>
      <c r="B135" s="24">
        <v>1</v>
      </c>
      <c r="C135" s="24">
        <f ca="1"/>
        <v>15</v>
      </c>
      <c r="D135" s="25">
        <f ca="1"/>
        <v>11.09248826703924</v>
      </c>
      <c r="E135" s="25">
        <f t="shared" ca="1" si="4"/>
        <v>9.2488267039239958E-2</v>
      </c>
      <c r="G135" s="25">
        <f t="shared" ca="1" si="5"/>
        <v>0.31835277839425191</v>
      </c>
      <c r="L135" s="25"/>
    </row>
    <row r="136" spans="1:12" x14ac:dyDescent="0.2">
      <c r="A136" s="24">
        <v>11</v>
      </c>
      <c r="B136" s="24">
        <v>1</v>
      </c>
      <c r="C136" s="24">
        <f ca="1"/>
        <v>17</v>
      </c>
      <c r="D136" s="25">
        <f ca="1"/>
        <v>12.458926490343359</v>
      </c>
      <c r="E136" s="25">
        <f t="shared" ca="1" si="4"/>
        <v>1.4589264903433588</v>
      </c>
      <c r="G136" s="25">
        <f t="shared" ca="1" si="5"/>
        <v>0.16149629011123415</v>
      </c>
      <c r="L136" s="25"/>
    </row>
    <row r="137" spans="1:12" x14ac:dyDescent="0.2">
      <c r="A137" s="24">
        <v>11</v>
      </c>
      <c r="B137" s="24">
        <v>1</v>
      </c>
      <c r="C137" s="24">
        <f ca="1"/>
        <v>16</v>
      </c>
      <c r="D137" s="25">
        <f ca="1"/>
        <v>11.775707378691299</v>
      </c>
      <c r="E137" s="25">
        <f t="shared" ca="1" si="4"/>
        <v>0.77570737869129935</v>
      </c>
      <c r="G137" s="25">
        <f t="shared" ca="1" si="5"/>
        <v>0.26329124156712214</v>
      </c>
      <c r="L137" s="25"/>
    </row>
    <row r="138" spans="1:12" x14ac:dyDescent="0.2">
      <c r="A138" s="24">
        <v>12</v>
      </c>
      <c r="B138" s="24">
        <v>1</v>
      </c>
      <c r="C138" s="24">
        <f ca="1"/>
        <v>18</v>
      </c>
      <c r="D138" s="25">
        <f ca="1"/>
        <v>13.142145601995418</v>
      </c>
      <c r="E138" s="25">
        <f t="shared" ca="1" si="4"/>
        <v>1.1421456019954181</v>
      </c>
      <c r="G138" s="25">
        <f t="shared" ca="1" si="5"/>
        <v>0.21024457151414655</v>
      </c>
      <c r="L138" s="25"/>
    </row>
    <row r="139" spans="1:12" x14ac:dyDescent="0.2">
      <c r="A139" s="24">
        <v>14</v>
      </c>
      <c r="B139" s="24">
        <v>1</v>
      </c>
      <c r="C139" s="24">
        <f ca="1"/>
        <v>17</v>
      </c>
      <c r="D139" s="25">
        <f ca="1"/>
        <v>12.458926490343359</v>
      </c>
      <c r="E139" s="25">
        <f t="shared" ca="1" si="4"/>
        <v>-1.5410735096566412</v>
      </c>
      <c r="G139" s="25">
        <f t="shared" ca="1" si="5"/>
        <v>0.14924443441661395</v>
      </c>
      <c r="L139" s="25"/>
    </row>
    <row r="140" spans="1:12" x14ac:dyDescent="0.2">
      <c r="A140" s="24">
        <v>13</v>
      </c>
      <c r="B140" s="24">
        <v>1</v>
      </c>
      <c r="C140" s="24">
        <f ca="1"/>
        <v>19</v>
      </c>
      <c r="D140" s="25">
        <f ca="1"/>
        <v>13.825364713647479</v>
      </c>
      <c r="E140" s="25">
        <f t="shared" ca="1" si="4"/>
        <v>0.82536471364747932</v>
      </c>
      <c r="G140" s="25">
        <f t="shared" ca="1" si="5"/>
        <v>0.25667424064304967</v>
      </c>
      <c r="L140" s="25"/>
    </row>
    <row r="141" spans="1:12" x14ac:dyDescent="0.2">
      <c r="A141" s="24">
        <v>13</v>
      </c>
      <c r="B141" s="24">
        <v>1</v>
      </c>
      <c r="C141" s="24">
        <f ca="1"/>
        <v>19</v>
      </c>
      <c r="D141" s="25">
        <f ca="1"/>
        <v>13.825364713647479</v>
      </c>
      <c r="E141" s="25">
        <f t="shared" ca="1" si="4"/>
        <v>0.82536471364747932</v>
      </c>
      <c r="G141" s="25">
        <f t="shared" ca="1" si="5"/>
        <v>0.25667424064304967</v>
      </c>
      <c r="L141" s="25"/>
    </row>
    <row r="142" spans="1:12" x14ac:dyDescent="0.2">
      <c r="A142" s="24">
        <v>13</v>
      </c>
      <c r="B142" s="24">
        <v>1</v>
      </c>
      <c r="C142" s="24">
        <f ca="1"/>
        <v>17</v>
      </c>
      <c r="D142" s="25">
        <f ca="1"/>
        <v>12.458926490343359</v>
      </c>
      <c r="E142" s="25">
        <f t="shared" ca="1" si="4"/>
        <v>-0.54107350965664125</v>
      </c>
      <c r="G142" s="25">
        <f t="shared" ca="1" si="5"/>
        <v>0.29066547731752662</v>
      </c>
      <c r="L142" s="25"/>
    </row>
    <row r="143" spans="1:12" x14ac:dyDescent="0.2">
      <c r="A143" s="24">
        <v>21</v>
      </c>
      <c r="B143" s="24">
        <v>1</v>
      </c>
      <c r="C143" s="24">
        <f ca="1"/>
        <v>29</v>
      </c>
      <c r="D143" s="25">
        <f ca="1"/>
        <v>20.657555830168075</v>
      </c>
      <c r="E143" s="25">
        <f t="shared" ca="1" si="4"/>
        <v>-0.34244416983192494</v>
      </c>
      <c r="G143" s="25">
        <f t="shared" ca="1" si="5"/>
        <v>0.30746337812452051</v>
      </c>
      <c r="L143" s="25"/>
    </row>
    <row r="144" spans="1:12" x14ac:dyDescent="0.2">
      <c r="A144" s="24">
        <v>19</v>
      </c>
      <c r="B144" s="24">
        <v>1</v>
      </c>
      <c r="C144" s="24">
        <f ca="1"/>
        <v>27</v>
      </c>
      <c r="D144" s="25">
        <f ca="1"/>
        <v>19.291117606863956</v>
      </c>
      <c r="E144" s="25">
        <f t="shared" ca="1" si="4"/>
        <v>0.29111760686395627</v>
      </c>
      <c r="G144" s="25">
        <f t="shared" ca="1" si="5"/>
        <v>0.31068098494392388</v>
      </c>
      <c r="L144" s="25"/>
    </row>
    <row r="145" spans="1:12" x14ac:dyDescent="0.2">
      <c r="A145" s="24">
        <v>23</v>
      </c>
      <c r="B145" s="24">
        <v>1</v>
      </c>
      <c r="C145" s="24">
        <f ca="1"/>
        <v>31</v>
      </c>
      <c r="D145" s="25">
        <f ca="1"/>
        <v>22.023994053472194</v>
      </c>
      <c r="E145" s="25">
        <f t="shared" ca="1" si="4"/>
        <v>-0.97600594652780615</v>
      </c>
      <c r="G145" s="25">
        <f t="shared" ca="1" si="5"/>
        <v>0.23531690641077893</v>
      </c>
      <c r="L145" s="25"/>
    </row>
    <row r="146" spans="1:12" x14ac:dyDescent="0.2">
      <c r="A146" s="24">
        <v>23</v>
      </c>
      <c r="B146" s="24">
        <v>1</v>
      </c>
      <c r="C146" s="24">
        <f ca="1"/>
        <v>32</v>
      </c>
      <c r="D146" s="25">
        <f ca="1"/>
        <v>22.707213165124255</v>
      </c>
      <c r="E146" s="25">
        <f t="shared" ca="1" si="4"/>
        <v>-0.29278683487574497</v>
      </c>
      <c r="G146" s="25">
        <f t="shared" ca="1" si="5"/>
        <v>0.31058405673494627</v>
      </c>
      <c r="L146" s="25"/>
    </row>
    <row r="147" spans="1:12" x14ac:dyDescent="0.2">
      <c r="A147" s="24">
        <v>19</v>
      </c>
      <c r="B147" s="24">
        <v>1</v>
      </c>
      <c r="C147" s="24">
        <f ca="1"/>
        <v>27</v>
      </c>
      <c r="D147" s="25">
        <f ca="1"/>
        <v>19.291117606863956</v>
      </c>
      <c r="E147" s="25">
        <f t="shared" ca="1" si="4"/>
        <v>0.29111760686395627</v>
      </c>
      <c r="G147" s="25">
        <f t="shared" ca="1" si="5"/>
        <v>0.31068098494392388</v>
      </c>
      <c r="L147" s="25"/>
    </row>
    <row r="148" spans="1:12" x14ac:dyDescent="0.2">
      <c r="A148" s="24">
        <v>19</v>
      </c>
      <c r="B148" s="24">
        <v>1</v>
      </c>
      <c r="C148" s="24">
        <f ca="1"/>
        <v>26</v>
      </c>
      <c r="D148" s="25">
        <f ca="1"/>
        <v>18.607898495211895</v>
      </c>
      <c r="E148" s="25">
        <f t="shared" ca="1" si="4"/>
        <v>-0.3921015047881049</v>
      </c>
      <c r="G148" s="25">
        <f t="shared" ca="1" si="5"/>
        <v>0.30389387162696274</v>
      </c>
      <c r="L148" s="25"/>
    </row>
    <row r="149" spans="1:12" x14ac:dyDescent="0.2">
      <c r="A149" s="24">
        <v>18</v>
      </c>
      <c r="B149" s="24">
        <v>1</v>
      </c>
      <c r="C149" s="24">
        <f ca="1"/>
        <v>26</v>
      </c>
      <c r="D149" s="25">
        <f ca="1"/>
        <v>18.607898495211895</v>
      </c>
      <c r="E149" s="25">
        <f t="shared" ca="1" si="4"/>
        <v>0.6078984952118951</v>
      </c>
      <c r="G149" s="25">
        <f t="shared" ca="1" si="5"/>
        <v>0.28360781451993688</v>
      </c>
      <c r="L149" s="25"/>
    </row>
    <row r="150" spans="1:12" x14ac:dyDescent="0.2">
      <c r="A150" s="24">
        <v>19</v>
      </c>
      <c r="B150" s="24">
        <v>1</v>
      </c>
      <c r="C150" s="24">
        <f ca="1"/>
        <v>25</v>
      </c>
      <c r="D150" s="25">
        <f ca="1"/>
        <v>17.924679383559837</v>
      </c>
      <c r="E150" s="25">
        <f t="shared" ca="1" si="4"/>
        <v>-1.0753206164401625</v>
      </c>
      <c r="G150" s="25">
        <f t="shared" ca="1" si="5"/>
        <v>0.22045887184038612</v>
      </c>
      <c r="L150" s="25"/>
    </row>
    <row r="151" spans="1:12" x14ac:dyDescent="0.2">
      <c r="A151" s="24">
        <v>19</v>
      </c>
      <c r="B151" s="24">
        <v>1</v>
      </c>
      <c r="C151" s="24">
        <f ca="1"/>
        <v>25</v>
      </c>
      <c r="D151" s="25">
        <f ca="1"/>
        <v>17.924679383559837</v>
      </c>
      <c r="E151" s="25">
        <f t="shared" ca="1" si="4"/>
        <v>-1.0753206164401625</v>
      </c>
      <c r="G151" s="25">
        <f t="shared" ca="1" si="5"/>
        <v>0.22045887184038612</v>
      </c>
      <c r="L151" s="25"/>
    </row>
    <row r="152" spans="1:12" x14ac:dyDescent="0.2">
      <c r="A152" s="24">
        <v>14</v>
      </c>
      <c r="B152" s="24">
        <v>1</v>
      </c>
      <c r="C152" s="24">
        <f ca="1"/>
        <v>17</v>
      </c>
      <c r="D152" s="25">
        <f ca="1"/>
        <v>12.458926490343359</v>
      </c>
      <c r="E152" s="25">
        <f t="shared" ca="1" si="4"/>
        <v>-1.5410735096566412</v>
      </c>
      <c r="G152" s="25">
        <f t="shared" ca="1" si="5"/>
        <v>0.14924443441661395</v>
      </c>
      <c r="L152" s="25"/>
    </row>
    <row r="153" spans="1:12" x14ac:dyDescent="0.2">
      <c r="A153" s="24">
        <v>15</v>
      </c>
      <c r="B153" s="24">
        <v>1</v>
      </c>
      <c r="C153" s="24">
        <f ca="1"/>
        <v>17</v>
      </c>
      <c r="D153" s="25">
        <f ca="1"/>
        <v>12.458926490343359</v>
      </c>
      <c r="E153" s="25">
        <f t="shared" ca="1" si="4"/>
        <v>-2.5410735096566412</v>
      </c>
      <c r="G153" s="25">
        <f t="shared" ca="1" si="5"/>
        <v>4.0395128664178985E-2</v>
      </c>
      <c r="L153" s="25"/>
    </row>
    <row r="154" spans="1:12" x14ac:dyDescent="0.2">
      <c r="A154" s="24">
        <v>14</v>
      </c>
      <c r="B154" s="24">
        <v>1</v>
      </c>
      <c r="C154" s="24">
        <f ca="1"/>
        <v>20</v>
      </c>
      <c r="D154" s="25">
        <f ca="1"/>
        <v>14.508583825299539</v>
      </c>
      <c r="E154" s="25">
        <f t="shared" ca="1" si="4"/>
        <v>0.50858382529953872</v>
      </c>
      <c r="G154" s="25">
        <f t="shared" ca="1" si="5"/>
        <v>0.29385631906225068</v>
      </c>
      <c r="L154" s="25"/>
    </row>
    <row r="155" spans="1:12" x14ac:dyDescent="0.2">
      <c r="A155" s="24">
        <v>12</v>
      </c>
      <c r="B155" s="24">
        <v>1</v>
      </c>
      <c r="C155" s="24">
        <f ca="1"/>
        <v>18</v>
      </c>
      <c r="D155" s="25">
        <f ca="1"/>
        <v>13.142145601995418</v>
      </c>
      <c r="E155" s="25">
        <f t="shared" ca="1" si="4"/>
        <v>1.1421456019954181</v>
      </c>
      <c r="G155" s="25">
        <f t="shared" ca="1" si="5"/>
        <v>0.21024457151414655</v>
      </c>
      <c r="L155" s="25"/>
    </row>
    <row r="156" spans="1:12" x14ac:dyDescent="0.2">
      <c r="A156" s="24">
        <v>18</v>
      </c>
      <c r="B156" s="24">
        <v>1</v>
      </c>
      <c r="C156" s="24">
        <f ca="1"/>
        <v>26</v>
      </c>
      <c r="D156" s="25">
        <f ca="1"/>
        <v>18.607898495211895</v>
      </c>
      <c r="E156" s="25">
        <f t="shared" ca="1" si="4"/>
        <v>0.6078984952118951</v>
      </c>
      <c r="G156" s="25">
        <f t="shared" ca="1" si="5"/>
        <v>0.28360781451993688</v>
      </c>
      <c r="L156" s="25"/>
    </row>
    <row r="157" spans="1:12" x14ac:dyDescent="0.2">
      <c r="A157" s="24">
        <v>16</v>
      </c>
      <c r="B157" s="24">
        <v>1</v>
      </c>
      <c r="C157" s="24">
        <f ca="1"/>
        <v>26</v>
      </c>
      <c r="D157" s="25">
        <f ca="1"/>
        <v>18.607898495211895</v>
      </c>
      <c r="E157" s="25">
        <f t="shared" ca="1" si="4"/>
        <v>2.6078984952118951</v>
      </c>
      <c r="G157" s="25">
        <f t="shared" ca="1" si="5"/>
        <v>3.6181717224349638E-2</v>
      </c>
      <c r="L157" s="25"/>
    </row>
    <row r="158" spans="1:12" x14ac:dyDescent="0.2">
      <c r="A158" s="24">
        <v>17</v>
      </c>
      <c r="B158" s="24">
        <v>1</v>
      </c>
      <c r="C158" s="24">
        <f ca="1"/>
        <v>27</v>
      </c>
      <c r="D158" s="25">
        <f ca="1"/>
        <v>19.291117606863956</v>
      </c>
      <c r="E158" s="25">
        <f t="shared" ca="1" si="4"/>
        <v>2.2911176068639563</v>
      </c>
      <c r="G158" s="25">
        <f t="shared" ca="1" si="5"/>
        <v>5.9465162689867283E-2</v>
      </c>
      <c r="L158" s="25"/>
    </row>
    <row r="159" spans="1:12" x14ac:dyDescent="0.2">
      <c r="A159" s="24">
        <v>18</v>
      </c>
      <c r="B159" s="24">
        <v>1</v>
      </c>
      <c r="C159" s="24">
        <f ca="1"/>
        <v>28</v>
      </c>
      <c r="D159" s="25">
        <f ca="1"/>
        <v>19.974336718516017</v>
      </c>
      <c r="E159" s="25">
        <f t="shared" ca="1" si="4"/>
        <v>1.9743367185160174</v>
      </c>
      <c r="G159" s="25">
        <f t="shared" ca="1" si="5"/>
        <v>9.1649753525670924E-2</v>
      </c>
      <c r="L159" s="25"/>
    </row>
    <row r="160" spans="1:12" x14ac:dyDescent="0.2">
      <c r="A160" s="24">
        <v>16</v>
      </c>
      <c r="B160" s="24">
        <v>1</v>
      </c>
      <c r="C160" s="24">
        <f ca="1"/>
        <v>25</v>
      </c>
      <c r="D160" s="25">
        <f ca="1"/>
        <v>17.924679383559837</v>
      </c>
      <c r="E160" s="25">
        <f t="shared" ca="1" si="4"/>
        <v>1.9246793835598375</v>
      </c>
      <c r="G160" s="25">
        <f t="shared" ca="1" si="5"/>
        <v>9.7510391399401958E-2</v>
      </c>
      <c r="L160" s="25"/>
    </row>
    <row r="161" spans="1:12" x14ac:dyDescent="0.2">
      <c r="A161" s="24">
        <v>18</v>
      </c>
      <c r="B161" s="24">
        <v>1</v>
      </c>
      <c r="C161" s="24">
        <f ca="1"/>
        <v>25</v>
      </c>
      <c r="D161" s="25">
        <f ca="1"/>
        <v>17.924679383559837</v>
      </c>
      <c r="E161" s="25">
        <f t="shared" ca="1" si="4"/>
        <v>-7.5320616440162524E-2</v>
      </c>
      <c r="G161" s="25">
        <f t="shared" ca="1" si="5"/>
        <v>0.3186465302206829</v>
      </c>
      <c r="L161" s="25"/>
    </row>
    <row r="162" spans="1:12" x14ac:dyDescent="0.2">
      <c r="A162" s="24">
        <v>18</v>
      </c>
      <c r="B162" s="24">
        <v>1</v>
      </c>
      <c r="C162" s="24">
        <f ca="1"/>
        <v>24</v>
      </c>
      <c r="D162" s="25">
        <f ca="1"/>
        <v>17.241460271907776</v>
      </c>
      <c r="E162" s="25">
        <f t="shared" ca="1" si="4"/>
        <v>-0.7585397280922237</v>
      </c>
      <c r="G162" s="25">
        <f t="shared" ca="1" si="5"/>
        <v>0.2655208098682208</v>
      </c>
      <c r="L162" s="25"/>
    </row>
    <row r="163" spans="1:12" x14ac:dyDescent="0.2">
      <c r="A163" s="24">
        <v>20</v>
      </c>
      <c r="B163" s="24">
        <v>1</v>
      </c>
      <c r="C163" s="24">
        <f ca="1"/>
        <v>27</v>
      </c>
      <c r="D163" s="25">
        <f ca="1"/>
        <v>19.291117606863956</v>
      </c>
      <c r="E163" s="25">
        <f t="shared" ca="1" si="4"/>
        <v>-0.70888239313604373</v>
      </c>
      <c r="G163" s="25">
        <f t="shared" ca="1" si="5"/>
        <v>0.2717877911689337</v>
      </c>
      <c r="L163" s="25"/>
    </row>
    <row r="164" spans="1:12" x14ac:dyDescent="0.2">
      <c r="A164" s="24">
        <v>19</v>
      </c>
      <c r="B164" s="24">
        <v>1</v>
      </c>
      <c r="C164" s="24">
        <f ca="1"/>
        <v>25</v>
      </c>
      <c r="D164" s="25">
        <f ca="1"/>
        <v>17.924679383559837</v>
      </c>
      <c r="E164" s="25">
        <f t="shared" ca="1" si="4"/>
        <v>-1.0753206164401625</v>
      </c>
      <c r="G164" s="25">
        <f t="shared" ca="1" si="5"/>
        <v>0.22045887184038612</v>
      </c>
      <c r="L164" s="25"/>
    </row>
    <row r="165" spans="1:12" x14ac:dyDescent="0.2">
      <c r="A165" s="24">
        <v>20</v>
      </c>
      <c r="B165" s="24">
        <v>1</v>
      </c>
      <c r="C165" s="24">
        <f ca="1"/>
        <v>26</v>
      </c>
      <c r="D165" s="25">
        <f ca="1"/>
        <v>18.607898495211895</v>
      </c>
      <c r="E165" s="25">
        <f t="shared" ca="1" si="4"/>
        <v>-1.3921015047881049</v>
      </c>
      <c r="G165" s="25">
        <f t="shared" ca="1" si="5"/>
        <v>0.17165317899794366</v>
      </c>
      <c r="L165" s="25"/>
    </row>
    <row r="166" spans="1:12" x14ac:dyDescent="0.2">
      <c r="A166" s="24">
        <v>18</v>
      </c>
      <c r="B166" s="24">
        <v>1</v>
      </c>
      <c r="C166" s="24">
        <f ca="1"/>
        <v>23</v>
      </c>
      <c r="D166" s="25">
        <f ca="1"/>
        <v>16.558241160255715</v>
      </c>
      <c r="E166" s="25">
        <f t="shared" ca="1" si="4"/>
        <v>-1.4417588397442849</v>
      </c>
      <c r="G166" s="25">
        <f t="shared" ca="1" si="5"/>
        <v>0.16409158276943275</v>
      </c>
      <c r="L166" s="25"/>
    </row>
    <row r="167" spans="1:12" x14ac:dyDescent="0.2">
      <c r="A167" s="24">
        <v>21</v>
      </c>
      <c r="B167" s="24">
        <v>1</v>
      </c>
      <c r="C167" s="24">
        <f ca="1"/>
        <v>26</v>
      </c>
      <c r="D167" s="25">
        <f ca="1"/>
        <v>18.607898495211895</v>
      </c>
      <c r="E167" s="25">
        <f t="shared" ca="1" si="4"/>
        <v>-2.3921015047881049</v>
      </c>
      <c r="G167" s="25">
        <f t="shared" ca="1" si="5"/>
        <v>5.1110239922417852E-2</v>
      </c>
      <c r="L167" s="25"/>
    </row>
    <row r="168" spans="1:12" x14ac:dyDescent="0.2">
      <c r="A168" s="24">
        <v>19</v>
      </c>
      <c r="B168" s="24">
        <v>1</v>
      </c>
      <c r="C168" s="24">
        <f ca="1"/>
        <v>26</v>
      </c>
      <c r="D168" s="25">
        <f ca="1"/>
        <v>18.607898495211895</v>
      </c>
      <c r="E168" s="25">
        <f t="shared" ca="1" si="4"/>
        <v>-0.3921015047881049</v>
      </c>
      <c r="G168" s="25">
        <f t="shared" ca="1" si="5"/>
        <v>0.30389387162696274</v>
      </c>
      <c r="L168" s="25"/>
    </row>
    <row r="169" spans="1:12" x14ac:dyDescent="0.2">
      <c r="A169" s="24">
        <v>19</v>
      </c>
      <c r="B169" s="24">
        <v>1</v>
      </c>
      <c r="C169" s="24">
        <f ca="1"/>
        <v>26</v>
      </c>
      <c r="D169" s="25">
        <f ca="1"/>
        <v>18.607898495211895</v>
      </c>
      <c r="E169" s="25">
        <f t="shared" ca="1" si="4"/>
        <v>-0.3921015047881049</v>
      </c>
      <c r="G169" s="25">
        <f t="shared" ca="1" si="5"/>
        <v>0.30389387162696274</v>
      </c>
      <c r="L169" s="25"/>
    </row>
    <row r="170" spans="1:12" x14ac:dyDescent="0.2">
      <c r="A170" s="24">
        <v>19</v>
      </c>
      <c r="B170" s="24">
        <v>1</v>
      </c>
      <c r="C170" s="24">
        <f ca="1"/>
        <v>26</v>
      </c>
      <c r="D170" s="25">
        <f ca="1"/>
        <v>18.607898495211895</v>
      </c>
      <c r="E170" s="25">
        <f t="shared" ca="1" si="4"/>
        <v>-0.3921015047881049</v>
      </c>
      <c r="G170" s="25">
        <f t="shared" ca="1" si="5"/>
        <v>0.30389387162696274</v>
      </c>
      <c r="L170" s="25"/>
    </row>
    <row r="171" spans="1:12" x14ac:dyDescent="0.2">
      <c r="A171" s="24">
        <v>20</v>
      </c>
      <c r="B171" s="24">
        <v>1</v>
      </c>
      <c r="C171" s="24">
        <f ca="1"/>
        <v>25</v>
      </c>
      <c r="D171" s="25">
        <f ca="1"/>
        <v>17.924679383559837</v>
      </c>
      <c r="E171" s="25">
        <f t="shared" ca="1" si="4"/>
        <v>-2.0753206164401625</v>
      </c>
      <c r="G171" s="25">
        <f t="shared" ca="1" si="5"/>
        <v>8.0402976672096699E-2</v>
      </c>
      <c r="L171" s="25"/>
    </row>
    <row r="172" spans="1:12" x14ac:dyDescent="0.2">
      <c r="A172" s="24">
        <v>20</v>
      </c>
      <c r="B172" s="24">
        <v>1</v>
      </c>
      <c r="C172" s="24">
        <f ca="1"/>
        <v>27</v>
      </c>
      <c r="D172" s="25">
        <f ca="1"/>
        <v>19.291117606863956</v>
      </c>
      <c r="E172" s="25">
        <f t="shared" ca="1" si="4"/>
        <v>-0.70888239313604373</v>
      </c>
      <c r="G172" s="25">
        <f t="shared" ca="1" si="5"/>
        <v>0.2717877911689337</v>
      </c>
      <c r="L172" s="25"/>
    </row>
    <row r="173" spans="1:12" x14ac:dyDescent="0.2">
      <c r="A173" s="24">
        <v>19</v>
      </c>
      <c r="B173" s="24">
        <v>1</v>
      </c>
      <c r="C173" s="24">
        <f ca="1"/>
        <v>25</v>
      </c>
      <c r="D173" s="25">
        <f ca="1"/>
        <v>17.924679383559837</v>
      </c>
      <c r="E173" s="25">
        <f t="shared" ca="1" si="4"/>
        <v>-1.0753206164401625</v>
      </c>
      <c r="G173" s="25">
        <f t="shared" ca="1" si="5"/>
        <v>0.22045887184038612</v>
      </c>
      <c r="L173" s="25"/>
    </row>
    <row r="174" spans="1:12" x14ac:dyDescent="0.2">
      <c r="A174" s="24">
        <v>20</v>
      </c>
      <c r="B174" s="24">
        <v>1</v>
      </c>
      <c r="C174" s="24">
        <f ca="1"/>
        <v>27</v>
      </c>
      <c r="D174" s="25">
        <f ca="1"/>
        <v>19.291117606863956</v>
      </c>
      <c r="E174" s="25">
        <f t="shared" ca="1" si="4"/>
        <v>-0.70888239313604373</v>
      </c>
      <c r="G174" s="25">
        <f t="shared" ca="1" si="5"/>
        <v>0.2717877911689337</v>
      </c>
      <c r="L174" s="25"/>
    </row>
    <row r="175" spans="1:12" x14ac:dyDescent="0.2">
      <c r="A175" s="24">
        <v>15</v>
      </c>
      <c r="B175" s="24">
        <v>1</v>
      </c>
      <c r="C175" s="24">
        <f ca="1"/>
        <v>20</v>
      </c>
      <c r="D175" s="25">
        <f ca="1"/>
        <v>14.508583825299539</v>
      </c>
      <c r="E175" s="25">
        <f t="shared" ca="1" si="4"/>
        <v>-0.49141617470046128</v>
      </c>
      <c r="G175" s="25">
        <f t="shared" ca="1" si="5"/>
        <v>0.29547583692562635</v>
      </c>
      <c r="L175" s="25"/>
    </row>
    <row r="176" spans="1:12" x14ac:dyDescent="0.2">
      <c r="A176" s="24">
        <v>16</v>
      </c>
      <c r="B176" s="24">
        <v>1</v>
      </c>
      <c r="C176" s="24">
        <f ca="1"/>
        <v>20</v>
      </c>
      <c r="D176" s="25">
        <f ca="1"/>
        <v>14.508583825299539</v>
      </c>
      <c r="E176" s="25">
        <f t="shared" ca="1" si="4"/>
        <v>-1.4914161747004613</v>
      </c>
      <c r="G176" s="25">
        <f t="shared" ca="1" si="5"/>
        <v>0.15661561802916329</v>
      </c>
      <c r="L176" s="25"/>
    </row>
    <row r="177" spans="1:12" x14ac:dyDescent="0.2">
      <c r="A177" s="24">
        <v>15</v>
      </c>
      <c r="B177" s="24">
        <v>1</v>
      </c>
      <c r="C177" s="24">
        <f ca="1"/>
        <v>19</v>
      </c>
      <c r="D177" s="25">
        <f ca="1"/>
        <v>13.825364713647479</v>
      </c>
      <c r="E177" s="25">
        <f t="shared" ca="1" si="4"/>
        <v>-1.1746352863525207</v>
      </c>
      <c r="G177" s="25">
        <f t="shared" ca="1" si="5"/>
        <v>0.20523871008550823</v>
      </c>
      <c r="L177" s="25"/>
    </row>
    <row r="178" spans="1:12" x14ac:dyDescent="0.2">
      <c r="A178" s="24">
        <v>15</v>
      </c>
      <c r="B178" s="24">
        <v>1</v>
      </c>
      <c r="C178" s="24">
        <f ca="1"/>
        <v>17</v>
      </c>
      <c r="D178" s="25">
        <f ca="1"/>
        <v>12.458926490343359</v>
      </c>
      <c r="E178" s="25">
        <f t="shared" ca="1" si="4"/>
        <v>-2.5410735096566412</v>
      </c>
      <c r="G178" s="25">
        <f t="shared" ca="1" si="5"/>
        <v>4.0395128664178985E-2</v>
      </c>
      <c r="L178" s="25"/>
    </row>
    <row r="179" spans="1:12" x14ac:dyDescent="0.2">
      <c r="A179" s="24">
        <v>16</v>
      </c>
      <c r="B179" s="24">
        <v>1</v>
      </c>
      <c r="C179" s="24">
        <f ca="1"/>
        <v>20</v>
      </c>
      <c r="D179" s="25">
        <f ca="1"/>
        <v>14.508583825299539</v>
      </c>
      <c r="E179" s="25">
        <f t="shared" ca="1" si="4"/>
        <v>-1.4914161747004613</v>
      </c>
      <c r="G179" s="25">
        <f t="shared" ca="1" si="5"/>
        <v>0.15661561802916329</v>
      </c>
      <c r="L179" s="25"/>
    </row>
    <row r="180" spans="1:12" x14ac:dyDescent="0.2">
      <c r="A180" s="24">
        <v>14</v>
      </c>
      <c r="B180" s="24">
        <v>1</v>
      </c>
      <c r="C180" s="24">
        <f ca="1"/>
        <v>17</v>
      </c>
      <c r="D180" s="25">
        <f ca="1"/>
        <v>12.458926490343359</v>
      </c>
      <c r="E180" s="25">
        <f t="shared" ca="1" si="4"/>
        <v>-1.5410735096566412</v>
      </c>
      <c r="G180" s="25">
        <f t="shared" ca="1" si="5"/>
        <v>0.14924443441661395</v>
      </c>
      <c r="L180" s="25"/>
    </row>
    <row r="181" spans="1:12" x14ac:dyDescent="0.2">
      <c r="A181" s="24">
        <v>21</v>
      </c>
      <c r="B181" s="24">
        <v>1</v>
      </c>
      <c r="C181" s="24">
        <f ca="1"/>
        <v>29</v>
      </c>
      <c r="D181" s="25">
        <f ca="1"/>
        <v>20.657555830168075</v>
      </c>
      <c r="E181" s="25">
        <f t="shared" ca="1" si="4"/>
        <v>-0.34244416983192494</v>
      </c>
      <c r="G181" s="25">
        <f t="shared" ca="1" si="5"/>
        <v>0.30746337812452051</v>
      </c>
      <c r="L181" s="25"/>
    </row>
    <row r="182" spans="1:12" x14ac:dyDescent="0.2">
      <c r="A182" s="24">
        <v>21</v>
      </c>
      <c r="B182" s="24">
        <v>1</v>
      </c>
      <c r="C182" s="24">
        <f ca="1"/>
        <v>27</v>
      </c>
      <c r="D182" s="25">
        <f ca="1"/>
        <v>19.291117606863956</v>
      </c>
      <c r="E182" s="25">
        <f t="shared" ca="1" si="4"/>
        <v>-1.7088823931360437</v>
      </c>
      <c r="G182" s="25">
        <f t="shared" ca="1" si="5"/>
        <v>0.12533471414208935</v>
      </c>
      <c r="L182" s="25"/>
    </row>
    <row r="183" spans="1:12" x14ac:dyDescent="0.2">
      <c r="A183" s="24">
        <v>21</v>
      </c>
      <c r="B183" s="24">
        <v>1</v>
      </c>
      <c r="C183" s="24">
        <f ca="1"/>
        <v>31</v>
      </c>
      <c r="D183" s="25">
        <f ca="1"/>
        <v>22.023994053472194</v>
      </c>
      <c r="E183" s="25">
        <f t="shared" ca="1" si="4"/>
        <v>1.0239940534721939</v>
      </c>
      <c r="G183" s="25">
        <f t="shared" ca="1" si="5"/>
        <v>0.22819645484299309</v>
      </c>
      <c r="L183" s="25"/>
    </row>
    <row r="184" spans="1:12" x14ac:dyDescent="0.2">
      <c r="A184" s="24">
        <v>21</v>
      </c>
      <c r="B184" s="24">
        <v>1</v>
      </c>
      <c r="C184" s="24">
        <f ca="1"/>
        <v>31</v>
      </c>
      <c r="D184" s="25">
        <f ca="1"/>
        <v>22.023994053472194</v>
      </c>
      <c r="E184" s="25">
        <f t="shared" ca="1" si="4"/>
        <v>1.0239940534721939</v>
      </c>
      <c r="G184" s="25">
        <f t="shared" ca="1" si="5"/>
        <v>0.22819645484299309</v>
      </c>
      <c r="L184" s="25"/>
    </row>
    <row r="185" spans="1:12" x14ac:dyDescent="0.2">
      <c r="A185" s="24">
        <v>18</v>
      </c>
      <c r="B185" s="24">
        <v>1</v>
      </c>
      <c r="C185" s="24">
        <f ca="1"/>
        <v>26</v>
      </c>
      <c r="D185" s="25">
        <f ca="1"/>
        <v>18.607898495211895</v>
      </c>
      <c r="E185" s="25">
        <f t="shared" ca="1" si="4"/>
        <v>0.6078984952118951</v>
      </c>
      <c r="G185" s="25">
        <f t="shared" ca="1" si="5"/>
        <v>0.28360781451993688</v>
      </c>
      <c r="L185" s="25"/>
    </row>
    <row r="186" spans="1:12" x14ac:dyDescent="0.2">
      <c r="A186" s="24">
        <v>18</v>
      </c>
      <c r="B186" s="24">
        <v>1</v>
      </c>
      <c r="C186" s="24">
        <f ca="1"/>
        <v>26</v>
      </c>
      <c r="D186" s="25">
        <f ca="1"/>
        <v>18.607898495211895</v>
      </c>
      <c r="E186" s="25">
        <f t="shared" ca="1" si="4"/>
        <v>0.6078984952118951</v>
      </c>
      <c r="G186" s="25">
        <f t="shared" ca="1" si="5"/>
        <v>0.28360781451993688</v>
      </c>
      <c r="L186" s="25"/>
    </row>
    <row r="187" spans="1:12" x14ac:dyDescent="0.2">
      <c r="A187" s="24">
        <v>19</v>
      </c>
      <c r="B187" s="24">
        <v>1</v>
      </c>
      <c r="C187" s="24">
        <f ca="1"/>
        <v>28</v>
      </c>
      <c r="D187" s="25">
        <f ca="1"/>
        <v>19.974336718516017</v>
      </c>
      <c r="E187" s="25">
        <f t="shared" ca="1" si="4"/>
        <v>0.97433671851601744</v>
      </c>
      <c r="G187" s="25">
        <f t="shared" ca="1" si="5"/>
        <v>0.23556229359930655</v>
      </c>
      <c r="L187" s="25"/>
    </row>
    <row r="188" spans="1:12" x14ac:dyDescent="0.2">
      <c r="A188" s="24">
        <v>21</v>
      </c>
      <c r="B188" s="24">
        <v>1</v>
      </c>
      <c r="C188" s="24">
        <f ca="1"/>
        <v>27</v>
      </c>
      <c r="D188" s="25">
        <f ca="1"/>
        <v>19.291117606863956</v>
      </c>
      <c r="E188" s="25">
        <f t="shared" ca="1" si="4"/>
        <v>-1.7088823931360437</v>
      </c>
      <c r="G188" s="25">
        <f t="shared" ca="1" si="5"/>
        <v>0.12533471414208935</v>
      </c>
      <c r="L188" s="25"/>
    </row>
    <row r="189" spans="1:12" x14ac:dyDescent="0.2">
      <c r="A189" s="24">
        <v>21</v>
      </c>
      <c r="B189" s="24">
        <v>1</v>
      </c>
      <c r="C189" s="24">
        <f ca="1"/>
        <v>29</v>
      </c>
      <c r="D189" s="25">
        <f ca="1"/>
        <v>20.657555830168075</v>
      </c>
      <c r="E189" s="25">
        <f t="shared" ca="1" si="4"/>
        <v>-0.34244416983192494</v>
      </c>
      <c r="G189" s="25">
        <f t="shared" ca="1" si="5"/>
        <v>0.30746337812452051</v>
      </c>
      <c r="L189" s="25"/>
    </row>
    <row r="190" spans="1:12" x14ac:dyDescent="0.2">
      <c r="A190" s="24">
        <v>21</v>
      </c>
      <c r="B190" s="24">
        <v>1</v>
      </c>
      <c r="C190" s="24">
        <f ca="1"/>
        <v>31</v>
      </c>
      <c r="D190" s="25">
        <f ca="1"/>
        <v>22.023994053472194</v>
      </c>
      <c r="E190" s="25">
        <f t="shared" ca="1" si="4"/>
        <v>1.0239940534721939</v>
      </c>
      <c r="G190" s="25">
        <f t="shared" ca="1" si="5"/>
        <v>0.22819645484299309</v>
      </c>
      <c r="L190" s="25"/>
    </row>
    <row r="191" spans="1:12" x14ac:dyDescent="0.2">
      <c r="A191" s="24">
        <v>22</v>
      </c>
      <c r="B191" s="24">
        <v>1</v>
      </c>
      <c r="C191" s="24">
        <f ca="1"/>
        <v>31</v>
      </c>
      <c r="D191" s="25">
        <f ca="1"/>
        <v>22.023994053472194</v>
      </c>
      <c r="E191" s="25">
        <f t="shared" ca="1" si="4"/>
        <v>2.3994053472193855E-2</v>
      </c>
      <c r="G191" s="25">
        <f t="shared" ca="1" si="5"/>
        <v>0.31916696345814999</v>
      </c>
      <c r="L191" s="25"/>
    </row>
    <row r="192" spans="1:12" x14ac:dyDescent="0.2">
      <c r="A192" s="24">
        <v>18</v>
      </c>
      <c r="B192" s="24">
        <v>1</v>
      </c>
      <c r="C192" s="24">
        <f ca="1"/>
        <v>26</v>
      </c>
      <c r="D192" s="25">
        <f ca="1"/>
        <v>18.607898495211895</v>
      </c>
      <c r="E192" s="25">
        <f t="shared" ca="1" si="4"/>
        <v>0.6078984952118951</v>
      </c>
      <c r="G192" s="25">
        <f t="shared" ca="1" si="5"/>
        <v>0.28360781451993688</v>
      </c>
      <c r="L192" s="25"/>
    </row>
    <row r="193" spans="1:12" x14ac:dyDescent="0.2">
      <c r="A193" s="24">
        <v>18</v>
      </c>
      <c r="B193" s="24">
        <v>1</v>
      </c>
      <c r="C193" s="24">
        <f ca="1"/>
        <v>26</v>
      </c>
      <c r="D193" s="25">
        <f ca="1"/>
        <v>18.607898495211895</v>
      </c>
      <c r="E193" s="25">
        <f t="shared" ca="1" si="4"/>
        <v>0.6078984952118951</v>
      </c>
      <c r="G193" s="25">
        <f t="shared" ca="1" si="5"/>
        <v>0.28360781451993688</v>
      </c>
      <c r="L193" s="25"/>
    </row>
    <row r="194" spans="1:12" x14ac:dyDescent="0.2">
      <c r="A194" s="24">
        <v>18</v>
      </c>
      <c r="B194" s="24">
        <v>1</v>
      </c>
      <c r="C194" s="24">
        <f ca="1"/>
        <v>27</v>
      </c>
      <c r="D194" s="25">
        <f ca="1"/>
        <v>19.291117606863956</v>
      </c>
      <c r="E194" s="25">
        <f t="shared" ca="1" si="4"/>
        <v>1.2911176068639563</v>
      </c>
      <c r="G194" s="25">
        <f t="shared" ca="1" si="5"/>
        <v>0.18720849951963059</v>
      </c>
      <c r="L194" s="25"/>
    </row>
    <row r="195" spans="1:12" x14ac:dyDescent="0.2">
      <c r="A195" s="24">
        <v>24</v>
      </c>
      <c r="B195" s="24">
        <v>1</v>
      </c>
      <c r="C195" s="24">
        <f ca="1"/>
        <v>30</v>
      </c>
      <c r="D195" s="25">
        <f ca="1"/>
        <v>21.340774941820136</v>
      </c>
      <c r="E195" s="25">
        <f t="shared" ref="E195:E235" ca="1" si="6">D195-A195</f>
        <v>-2.6592250581798638</v>
      </c>
      <c r="G195" s="25">
        <f t="shared" ref="G195:G235" ca="1" si="7">_xlfn.NORM.DIST(E195,0,$F$2,FALSE)</f>
        <v>3.3181916685722804E-2</v>
      </c>
      <c r="L195" s="25"/>
    </row>
    <row r="196" spans="1:12" x14ac:dyDescent="0.2">
      <c r="A196" s="24">
        <v>24</v>
      </c>
      <c r="B196" s="24">
        <v>1</v>
      </c>
      <c r="C196" s="24">
        <f ca="1"/>
        <v>33</v>
      </c>
      <c r="D196" s="25">
        <f ca="1"/>
        <v>23.390432276776316</v>
      </c>
      <c r="E196" s="25">
        <f t="shared" ca="1" si="6"/>
        <v>-0.6095677232236838</v>
      </c>
      <c r="G196" s="25">
        <f t="shared" ca="1" si="7"/>
        <v>0.28342335743776725</v>
      </c>
      <c r="L196" s="25"/>
    </row>
    <row r="197" spans="1:12" x14ac:dyDescent="0.2">
      <c r="A197" s="24">
        <v>26</v>
      </c>
      <c r="B197" s="24">
        <v>1</v>
      </c>
      <c r="C197" s="24">
        <f ca="1"/>
        <v>35</v>
      </c>
      <c r="D197" s="25">
        <f ca="1"/>
        <v>24.756870500080435</v>
      </c>
      <c r="E197" s="25">
        <f t="shared" ca="1" si="6"/>
        <v>-1.243129499919565</v>
      </c>
      <c r="G197" s="25">
        <f t="shared" ca="1" si="7"/>
        <v>0.19464101454310373</v>
      </c>
      <c r="L197" s="25"/>
    </row>
    <row r="198" spans="1:12" x14ac:dyDescent="0.2">
      <c r="A198" s="24">
        <v>28</v>
      </c>
      <c r="B198" s="24">
        <v>1</v>
      </c>
      <c r="C198" s="24">
        <f ca="1"/>
        <v>37</v>
      </c>
      <c r="D198" s="25">
        <f ca="1"/>
        <v>26.123308723384554</v>
      </c>
      <c r="E198" s="25">
        <f t="shared" ca="1" si="6"/>
        <v>-1.8766912766154462</v>
      </c>
      <c r="G198" s="25">
        <f t="shared" ca="1" si="7"/>
        <v>0.10337466032027857</v>
      </c>
      <c r="L198" s="25"/>
    </row>
    <row r="199" spans="1:12" x14ac:dyDescent="0.2">
      <c r="A199" s="24">
        <v>26</v>
      </c>
      <c r="B199" s="24">
        <v>1</v>
      </c>
      <c r="C199" s="24">
        <f ca="1"/>
        <v>35</v>
      </c>
      <c r="D199" s="25">
        <f ca="1"/>
        <v>24.756870500080435</v>
      </c>
      <c r="E199" s="25">
        <f t="shared" ca="1" si="6"/>
        <v>-1.243129499919565</v>
      </c>
      <c r="G199" s="25">
        <f t="shared" ca="1" si="7"/>
        <v>0.19464101454310373</v>
      </c>
      <c r="L199" s="25"/>
    </row>
    <row r="200" spans="1:12" x14ac:dyDescent="0.2">
      <c r="A200" s="24">
        <v>11</v>
      </c>
      <c r="B200" s="24">
        <v>1</v>
      </c>
      <c r="C200" s="24">
        <f ca="1"/>
        <v>15</v>
      </c>
      <c r="D200" s="25">
        <f ca="1"/>
        <v>11.09248826703924</v>
      </c>
      <c r="E200" s="25">
        <f t="shared" ca="1" si="6"/>
        <v>9.2488267039239958E-2</v>
      </c>
      <c r="G200" s="25">
        <f t="shared" ca="1" si="7"/>
        <v>0.31835277839425191</v>
      </c>
      <c r="L200" s="25"/>
    </row>
    <row r="201" spans="1:12" x14ac:dyDescent="0.2">
      <c r="A201" s="24">
        <v>13</v>
      </c>
      <c r="B201" s="24">
        <v>1</v>
      </c>
      <c r="C201" s="24">
        <f ca="1"/>
        <v>18</v>
      </c>
      <c r="D201" s="25">
        <f ca="1"/>
        <v>13.142145601995418</v>
      </c>
      <c r="E201" s="25">
        <f t="shared" ca="1" si="6"/>
        <v>0.14214560199541815</v>
      </c>
      <c r="G201" s="25">
        <f t="shared" ca="1" si="7"/>
        <v>0.31716750413300532</v>
      </c>
      <c r="L201" s="25"/>
    </row>
    <row r="202" spans="1:12" x14ac:dyDescent="0.2">
      <c r="A202" s="24">
        <v>15</v>
      </c>
      <c r="B202" s="24">
        <v>1</v>
      </c>
      <c r="C202" s="24">
        <f ca="1"/>
        <v>20</v>
      </c>
      <c r="D202" s="25">
        <f ca="1"/>
        <v>14.508583825299539</v>
      </c>
      <c r="E202" s="25">
        <f t="shared" ca="1" si="6"/>
        <v>-0.49141617470046128</v>
      </c>
      <c r="G202" s="25">
        <f t="shared" ca="1" si="7"/>
        <v>0.29547583692562635</v>
      </c>
      <c r="L202" s="25"/>
    </row>
    <row r="203" spans="1:12" x14ac:dyDescent="0.2">
      <c r="A203" s="24">
        <v>16</v>
      </c>
      <c r="B203" s="24">
        <v>1</v>
      </c>
      <c r="C203" s="24">
        <f ca="1"/>
        <v>20</v>
      </c>
      <c r="D203" s="25">
        <f ca="1"/>
        <v>14.508583825299539</v>
      </c>
      <c r="E203" s="25">
        <f t="shared" ca="1" si="6"/>
        <v>-1.4914161747004613</v>
      </c>
      <c r="G203" s="25">
        <f t="shared" ca="1" si="7"/>
        <v>0.15661561802916329</v>
      </c>
      <c r="L203" s="25"/>
    </row>
    <row r="204" spans="1:12" x14ac:dyDescent="0.2">
      <c r="A204" s="24">
        <v>17</v>
      </c>
      <c r="B204" s="24">
        <v>1</v>
      </c>
      <c r="C204" s="24">
        <f ca="1"/>
        <v>22</v>
      </c>
      <c r="D204" s="25">
        <f ca="1"/>
        <v>15.875022048603658</v>
      </c>
      <c r="E204" s="25">
        <f t="shared" ca="1" si="6"/>
        <v>-1.1249779513963425</v>
      </c>
      <c r="G204" s="25">
        <f t="shared" ca="1" si="7"/>
        <v>0.21288069180319472</v>
      </c>
      <c r="L204" s="25"/>
    </row>
    <row r="205" spans="1:12" x14ac:dyDescent="0.2">
      <c r="A205" s="24">
        <v>15</v>
      </c>
      <c r="B205" s="24">
        <v>1</v>
      </c>
      <c r="C205" s="24">
        <f ca="1"/>
        <v>17</v>
      </c>
      <c r="D205" s="25">
        <f ca="1"/>
        <v>12.458926490343359</v>
      </c>
      <c r="E205" s="25">
        <f t="shared" ca="1" si="6"/>
        <v>-2.5410735096566412</v>
      </c>
      <c r="G205" s="25">
        <f t="shared" ca="1" si="7"/>
        <v>4.0395128664178985E-2</v>
      </c>
      <c r="L205" s="25"/>
    </row>
    <row r="206" spans="1:12" x14ac:dyDescent="0.2">
      <c r="A206" s="24">
        <v>15</v>
      </c>
      <c r="B206" s="24">
        <v>1</v>
      </c>
      <c r="C206" s="24">
        <f ca="1"/>
        <v>19</v>
      </c>
      <c r="D206" s="25">
        <f ca="1"/>
        <v>13.825364713647479</v>
      </c>
      <c r="E206" s="25">
        <f t="shared" ca="1" si="6"/>
        <v>-1.1746352863525207</v>
      </c>
      <c r="G206" s="25">
        <f t="shared" ca="1" si="7"/>
        <v>0.20523871008550823</v>
      </c>
      <c r="L206" s="25"/>
    </row>
    <row r="207" spans="1:12" x14ac:dyDescent="0.2">
      <c r="A207" s="24">
        <v>15</v>
      </c>
      <c r="B207" s="24">
        <v>1</v>
      </c>
      <c r="C207" s="24">
        <f ca="1"/>
        <v>18</v>
      </c>
      <c r="D207" s="25">
        <f ca="1"/>
        <v>13.142145601995418</v>
      </c>
      <c r="E207" s="25">
        <f t="shared" ca="1" si="6"/>
        <v>-1.8578543980045819</v>
      </c>
      <c r="G207" s="25">
        <f t="shared" ca="1" si="7"/>
        <v>0.10572920124505396</v>
      </c>
      <c r="L207" s="25"/>
    </row>
    <row r="208" spans="1:12" x14ac:dyDescent="0.2">
      <c r="A208" s="24">
        <v>16</v>
      </c>
      <c r="B208" s="24">
        <v>1</v>
      </c>
      <c r="C208" s="24">
        <f ca="1"/>
        <v>20</v>
      </c>
      <c r="D208" s="25">
        <f ca="1"/>
        <v>14.508583825299539</v>
      </c>
      <c r="E208" s="25">
        <f t="shared" ca="1" si="6"/>
        <v>-1.4914161747004613</v>
      </c>
      <c r="G208" s="25">
        <f t="shared" ca="1" si="7"/>
        <v>0.15661561802916329</v>
      </c>
      <c r="L208" s="25"/>
    </row>
    <row r="209" spans="1:12" x14ac:dyDescent="0.2">
      <c r="A209" s="24">
        <v>21</v>
      </c>
      <c r="B209" s="24">
        <v>1</v>
      </c>
      <c r="C209" s="24">
        <f ca="1"/>
        <v>29</v>
      </c>
      <c r="D209" s="25">
        <f ca="1"/>
        <v>20.657555830168075</v>
      </c>
      <c r="E209" s="25">
        <f t="shared" ca="1" si="6"/>
        <v>-0.34244416983192494</v>
      </c>
      <c r="G209" s="25">
        <f t="shared" ca="1" si="7"/>
        <v>0.30746337812452051</v>
      </c>
      <c r="L209" s="25"/>
    </row>
    <row r="210" spans="1:12" x14ac:dyDescent="0.2">
      <c r="A210" s="24">
        <v>19</v>
      </c>
      <c r="B210" s="24">
        <v>1</v>
      </c>
      <c r="C210" s="24">
        <f ca="1"/>
        <v>26</v>
      </c>
      <c r="D210" s="25">
        <f ca="1"/>
        <v>18.607898495211895</v>
      </c>
      <c r="E210" s="25">
        <f t="shared" ca="1" si="6"/>
        <v>-0.3921015047881049</v>
      </c>
      <c r="G210" s="25">
        <f t="shared" ca="1" si="7"/>
        <v>0.30389387162696274</v>
      </c>
      <c r="L210" s="25"/>
    </row>
    <row r="211" spans="1:12" x14ac:dyDescent="0.2">
      <c r="A211" s="24">
        <v>21</v>
      </c>
      <c r="B211" s="24">
        <v>1</v>
      </c>
      <c r="C211" s="24">
        <f ca="1"/>
        <v>29</v>
      </c>
      <c r="D211" s="25">
        <f ca="1"/>
        <v>20.657555830168075</v>
      </c>
      <c r="E211" s="25">
        <f t="shared" ca="1" si="6"/>
        <v>-0.34244416983192494</v>
      </c>
      <c r="G211" s="25">
        <f t="shared" ca="1" si="7"/>
        <v>0.30746337812452051</v>
      </c>
      <c r="L211" s="25"/>
    </row>
    <row r="212" spans="1:12" x14ac:dyDescent="0.2">
      <c r="A212" s="24">
        <v>22</v>
      </c>
      <c r="B212" s="24">
        <v>1</v>
      </c>
      <c r="C212" s="24">
        <f ca="1"/>
        <v>29</v>
      </c>
      <c r="D212" s="25">
        <f ca="1"/>
        <v>20.657555830168075</v>
      </c>
      <c r="E212" s="25">
        <f t="shared" ca="1" si="6"/>
        <v>-1.3424441698319249</v>
      </c>
      <c r="G212" s="25">
        <f t="shared" ca="1" si="7"/>
        <v>0.17927994451859014</v>
      </c>
      <c r="L212" s="25"/>
    </row>
    <row r="213" spans="1:12" x14ac:dyDescent="0.2">
      <c r="A213" s="24">
        <v>17</v>
      </c>
      <c r="B213" s="24">
        <v>1</v>
      </c>
      <c r="C213" s="24">
        <f ca="1"/>
        <v>24</v>
      </c>
      <c r="D213" s="25">
        <f ca="1"/>
        <v>17.241460271907776</v>
      </c>
      <c r="E213" s="25">
        <f t="shared" ca="1" si="6"/>
        <v>0.2414602719077763</v>
      </c>
      <c r="G213" s="25">
        <f t="shared" ca="1" si="7"/>
        <v>0.31332258364370175</v>
      </c>
      <c r="L213" s="25"/>
    </row>
    <row r="214" spans="1:12" x14ac:dyDescent="0.2">
      <c r="A214" s="24">
        <v>33</v>
      </c>
      <c r="B214" s="24">
        <v>1</v>
      </c>
      <c r="C214" s="24">
        <f ca="1"/>
        <v>44</v>
      </c>
      <c r="D214" s="25">
        <f ca="1"/>
        <v>30.905842504948971</v>
      </c>
      <c r="E214" s="25">
        <f t="shared" ca="1" si="6"/>
        <v>-2.0941574950510287</v>
      </c>
      <c r="G214" s="25">
        <f t="shared" ca="1" si="7"/>
        <v>7.8406519233685218E-2</v>
      </c>
      <c r="L214" s="25"/>
    </row>
    <row r="215" spans="1:12" x14ac:dyDescent="0.2">
      <c r="A215" s="24">
        <v>21</v>
      </c>
      <c r="B215" s="24">
        <v>1</v>
      </c>
      <c r="C215" s="24">
        <f ca="1"/>
        <v>29</v>
      </c>
      <c r="D215" s="25">
        <f ca="1"/>
        <v>20.657555830168075</v>
      </c>
      <c r="E215" s="25">
        <f t="shared" ca="1" si="6"/>
        <v>-0.34244416983192494</v>
      </c>
      <c r="G215" s="25">
        <f t="shared" ca="1" si="7"/>
        <v>0.30746337812452051</v>
      </c>
      <c r="L215" s="25"/>
    </row>
    <row r="216" spans="1:12" x14ac:dyDescent="0.2">
      <c r="A216" s="24">
        <v>19</v>
      </c>
      <c r="B216" s="24">
        <v>1</v>
      </c>
      <c r="C216" s="24">
        <f ca="1"/>
        <v>26</v>
      </c>
      <c r="D216" s="25">
        <f ca="1"/>
        <v>18.607898495211895</v>
      </c>
      <c r="E216" s="25">
        <f t="shared" ca="1" si="6"/>
        <v>-0.3921015047881049</v>
      </c>
      <c r="G216" s="25">
        <f t="shared" ca="1" si="7"/>
        <v>0.30389387162696274</v>
      </c>
      <c r="L216" s="25"/>
    </row>
    <row r="217" spans="1:12" x14ac:dyDescent="0.2">
      <c r="A217" s="24">
        <v>22</v>
      </c>
      <c r="B217" s="24">
        <v>1</v>
      </c>
      <c r="C217" s="24">
        <f ca="1"/>
        <v>29</v>
      </c>
      <c r="D217" s="25">
        <f ca="1"/>
        <v>20.657555830168075</v>
      </c>
      <c r="E217" s="25">
        <f t="shared" ca="1" si="6"/>
        <v>-1.3424441698319249</v>
      </c>
      <c r="G217" s="25">
        <f t="shared" ca="1" si="7"/>
        <v>0.17927994451859014</v>
      </c>
      <c r="L217" s="25"/>
    </row>
    <row r="218" spans="1:12" x14ac:dyDescent="0.2">
      <c r="A218" s="24">
        <v>21</v>
      </c>
      <c r="B218" s="24">
        <v>1</v>
      </c>
      <c r="C218" s="24">
        <f ca="1"/>
        <v>29</v>
      </c>
      <c r="D218" s="25">
        <f ca="1"/>
        <v>20.657555830168075</v>
      </c>
      <c r="E218" s="25">
        <f t="shared" ca="1" si="6"/>
        <v>-0.34244416983192494</v>
      </c>
      <c r="G218" s="25">
        <f t="shared" ca="1" si="7"/>
        <v>0.30746337812452051</v>
      </c>
      <c r="L218" s="25"/>
    </row>
    <row r="219" spans="1:12" x14ac:dyDescent="0.2">
      <c r="A219" s="24">
        <v>21</v>
      </c>
      <c r="B219" s="24">
        <v>1</v>
      </c>
      <c r="C219" s="24">
        <f ca="1"/>
        <v>29</v>
      </c>
      <c r="D219" s="25">
        <f ca="1"/>
        <v>20.657555830168075</v>
      </c>
      <c r="E219" s="25">
        <f t="shared" ca="1" si="6"/>
        <v>-0.34244416983192494</v>
      </c>
      <c r="G219" s="25">
        <f t="shared" ca="1" si="7"/>
        <v>0.30746337812452051</v>
      </c>
      <c r="L219" s="25"/>
    </row>
    <row r="220" spans="1:12" x14ac:dyDescent="0.2">
      <c r="A220" s="24">
        <v>21</v>
      </c>
      <c r="B220" s="24">
        <v>1</v>
      </c>
      <c r="C220" s="24">
        <f ca="1"/>
        <v>29</v>
      </c>
      <c r="D220" s="25">
        <f ca="1"/>
        <v>20.657555830168075</v>
      </c>
      <c r="E220" s="25">
        <f t="shared" ca="1" si="6"/>
        <v>-0.34244416983192494</v>
      </c>
      <c r="G220" s="25">
        <f t="shared" ca="1" si="7"/>
        <v>0.30746337812452051</v>
      </c>
      <c r="L220" s="25"/>
    </row>
    <row r="221" spans="1:12" x14ac:dyDescent="0.2">
      <c r="A221" s="24">
        <v>16</v>
      </c>
      <c r="B221" s="24">
        <v>1</v>
      </c>
      <c r="C221" s="24">
        <f ca="1"/>
        <v>23</v>
      </c>
      <c r="D221" s="25">
        <f ca="1"/>
        <v>16.558241160255715</v>
      </c>
      <c r="E221" s="25">
        <f t="shared" ca="1" si="6"/>
        <v>0.55824116025571513</v>
      </c>
      <c r="G221" s="25">
        <f t="shared" ca="1" si="7"/>
        <v>0.28891457937292003</v>
      </c>
      <c r="L221" s="25"/>
    </row>
    <row r="222" spans="1:12" x14ac:dyDescent="0.2">
      <c r="A222" s="24">
        <v>17</v>
      </c>
      <c r="B222" s="24">
        <v>1</v>
      </c>
      <c r="C222" s="24">
        <f ca="1"/>
        <v>24</v>
      </c>
      <c r="D222" s="25">
        <f ca="1"/>
        <v>17.241460271907776</v>
      </c>
      <c r="E222" s="25">
        <f t="shared" ca="1" si="6"/>
        <v>0.2414602719077763</v>
      </c>
      <c r="G222" s="25">
        <f t="shared" ca="1" si="7"/>
        <v>0.31332258364370175</v>
      </c>
      <c r="L222" s="25"/>
    </row>
    <row r="223" spans="1:12" x14ac:dyDescent="0.2">
      <c r="A223" s="24">
        <v>35</v>
      </c>
      <c r="B223" s="24">
        <v>1</v>
      </c>
      <c r="C223" s="24">
        <f ca="1"/>
        <v>44</v>
      </c>
      <c r="D223" s="25">
        <f ca="1"/>
        <v>30.905842504948971</v>
      </c>
      <c r="E223" s="25">
        <f t="shared" ca="1" si="6"/>
        <v>-4.0941574950510287</v>
      </c>
      <c r="G223" s="25">
        <f t="shared" ca="1" si="7"/>
        <v>1.4912266665311721E-3</v>
      </c>
      <c r="L223" s="25"/>
    </row>
    <row r="224" spans="1:12" x14ac:dyDescent="0.2">
      <c r="A224" s="24">
        <v>29</v>
      </c>
      <c r="B224" s="24">
        <v>1</v>
      </c>
      <c r="C224" s="24">
        <f ca="1"/>
        <v>41</v>
      </c>
      <c r="D224" s="25">
        <f ca="1"/>
        <v>28.856185169992791</v>
      </c>
      <c r="E224" s="25">
        <f t="shared" ca="1" si="6"/>
        <v>-0.14381483000720863</v>
      </c>
      <c r="G224" s="25">
        <f t="shared" ca="1" si="7"/>
        <v>0.31711903972216288</v>
      </c>
      <c r="L224" s="25"/>
    </row>
    <row r="225" spans="1:12" x14ac:dyDescent="0.2">
      <c r="A225" s="24">
        <v>21</v>
      </c>
      <c r="B225" s="24">
        <v>1</v>
      </c>
      <c r="C225" s="24">
        <f ca="1"/>
        <v>29</v>
      </c>
      <c r="D225" s="25">
        <f ca="1"/>
        <v>20.657555830168075</v>
      </c>
      <c r="E225" s="25">
        <f t="shared" ca="1" si="6"/>
        <v>-0.34244416983192494</v>
      </c>
      <c r="G225" s="25">
        <f t="shared" ca="1" si="7"/>
        <v>0.30746337812452051</v>
      </c>
      <c r="L225" s="25"/>
    </row>
    <row r="226" spans="1:12" x14ac:dyDescent="0.2">
      <c r="A226" s="24">
        <v>19</v>
      </c>
      <c r="B226" s="24">
        <v>1</v>
      </c>
      <c r="C226" s="24">
        <f ca="1"/>
        <v>26</v>
      </c>
      <c r="D226" s="25">
        <f ca="1"/>
        <v>18.607898495211895</v>
      </c>
      <c r="E226" s="25">
        <f t="shared" ca="1" si="6"/>
        <v>-0.3921015047881049</v>
      </c>
      <c r="G226" s="25">
        <f t="shared" ca="1" si="7"/>
        <v>0.30389387162696274</v>
      </c>
      <c r="L226" s="25"/>
    </row>
    <row r="227" spans="1:12" x14ac:dyDescent="0.2">
      <c r="A227" s="24">
        <v>20</v>
      </c>
      <c r="B227" s="24">
        <v>1</v>
      </c>
      <c r="C227" s="24">
        <f ca="1"/>
        <v>28</v>
      </c>
      <c r="D227" s="25">
        <f ca="1"/>
        <v>19.974336718516017</v>
      </c>
      <c r="E227" s="25">
        <f t="shared" ca="1" si="6"/>
        <v>-2.5663281483982558E-2</v>
      </c>
      <c r="G227" s="25">
        <f t="shared" ca="1" si="7"/>
        <v>0.31915849397187074</v>
      </c>
      <c r="L227" s="25"/>
    </row>
    <row r="228" spans="1:12" x14ac:dyDescent="0.2">
      <c r="A228" s="24">
        <v>20</v>
      </c>
      <c r="B228" s="24">
        <v>1</v>
      </c>
      <c r="C228" s="24">
        <f ca="1"/>
        <v>29</v>
      </c>
      <c r="D228" s="25">
        <f ca="1"/>
        <v>20.657555830168075</v>
      </c>
      <c r="E228" s="25">
        <f t="shared" ca="1" si="6"/>
        <v>0.65755583016807506</v>
      </c>
      <c r="G228" s="25">
        <f t="shared" ca="1" si="7"/>
        <v>0.2779593195039412</v>
      </c>
      <c r="L228" s="25"/>
    </row>
    <row r="229" spans="1:12" x14ac:dyDescent="0.2">
      <c r="A229" s="24">
        <v>21</v>
      </c>
      <c r="B229" s="24">
        <v>1</v>
      </c>
      <c r="C229" s="24">
        <f ca="1"/>
        <v>29</v>
      </c>
      <c r="D229" s="25">
        <f ca="1"/>
        <v>20.657555830168075</v>
      </c>
      <c r="E229" s="25">
        <f t="shared" ca="1" si="6"/>
        <v>-0.34244416983192494</v>
      </c>
      <c r="G229" s="25">
        <f t="shared" ca="1" si="7"/>
        <v>0.30746337812452051</v>
      </c>
      <c r="L229" s="25"/>
    </row>
    <row r="230" spans="1:12" x14ac:dyDescent="0.2">
      <c r="A230" s="24">
        <v>18</v>
      </c>
      <c r="B230" s="24">
        <v>1</v>
      </c>
      <c r="C230" s="24">
        <f ca="1"/>
        <v>29</v>
      </c>
      <c r="D230" s="25">
        <f ca="1"/>
        <v>20.657555830168075</v>
      </c>
      <c r="E230" s="25">
        <f t="shared" ca="1" si="6"/>
        <v>2.6575558301680751</v>
      </c>
      <c r="G230" s="25">
        <f t="shared" ca="1" si="7"/>
        <v>3.327632904268165E-2</v>
      </c>
      <c r="L230" s="25"/>
    </row>
    <row r="231" spans="1:12" x14ac:dyDescent="0.2">
      <c r="A231" s="24">
        <v>19</v>
      </c>
      <c r="B231" s="24">
        <v>1</v>
      </c>
      <c r="C231" s="24">
        <f ca="1"/>
        <v>28</v>
      </c>
      <c r="D231" s="25">
        <f ca="1"/>
        <v>19.974336718516017</v>
      </c>
      <c r="E231" s="25">
        <f t="shared" ca="1" si="6"/>
        <v>0.97433671851601744</v>
      </c>
      <c r="G231" s="25">
        <f t="shared" ca="1" si="7"/>
        <v>0.23556229359930655</v>
      </c>
      <c r="L231" s="25"/>
    </row>
    <row r="232" spans="1:12" x14ac:dyDescent="0.2">
      <c r="A232" s="24">
        <v>21</v>
      </c>
      <c r="B232" s="24">
        <v>1</v>
      </c>
      <c r="C232" s="24">
        <f ca="1"/>
        <v>29</v>
      </c>
      <c r="D232" s="25">
        <f ca="1"/>
        <v>20.657555830168075</v>
      </c>
      <c r="E232" s="25">
        <f t="shared" ca="1" si="6"/>
        <v>-0.34244416983192494</v>
      </c>
      <c r="G232" s="25">
        <f t="shared" ca="1" si="7"/>
        <v>0.30746337812452051</v>
      </c>
      <c r="L232" s="25"/>
    </row>
    <row r="233" spans="1:12" x14ac:dyDescent="0.2">
      <c r="A233" s="24">
        <v>16</v>
      </c>
      <c r="B233" s="24">
        <v>1</v>
      </c>
      <c r="C233" s="24">
        <f ca="1"/>
        <v>26</v>
      </c>
      <c r="D233" s="25">
        <f ca="1"/>
        <v>18.607898495211895</v>
      </c>
      <c r="E233" s="25">
        <f t="shared" ca="1" si="6"/>
        <v>2.6078984952118951</v>
      </c>
      <c r="G233" s="25">
        <f t="shared" ca="1" si="7"/>
        <v>3.6181717224349638E-2</v>
      </c>
      <c r="L233" s="25"/>
    </row>
    <row r="234" spans="1:12" x14ac:dyDescent="0.2">
      <c r="A234" s="24">
        <v>18</v>
      </c>
      <c r="B234" s="24">
        <v>1</v>
      </c>
      <c r="C234" s="24">
        <f ca="1"/>
        <v>26</v>
      </c>
      <c r="D234" s="25">
        <f ca="1"/>
        <v>18.607898495211895</v>
      </c>
      <c r="E234" s="25">
        <f t="shared" ca="1" si="6"/>
        <v>0.6078984952118951</v>
      </c>
      <c r="G234" s="25">
        <f t="shared" ca="1" si="7"/>
        <v>0.28360781451993688</v>
      </c>
      <c r="L234" s="25"/>
    </row>
    <row r="235" spans="1:12" x14ac:dyDescent="0.2">
      <c r="A235" s="24">
        <v>17</v>
      </c>
      <c r="B235" s="24">
        <v>1</v>
      </c>
      <c r="C235" s="24">
        <f ca="1"/>
        <v>26</v>
      </c>
      <c r="D235" s="25">
        <f ca="1"/>
        <v>18.607898495211895</v>
      </c>
      <c r="E235" s="25">
        <f t="shared" ca="1" si="6"/>
        <v>1.6078984952118951</v>
      </c>
      <c r="G235" s="25">
        <f t="shared" ca="1" si="7"/>
        <v>0.13952132892333158</v>
      </c>
      <c r="L235" s="25"/>
    </row>
  </sheetData>
  <hyperlinks>
    <hyperlink ref="K23" r:id="rId1" xr:uid="{E06C1CAE-B55D-9141-9EAD-5E16EECAAF10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167</v>
      </c>
    </row>
    <row r="4" spans="2:4" x14ac:dyDescent="0.3">
      <c r="B4" s="1" t="s">
        <v>168</v>
      </c>
    </row>
    <row r="5" spans="2:4" x14ac:dyDescent="0.3">
      <c r="B5" s="9" t="s">
        <v>175</v>
      </c>
    </row>
    <row r="6" spans="2:4" x14ac:dyDescent="0.3">
      <c r="B6" s="9"/>
    </row>
    <row r="7" spans="2:4" x14ac:dyDescent="0.3">
      <c r="C7" s="1" t="s">
        <v>173</v>
      </c>
    </row>
    <row r="8" spans="2:4" x14ac:dyDescent="0.3">
      <c r="C8" s="1">
        <v>2.2999999999999998</v>
      </c>
      <c r="D8" s="1" t="s">
        <v>169</v>
      </c>
    </row>
    <row r="9" spans="2:4" x14ac:dyDescent="0.3">
      <c r="C9" s="1">
        <v>3.1</v>
      </c>
      <c r="D9" s="1" t="s">
        <v>170</v>
      </c>
    </row>
    <row r="10" spans="2:4" x14ac:dyDescent="0.3">
      <c r="C10" s="1">
        <v>3.2</v>
      </c>
      <c r="D10" s="1" t="s">
        <v>171</v>
      </c>
    </row>
    <row r="12" spans="2:4" x14ac:dyDescent="0.3">
      <c r="C12" s="1" t="s">
        <v>174</v>
      </c>
    </row>
    <row r="13" spans="2:4" x14ac:dyDescent="0.3">
      <c r="C13" s="1">
        <v>3.5</v>
      </c>
      <c r="D13" s="1" t="s">
        <v>11</v>
      </c>
    </row>
    <row r="14" spans="2:4" x14ac:dyDescent="0.3">
      <c r="C14" s="1">
        <v>2.2000000000000002</v>
      </c>
      <c r="D14" s="1" t="s">
        <v>172</v>
      </c>
    </row>
    <row r="16" spans="2:4" x14ac:dyDescent="0.3">
      <c r="B16" s="1" t="s">
        <v>176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7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4" x14ac:dyDescent="0.3">
      <c r="C2" s="1" t="s">
        <v>178</v>
      </c>
      <c r="D2" s="1" t="s">
        <v>179</v>
      </c>
    </row>
    <row r="3" spans="2:4" x14ac:dyDescent="0.3">
      <c r="B3" s="1">
        <v>1</v>
      </c>
      <c r="C3" s="1" t="s">
        <v>248</v>
      </c>
      <c r="D3" s="1">
        <v>10</v>
      </c>
    </row>
    <row r="4" spans="2:4" x14ac:dyDescent="0.3">
      <c r="B4" s="1">
        <v>2</v>
      </c>
      <c r="C4" s="1" t="s">
        <v>249</v>
      </c>
      <c r="D4" s="1">
        <v>15</v>
      </c>
    </row>
    <row r="5" spans="2:4" x14ac:dyDescent="0.3">
      <c r="B5" s="1">
        <v>3</v>
      </c>
      <c r="C5" s="1" t="s">
        <v>250</v>
      </c>
      <c r="D5" s="1">
        <v>10</v>
      </c>
    </row>
    <row r="6" spans="2:4" x14ac:dyDescent="0.3">
      <c r="B6" s="1">
        <v>4</v>
      </c>
      <c r="C6" s="1" t="s">
        <v>251</v>
      </c>
      <c r="D6" s="1">
        <v>10</v>
      </c>
    </row>
    <row r="7" spans="2:4" x14ac:dyDescent="0.3">
      <c r="B7" s="1">
        <v>5</v>
      </c>
      <c r="C7" s="1" t="s">
        <v>237</v>
      </c>
      <c r="D7" s="1">
        <v>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7</v>
      </c>
    </row>
    <row r="7" spans="1:3" x14ac:dyDescent="0.3">
      <c r="B7" s="1" t="s">
        <v>8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C5188-9DFD-3449-ADBC-A3275424FBF1}">
  <sheetPr codeName="Sheet45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230</v>
      </c>
    </row>
    <row r="7" spans="1:3" x14ac:dyDescent="0.3">
      <c r="B7" s="31" t="s">
        <v>231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3">
    <tabColor rgb="FFFFFF00"/>
  </sheetPr>
  <dimension ref="B2:C10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221</v>
      </c>
    </row>
    <row r="3" spans="2:3" x14ac:dyDescent="0.3">
      <c r="B3" s="1" t="s">
        <v>223</v>
      </c>
    </row>
    <row r="4" spans="2:3" x14ac:dyDescent="0.3">
      <c r="B4" s="1" t="s">
        <v>222</v>
      </c>
    </row>
    <row r="5" spans="2:3" x14ac:dyDescent="0.3">
      <c r="B5" s="1" t="s">
        <v>224</v>
      </c>
    </row>
    <row r="6" spans="2:3" x14ac:dyDescent="0.3">
      <c r="B6" s="1" t="s">
        <v>225</v>
      </c>
    </row>
    <row r="7" spans="2:3" x14ac:dyDescent="0.3">
      <c r="B7" s="1" t="s">
        <v>226</v>
      </c>
    </row>
    <row r="9" spans="2:3" x14ac:dyDescent="0.3">
      <c r="B9" s="1">
        <v>1</v>
      </c>
      <c r="C9" s="30">
        <v>-0.6039436967019185</v>
      </c>
    </row>
    <row r="10" spans="2:3" x14ac:dyDescent="0.3">
      <c r="B10" s="1">
        <v>2</v>
      </c>
      <c r="C10" s="30">
        <v>-1.6719175344733632</v>
      </c>
    </row>
    <row r="11" spans="2:3" x14ac:dyDescent="0.3">
      <c r="B11" s="1">
        <v>3</v>
      </c>
      <c r="C11" s="30">
        <v>0.40184913502282832</v>
      </c>
    </row>
    <row r="12" spans="2:3" x14ac:dyDescent="0.3">
      <c r="B12" s="1">
        <v>4</v>
      </c>
      <c r="C12" s="30">
        <v>0.30727823657017334</v>
      </c>
    </row>
    <row r="13" spans="2:3" x14ac:dyDescent="0.3">
      <c r="B13" s="1">
        <v>5</v>
      </c>
      <c r="C13" s="30">
        <v>-0.37368465819349961</v>
      </c>
    </row>
    <row r="14" spans="2:3" x14ac:dyDescent="0.3">
      <c r="B14" s="1">
        <v>6</v>
      </c>
      <c r="C14" s="30">
        <v>-9.366883694402816E-3</v>
      </c>
    </row>
    <row r="15" spans="2:3" x14ac:dyDescent="0.3">
      <c r="B15" s="1">
        <v>7</v>
      </c>
      <c r="C15" s="30">
        <v>1.3117169310061875E-2</v>
      </c>
    </row>
    <row r="16" spans="2:3" x14ac:dyDescent="0.3">
      <c r="B16" s="1">
        <v>8</v>
      </c>
      <c r="C16" s="30">
        <v>-0.78256316224714573</v>
      </c>
    </row>
    <row r="17" spans="2:3" x14ac:dyDescent="0.3">
      <c r="B17" s="1">
        <v>9</v>
      </c>
      <c r="C17" s="30">
        <v>1.1190604961988084</v>
      </c>
    </row>
    <row r="18" spans="2:3" x14ac:dyDescent="0.3">
      <c r="B18" s="1">
        <v>10</v>
      </c>
      <c r="C18" s="30">
        <v>-0.54240730588938257</v>
      </c>
    </row>
    <row r="19" spans="2:3" x14ac:dyDescent="0.3">
      <c r="B19" s="1">
        <v>11</v>
      </c>
      <c r="C19" s="30">
        <v>1.1382095813233741</v>
      </c>
    </row>
    <row r="20" spans="2:3" x14ac:dyDescent="0.3">
      <c r="B20" s="1">
        <v>12</v>
      </c>
      <c r="C20" s="30">
        <v>1.086176184091405</v>
      </c>
    </row>
    <row r="21" spans="2:3" x14ac:dyDescent="0.3">
      <c r="B21" s="1">
        <v>13</v>
      </c>
      <c r="C21" s="30">
        <v>0.30080586523694103</v>
      </c>
    </row>
    <row r="22" spans="2:3" x14ac:dyDescent="0.3">
      <c r="B22" s="1">
        <v>14</v>
      </c>
      <c r="C22" s="30">
        <v>0.85210131981163384</v>
      </c>
    </row>
    <row r="23" spans="2:3" x14ac:dyDescent="0.3">
      <c r="B23" s="1">
        <v>15</v>
      </c>
      <c r="C23" s="30">
        <v>1.5313934981064063</v>
      </c>
    </row>
    <row r="24" spans="2:3" x14ac:dyDescent="0.3">
      <c r="B24" s="1">
        <v>16</v>
      </c>
      <c r="C24" s="30">
        <v>0.22909420674449005</v>
      </c>
    </row>
    <row r="25" spans="2:3" x14ac:dyDescent="0.3">
      <c r="B25" s="1">
        <v>17</v>
      </c>
      <c r="C25" s="30">
        <v>0.69050010917315396</v>
      </c>
    </row>
    <row r="26" spans="2:3" x14ac:dyDescent="0.3">
      <c r="B26" s="1">
        <v>18</v>
      </c>
      <c r="C26" s="30">
        <v>-1.4584581126924541</v>
      </c>
    </row>
    <row r="27" spans="2:3" x14ac:dyDescent="0.3">
      <c r="B27" s="1">
        <v>19</v>
      </c>
      <c r="C27" s="30">
        <v>0.16339404004900512</v>
      </c>
    </row>
    <row r="28" spans="2:3" x14ac:dyDescent="0.3">
      <c r="B28" s="1">
        <v>20</v>
      </c>
      <c r="C28" s="30">
        <v>1.688534338489323</v>
      </c>
    </row>
    <row r="29" spans="2:3" x14ac:dyDescent="0.3">
      <c r="B29" s="1">
        <v>21</v>
      </c>
      <c r="C29" s="30">
        <v>1.4265103216095973</v>
      </c>
    </row>
    <row r="30" spans="2:3" x14ac:dyDescent="0.3">
      <c r="B30" s="1">
        <v>22</v>
      </c>
      <c r="C30" s="30">
        <v>1.6225540843307062</v>
      </c>
    </row>
    <row r="31" spans="2:3" x14ac:dyDescent="0.3">
      <c r="B31" s="1">
        <v>23</v>
      </c>
      <c r="C31" s="30">
        <v>-1.6511983902123193</v>
      </c>
    </row>
    <row r="32" spans="2:3" x14ac:dyDescent="0.3">
      <c r="B32" s="1">
        <v>24</v>
      </c>
      <c r="C32" s="30">
        <v>1.4339490970789934</v>
      </c>
    </row>
    <row r="33" spans="2:3" x14ac:dyDescent="0.3">
      <c r="B33" s="1">
        <v>25</v>
      </c>
      <c r="C33" s="30">
        <v>1.5826514473398476</v>
      </c>
    </row>
    <row r="34" spans="2:3" x14ac:dyDescent="0.3">
      <c r="B34" s="1">
        <v>26</v>
      </c>
      <c r="C34" s="30">
        <v>-0.3877583632437076</v>
      </c>
    </row>
    <row r="35" spans="2:3" x14ac:dyDescent="0.3">
      <c r="B35" s="1">
        <v>27</v>
      </c>
      <c r="C35" s="30">
        <v>1.9519227914852793</v>
      </c>
    </row>
    <row r="36" spans="2:3" x14ac:dyDescent="0.3">
      <c r="B36" s="1">
        <v>28</v>
      </c>
      <c r="C36" s="30">
        <v>-0.21923111738203738</v>
      </c>
    </row>
    <row r="37" spans="2:3" x14ac:dyDescent="0.3">
      <c r="B37" s="1">
        <v>29</v>
      </c>
      <c r="C37" s="30">
        <v>0.44706942834262542</v>
      </c>
    </row>
    <row r="38" spans="2:3" x14ac:dyDescent="0.3">
      <c r="B38" s="1">
        <v>30</v>
      </c>
      <c r="C38" s="30">
        <v>1.1670778206512564</v>
      </c>
    </row>
    <row r="39" spans="2:3" x14ac:dyDescent="0.3">
      <c r="B39" s="1">
        <v>31</v>
      </c>
      <c r="C39" s="30">
        <v>-1.6377830981553103</v>
      </c>
    </row>
    <row r="40" spans="2:3" x14ac:dyDescent="0.3">
      <c r="B40" s="1">
        <v>32</v>
      </c>
      <c r="C40" s="30">
        <v>-0.66922881349782881</v>
      </c>
    </row>
    <row r="41" spans="2:3" x14ac:dyDescent="0.3">
      <c r="B41" s="1">
        <v>33</v>
      </c>
      <c r="C41" s="30">
        <v>1.1017245715247261</v>
      </c>
    </row>
    <row r="42" spans="2:3" x14ac:dyDescent="0.3">
      <c r="B42" s="1">
        <v>34</v>
      </c>
      <c r="C42" s="30">
        <v>-1.7715162847138961</v>
      </c>
    </row>
    <row r="43" spans="2:3" x14ac:dyDescent="0.3">
      <c r="B43" s="1">
        <v>35</v>
      </c>
      <c r="C43" s="30">
        <v>1.1363992110244576</v>
      </c>
    </row>
    <row r="44" spans="2:3" x14ac:dyDescent="0.3">
      <c r="B44" s="1">
        <v>36</v>
      </c>
      <c r="C44" s="30">
        <v>0.1709868338989711</v>
      </c>
    </row>
    <row r="45" spans="2:3" x14ac:dyDescent="0.3">
      <c r="B45" s="1">
        <v>37</v>
      </c>
      <c r="C45" s="30">
        <v>-0.97789827071903102</v>
      </c>
    </row>
    <row r="46" spans="2:3" x14ac:dyDescent="0.3">
      <c r="B46" s="1">
        <v>38</v>
      </c>
      <c r="C46" s="30">
        <v>1.3176057454926744</v>
      </c>
    </row>
    <row r="47" spans="2:3" x14ac:dyDescent="0.3">
      <c r="B47" s="1">
        <v>39</v>
      </c>
      <c r="C47" s="30">
        <v>1.5033528202910642</v>
      </c>
    </row>
    <row r="48" spans="2:3" x14ac:dyDescent="0.3">
      <c r="B48" s="1">
        <v>40</v>
      </c>
      <c r="C48" s="30">
        <v>-2.4536430837855581</v>
      </c>
    </row>
    <row r="49" spans="2:3" x14ac:dyDescent="0.3">
      <c r="B49" s="1">
        <v>41</v>
      </c>
      <c r="C49" s="30">
        <v>-1.1534538846038771</v>
      </c>
    </row>
    <row r="50" spans="2:3" x14ac:dyDescent="0.3">
      <c r="B50" s="1">
        <v>42</v>
      </c>
      <c r="C50" s="30">
        <v>1.3168391353737636</v>
      </c>
    </row>
    <row r="51" spans="2:3" x14ac:dyDescent="0.3">
      <c r="B51" s="1">
        <v>43</v>
      </c>
      <c r="C51" s="30">
        <v>2.6229915304728881</v>
      </c>
    </row>
    <row r="52" spans="2:3" x14ac:dyDescent="0.3">
      <c r="B52" s="1">
        <v>44</v>
      </c>
      <c r="C52" s="30">
        <v>1.1337392047868535</v>
      </c>
    </row>
    <row r="53" spans="2:3" x14ac:dyDescent="0.3">
      <c r="B53" s="1">
        <v>45</v>
      </c>
      <c r="C53" s="30">
        <v>0.3392056214691086</v>
      </c>
    </row>
    <row r="54" spans="2:3" x14ac:dyDescent="0.3">
      <c r="B54" s="1">
        <v>46</v>
      </c>
      <c r="C54" s="30">
        <v>-0.40571829237770435</v>
      </c>
    </row>
    <row r="55" spans="2:3" x14ac:dyDescent="0.3">
      <c r="B55" s="1">
        <v>47</v>
      </c>
      <c r="C55" s="30">
        <v>-0.11373444136668834</v>
      </c>
    </row>
    <row r="56" spans="2:3" x14ac:dyDescent="0.3">
      <c r="B56" s="1">
        <v>48</v>
      </c>
      <c r="C56" s="30">
        <v>-0.59660740238593235</v>
      </c>
    </row>
    <row r="57" spans="2:3" x14ac:dyDescent="0.3">
      <c r="B57" s="1">
        <v>49</v>
      </c>
      <c r="C57" s="30">
        <v>0.24015693616367695</v>
      </c>
    </row>
    <row r="58" spans="2:3" x14ac:dyDescent="0.3">
      <c r="B58" s="1">
        <v>50</v>
      </c>
      <c r="C58" s="30">
        <v>-1.0406726848604984</v>
      </c>
    </row>
    <row r="59" spans="2:3" x14ac:dyDescent="0.3">
      <c r="B59" s="1">
        <v>51</v>
      </c>
      <c r="C59" s="30">
        <v>3.2978919145068009E-3</v>
      </c>
    </row>
    <row r="60" spans="2:3" x14ac:dyDescent="0.3">
      <c r="B60" s="1">
        <v>52</v>
      </c>
      <c r="C60" s="30">
        <v>0.39775657970409944</v>
      </c>
    </row>
    <row r="61" spans="2:3" x14ac:dyDescent="0.3">
      <c r="B61" s="1">
        <v>53</v>
      </c>
      <c r="C61" s="30">
        <v>-0.61276779582497198</v>
      </c>
    </row>
    <row r="62" spans="2:3" x14ac:dyDescent="0.3">
      <c r="B62" s="1">
        <v>54</v>
      </c>
      <c r="C62" s="30">
        <v>0.33936564570716987</v>
      </c>
    </row>
    <row r="63" spans="2:3" x14ac:dyDescent="0.3">
      <c r="B63" s="1">
        <v>55</v>
      </c>
      <c r="C63" s="30">
        <v>2.0353956645236679</v>
      </c>
    </row>
    <row r="64" spans="2:3" x14ac:dyDescent="0.3">
      <c r="B64" s="1">
        <v>56</v>
      </c>
      <c r="C64" s="30">
        <v>0.1687627338989578</v>
      </c>
    </row>
    <row r="65" spans="2:3" x14ac:dyDescent="0.3">
      <c r="B65" s="1">
        <v>57</v>
      </c>
      <c r="C65" s="30">
        <v>-0.5215958058513197</v>
      </c>
    </row>
    <row r="66" spans="2:3" x14ac:dyDescent="0.3">
      <c r="B66" s="1">
        <v>58</v>
      </c>
      <c r="C66" s="30">
        <v>-2.2905974847427357</v>
      </c>
    </row>
    <row r="67" spans="2:3" x14ac:dyDescent="0.3">
      <c r="B67" s="1">
        <v>59</v>
      </c>
      <c r="C67" s="30">
        <v>1.2845051514324732</v>
      </c>
    </row>
    <row r="68" spans="2:3" x14ac:dyDescent="0.3">
      <c r="B68" s="1">
        <v>60</v>
      </c>
      <c r="C68" s="30">
        <v>1.8999896902368685</v>
      </c>
    </row>
    <row r="69" spans="2:3" x14ac:dyDescent="0.3">
      <c r="B69" s="1">
        <v>61</v>
      </c>
      <c r="C69" s="30">
        <v>0.89328594622107627</v>
      </c>
    </row>
    <row r="70" spans="2:3" x14ac:dyDescent="0.3">
      <c r="B70" s="1">
        <v>62</v>
      </c>
      <c r="C70" s="30">
        <v>-0.27499733465051979</v>
      </c>
    </row>
    <row r="71" spans="2:3" x14ac:dyDescent="0.3">
      <c r="B71" s="1">
        <v>63</v>
      </c>
      <c r="C71" s="30">
        <v>1.4816817959120243</v>
      </c>
    </row>
    <row r="72" spans="2:3" x14ac:dyDescent="0.3">
      <c r="B72" s="1">
        <v>64</v>
      </c>
      <c r="C72" s="30">
        <v>0.3841737226896953</v>
      </c>
    </row>
    <row r="73" spans="2:3" x14ac:dyDescent="0.3">
      <c r="B73" s="1">
        <v>65</v>
      </c>
      <c r="C73" s="30">
        <v>-0.62219229397798825</v>
      </c>
    </row>
    <row r="74" spans="2:3" x14ac:dyDescent="0.3">
      <c r="B74" s="1">
        <v>66</v>
      </c>
      <c r="C74" s="30">
        <v>1.3075136557960287</v>
      </c>
    </row>
    <row r="75" spans="2:3" x14ac:dyDescent="0.3">
      <c r="B75" s="1">
        <v>67</v>
      </c>
      <c r="C75" s="30">
        <v>-0.99140328843756009</v>
      </c>
    </row>
    <row r="76" spans="2:3" x14ac:dyDescent="0.3">
      <c r="B76" s="1">
        <v>68</v>
      </c>
      <c r="C76" s="30">
        <v>-0.65389179628050809</v>
      </c>
    </row>
    <row r="77" spans="2:3" x14ac:dyDescent="0.3">
      <c r="B77" s="1">
        <v>69</v>
      </c>
      <c r="C77" s="30">
        <v>0.7602399069503547</v>
      </c>
    </row>
    <row r="78" spans="2:3" x14ac:dyDescent="0.3">
      <c r="B78" s="1">
        <v>70</v>
      </c>
      <c r="C78" s="30">
        <v>0.4479402070887965</v>
      </c>
    </row>
    <row r="79" spans="2:3" x14ac:dyDescent="0.3">
      <c r="B79" s="1">
        <v>71</v>
      </c>
      <c r="C79" s="30">
        <v>1.4667007574797188</v>
      </c>
    </row>
    <row r="80" spans="2:3" x14ac:dyDescent="0.3">
      <c r="B80" s="1">
        <v>72</v>
      </c>
      <c r="C80" s="30">
        <v>-0.57378300660521242</v>
      </c>
    </row>
    <row r="81" spans="2:3" x14ac:dyDescent="0.3">
      <c r="B81" s="1">
        <v>73</v>
      </c>
      <c r="C81" s="30">
        <v>-2.5962499819597875</v>
      </c>
    </row>
    <row r="82" spans="2:3" x14ac:dyDescent="0.3">
      <c r="B82" s="1">
        <v>74</v>
      </c>
      <c r="C82" s="30">
        <v>0.21375987066733493</v>
      </c>
    </row>
    <row r="83" spans="2:3" x14ac:dyDescent="0.3">
      <c r="B83" s="1">
        <v>75</v>
      </c>
      <c r="C83" s="30">
        <v>-0.12886101761210611</v>
      </c>
    </row>
    <row r="84" spans="2:3" x14ac:dyDescent="0.3">
      <c r="B84" s="1">
        <v>76</v>
      </c>
      <c r="C84" s="30">
        <v>-1.8018146831912518</v>
      </c>
    </row>
    <row r="85" spans="2:3" x14ac:dyDescent="0.3">
      <c r="B85" s="1">
        <v>77</v>
      </c>
      <c r="C85" s="30">
        <v>-1.2033782748269179</v>
      </c>
    </row>
    <row r="86" spans="2:3" x14ac:dyDescent="0.3">
      <c r="B86" s="1">
        <v>78</v>
      </c>
      <c r="C86" s="30">
        <v>-0.20157509384794314</v>
      </c>
    </row>
    <row r="87" spans="2:3" x14ac:dyDescent="0.3">
      <c r="B87" s="1">
        <v>79</v>
      </c>
      <c r="C87" s="30">
        <v>1.1112895334145017</v>
      </c>
    </row>
    <row r="88" spans="2:3" x14ac:dyDescent="0.3">
      <c r="B88" s="1">
        <v>80</v>
      </c>
      <c r="C88" s="30">
        <v>1.3531553986312159E-2</v>
      </c>
    </row>
    <row r="89" spans="2:3" x14ac:dyDescent="0.3">
      <c r="B89" s="1">
        <v>81</v>
      </c>
      <c r="C89" s="30">
        <v>-1.5181337043779473</v>
      </c>
    </row>
    <row r="90" spans="2:3" x14ac:dyDescent="0.3">
      <c r="B90" s="1">
        <v>82</v>
      </c>
      <c r="C90" s="30">
        <v>-1.2096819414205964</v>
      </c>
    </row>
    <row r="91" spans="2:3" x14ac:dyDescent="0.3">
      <c r="B91" s="1">
        <v>83</v>
      </c>
      <c r="C91" s="30">
        <v>0.2161409301087818</v>
      </c>
    </row>
    <row r="92" spans="2:3" x14ac:dyDescent="0.3">
      <c r="B92" s="1">
        <v>84</v>
      </c>
      <c r="C92" s="30">
        <v>-0.26281162152121301</v>
      </c>
    </row>
    <row r="93" spans="2:3" x14ac:dyDescent="0.3">
      <c r="B93" s="1">
        <v>85</v>
      </c>
      <c r="C93" s="30">
        <v>-0.73891083981780448</v>
      </c>
    </row>
    <row r="94" spans="2:3" x14ac:dyDescent="0.3">
      <c r="B94" s="1">
        <v>86</v>
      </c>
      <c r="C94" s="30">
        <v>-0.66307670220531834</v>
      </c>
    </row>
    <row r="95" spans="2:3" x14ac:dyDescent="0.3">
      <c r="B95" s="1">
        <v>87</v>
      </c>
      <c r="C95" s="30">
        <v>-0.72464605518553815</v>
      </c>
    </row>
    <row r="96" spans="2:3" x14ac:dyDescent="0.3">
      <c r="B96" s="1">
        <v>88</v>
      </c>
      <c r="C96" s="30">
        <v>0.65635646180014862</v>
      </c>
    </row>
    <row r="97" spans="2:3" x14ac:dyDescent="0.3">
      <c r="B97" s="1">
        <v>89</v>
      </c>
      <c r="C97" s="30">
        <v>-0.57421648132073655</v>
      </c>
    </row>
    <row r="98" spans="2:3" x14ac:dyDescent="0.3">
      <c r="B98" s="1">
        <v>90</v>
      </c>
      <c r="C98" s="30">
        <v>0.56953608868411698</v>
      </c>
    </row>
    <row r="99" spans="2:3" x14ac:dyDescent="0.3">
      <c r="B99" s="1">
        <v>91</v>
      </c>
      <c r="C99" s="30">
        <v>1.4101529132191695</v>
      </c>
    </row>
    <row r="100" spans="2:3" x14ac:dyDescent="0.3">
      <c r="B100" s="1">
        <v>92</v>
      </c>
      <c r="C100" s="30">
        <v>0.43531590604033632</v>
      </c>
    </row>
    <row r="101" spans="2:3" x14ac:dyDescent="0.3">
      <c r="B101" s="1">
        <v>93</v>
      </c>
      <c r="C101" s="30">
        <v>1.2938999536699074</v>
      </c>
    </row>
    <row r="102" spans="2:3" x14ac:dyDescent="0.3">
      <c r="B102" s="1">
        <v>94</v>
      </c>
      <c r="C102" s="30">
        <v>-1.6524609731671758</v>
      </c>
    </row>
    <row r="103" spans="2:3" x14ac:dyDescent="0.3">
      <c r="B103" s="1">
        <v>95</v>
      </c>
      <c r="C103" s="30">
        <v>-0.24531940792583806</v>
      </c>
    </row>
    <row r="104" spans="2:3" x14ac:dyDescent="0.3">
      <c r="B104" s="1">
        <v>96</v>
      </c>
      <c r="C104" s="30">
        <v>-1.5081609068602533</v>
      </c>
    </row>
    <row r="105" spans="2:3" x14ac:dyDescent="0.3">
      <c r="B105" s="1">
        <v>97</v>
      </c>
      <c r="C105" s="30">
        <v>-2.1609866763750989</v>
      </c>
    </row>
    <row r="106" spans="2:3" x14ac:dyDescent="0.3">
      <c r="B106" s="1">
        <v>98</v>
      </c>
      <c r="C106" s="30">
        <v>0.62520857562536558</v>
      </c>
    </row>
    <row r="107" spans="2:3" x14ac:dyDescent="0.3">
      <c r="B107" s="1">
        <v>99</v>
      </c>
      <c r="C107" s="30">
        <v>0.62460945265742029</v>
      </c>
    </row>
    <row r="108" spans="2:3" x14ac:dyDescent="0.3">
      <c r="B108" s="1">
        <v>100</v>
      </c>
      <c r="C108" s="30">
        <v>9.0332779371269878E-2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A9F0-9F8B-6F42-8D46-1C3ED7687E6A}">
  <sheetPr codeName="Sheet12">
    <tabColor rgb="FFFFFF00"/>
  </sheetPr>
  <dimension ref="A2:C9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245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246</v>
      </c>
    </row>
    <row r="9" spans="1:3" x14ac:dyDescent="0.3">
      <c r="A9" s="1">
        <v>3</v>
      </c>
      <c r="B9" s="1" t="s">
        <v>247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237</v>
      </c>
    </row>
    <row r="3" spans="2:5" x14ac:dyDescent="0.25">
      <c r="B3" s="9" t="s">
        <v>239</v>
      </c>
      <c r="C3" s="9"/>
    </row>
    <row r="4" spans="2:5" x14ac:dyDescent="0.25">
      <c r="B4" s="8" t="s">
        <v>240</v>
      </c>
    </row>
    <row r="5" spans="2:5" x14ac:dyDescent="0.25">
      <c r="B5" s="8" t="s">
        <v>241</v>
      </c>
    </row>
    <row r="7" spans="2:5" x14ac:dyDescent="0.25">
      <c r="B7" s="10" t="s">
        <v>17</v>
      </c>
      <c r="C7" s="10" t="s">
        <v>18</v>
      </c>
      <c r="E7" s="10" t="s">
        <v>237</v>
      </c>
    </row>
    <row r="8" spans="2:5" x14ac:dyDescent="0.25">
      <c r="B8" s="8" t="s">
        <v>22</v>
      </c>
      <c r="C8" s="8" t="s">
        <v>23</v>
      </c>
      <c r="E8" s="11"/>
    </row>
    <row r="9" spans="2:5" x14ac:dyDescent="0.25">
      <c r="B9" s="8" t="s">
        <v>23</v>
      </c>
      <c r="C9" s="8" t="s">
        <v>22</v>
      </c>
    </row>
    <row r="10" spans="2:5" x14ac:dyDescent="0.25">
      <c r="B10" s="8" t="s">
        <v>22</v>
      </c>
      <c r="C10" s="8" t="s">
        <v>23</v>
      </c>
    </row>
    <row r="11" spans="2:5" x14ac:dyDescent="0.25">
      <c r="B11" s="8" t="s">
        <v>22</v>
      </c>
      <c r="C11" s="8" t="s">
        <v>22</v>
      </c>
    </row>
    <row r="12" spans="2:5" x14ac:dyDescent="0.25">
      <c r="B12" s="8" t="s">
        <v>23</v>
      </c>
      <c r="C12" s="8" t="s">
        <v>23</v>
      </c>
    </row>
    <row r="13" spans="2:5" x14ac:dyDescent="0.25">
      <c r="B13" s="8" t="s">
        <v>23</v>
      </c>
      <c r="C13" s="8" t="s">
        <v>22</v>
      </c>
    </row>
    <row r="14" spans="2:5" x14ac:dyDescent="0.25">
      <c r="B14" s="8" t="s">
        <v>22</v>
      </c>
      <c r="C14" s="8" t="s">
        <v>22</v>
      </c>
    </row>
    <row r="15" spans="2:5" x14ac:dyDescent="0.25">
      <c r="B15" s="8" t="s">
        <v>23</v>
      </c>
      <c r="C15" s="8" t="s">
        <v>22</v>
      </c>
    </row>
    <row r="16" spans="2:5" x14ac:dyDescent="0.25">
      <c r="B16" s="8" t="s">
        <v>22</v>
      </c>
      <c r="C16" s="8" t="s">
        <v>23</v>
      </c>
    </row>
    <row r="17" spans="2:4" x14ac:dyDescent="0.25">
      <c r="B17" s="8" t="s">
        <v>23</v>
      </c>
      <c r="C17" s="8" t="s">
        <v>23</v>
      </c>
    </row>
    <row r="18" spans="2:4" x14ac:dyDescent="0.25">
      <c r="B18" s="8" t="s">
        <v>22</v>
      </c>
      <c r="C18" s="8" t="s">
        <v>22</v>
      </c>
      <c r="D18" s="8" t="s">
        <v>24</v>
      </c>
    </row>
    <row r="19" spans="2:4" x14ac:dyDescent="0.25">
      <c r="B19" s="8" t="s">
        <v>23</v>
      </c>
      <c r="C19" s="8" t="s">
        <v>23</v>
      </c>
    </row>
    <row r="20" spans="2:4" x14ac:dyDescent="0.25">
      <c r="B20" s="8" t="s">
        <v>22</v>
      </c>
      <c r="C20" s="8" t="s">
        <v>22</v>
      </c>
    </row>
    <row r="21" spans="2:4" x14ac:dyDescent="0.25">
      <c r="B21" s="8" t="s">
        <v>23</v>
      </c>
      <c r="C21" s="8" t="s">
        <v>23</v>
      </c>
    </row>
    <row r="22" spans="2:4" x14ac:dyDescent="0.25">
      <c r="B22" s="8" t="s">
        <v>23</v>
      </c>
      <c r="C22" s="8" t="s">
        <v>22</v>
      </c>
    </row>
    <row r="23" spans="2:4" x14ac:dyDescent="0.25">
      <c r="B23" s="8" t="s">
        <v>23</v>
      </c>
      <c r="C23" s="8" t="s">
        <v>22</v>
      </c>
    </row>
    <row r="24" spans="2:4" x14ac:dyDescent="0.25">
      <c r="B24" s="8" t="s">
        <v>22</v>
      </c>
      <c r="C24" s="8" t="s">
        <v>23</v>
      </c>
    </row>
    <row r="25" spans="2:4" x14ac:dyDescent="0.25">
      <c r="B25" s="8" t="s">
        <v>23</v>
      </c>
      <c r="C25" s="8" t="s">
        <v>23</v>
      </c>
    </row>
    <row r="26" spans="2:4" x14ac:dyDescent="0.25">
      <c r="B26" s="8" t="s">
        <v>22</v>
      </c>
      <c r="C26" s="8" t="s">
        <v>22</v>
      </c>
    </row>
    <row r="27" spans="2:4" x14ac:dyDescent="0.25">
      <c r="B27" s="8" t="s">
        <v>23</v>
      </c>
      <c r="C27" s="8" t="s">
        <v>23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topLeftCell="A3"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243</v>
      </c>
    </row>
    <row r="9" spans="1:3" x14ac:dyDescent="0.3">
      <c r="B9" s="1" t="s">
        <v>180</v>
      </c>
    </row>
    <row r="10" spans="1:3" x14ac:dyDescent="0.3">
      <c r="B10" s="1" t="s">
        <v>242</v>
      </c>
    </row>
    <row r="11" spans="1:3" x14ac:dyDescent="0.3">
      <c r="B11" s="1" t="s">
        <v>232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9</v>
      </c>
    </row>
    <row r="3" spans="1:2" x14ac:dyDescent="0.3">
      <c r="B3" s="1" t="s">
        <v>163</v>
      </c>
    </row>
    <row r="4" spans="1:2" x14ac:dyDescent="0.3">
      <c r="B4" s="1" t="s">
        <v>164</v>
      </c>
    </row>
    <row r="5" spans="1:2" x14ac:dyDescent="0.3">
      <c r="B5" s="1" t="s">
        <v>220</v>
      </c>
    </row>
    <row r="6" spans="1:2" x14ac:dyDescent="0.3">
      <c r="A6" s="28">
        <v>1</v>
      </c>
      <c r="B6" s="28" t="s">
        <v>10</v>
      </c>
    </row>
    <row r="7" spans="1:2" x14ac:dyDescent="0.3">
      <c r="A7" s="28">
        <v>2</v>
      </c>
      <c r="B7" s="28" t="s">
        <v>165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191</v>
      </c>
      <c r="B1" t="s">
        <v>190</v>
      </c>
      <c r="C1" t="s">
        <v>189</v>
      </c>
      <c r="D1" t="s">
        <v>188</v>
      </c>
      <c r="E1" t="s">
        <v>187</v>
      </c>
      <c r="F1" t="s">
        <v>186</v>
      </c>
      <c r="G1" t="s">
        <v>185</v>
      </c>
    </row>
    <row r="2" spans="1:7" x14ac:dyDescent="0.2">
      <c r="A2">
        <v>12500</v>
      </c>
      <c r="B2">
        <v>0.17269999999999999</v>
      </c>
      <c r="C2" t="s">
        <v>181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181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183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181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181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183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183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181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181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181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181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183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181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183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181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181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181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183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181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181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181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181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183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183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181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181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181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181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181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183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181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181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181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181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181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183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181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181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181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181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181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181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183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181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181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181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183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181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183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183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183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183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183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181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183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181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181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181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183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183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181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183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183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181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181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181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181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183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181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183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181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183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181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181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181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181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181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183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183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181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181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181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181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183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181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181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183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181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181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181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181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183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181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181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181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181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181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181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181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181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181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181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181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181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181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181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183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181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183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181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181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181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183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181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181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181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183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183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181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183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181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183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183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183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183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181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181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181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183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183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183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183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183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181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181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183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183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183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183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181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183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183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181</v>
      </c>
      <c r="D159" s="2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183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183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183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183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183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183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181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181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183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183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183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183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181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183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183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183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181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181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181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183</v>
      </c>
      <c r="D180" s="29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183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181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181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183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183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181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183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183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181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181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183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183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181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183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183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183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181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181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181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183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183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181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181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181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181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183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183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183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183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181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183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183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183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181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183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181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183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183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183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183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183</v>
      </c>
      <c r="D227" s="29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183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183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181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183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183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183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183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181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183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181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183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181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183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183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181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183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181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181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181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183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183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181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183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183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183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183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183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183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183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183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181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181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181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183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183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181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183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181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183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181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183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181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183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183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183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183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183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183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181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183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183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181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181</v>
      </c>
      <c r="D285" s="29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181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181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183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183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181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181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183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183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181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183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183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181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181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181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181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183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183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181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183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183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181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183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181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181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183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183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181</v>
      </c>
      <c r="D314" s="29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183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181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183</v>
      </c>
      <c r="D318" s="29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181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183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181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183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183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183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181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181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183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183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183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183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181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181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181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181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183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183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183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183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181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183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183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183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183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183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181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183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181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183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181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183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183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181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183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183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183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183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181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183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183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181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181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183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183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183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183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181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181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183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183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183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181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183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183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181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181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183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183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183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183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181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181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183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183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183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181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181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183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183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181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183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183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183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181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183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181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181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183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183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183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181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183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183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183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181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181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181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183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181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183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181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183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181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183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183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183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183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183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181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183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183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183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181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181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183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181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183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181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183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183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181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181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181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181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183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181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183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183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183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181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181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183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181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181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181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181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183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181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181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183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183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181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183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183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183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181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183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181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183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181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183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181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183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183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181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183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181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183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183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183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183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183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183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183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181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183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183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181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183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183</v>
      </c>
      <c r="D487" s="29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181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181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183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181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181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183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183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183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183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183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183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181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183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183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183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181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181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183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183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183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183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181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181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183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181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181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181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183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181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181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183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183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181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183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183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183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181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181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183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181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181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183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181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181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181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183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183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183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183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183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181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183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183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183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181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183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183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181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181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183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181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183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183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181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181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183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183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183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181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183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181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181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183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181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181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181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181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183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183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181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181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181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181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183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181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183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183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183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181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181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183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181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181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181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181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183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181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183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183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181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183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181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181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183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183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181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183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181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181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181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181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183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181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181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183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181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183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181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181</v>
      </c>
      <c r="D614" s="29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183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183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181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181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183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181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181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181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183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181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181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183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183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181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181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183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183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181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183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181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181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181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183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181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181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183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181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181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181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181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183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183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181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181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183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181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183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183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183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181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183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183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183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181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183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183</v>
      </c>
      <c r="D665" s="29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183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183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183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181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181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183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183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183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183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181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181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183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183</v>
      </c>
      <c r="D679" s="2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181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183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183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181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181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181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183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183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181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183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181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183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181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183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183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181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183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183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181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183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183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181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183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183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181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181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181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181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183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181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183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183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183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181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183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181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183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183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183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183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181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181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181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183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181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181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181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183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183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183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181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183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183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181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181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181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181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181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183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183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181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181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181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183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183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181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181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181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181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183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181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181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181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181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181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181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183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183</v>
      </c>
      <c r="D774" s="29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183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181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181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183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183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181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181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181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181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181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183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181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183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181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181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183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181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181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181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183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181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183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183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181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183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183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181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181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183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181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181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181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183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181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183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181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183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181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183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181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183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181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183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183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183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181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181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183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181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181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181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181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181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181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183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183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183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181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183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181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183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181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181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183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183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183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181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183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181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181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183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183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181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183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181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183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183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181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181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181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181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183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181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183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183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183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183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181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181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183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181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181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181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183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181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181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181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181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183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183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183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183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181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181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183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183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183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181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183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183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181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181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181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181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183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183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181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183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183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183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183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181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183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183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181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181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183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183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183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183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183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181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183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181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181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181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181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181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183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181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181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183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181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181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181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181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183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183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181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181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183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183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181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183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183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183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183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183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181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181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181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183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181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181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181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181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181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182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183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183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183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183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183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181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181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181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183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183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181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181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181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183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183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181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181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183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181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183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183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181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183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183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181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183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181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181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181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183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183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181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181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181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181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183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181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183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181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183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183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181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183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183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183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181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183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181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181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181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183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183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183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181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181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183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181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181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183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183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181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183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181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183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183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183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181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181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183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183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181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183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181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183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183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183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181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181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183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183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183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183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181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181</v>
      </c>
      <c r="D1045" s="29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181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183</v>
      </c>
      <c r="D1047" s="29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183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181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181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181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181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183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183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183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181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183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181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181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181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183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181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183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181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183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181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183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181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183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181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183</v>
      </c>
      <c r="D1074" s="29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181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183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183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183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183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183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183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181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181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183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181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183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183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181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183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181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183</v>
      </c>
      <c r="D1092" s="29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181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181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181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183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183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183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181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181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181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183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183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183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181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181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183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183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181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183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183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183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181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181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183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183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183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181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183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183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183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181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181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181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181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183</v>
      </c>
      <c r="D1129" s="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181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183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181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183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181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183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183</v>
      </c>
      <c r="D1137" s="29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181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181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183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181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181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183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183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183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183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183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181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183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183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183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181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181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181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183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181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181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183</v>
      </c>
      <c r="D1160" s="29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183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183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183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183</v>
      </c>
      <c r="D1164" s="29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181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181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183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181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183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181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183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181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181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181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181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181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183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183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181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183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183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183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183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183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183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183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181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181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181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183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181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183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181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181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183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183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183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183</v>
      </c>
      <c r="D1198" s="29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181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183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181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181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181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181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183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181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181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183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183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183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183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183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182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183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183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181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181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183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181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183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183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183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181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183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183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181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183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181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183</v>
      </c>
      <c r="D1231" s="29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183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181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183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181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183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181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183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183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181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183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183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183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181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183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183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183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181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181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181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183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181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181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181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181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183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183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181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181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181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181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181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181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181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183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183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183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181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181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181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181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183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181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181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183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181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181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181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181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183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183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183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183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181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181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183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181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183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183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183</v>
      </c>
      <c r="D1293" s="29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181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181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183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183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183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181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181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181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183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181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181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181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181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183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181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183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183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181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183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183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181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183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181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181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183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181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181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183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183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183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183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181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183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183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181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181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183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183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183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181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183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181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181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183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181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183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183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183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183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181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181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181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183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183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181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183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183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181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183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183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183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181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183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183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183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181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183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181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181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181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183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181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183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181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183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183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181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181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181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183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181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181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183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183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183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183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181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181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181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181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183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181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181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181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181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181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183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181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183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181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181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181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183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183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183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183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183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183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181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181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181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181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181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183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181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183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181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183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181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183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181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183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183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181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183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181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181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183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183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181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183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183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183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181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181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181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181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183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183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181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183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181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183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183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181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183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181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183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181</v>
      </c>
      <c r="D1449" s="2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181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181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181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183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181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183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181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183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183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183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183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181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183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181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183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181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181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181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183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183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183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181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181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183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181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181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183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181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183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183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181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183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181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181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183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183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183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181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181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181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183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183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181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181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181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183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181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181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183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181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181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181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181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182</v>
      </c>
      <c r="D1508" s="29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181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181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181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181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181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181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181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183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183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181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183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183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181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181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181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183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183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181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181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183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183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183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181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181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183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183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181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183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183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183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181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181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181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183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183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183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183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183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183</v>
      </c>
      <c r="D1553" s="29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181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181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181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181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183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181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181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183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181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181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181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181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181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181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181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183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183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183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183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181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181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181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181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182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181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181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181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181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181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181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183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181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181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183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181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181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181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183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181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183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183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181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181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181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181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183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181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181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181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183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183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181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181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183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181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183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181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181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183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181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183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183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183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183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181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181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181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183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181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183</v>
      </c>
      <c r="D1630" s="29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183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181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181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183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181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181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183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184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181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181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181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181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181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181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183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183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181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183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181</v>
      </c>
      <c r="D1649" s="2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181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181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181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183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181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183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181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183</v>
      </c>
      <c r="D1657" s="29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181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181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183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181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181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181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181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181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181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183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181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183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181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183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183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181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181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181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183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183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183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183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181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181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181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181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181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181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181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181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183</v>
      </c>
      <c r="D1690" s="29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181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183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183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181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181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181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181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181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181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183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183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181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181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183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181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181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183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181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183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181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183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181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181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183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181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183</v>
      </c>
      <c r="D1716" s="29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183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183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181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183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183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181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183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181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183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183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183</v>
      </c>
      <c r="D1728" s="29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181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184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181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181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181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183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181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183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183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183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183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181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183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183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183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181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181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183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181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181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183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183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181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181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183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181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183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181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181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183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181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183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183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181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181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183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181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181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181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181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183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181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181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181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183</v>
      </c>
      <c r="D1776" s="29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183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181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181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181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181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183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181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183</v>
      </c>
      <c r="D1785" s="29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181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183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184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181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183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184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181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183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181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181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181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183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181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181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181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181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181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183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181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181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181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183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183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183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181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181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181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183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181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183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183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183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181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181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181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183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181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181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181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181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183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181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181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183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181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181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181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181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181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183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183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183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181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181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183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181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181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181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181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181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181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181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181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181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181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181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181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183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181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183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181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181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183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181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181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183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184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183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181</v>
      </c>
      <c r="D1870" s="29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183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183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181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181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181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181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181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181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181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183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183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181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181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181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181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181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181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181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181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181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181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183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183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181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181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183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183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181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183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183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183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181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181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183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181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183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183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183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183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182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183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183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183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183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181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181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183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181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183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183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183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183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183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181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181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181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181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183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181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183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181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181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183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181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181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183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183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181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181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181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183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181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181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181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183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181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181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183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183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183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183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183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183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181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181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182</v>
      </c>
      <c r="D1964" s="29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181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183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183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183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183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183</v>
      </c>
      <c r="D1970" s="29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183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183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181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183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181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183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183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181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181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183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181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181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183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183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181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181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181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181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183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183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181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183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183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181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183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183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183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181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181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183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183</v>
      </c>
      <c r="D2004" s="29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181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183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183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181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183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183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181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183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183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183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183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183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183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183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181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183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181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181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183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181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183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181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181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183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181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181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182</v>
      </c>
      <c r="D2038" s="29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181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183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181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181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183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183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183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181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183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183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181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183</v>
      </c>
      <c r="D2050" s="29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183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183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181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183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183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181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183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183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181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183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181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183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181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181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183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181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181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181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181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183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183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181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181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183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183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183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181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183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181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183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181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181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181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181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181</v>
      </c>
      <c r="D2085" s="29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181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181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183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183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183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181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183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183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181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183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181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183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183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183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181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181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183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181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183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183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183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181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183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183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181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183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183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183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183</v>
      </c>
      <c r="D2115" s="29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181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183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181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183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183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181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181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183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183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181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183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183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183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183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181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183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183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181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183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181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181</v>
      </c>
      <c r="D2137" s="29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183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183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183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183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181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183</v>
      </c>
      <c r="D2144" s="29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181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181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183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183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183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181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181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181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183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183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183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181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181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181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181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183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181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181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183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183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183</v>
      </c>
      <c r="D2167" s="29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181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183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183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183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181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181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181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183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181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183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183</v>
      </c>
      <c r="D2179" s="2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181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181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181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181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181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181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181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183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183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183</v>
      </c>
      <c r="D2191" s="29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183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181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183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183</v>
      </c>
      <c r="D2195" s="29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183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181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181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183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181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181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183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183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183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181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181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183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183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183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183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183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183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183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183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183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181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183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181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183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183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183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183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181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183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183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183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181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182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183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183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183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183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183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181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183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181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183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181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183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183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183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181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183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183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183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183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181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181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181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183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181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182</v>
      </c>
      <c r="D2258" s="29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183</v>
      </c>
      <c r="D2259" s="2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183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183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181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181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181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183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183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183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183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181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181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181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181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183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183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181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183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183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181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181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183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181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183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183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183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183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183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183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183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183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181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181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183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181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183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183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183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181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183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181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183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183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183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183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181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183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183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183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183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181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181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181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183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183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183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181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181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183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183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181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181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183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181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181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183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181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181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181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183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181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181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181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181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183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183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181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183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181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183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183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183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181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183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181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181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183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183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183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183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183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181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181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181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183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181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181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183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181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181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183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183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183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181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183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181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181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181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183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183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183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181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183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183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183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183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183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183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183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183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183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181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183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181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183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181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183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183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183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183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181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183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181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183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181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181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183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183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183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181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183</v>
      </c>
      <c r="D2420" s="29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181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181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183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183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181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183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181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183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183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183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181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181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183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181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183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181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183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181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183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181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181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181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183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181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183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181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183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181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181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183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183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181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183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183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183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183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181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183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183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181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181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181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181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182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181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181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183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181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183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183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183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183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183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183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181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183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183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181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183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183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183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181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183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183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181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183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183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183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183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181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181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181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181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183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181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183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181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183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183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183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183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181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183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183</v>
      </c>
      <c r="D2506" s="29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183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183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183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183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181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181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183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181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183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183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181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181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183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181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181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183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183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181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183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183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181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183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181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181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183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183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181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183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183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183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183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183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183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181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183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181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183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183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183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183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183</v>
      </c>
      <c r="D2551" s="29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183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181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183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183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181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181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183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181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181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183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183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183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181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183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181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183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181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183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181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181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181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183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183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183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183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181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182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181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181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181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183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181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181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183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183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183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181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181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183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183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181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181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181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183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183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183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183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181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183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183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183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183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183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183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181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181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183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181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183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183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183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181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181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183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181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183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183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183</v>
      </c>
      <c r="D2624" s="29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183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181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181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181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181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181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183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181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181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181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183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181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181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182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181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181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183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183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181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181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181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181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183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183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183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181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183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183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183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183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181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181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183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183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183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183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183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183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183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183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183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181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183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183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181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181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181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182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181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183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183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183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183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183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183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183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183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183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183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181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181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183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181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181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181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181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181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181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181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183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183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181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181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181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181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181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183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181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181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181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183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181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183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183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181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183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181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183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183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183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183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183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183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181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181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181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181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181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181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181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183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183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183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181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181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183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181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183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181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183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183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181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183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181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181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183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183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181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181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183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183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181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181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183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181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183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183</v>
      </c>
      <c r="D2768" s="29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181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183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183</v>
      </c>
      <c r="D2771" s="29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181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183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183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181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183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181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181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183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181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181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183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181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181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183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183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181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183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183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183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181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181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183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183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183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183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183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183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183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183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183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181</v>
      </c>
      <c r="D2804" s="29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181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183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181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183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183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183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183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181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183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183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183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183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183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183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181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183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183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181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183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183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183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183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183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183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183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181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183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183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181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181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181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183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183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181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183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181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183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183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181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183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183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181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183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181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181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183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183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181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181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181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181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181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183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183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183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183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181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183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181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181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183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182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183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181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181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183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183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183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183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181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181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181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183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183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183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183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181</v>
      </c>
      <c r="D2885" s="29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183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183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183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183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183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183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183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181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183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181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181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183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181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181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183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181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181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183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183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181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183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183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181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183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183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183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183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183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183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183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181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183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183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183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181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181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183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183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183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183</v>
      </c>
      <c r="D2927" s="29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181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183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183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181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183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181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183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183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183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183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181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183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181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181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183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183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181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183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183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183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181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183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181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181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183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181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183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181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181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181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181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183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181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183</v>
      </c>
      <c r="D2965" s="29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181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183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183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181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183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181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181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183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181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183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181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183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183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181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181</v>
      </c>
      <c r="D2983" s="29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183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183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181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181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183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183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181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183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183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181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181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183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181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181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183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182</v>
      </c>
      <c r="D3000" s="29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183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183</v>
      </c>
      <c r="D3002" s="29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181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183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183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183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183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181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181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183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181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181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181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183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181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181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181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181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183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183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183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183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183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183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181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182</v>
      </c>
      <c r="D3027" s="29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181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181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181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181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181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181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183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183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183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183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181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183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183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181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183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183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181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183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183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183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183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183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181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183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181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183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181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181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181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183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181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183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183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181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183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183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181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181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183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181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181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183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183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183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183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183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183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181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183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183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183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181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183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183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183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183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181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183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181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181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181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183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181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181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183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183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183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181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182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183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183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183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183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181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183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183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181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183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183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181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181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183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183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183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183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183</v>
      </c>
      <c r="D3122" s="29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181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183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183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183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183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183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183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181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183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183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181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183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181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183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183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183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181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183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183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183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183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183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181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183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181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183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183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181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183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181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183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183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183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183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183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183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181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183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181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181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181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183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183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183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181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181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183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183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183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183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181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181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183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183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181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181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183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181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183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181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183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181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183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181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181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181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183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183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181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181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181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183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181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181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181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183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183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183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183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181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181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183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181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183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181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181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181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183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183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181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183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183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181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181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181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183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181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183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183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183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183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183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183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181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183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181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181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183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183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183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183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183</v>
      </c>
      <c r="D3243" s="29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181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183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181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183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181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181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183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183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183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181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183</v>
      </c>
      <c r="D3254" s="29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183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183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181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181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183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181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183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183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183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183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181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181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183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181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183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183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183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181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183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181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181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181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183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181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183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181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181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183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181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183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183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183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183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183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183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183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183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183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181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181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181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181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181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181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183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183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181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183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181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181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183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181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183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183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183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183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183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183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183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181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183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183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183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181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183</v>
      </c>
      <c r="D3320" s="29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183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183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181</v>
      </c>
      <c r="D3323" s="29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181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183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181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181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181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181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183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183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181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183</v>
      </c>
      <c r="D3334" s="29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181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183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183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181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181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183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183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181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181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183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183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183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183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183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183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183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183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183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181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181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181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181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181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181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183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181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181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182</v>
      </c>
      <c r="D3363" s="29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183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183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181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181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181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183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183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181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181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183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181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183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181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183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181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183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181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181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183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183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181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183</v>
      </c>
      <c r="D3387" s="29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181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183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183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181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183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183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183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183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183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183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183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181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181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183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183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183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183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183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183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181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183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183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181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183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181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183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183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183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183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183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181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181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183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183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183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183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181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181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183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181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181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183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181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181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183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183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183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181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183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181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183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183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181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183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181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183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183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183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181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181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181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181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183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181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183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183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183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181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181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183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181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183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181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181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183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183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181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181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183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181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181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183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181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183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181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183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183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183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183</v>
      </c>
      <c r="D3481" s="29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183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183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183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181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181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183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181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181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181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183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183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181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183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183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183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183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181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183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181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181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183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183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183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181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183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181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183</v>
      </c>
      <c r="D3510" s="29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183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183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181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183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181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181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183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183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183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183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183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183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183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181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183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183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183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183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181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181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181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181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183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181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183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183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183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181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181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183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181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181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181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183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183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181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181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181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183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181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181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183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183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181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181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183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183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183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183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183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183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183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183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181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181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181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181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183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181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183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183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183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183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183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181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181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183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181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181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181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183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181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183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183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183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183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181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181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181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181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183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183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183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181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181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183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183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183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183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183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183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183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183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183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181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183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183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181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183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181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183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183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183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181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181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183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181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183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181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181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181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183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183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181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183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181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183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181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181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183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183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181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181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183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181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183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181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183</v>
      </c>
      <c r="D3649" s="2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181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181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183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183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183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181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181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183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181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183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183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183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181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183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183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181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181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181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181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183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183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181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183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183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181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183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183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181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183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181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181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181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181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181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183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183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183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181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181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183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183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181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181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181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181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181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183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181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183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181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183</v>
      </c>
      <c r="D3705" s="29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183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183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183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181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181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183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181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183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181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183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183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181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181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181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183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183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183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183</v>
      </c>
      <c r="D3728" s="29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181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181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183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181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181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183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183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181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181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183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181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183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183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183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183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183</v>
      </c>
      <c r="D3745" s="29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183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183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183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181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181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183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183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181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181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183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181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183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183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183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181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183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181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181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181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183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183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183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183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183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183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183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183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181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183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183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181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183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181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181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183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183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183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181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181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183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183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183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183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183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181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183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181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181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183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181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183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181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183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183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181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183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183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181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183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183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181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181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183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181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183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183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181</v>
      </c>
      <c r="D3814" s="29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182</v>
      </c>
      <c r="D3815" s="29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181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181</v>
      </c>
      <c r="D3817" s="29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181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183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181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181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183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181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183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181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181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183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181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181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183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181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183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181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183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183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181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183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181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181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183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181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183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181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183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183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181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181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183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183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183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183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183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183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183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183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181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183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183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181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183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181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181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183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183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181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183</v>
      </c>
      <c r="D3870" s="29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181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183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183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183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183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183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183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181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181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181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183</v>
      </c>
      <c r="D3882" s="29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183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183</v>
      </c>
      <c r="D3884" s="29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183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183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181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183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183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183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181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181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181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181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181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181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181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183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181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181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181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183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181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181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181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183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183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181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181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183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181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181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183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181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183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181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181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183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183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181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181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181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183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183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183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183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181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181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181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181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183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183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183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183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181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181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183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183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183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181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183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183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181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183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183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183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183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183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181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181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183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181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181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183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183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181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181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181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181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183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183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181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181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181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181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183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183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183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181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183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181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183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181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181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181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183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181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183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183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181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181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183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181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183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181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183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181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183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181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183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181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183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183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181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181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183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181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183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181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183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181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183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181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183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181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181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183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181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183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181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181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183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183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183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183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182</v>
      </c>
      <c r="D4029" s="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181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181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183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181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183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183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183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181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183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181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183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181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181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183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183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183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181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183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183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183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183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181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183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183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181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183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181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183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183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181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181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183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181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181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183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181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183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183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183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183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181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183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181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181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183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181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183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183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181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183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181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181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183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181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183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181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181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183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183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181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183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181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183</v>
      </c>
      <c r="D4093" s="29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181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183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181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181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181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181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181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181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181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183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183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183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181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183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181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183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181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181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183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181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183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183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181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183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183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183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183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181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183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181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181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183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183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183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183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181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181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181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181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183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181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183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181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183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181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181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181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181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183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183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183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181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183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183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183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183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183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181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183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183</v>
      </c>
      <c r="D4158" s="29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181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183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181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181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181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181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183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183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183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183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181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181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181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183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181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181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183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181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183</v>
      </c>
      <c r="D4179" s="2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183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183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183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181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183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181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181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181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181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181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181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181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181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183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181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181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181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181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183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181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181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183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181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183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183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181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181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181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183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181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181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181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183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183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183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183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181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183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181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181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183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183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183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181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181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183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183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181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181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183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183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181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183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181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181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183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181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183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183</v>
      </c>
      <c r="D4241" s="29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183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181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183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181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181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181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183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183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181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181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181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181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183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181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183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181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181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181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183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183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183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181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181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181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183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183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183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183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183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181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183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183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183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181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183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181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181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181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183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181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181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181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181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183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181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183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183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181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181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183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183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181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183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181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183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181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183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181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183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181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183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183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183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181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181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183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183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181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183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183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183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183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183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183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183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183</v>
      </c>
      <c r="D4320" s="29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183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181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183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181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183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181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183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183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183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183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183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183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183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183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181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181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183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181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183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181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183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183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181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181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181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183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183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183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183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181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183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181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181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183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181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183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183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181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181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183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181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181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183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183</v>
      </c>
      <c r="D4369" s="2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183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181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181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181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183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183</v>
      </c>
      <c r="D4377" s="29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183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181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183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181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181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181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183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183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183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181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183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183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181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183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183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181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181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181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183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181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183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181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183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181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183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183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181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183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183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183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183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183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181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181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183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181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181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181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181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183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183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183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181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183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181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181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181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181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183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181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181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181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181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183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183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181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183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183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183</v>
      </c>
      <c r="D4441" s="29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183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182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181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183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183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183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181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183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181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183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181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183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183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181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183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181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183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183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183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183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181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181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183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183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183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183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181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181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181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181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183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183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181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183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183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181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181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183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183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181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183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181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181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181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183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181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181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181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183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183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183</v>
      </c>
      <c r="D4496" s="29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183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181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181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181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181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183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183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183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183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183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181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181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181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181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181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181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183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181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181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183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181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183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181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181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181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181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183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183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183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183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183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183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183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181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183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183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181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181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181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183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181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183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183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183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183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183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183</v>
      </c>
      <c r="D4548" s="29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181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183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183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181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181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181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183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181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181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183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183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183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183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183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181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181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183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183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183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181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181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181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183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183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182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181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183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183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181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183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181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181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183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183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181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183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183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183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181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181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183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183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181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183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183</v>
      </c>
      <c r="D4600" s="29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183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183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181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183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181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183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183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183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181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181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183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181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183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181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181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183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183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181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181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183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181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183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183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183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183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181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183</v>
      </c>
      <c r="D4631" s="29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183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181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183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181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183</v>
      </c>
      <c r="D4638" s="29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183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181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181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181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183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183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183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181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181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181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181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183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183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181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181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183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181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181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183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181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183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183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181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181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181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181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181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181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181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181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183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183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183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181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183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183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183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181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181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183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183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181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183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181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183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183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181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181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183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181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181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181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183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183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183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181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181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181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183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183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183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183</v>
      </c>
      <c r="D4705" s="29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181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181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181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183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183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183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181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181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183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183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183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183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183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183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183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183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183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183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181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183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183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183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183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181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183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183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181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181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183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183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181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181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183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181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183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181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183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183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181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183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183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183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183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183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181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183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181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183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183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181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183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181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183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181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181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183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183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181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181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181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183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183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183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181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183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183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183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181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183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181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183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181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183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183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183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183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183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183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183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181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183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181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183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183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181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181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183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181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181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183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183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183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183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181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181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181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183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183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181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181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183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183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181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181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181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181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183</v>
      </c>
      <c r="D4817" s="29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181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181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183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183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181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183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181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183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181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183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183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181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183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183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183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183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183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183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183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183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183</v>
      </c>
      <c r="D4839" s="2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181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181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183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181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183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181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183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183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181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183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183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181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181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181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183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181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181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183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183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181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181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183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181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183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181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181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183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181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183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183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183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181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183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183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181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181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181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181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181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181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183</v>
      </c>
      <c r="D4882" s="29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181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183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183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183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183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183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183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181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183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183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181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181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181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181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183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181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183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183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181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181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181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183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181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183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181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183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181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183</v>
      </c>
      <c r="D4911" s="29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181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183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183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181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183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183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181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183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183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183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183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181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181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183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181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183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183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181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181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183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181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183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181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183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183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181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181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181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183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183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183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183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183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183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181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183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181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181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181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183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183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181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183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183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183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181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183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183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183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183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183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183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183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181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183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181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181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183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181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183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183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183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183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183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183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183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181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183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181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181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183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183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181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181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181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183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181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182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183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183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183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183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183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183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183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183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181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183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181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183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181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181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183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183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183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181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181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181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183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183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183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183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181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181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181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183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183</v>
      </c>
      <c r="D5023" s="29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183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183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181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183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181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183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183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183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181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183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183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181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183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181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183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183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181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181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181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183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183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183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181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183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183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181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183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181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183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181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183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183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181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181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181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183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183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183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181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183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183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183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181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183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183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183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181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181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183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181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183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183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181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183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181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183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183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183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181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183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183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183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183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183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183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181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181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183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183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183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183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181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181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181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181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181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181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181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183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183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181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181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183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181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183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183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181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183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181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183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183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183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181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183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181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183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183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181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183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183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181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183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183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183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183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183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183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183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183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183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181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181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181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181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183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183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183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183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183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181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181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181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181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183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181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183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183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183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183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183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181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181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181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181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183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181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183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181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183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181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181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183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181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181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181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181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183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183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183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181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181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183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181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183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183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183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181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181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181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183</v>
      </c>
      <c r="D5196" s="29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183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183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183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183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183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181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183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181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183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183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181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183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181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183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183</v>
      </c>
      <c r="D5212" s="29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183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181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183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181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183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183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183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181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181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183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181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181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181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181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181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183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183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181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181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183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181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183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183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183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181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181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183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183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183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183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181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183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183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181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183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181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181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181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183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181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181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183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183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183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183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181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181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181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181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183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181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183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183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183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183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181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183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181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183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183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181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183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181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183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183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183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183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181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183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183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183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183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183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183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181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183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181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183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183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183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181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183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183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181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181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181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181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181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183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183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181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183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181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181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183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181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183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181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181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181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183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181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183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183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181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181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181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181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183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183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183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183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183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181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181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183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181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183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183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183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181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183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183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183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181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183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181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183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183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183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183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183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183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181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183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181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183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183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183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181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183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181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183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183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183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181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181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183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181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183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181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183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183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183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183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181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183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183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183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181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183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183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183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181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183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183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183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181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181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181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183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181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183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181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183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181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181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181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183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181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183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183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183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183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181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181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183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181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183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183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181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183</v>
      </c>
      <c r="D5410" s="29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183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183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181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183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183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181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181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181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181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183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183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183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183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183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183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183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181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183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183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183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183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181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183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183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183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181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181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183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183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183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181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183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181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181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183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181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181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181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181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183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183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183</v>
      </c>
      <c r="D5454" s="29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181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183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181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183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183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181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183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183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183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183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181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181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181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183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181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183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181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183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181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181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183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181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181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181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181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183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183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181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181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181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181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183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183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183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183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183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183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183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181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183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181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183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183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181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183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181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181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183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181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183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183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183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183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183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181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181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181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183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183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181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183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183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183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183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183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183</v>
      </c>
      <c r="D5525" s="29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183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183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183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183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181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183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181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181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183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183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183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181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183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183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183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183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183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183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181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183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181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183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181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183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181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181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181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183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183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183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183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181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183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181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183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181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183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183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183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183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181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181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183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183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181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183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181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181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181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183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181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181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183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183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181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183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183</v>
      </c>
      <c r="D5586" s="29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182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181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183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181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181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181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181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181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181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181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183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183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181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183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183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183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181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183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183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181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183</v>
      </c>
      <c r="D5609" s="2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183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181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181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183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181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181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183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183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181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183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183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181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183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181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183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183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181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183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181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183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181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183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183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181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181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181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181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183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183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181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181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181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183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181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181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183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183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183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183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183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181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183</v>
      </c>
      <c r="D5652" s="29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181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183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183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181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183</v>
      </c>
      <c r="D5657" s="29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183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181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181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181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183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181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183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183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181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183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181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183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183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183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183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183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183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181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181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183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181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183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183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183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181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181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183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181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181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181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183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181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181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183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183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181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183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181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183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184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181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183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183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181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181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181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183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183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183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181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183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181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181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183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181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181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184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183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183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181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183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183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181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181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181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181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183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183</v>
      </c>
      <c r="D5728" s="29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181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183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181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183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181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183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183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183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183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181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183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183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183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181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181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181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181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181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181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183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181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183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183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183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183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181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183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181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183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181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181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183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183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183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183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181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181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181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184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184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181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181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181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183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181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181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183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183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181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183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183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183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183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181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181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181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183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183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181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183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183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181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183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181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181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183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183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181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181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181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181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183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183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183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181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181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183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181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183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183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183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183</v>
      </c>
      <c r="D5815" s="29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181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183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181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183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181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181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181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181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183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183</v>
      </c>
      <c r="D5825" s="29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181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183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181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181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183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183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181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183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183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181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183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183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183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181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181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183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183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183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181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183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181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183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183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181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181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181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181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181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181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181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181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181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181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183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183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183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181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183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183</v>
      </c>
      <c r="D5872" s="29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181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183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183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183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181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181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183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183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183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181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183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183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181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183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181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183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183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181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183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181</v>
      </c>
      <c r="D5893" s="29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181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181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183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183</v>
      </c>
      <c r="D5897" s="29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181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181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181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183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183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181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181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183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181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181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181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181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183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183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181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181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183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183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183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181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183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181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183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181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181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183</v>
      </c>
      <c r="D5926" s="29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181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183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181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183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181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183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181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181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181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181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181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183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181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183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183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181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181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181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183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183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183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183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183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183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183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183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183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183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183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181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183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183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183</v>
      </c>
      <c r="D5962" s="29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183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181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183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181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183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181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183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183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181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181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181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181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183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183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183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183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181</v>
      </c>
      <c r="D5982" s="29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183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183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183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181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183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181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181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181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183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181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183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181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181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183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181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181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183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183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181</v>
      </c>
      <c r="D6002" s="29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181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183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183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183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183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181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181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181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183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183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183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181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183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181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181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181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183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181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181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181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181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181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181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181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181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183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183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183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181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183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181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181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183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181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183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181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181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183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183</v>
      </c>
      <c r="D6043" s="29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183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181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181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181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181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181</v>
      </c>
      <c r="D6051" s="29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183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183</v>
      </c>
      <c r="D6053" s="29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183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183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183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183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181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181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181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181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181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181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181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183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181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183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183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181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181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183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183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183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183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183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181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181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183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181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183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181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183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181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183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183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181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183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181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183</v>
      </c>
      <c r="D6092" s="29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181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183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181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181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183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183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183</v>
      </c>
      <c r="D6099" s="29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181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183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181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183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181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181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181</v>
      </c>
      <c r="D6106" s="29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181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183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181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181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183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181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181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183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181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181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183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183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183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181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183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183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181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181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183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183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183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181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181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183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181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181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181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181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183</v>
      </c>
      <c r="D6137" s="29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183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183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181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181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181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183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183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181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181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181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181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183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181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181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183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181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181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183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183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183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181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183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183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181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181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181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183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181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181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183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183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181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183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181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183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181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183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183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183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181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183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183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181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183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181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183</v>
      </c>
      <c r="D6188" s="29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181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183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181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183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183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183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183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181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183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183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183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181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183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183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181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183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181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183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181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181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181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183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183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183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183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181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181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183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181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181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183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181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183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181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183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181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181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183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183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181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181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181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183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183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183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181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183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181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181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181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183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183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183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183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183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183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183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181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181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181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181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183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181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183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183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181</v>
      </c>
      <c r="D6261" s="29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181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181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183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183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181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183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183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181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183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181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181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181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181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183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183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183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183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181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181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183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181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183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181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181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183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183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183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181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181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183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183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181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183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181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183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183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183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181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181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181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181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181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181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181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181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183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183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183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181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181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181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183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181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181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182</v>
      </c>
      <c r="D6319" s="2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181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183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183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181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183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183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183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181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181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181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183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181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183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183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181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181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183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181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183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183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183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183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181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181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183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183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181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181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183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183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183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183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183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183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182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183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183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181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181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183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181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183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183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183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183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181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183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181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181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181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181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181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181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181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183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181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181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181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183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183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181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181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181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183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181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183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181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181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181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182</v>
      </c>
      <c r="D6393" s="29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181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181</v>
      </c>
      <c r="D6395" s="29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181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181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183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183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183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183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181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183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181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183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181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183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181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181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183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181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183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183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183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181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183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181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183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181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181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181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183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183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181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183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183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181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183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181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183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183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183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183</v>
      </c>
      <c r="D6436" s="29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181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183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181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181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183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181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183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181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183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183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181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183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183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183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181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183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183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183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181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183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181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183</v>
      </c>
      <c r="D6461" s="29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181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181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181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181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183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183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181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183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181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183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181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183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181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183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183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183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181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183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183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181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183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183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181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181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183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181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183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181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181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183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183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181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183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181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183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183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181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183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183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181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181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181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181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181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181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183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181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181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183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183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181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181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183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181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183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181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181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183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183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183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183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181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183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181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181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181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183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181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181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183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183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181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183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182</v>
      </c>
      <c r="D6544" s="29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181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181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181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183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181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183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181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181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181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181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183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183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181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183</v>
      </c>
      <c r="D6561" s="29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181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183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183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183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183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183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181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183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183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181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181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183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183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181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181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183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183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181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183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181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181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181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181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183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183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183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181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183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181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181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183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183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181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181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183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181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183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183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183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183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181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181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183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183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183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181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183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183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181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181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181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183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181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181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181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183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181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181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183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183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183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183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183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181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181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181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181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183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183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183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183</v>
      </c>
      <c r="D6637" s="29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181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181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181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183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183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181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183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181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183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181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183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181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183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183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183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181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181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181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181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183</v>
      </c>
      <c r="D6658" s="29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183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183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183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181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181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181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183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181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181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183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181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183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183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181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183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183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181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183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183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181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181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181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181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181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183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183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183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181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181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181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181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181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181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181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181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181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181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183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183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183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183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183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183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183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181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181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183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181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183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183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183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183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183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181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181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181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183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181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183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181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181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181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181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181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181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183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181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183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183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181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183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183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183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181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183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181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181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183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181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181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181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181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181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181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181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183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181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181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181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181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183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181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183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181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181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181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183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181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181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183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183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181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183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183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183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181</v>
      </c>
      <c r="D6777" s="29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183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183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183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181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181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183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181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181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183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183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183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181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183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181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183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181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183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181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183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183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183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183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181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183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181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181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181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181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181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183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183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183</v>
      </c>
      <c r="D6810" s="29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183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183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181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181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183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181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181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181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181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183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183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183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181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181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183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181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181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183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183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181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183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181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181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183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183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181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181</v>
      </c>
      <c r="D6841" s="29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183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183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183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183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181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181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181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183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181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181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183</v>
      </c>
      <c r="D6852" s="29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181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181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183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183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183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183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181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181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183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181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183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183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181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181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182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183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181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181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181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183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183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181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181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181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181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181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181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183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181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181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181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183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183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181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181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183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181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183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183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181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181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181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183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183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181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181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181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181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181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181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181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183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183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181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181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183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181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181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181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183</v>
      </c>
      <c r="D6918" s="29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181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183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183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183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181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183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183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181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183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181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181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181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183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183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181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181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183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181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183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181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183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181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183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183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183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183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181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183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183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181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183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183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181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181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183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183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181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181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183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183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181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183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183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183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183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183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181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181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181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181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183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183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181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183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181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183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181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183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181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181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183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183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181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183</v>
      </c>
      <c r="D6990" s="29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181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183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183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181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183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183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183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181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183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183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183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183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183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183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183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181</v>
      </c>
      <c r="D7008" s="29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183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183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181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181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181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183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183</v>
      </c>
      <c r="D7015" s="29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181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183</v>
      </c>
      <c r="D7017" s="29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183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183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182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183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181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183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183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183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181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183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181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183</v>
      </c>
      <c r="D7030" s="29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181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183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183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181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183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181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181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183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181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183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181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183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181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181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181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183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183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183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183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183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183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181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183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183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181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183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181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183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181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183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183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183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181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183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183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183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181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181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183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183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181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181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181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183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181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181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181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181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181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183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183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183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181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181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181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183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181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181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183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183</v>
      </c>
      <c r="D7092" s="29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181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183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183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183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183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181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183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181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181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181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183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181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183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181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183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183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181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183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183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183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181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183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181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181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183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183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181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183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183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183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181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183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181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183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183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183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181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183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181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181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181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183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183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181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183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183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181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183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181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183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181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183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183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183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181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183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181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181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181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183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183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181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181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183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181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183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183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183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183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181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181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182</v>
      </c>
      <c r="D7169" s="2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181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183</v>
      </c>
      <c r="D7171" s="29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181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181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183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181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183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181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181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183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181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181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181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181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181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183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183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181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181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183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183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183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183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181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181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183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183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183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181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181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181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183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183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181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181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183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181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181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181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183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183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181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181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181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183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183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181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183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181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181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183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181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181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183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181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183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181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181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181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183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183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183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181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183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181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181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181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181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181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181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181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181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181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183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181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183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183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181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183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183</v>
      </c>
      <c r="D7255" s="29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181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181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181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181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183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181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183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183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181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181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181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183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183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181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181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183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181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183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183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181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181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181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181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181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183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183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181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181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183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183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181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181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183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183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183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183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183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183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183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181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181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183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183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181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183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183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183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181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183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183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183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183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181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181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183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181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183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183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183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183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183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181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183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183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181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183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183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183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181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183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183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181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183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183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181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183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182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181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181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183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181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183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182</v>
      </c>
      <c r="D7341" s="29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183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181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181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183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181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183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181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181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183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181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181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181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183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181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183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183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181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181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181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183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183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183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181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183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181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183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181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183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181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183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181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181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183</v>
      </c>
      <c r="D7375" s="29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181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181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181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183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183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183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183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181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181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181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181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183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181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183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183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181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181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183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181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181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181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181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181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181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183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183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181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181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181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183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181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181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181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183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181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183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183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181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181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181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181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181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183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181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181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181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183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181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183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183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181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183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181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181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183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183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181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181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181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183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183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183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181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181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181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183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183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181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183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183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181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183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181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181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181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181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181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183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181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183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181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183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181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181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183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181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183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181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181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181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181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183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181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183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181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183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181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181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181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183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181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183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181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183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183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183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181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183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183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181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183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183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181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183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181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181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181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181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181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181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181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181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183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181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183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181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181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181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183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181</v>
      </c>
      <c r="D7516" s="29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183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183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183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181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181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181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181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181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181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183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181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181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183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183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183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181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183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181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183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181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183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182</v>
      </c>
      <c r="D7538" s="29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183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183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181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183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181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181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183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181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181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181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183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183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183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183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183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181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181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181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183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181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183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183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181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181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181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181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183</v>
      </c>
      <c r="D7567" s="29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181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181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183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183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183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181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181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181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181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183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183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181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183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181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183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181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183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181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183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181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181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181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181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181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181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183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183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181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181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181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183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181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181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181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183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181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181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181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183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183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181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181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181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183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183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181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183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183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181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183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181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181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183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181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181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181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181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183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181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181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181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183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181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181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181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181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181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181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181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183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183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181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181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181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181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183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181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181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181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181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181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181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181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181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183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181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183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183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181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181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183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183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183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181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183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181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183</v>
      </c>
      <c r="D7673" s="29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183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183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181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183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181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181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183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183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181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181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181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183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181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183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183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181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183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183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182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183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181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183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183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181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181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181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181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181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181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181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183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183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183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183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183</v>
      </c>
      <c r="D7712" s="29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181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183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183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181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181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181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183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183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181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181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183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183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181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181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183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183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183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181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183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183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181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181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181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181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183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181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183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183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181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181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183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183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181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183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183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183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183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183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183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183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181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183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181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183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181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183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181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181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183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183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181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183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181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183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183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183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181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181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181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181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181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183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183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181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183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183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183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183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181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183</v>
      </c>
      <c r="D7792" s="29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181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181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183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183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181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181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183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181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181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181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183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181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181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183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183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181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183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183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181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181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183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183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183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183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181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183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183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183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183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183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181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183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183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181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183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183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181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183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181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183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181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181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183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181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183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183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183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183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183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183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181</v>
      </c>
      <c r="D7848" s="29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181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183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183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181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183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181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181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181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183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181</v>
      </c>
      <c r="D7860" s="29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181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183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183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183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183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181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183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183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183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183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183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183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181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181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183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181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181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183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183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181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181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183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183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183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181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183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181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181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183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183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183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181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183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183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183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181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183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181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181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183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181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183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183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183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181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181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183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183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183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183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181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183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183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181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181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183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183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183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183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181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181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183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181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183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181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181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183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183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183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183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181</v>
      </c>
      <c r="D7936" s="29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181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183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181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181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183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183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183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181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181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183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183</v>
      </c>
      <c r="D7949" s="2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181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183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181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183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183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181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183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183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181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183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182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183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181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183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183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181</v>
      </c>
      <c r="D7965" s="29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183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183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181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183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183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183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183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183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183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183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181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181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183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183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181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183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181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183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181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183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181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181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183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183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183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183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183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183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183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183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183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183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183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183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181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181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181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181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183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183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183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181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183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183</v>
      </c>
      <c r="D8014" s="29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181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181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183</v>
      </c>
      <c r="D8017" s="29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183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183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183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181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181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183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183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181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183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183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183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181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183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181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183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181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183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183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183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181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183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183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181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183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183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183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181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183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181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183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183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183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183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181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181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183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181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183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183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183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183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183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183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181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183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183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183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183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181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183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183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181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181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183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181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183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181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183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181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183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181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183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183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183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183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183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183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183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181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181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183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181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181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183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181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183</v>
      </c>
      <c r="D8102" s="29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181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181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183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183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183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181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183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183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181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181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181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181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183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181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183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182</v>
      </c>
      <c r="D8120" s="29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181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183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181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183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183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183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183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183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181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181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183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183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181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181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183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183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183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183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183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181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183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183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181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183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181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182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182</v>
      </c>
      <c r="D8147" s="29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181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181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183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183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183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183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183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183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183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183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181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183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183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183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183</v>
      </c>
      <c r="D8163" s="29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183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183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181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183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183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183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183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183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181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183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183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181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181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183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183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183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183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181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183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181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183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183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183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181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183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181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183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183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183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181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181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181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181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181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183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181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181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181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183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183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181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183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183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183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183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183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181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181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181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183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183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181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181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181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181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183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181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183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183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181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181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181</v>
      </c>
      <c r="D8231" s="29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181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181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181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183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181</v>
      </c>
      <c r="D8237" s="29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183</v>
      </c>
      <c r="D8238" s="29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183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183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181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183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183</v>
      </c>
      <c r="D8243" s="29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183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181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183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183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183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181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181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183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183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183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181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181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183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183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181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181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181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181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183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181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183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183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181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183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181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183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181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183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181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181</v>
      </c>
      <c r="D8282" s="29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181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183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181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181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181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183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181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181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183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183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183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181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183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181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181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181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183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181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181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183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183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183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183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183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183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183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183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183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183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183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183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183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181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183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183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183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183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183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183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183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181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183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183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181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181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183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183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181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183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181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181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181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183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183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183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183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181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181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181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183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181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183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183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183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181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181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183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183</v>
      </c>
      <c r="D8361" s="29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183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181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183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183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183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183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181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183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181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183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181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183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181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183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183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183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183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181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181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183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183</v>
      </c>
      <c r="D8385" s="29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183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181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181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183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181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181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181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183</v>
      </c>
      <c r="D8394" s="29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183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183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181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183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181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181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181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181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183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183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181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183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181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183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183</v>
      </c>
      <c r="D8410" s="29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183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181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183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183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181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183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183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183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183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181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181</v>
      </c>
      <c r="D8421" s="29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183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181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181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181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183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181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183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183</v>
      </c>
      <c r="D8429" s="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183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183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181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183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183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183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181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181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181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181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181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183</v>
      </c>
      <c r="D8442" s="29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181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181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183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183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183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183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183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181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181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181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183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181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181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181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183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183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181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181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183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181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181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181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181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183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183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183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181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181</v>
      </c>
      <c r="D8474" s="29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183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183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181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183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181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183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183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181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183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181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183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183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181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183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183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181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183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183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183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181</v>
      </c>
      <c r="D8499" s="2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181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183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181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183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183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183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181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181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181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181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183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181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183</v>
      </c>
      <c r="D8512" s="29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181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183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181</v>
      </c>
      <c r="D8516" s="29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183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183</v>
      </c>
      <c r="D8519" s="2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181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183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183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183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183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181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181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183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181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181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183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183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181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181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181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183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183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181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181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183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183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183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181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181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183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183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181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181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183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181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181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183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181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181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181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183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183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183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183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183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183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183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181</v>
      </c>
      <c r="D8565" s="29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183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181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183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181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181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181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183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183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181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183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181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183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183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181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183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181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181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183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181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181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181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183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183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181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181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183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183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181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183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183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183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181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183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181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183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181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183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183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183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181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183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181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183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183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181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183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181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181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181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183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183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183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183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181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181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183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183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183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181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181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181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181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181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181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181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181</v>
      </c>
      <c r="D8635" s="29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181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183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183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183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183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183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183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183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181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183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183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183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181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181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183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183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181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181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183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181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183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181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183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181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181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183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183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181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181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183</v>
      </c>
      <c r="D8669" s="2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183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181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182</v>
      </c>
      <c r="D8672" s="29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183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181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183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183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181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183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181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181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183</v>
      </c>
      <c r="D8681" s="29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181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183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181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181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181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183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181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181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183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181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183</v>
      </c>
      <c r="D8693" s="29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181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181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181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183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183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183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183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181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183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181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181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182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183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181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183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181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183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183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183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181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183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183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181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181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181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183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183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183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183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183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181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181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181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181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181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183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181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183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181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181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181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181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181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183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183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181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181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183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181</v>
      </c>
      <c r="D8750" s="29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181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181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183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183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183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183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181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183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183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181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183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183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183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181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181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183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183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181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181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183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183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181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183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181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181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181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183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183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181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181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183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181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183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183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181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181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183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183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181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183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183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183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181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181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181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181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183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181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183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183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183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183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183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181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183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181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183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183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183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183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181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183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181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183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181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181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181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181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183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181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183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183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183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183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181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181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181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183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183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183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183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181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181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183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183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181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183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183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181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183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183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183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183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183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183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181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183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183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181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181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183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183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181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181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181</v>
      </c>
      <c r="D8861" s="29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183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183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181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183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181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181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183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183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183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183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183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181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183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183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181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181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181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181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181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183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183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181</v>
      </c>
      <c r="D8885" s="29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181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181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181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181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183</v>
      </c>
      <c r="D8890" s="29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181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183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181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181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181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183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181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181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183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183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183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183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181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183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183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183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181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181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183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181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181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183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183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183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183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183</v>
      </c>
      <c r="D8919" s="2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181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183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181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183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183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183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183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183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183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181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183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181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181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181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181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183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183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181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181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181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181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181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183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181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181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183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183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183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181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183</v>
      </c>
      <c r="D8949" s="2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181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183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181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183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181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183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183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183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183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181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183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183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181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183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181</v>
      </c>
      <c r="D8964" s="29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183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183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183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183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183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183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183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183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181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183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181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183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183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183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181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181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181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181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181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181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183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183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181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183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183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181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181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183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183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183</v>
      </c>
      <c r="D8997" s="29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181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183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181</v>
      </c>
      <c r="D9000" s="29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181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181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181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181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183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181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183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183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183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181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183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183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181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183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183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181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183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181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183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181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181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181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183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181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183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181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181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183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183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183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181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183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183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183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183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181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181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183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183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181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182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181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183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181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181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181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181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181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181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183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183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183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181</v>
      </c>
      <c r="D9059" s="2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183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181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183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181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181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183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183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183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181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181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181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181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181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183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181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183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183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181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183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183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183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181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181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183</v>
      </c>
      <c r="D9085" s="29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183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181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183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183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183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183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181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183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183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183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183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183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181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183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183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183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183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183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181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181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181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181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181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181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181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181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181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181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181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183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181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183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183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181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181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181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183</v>
      </c>
      <c r="D9126" s="29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181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183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181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183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181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181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183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183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183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183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181</v>
      </c>
      <c r="D9137" s="29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183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183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183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181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183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183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183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181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183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183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183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183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183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183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181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181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183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181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183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183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181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183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183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183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183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183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183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181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181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181</v>
      </c>
      <c r="D9170" s="29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181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181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183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181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183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183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181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183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183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181</v>
      </c>
      <c r="D9180" s="29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181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181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183</v>
      </c>
      <c r="D9183" s="29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183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183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181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183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183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181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181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181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181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183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181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183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181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183</v>
      </c>
      <c r="D9197" s="29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181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181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183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183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183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183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181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183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183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183</v>
      </c>
      <c r="D9207" s="29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183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183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183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181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183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183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181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183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181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183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183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181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183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181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183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181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181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183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183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181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183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181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183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183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183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181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183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183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183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183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183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183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183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181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183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181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181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181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181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181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183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183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181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181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183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181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183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181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183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183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183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181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183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181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181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181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181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183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181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181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181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183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181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183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181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181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181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183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183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181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183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183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181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183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181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183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183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183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183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183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183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183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181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181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181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183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181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181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181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181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181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181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183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183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181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183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183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181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183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181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183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181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181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183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181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181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182</v>
      </c>
      <c r="D9325" s="29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181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183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182</v>
      </c>
      <c r="D9328" s="29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181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183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181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181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183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183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183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183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183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181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183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181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181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181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181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183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181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181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181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181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181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183</v>
      </c>
      <c r="D9351" s="29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183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183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181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181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181</v>
      </c>
      <c r="D9356" s="29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182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183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183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183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183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183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181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183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181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181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183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183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181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183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181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183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181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183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181</v>
      </c>
      <c r="D9377" s="29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183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183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181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183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181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183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183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183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181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181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181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183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183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183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181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183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181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183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183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183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183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183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181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181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183</v>
      </c>
      <c r="D9403" s="29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181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183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183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181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181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181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183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181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183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181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183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181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181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181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181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181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181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181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181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183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183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181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183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183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181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181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183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181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181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183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183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183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181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181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183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181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181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181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183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181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183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181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181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183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181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181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181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181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183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183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183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181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183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183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181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183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181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181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183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181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183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183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181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181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183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181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183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183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181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183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183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183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183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183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181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181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181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183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183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183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183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183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183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183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181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183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181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183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181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183</v>
      </c>
      <c r="D9502" s="29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183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181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183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183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181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181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183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183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183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183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181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183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183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181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183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181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181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183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183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181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183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183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181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183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183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183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183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181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183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183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181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181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183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183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181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181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181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183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183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181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181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183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183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183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181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183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183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183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181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181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181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181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181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183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183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181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181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183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181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183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183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183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181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183</v>
      </c>
      <c r="D9571" s="29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181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181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183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183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183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183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183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183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183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181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181</v>
      </c>
      <c r="D9583" s="29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181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183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181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183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183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183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181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181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181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181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183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181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183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183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183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183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183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181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181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181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183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181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181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183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183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183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181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183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183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183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181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183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181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183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183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181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181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181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183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183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181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181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183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183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183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181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183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183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183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183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183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181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183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181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183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181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181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183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181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183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183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183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181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181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181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181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181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183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183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181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181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183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181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181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183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181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183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181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183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183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181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183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181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183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181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183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183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183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181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181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183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183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181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183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181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181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183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183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183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183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181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183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181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183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183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183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183</v>
      </c>
      <c r="D9702" s="29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181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183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183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181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183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181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181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183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183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181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181</v>
      </c>
      <c r="D9716" s="29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183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183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183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183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181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183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183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181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183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181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183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183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183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183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181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183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183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181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181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183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183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183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183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183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181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181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181</v>
      </c>
      <c r="D9743" s="29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183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183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181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183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183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181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183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181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183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183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183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183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183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183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181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181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183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183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181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181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183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183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181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181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181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183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183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183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181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181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183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181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181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181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181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181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181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181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183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183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181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181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183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181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183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183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183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181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181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183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183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181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183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183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181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183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183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183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181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183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181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183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181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183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183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183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181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183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183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181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183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183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181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183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181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183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182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183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183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181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181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181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183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181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183</v>
      </c>
      <c r="D9832" s="29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181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183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183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181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183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181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181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183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181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183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183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181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183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183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181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181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183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183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183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181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181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181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183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183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181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181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183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181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183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183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183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181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183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183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183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182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183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181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183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181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181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183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183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181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183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181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183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183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183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183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183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181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183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183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183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183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181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183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183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183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183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183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181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181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182</v>
      </c>
      <c r="D9901" s="29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181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183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183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181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181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181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183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183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183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181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181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183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183</v>
      </c>
      <c r="D9915" s="29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181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181</v>
      </c>
      <c r="D9918" s="29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183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183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183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183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183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183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183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181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181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183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181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183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183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183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181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183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181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183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183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183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181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181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183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183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181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181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183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181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183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183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183</v>
      </c>
      <c r="D9956" s="29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183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181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183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183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181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181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183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183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183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183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181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183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181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181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183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183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181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181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183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183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183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183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183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181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183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183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181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181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183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183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181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181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183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183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183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183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183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181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183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181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183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181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183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181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181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183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181</v>
      </c>
      <c r="D10006" s="29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183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181</v>
      </c>
      <c r="D10008" s="29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183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183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183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181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183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181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183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183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181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183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183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183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181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181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183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181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183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183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181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183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183</v>
      </c>
      <c r="D10031" s="29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181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181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183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181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183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183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183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181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181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183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181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183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183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181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181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181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183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181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183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181</v>
      </c>
      <c r="D10054" s="29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181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183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183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183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183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181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183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181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183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183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183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183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181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183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181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181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181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181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183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181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183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183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183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183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181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183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181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181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181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183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183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183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181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183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183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183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181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183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183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183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183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183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181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181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181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181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181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181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183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183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181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183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183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181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183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181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183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181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181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183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183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181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183</v>
      </c>
      <c r="D10123" s="29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181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183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181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183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183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183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181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181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181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183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181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183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181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183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183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183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181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183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181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183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183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183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183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183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183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181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183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181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183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181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183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183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183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183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183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183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183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183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183</v>
      </c>
      <c r="D10168" s="29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181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183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181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183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181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181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183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183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183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182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183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183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181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181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183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181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183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181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181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181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183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183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183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181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183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183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183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183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181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183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181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183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181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181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183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183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181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183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183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181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183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183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181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181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181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183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183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183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182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183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181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181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182</v>
      </c>
      <c r="D10225" s="29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183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181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183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183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183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183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181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183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181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183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181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181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183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183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181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181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181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183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181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183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183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183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183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183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183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183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181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181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181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183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183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181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183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181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181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183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183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181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181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181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182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183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181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183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181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182</v>
      </c>
      <c r="D10275" s="29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181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181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183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183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183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183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183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181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183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183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183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181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183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183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181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181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183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181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183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183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183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181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183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183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181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183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181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183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183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181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181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181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181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181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183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183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181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181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183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183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181</v>
      </c>
      <c r="D10319" s="2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181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183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183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181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181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183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181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183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183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181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183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181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183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181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181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181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183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181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181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181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181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183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181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183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183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183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183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181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183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181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183</v>
      </c>
      <c r="D10353" s="29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183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181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181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183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183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181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183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181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183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183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181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183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181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183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183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183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183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181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181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183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181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181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183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181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181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183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181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183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181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183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181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181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181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181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181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181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183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183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183</v>
      </c>
      <c r="D10392" s="29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181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183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183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183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181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181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181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183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181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181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181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181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183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183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183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183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183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181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183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181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183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181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181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183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183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183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183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181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183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181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181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181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181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181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181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181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181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183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183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183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181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181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183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181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181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181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181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181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183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183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181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181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183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181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183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183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181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181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183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183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183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181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183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183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181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183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181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183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181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181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181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183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183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183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183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183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181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181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181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183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181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183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181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183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183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183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181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183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181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183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183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181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183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183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183</v>
      </c>
      <c r="D10496" s="29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183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181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183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181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183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183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183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181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183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183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183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181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183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183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181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183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183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181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181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183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181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181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183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181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181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183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183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183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183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183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181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181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183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181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181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183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183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183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183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181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181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181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181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183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183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183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181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181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183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183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183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183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183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181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183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183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183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183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181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183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183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183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183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181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183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183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183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183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183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183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183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183</v>
      </c>
      <c r="D10577" s="29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183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183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181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183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183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181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183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181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183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181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181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183</v>
      </c>
      <c r="D10590" s="29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183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183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183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183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183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183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183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183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183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183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183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181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183</v>
      </c>
      <c r="D10604" s="29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181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183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181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183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181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183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181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181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183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183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183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181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181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183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183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183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183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183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181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181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181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183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183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183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183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181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183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181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181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183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183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181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181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181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181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181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183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183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183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183</v>
      </c>
      <c r="D10647" s="29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181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181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183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181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181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181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183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181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183</v>
      </c>
      <c r="D10656" s="29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181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181</v>
      </c>
      <c r="D10658" s="29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183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183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181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181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183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183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181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183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183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183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183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183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183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181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183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183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183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183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183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181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183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183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183</v>
      </c>
      <c r="D10682" s="29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181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181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183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181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183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181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181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183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183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181</v>
      </c>
      <c r="D10693" s="29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183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183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183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183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183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183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181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183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183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181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181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181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183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183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183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183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183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181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183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183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183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181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181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183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183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181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183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183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183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181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181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183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183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183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181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181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181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183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183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183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181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183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183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183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181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183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181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183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181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181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183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183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183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183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183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183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183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181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181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183</v>
      </c>
      <c r="D10759" s="2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183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181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183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181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183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181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183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183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181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183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181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183</v>
      </c>
      <c r="D10771" s="29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181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181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181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183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183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183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183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183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181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183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183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183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181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183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181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181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181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181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181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181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181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183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183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183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183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183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181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183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183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183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181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181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181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181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181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183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183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181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183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183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183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181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183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183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183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183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183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183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183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181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183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181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181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181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183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183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181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181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183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183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183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183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183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181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181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183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183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183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183</v>
      </c>
      <c r="D10844" s="29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183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181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181</v>
      </c>
      <c r="D10848" s="29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181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183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183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183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181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181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183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183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181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181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181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183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181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181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183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181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181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183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183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183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181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181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181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183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181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181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183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181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183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183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183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183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183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181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181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183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181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181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181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183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183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183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181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183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183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181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181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183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183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183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183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183</v>
      </c>
      <c r="D10905" s="29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181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181</v>
      </c>
      <c r="D10907" s="29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183</v>
      </c>
      <c r="D10908" s="29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183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183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183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181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183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183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183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183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183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183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183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183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181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183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181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181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183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183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181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181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183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183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181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181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181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183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183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183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183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183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183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181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183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183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181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183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181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181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183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183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181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181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183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183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183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181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181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181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183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181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183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181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181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182</v>
      </c>
      <c r="D10965" s="29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181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183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183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183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181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183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183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181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181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181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183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181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183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183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181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183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183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183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183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183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181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181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183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183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183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181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181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181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183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181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183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183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183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183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183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183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183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181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183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181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181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183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183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181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183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181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181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183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181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183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181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181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183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183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181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181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183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181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181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183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183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183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181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183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181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183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183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183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181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183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183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183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181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183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181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181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183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183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183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183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183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183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183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183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183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181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183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181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181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183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183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183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183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183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181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181</v>
      </c>
      <c r="D11078" s="29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181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183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183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183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183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181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181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183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181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183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183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181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183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183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183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183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183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181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183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181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181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181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183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181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181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183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183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181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181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181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181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183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181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181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181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181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183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183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183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181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181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183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181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183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183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183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181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181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181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181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181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183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181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181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183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183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183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183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183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181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181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181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181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183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183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183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183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183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181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181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183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183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183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181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181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183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183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183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183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181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183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183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183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181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181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181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183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183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183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183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183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181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183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183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183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183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181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181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181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181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183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183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183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183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183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183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181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183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183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181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183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183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181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181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183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183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183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183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181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183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181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181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181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181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181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181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181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181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181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181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181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181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183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183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183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183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181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181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181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183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181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183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183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181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181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181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181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181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183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183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183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183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181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181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183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181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183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181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181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181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183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181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181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183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182</v>
      </c>
      <c r="D11256" s="29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181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183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183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183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181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183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183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183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181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181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183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183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181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183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181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183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183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181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181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181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181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183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183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183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181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181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183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181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181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181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183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181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181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183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183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183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181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183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181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183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183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183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183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183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183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183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181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183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183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181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181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183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183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183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181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181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181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181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181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181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183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183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183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181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181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183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183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181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181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183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183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183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183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183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183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181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183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183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183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181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181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181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181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183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181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183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181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181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181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183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183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183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181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181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181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183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183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183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183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181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181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183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181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181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181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181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181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181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183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183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181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181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183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181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183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183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183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183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183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183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183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183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183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183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183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183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183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183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181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183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181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183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181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183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181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181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183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183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183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181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182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181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181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181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181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181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181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181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183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181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183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183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183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183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181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183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181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183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183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181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183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183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183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181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181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183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181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183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181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183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183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183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183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181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183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183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181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183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181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183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181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183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181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181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181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183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181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183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183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183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183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181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181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183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183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183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183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181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181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181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181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183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181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183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181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183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183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183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181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181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181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181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181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183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183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183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183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181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183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181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183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181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181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183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183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183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183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183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181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183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183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181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181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183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181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183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181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183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183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183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181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183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181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183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181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183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183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183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181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181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181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183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183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181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183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181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183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183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183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181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181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183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181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181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181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181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183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183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181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181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181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183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181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183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181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183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181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183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181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183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183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183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183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183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183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183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183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183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183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183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183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183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181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183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183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181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181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181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181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183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181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183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183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181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181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181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183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181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181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183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183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181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183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181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183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183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181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181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183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183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183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181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183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183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181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183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181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183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183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181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181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183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181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183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181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183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182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181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183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183</v>
      </c>
      <c r="D11627" s="29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183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181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183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181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181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183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181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183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183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183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181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183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181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181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181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183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181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181</v>
      </c>
      <c r="D11647" s="29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181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181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183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181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183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181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183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181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181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181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183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183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183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181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183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183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183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183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183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183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183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183</v>
      </c>
      <c r="D11671" s="29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181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181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183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181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181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183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183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183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181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183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183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183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183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181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181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183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181</v>
      </c>
      <c r="D11691" s="29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181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181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183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183</v>
      </c>
      <c r="D11695" s="29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183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183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183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181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183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181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183</v>
      </c>
      <c r="D11706" s="29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181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181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181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183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183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181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181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183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183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183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183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183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183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183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181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181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183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183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181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183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183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183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181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183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181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181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181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181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181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183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183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181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183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183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181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183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183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183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183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181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181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183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183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181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183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183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181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181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181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183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183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183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183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181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181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183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181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181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183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181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183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181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181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183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183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181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181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181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181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181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183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181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183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181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183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181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183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181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183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183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183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183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183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181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183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183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183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183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183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181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181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183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183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181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181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181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181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183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181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181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183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181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181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181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181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183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181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183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181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181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183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183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183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181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183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181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181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183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183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183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183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183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181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183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183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183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183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181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183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183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183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181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181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183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183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183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183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183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181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183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181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181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183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181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181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181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183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183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181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183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181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183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183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181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181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183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181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183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183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183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183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181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181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183</v>
      </c>
      <c r="D11887" s="29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183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181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183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181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181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181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183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181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183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183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181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183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181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183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181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181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183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181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181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183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183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183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181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181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181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183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183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183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181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181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183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183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183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181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183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181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183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183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183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181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183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181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181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181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181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183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183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181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183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181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183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181</v>
      </c>
      <c r="D11946" s="29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183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183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181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183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183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183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181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183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183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181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181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183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181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183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181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181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181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183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181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183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181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181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183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183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181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183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183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183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183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183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181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183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181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181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181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183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183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181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183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181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183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183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181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181</v>
      </c>
      <c r="D11992" s="29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183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181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181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183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181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181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183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183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181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181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181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183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183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183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181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183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181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181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181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183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183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183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181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181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183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181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181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181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181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183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183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183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181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183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181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181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181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181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183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183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181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183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183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183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181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181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183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181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181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183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183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181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183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183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183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181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181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183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183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181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183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183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181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181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181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183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181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183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183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181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183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181</v>
      </c>
      <c r="D12066" s="29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183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181</v>
      </c>
      <c r="D12068" s="29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181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181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183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183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183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181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183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183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181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183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181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183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183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181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181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181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181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183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183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183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183</v>
      </c>
      <c r="D12091" s="29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181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183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183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183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181</v>
      </c>
      <c r="D12096" s="29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182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183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181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183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183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181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181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183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183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183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183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183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183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183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183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181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181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183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183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181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181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181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183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181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183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183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183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183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181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181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183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183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181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183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181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181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181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183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181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183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183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181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181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181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183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183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183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183</v>
      </c>
      <c r="D12152" s="29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183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183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183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183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181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183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183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183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181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181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181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181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183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183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181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181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183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183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181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181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183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181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183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181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181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181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183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181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181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183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183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181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183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183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183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181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181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183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183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181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181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183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183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183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181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183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183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181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183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183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183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183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181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181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183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183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181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181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183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183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183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181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181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183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181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181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181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181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181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183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183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181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181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183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181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183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181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181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183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183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181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181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183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183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183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183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181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183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181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181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181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183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183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181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181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183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183</v>
      </c>
      <c r="D12259" s="2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181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 codeName="Sheet14"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217</v>
      </c>
      <c r="B1" t="s">
        <v>216</v>
      </c>
      <c r="C1" t="s">
        <v>215</v>
      </c>
      <c r="D1" t="s">
        <v>214</v>
      </c>
      <c r="E1" t="s">
        <v>213</v>
      </c>
      <c r="F1" t="s">
        <v>212</v>
      </c>
      <c r="G1" t="s">
        <v>211</v>
      </c>
      <c r="H1" t="s">
        <v>210</v>
      </c>
      <c r="I1" t="s">
        <v>209</v>
      </c>
      <c r="J1" t="s">
        <v>208</v>
      </c>
      <c r="K1" t="s">
        <v>207</v>
      </c>
      <c r="L1" t="s">
        <v>206</v>
      </c>
      <c r="M1" t="s">
        <v>205</v>
      </c>
      <c r="N1" t="s">
        <v>204</v>
      </c>
      <c r="O1" t="s">
        <v>203</v>
      </c>
      <c r="P1" t="s">
        <v>202</v>
      </c>
      <c r="Q1" t="s">
        <v>201</v>
      </c>
      <c r="R1" t="s">
        <v>200</v>
      </c>
      <c r="S1" t="s">
        <v>199</v>
      </c>
      <c r="T1" t="s">
        <v>198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193</v>
      </c>
      <c r="O2" t="s">
        <v>195</v>
      </c>
      <c r="P2">
        <v>446</v>
      </c>
      <c r="Q2">
        <v>33</v>
      </c>
      <c r="R2">
        <v>20</v>
      </c>
      <c r="S2" t="s">
        <v>197</v>
      </c>
      <c r="T2" t="s">
        <v>193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196</v>
      </c>
      <c r="O3" t="s">
        <v>194</v>
      </c>
      <c r="P3">
        <v>632</v>
      </c>
      <c r="Q3">
        <v>43</v>
      </c>
      <c r="R3">
        <v>10</v>
      </c>
      <c r="S3">
        <v>475</v>
      </c>
      <c r="T3" t="s">
        <v>196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193</v>
      </c>
      <c r="O4" t="s">
        <v>194</v>
      </c>
      <c r="P4">
        <v>880</v>
      </c>
      <c r="Q4">
        <v>82</v>
      </c>
      <c r="R4">
        <v>14</v>
      </c>
      <c r="S4">
        <v>480</v>
      </c>
      <c r="T4" t="s">
        <v>193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196</v>
      </c>
      <c r="O5" t="s">
        <v>195</v>
      </c>
      <c r="P5">
        <v>200</v>
      </c>
      <c r="Q5">
        <v>11</v>
      </c>
      <c r="R5">
        <v>3</v>
      </c>
      <c r="S5">
        <v>500</v>
      </c>
      <c r="T5" t="s">
        <v>196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196</v>
      </c>
      <c r="O6" t="s">
        <v>195</v>
      </c>
      <c r="P6">
        <v>805</v>
      </c>
      <c r="Q6">
        <v>40</v>
      </c>
      <c r="R6">
        <v>4</v>
      </c>
      <c r="S6">
        <v>91.5</v>
      </c>
      <c r="T6" t="s">
        <v>196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193</v>
      </c>
      <c r="O7" t="s">
        <v>194</v>
      </c>
      <c r="P7">
        <v>282</v>
      </c>
      <c r="Q7">
        <v>421</v>
      </c>
      <c r="R7">
        <v>25</v>
      </c>
      <c r="S7">
        <v>750</v>
      </c>
      <c r="T7" t="s">
        <v>193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196</v>
      </c>
      <c r="O8" t="s">
        <v>195</v>
      </c>
      <c r="P8">
        <v>76</v>
      </c>
      <c r="Q8">
        <v>127</v>
      </c>
      <c r="R8">
        <v>7</v>
      </c>
      <c r="S8">
        <v>70</v>
      </c>
      <c r="T8" t="s">
        <v>193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193</v>
      </c>
      <c r="O9" t="s">
        <v>194</v>
      </c>
      <c r="P9">
        <v>121</v>
      </c>
      <c r="Q9">
        <v>283</v>
      </c>
      <c r="R9">
        <v>9</v>
      </c>
      <c r="S9">
        <v>100</v>
      </c>
      <c r="T9" t="s">
        <v>193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196</v>
      </c>
      <c r="O10" t="s">
        <v>194</v>
      </c>
      <c r="P10">
        <v>143</v>
      </c>
      <c r="Q10">
        <v>290</v>
      </c>
      <c r="R10">
        <v>19</v>
      </c>
      <c r="S10">
        <v>75</v>
      </c>
      <c r="T10" t="s">
        <v>196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193</v>
      </c>
      <c r="O11" t="s">
        <v>195</v>
      </c>
      <c r="P11">
        <v>0</v>
      </c>
      <c r="Q11">
        <v>0</v>
      </c>
      <c r="R11">
        <v>0</v>
      </c>
      <c r="S11">
        <v>1100</v>
      </c>
      <c r="T11" t="s">
        <v>193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193</v>
      </c>
      <c r="O12" t="s">
        <v>195</v>
      </c>
      <c r="P12">
        <v>238</v>
      </c>
      <c r="Q12">
        <v>445</v>
      </c>
      <c r="R12">
        <v>22</v>
      </c>
      <c r="S12">
        <v>517.14300000000003</v>
      </c>
      <c r="T12" t="s">
        <v>193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196</v>
      </c>
      <c r="O13" t="s">
        <v>194</v>
      </c>
      <c r="P13">
        <v>304</v>
      </c>
      <c r="Q13">
        <v>45</v>
      </c>
      <c r="R13">
        <v>11</v>
      </c>
      <c r="S13">
        <v>512.5</v>
      </c>
      <c r="T13" t="s">
        <v>196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196</v>
      </c>
      <c r="O14" t="s">
        <v>195</v>
      </c>
      <c r="P14">
        <v>211</v>
      </c>
      <c r="Q14">
        <v>11</v>
      </c>
      <c r="R14">
        <v>7</v>
      </c>
      <c r="S14">
        <v>550</v>
      </c>
      <c r="T14" t="s">
        <v>196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193</v>
      </c>
      <c r="O15" t="s">
        <v>195</v>
      </c>
      <c r="P15">
        <v>121</v>
      </c>
      <c r="Q15">
        <v>151</v>
      </c>
      <c r="R15">
        <v>6</v>
      </c>
      <c r="S15">
        <v>700</v>
      </c>
      <c r="T15" t="s">
        <v>193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196</v>
      </c>
      <c r="O16" t="s">
        <v>195</v>
      </c>
      <c r="P16">
        <v>80</v>
      </c>
      <c r="Q16">
        <v>45</v>
      </c>
      <c r="R16">
        <v>8</v>
      </c>
      <c r="S16">
        <v>240</v>
      </c>
      <c r="T16" t="s">
        <v>196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193</v>
      </c>
      <c r="O17" t="s">
        <v>194</v>
      </c>
      <c r="P17">
        <v>118</v>
      </c>
      <c r="Q17">
        <v>0</v>
      </c>
      <c r="R17">
        <v>0</v>
      </c>
      <c r="S17" t="s">
        <v>197</v>
      </c>
      <c r="T17" t="s">
        <v>193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196</v>
      </c>
      <c r="O18" t="s">
        <v>194</v>
      </c>
      <c r="P18">
        <v>105</v>
      </c>
      <c r="Q18">
        <v>290</v>
      </c>
      <c r="R18">
        <v>10</v>
      </c>
      <c r="S18">
        <v>775</v>
      </c>
      <c r="T18" t="s">
        <v>196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193</v>
      </c>
      <c r="O19" t="s">
        <v>194</v>
      </c>
      <c r="P19">
        <v>102</v>
      </c>
      <c r="Q19">
        <v>177</v>
      </c>
      <c r="R19">
        <v>16</v>
      </c>
      <c r="S19">
        <v>175</v>
      </c>
      <c r="T19" t="s">
        <v>193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193</v>
      </c>
      <c r="O20" t="s">
        <v>194</v>
      </c>
      <c r="P20">
        <v>912</v>
      </c>
      <c r="Q20">
        <v>88</v>
      </c>
      <c r="R20">
        <v>9</v>
      </c>
      <c r="S20" t="s">
        <v>197</v>
      </c>
      <c r="T20" t="s">
        <v>193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196</v>
      </c>
      <c r="O21" t="s">
        <v>194</v>
      </c>
      <c r="P21">
        <v>202</v>
      </c>
      <c r="Q21">
        <v>22</v>
      </c>
      <c r="R21">
        <v>2</v>
      </c>
      <c r="S21">
        <v>135</v>
      </c>
      <c r="T21" t="s">
        <v>196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196</v>
      </c>
      <c r="O22" t="s">
        <v>195</v>
      </c>
      <c r="P22">
        <v>280</v>
      </c>
      <c r="Q22">
        <v>9</v>
      </c>
      <c r="R22">
        <v>5</v>
      </c>
      <c r="S22">
        <v>100</v>
      </c>
      <c r="T22" t="s">
        <v>196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193</v>
      </c>
      <c r="O23" t="s">
        <v>194</v>
      </c>
      <c r="P23">
        <v>361</v>
      </c>
      <c r="Q23">
        <v>22</v>
      </c>
      <c r="R23">
        <v>2</v>
      </c>
      <c r="S23">
        <v>115</v>
      </c>
      <c r="T23" t="s">
        <v>196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193</v>
      </c>
      <c r="O24" t="s">
        <v>194</v>
      </c>
      <c r="P24">
        <v>812</v>
      </c>
      <c r="Q24">
        <v>84</v>
      </c>
      <c r="R24">
        <v>11</v>
      </c>
      <c r="S24" t="s">
        <v>197</v>
      </c>
      <c r="T24" t="s">
        <v>193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196</v>
      </c>
      <c r="O25" t="s">
        <v>194</v>
      </c>
      <c r="P25">
        <v>518</v>
      </c>
      <c r="Q25">
        <v>55</v>
      </c>
      <c r="R25">
        <v>3</v>
      </c>
      <c r="S25">
        <v>600</v>
      </c>
      <c r="T25" t="s">
        <v>196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193</v>
      </c>
      <c r="O26" t="s">
        <v>195</v>
      </c>
      <c r="P26">
        <v>1067</v>
      </c>
      <c r="Q26">
        <v>157</v>
      </c>
      <c r="R26">
        <v>14</v>
      </c>
      <c r="S26">
        <v>776.66700000000003</v>
      </c>
      <c r="T26" t="s">
        <v>193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193</v>
      </c>
      <c r="O27" t="s">
        <v>195</v>
      </c>
      <c r="P27">
        <v>434</v>
      </c>
      <c r="Q27">
        <v>9</v>
      </c>
      <c r="R27">
        <v>3</v>
      </c>
      <c r="S27">
        <v>765</v>
      </c>
      <c r="T27" t="s">
        <v>193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196</v>
      </c>
      <c r="O28" t="s">
        <v>195</v>
      </c>
      <c r="P28">
        <v>222</v>
      </c>
      <c r="Q28">
        <v>3</v>
      </c>
      <c r="R28">
        <v>3</v>
      </c>
      <c r="S28">
        <v>708.33299999999997</v>
      </c>
      <c r="T28" t="s">
        <v>196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196</v>
      </c>
      <c r="O29" t="s">
        <v>194</v>
      </c>
      <c r="P29">
        <v>732</v>
      </c>
      <c r="Q29">
        <v>83</v>
      </c>
      <c r="R29">
        <v>13</v>
      </c>
      <c r="S29">
        <v>750</v>
      </c>
      <c r="T29" t="s">
        <v>196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196</v>
      </c>
      <c r="O30" t="s">
        <v>194</v>
      </c>
      <c r="P30">
        <v>262</v>
      </c>
      <c r="Q30">
        <v>329</v>
      </c>
      <c r="R30">
        <v>16</v>
      </c>
      <c r="S30">
        <v>625</v>
      </c>
      <c r="T30" t="s">
        <v>196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193</v>
      </c>
      <c r="O31" t="s">
        <v>194</v>
      </c>
      <c r="P31">
        <v>267</v>
      </c>
      <c r="Q31">
        <v>5</v>
      </c>
      <c r="R31">
        <v>3</v>
      </c>
      <c r="S31">
        <v>900</v>
      </c>
      <c r="T31" t="s">
        <v>193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193</v>
      </c>
      <c r="O32" t="s">
        <v>194</v>
      </c>
      <c r="P32">
        <v>127</v>
      </c>
      <c r="Q32">
        <v>221</v>
      </c>
      <c r="R32">
        <v>7</v>
      </c>
      <c r="S32" t="s">
        <v>197</v>
      </c>
      <c r="T32" t="s">
        <v>193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196</v>
      </c>
      <c r="O33" t="s">
        <v>194</v>
      </c>
      <c r="P33">
        <v>226</v>
      </c>
      <c r="Q33">
        <v>7</v>
      </c>
      <c r="R33">
        <v>4</v>
      </c>
      <c r="S33">
        <v>110</v>
      </c>
      <c r="T33" t="s">
        <v>196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196</v>
      </c>
      <c r="O34" t="s">
        <v>194</v>
      </c>
      <c r="P34">
        <v>1378</v>
      </c>
      <c r="Q34">
        <v>102</v>
      </c>
      <c r="R34">
        <v>8</v>
      </c>
      <c r="S34" t="s">
        <v>197</v>
      </c>
      <c r="T34" t="s">
        <v>196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193</v>
      </c>
      <c r="O35" t="s">
        <v>195</v>
      </c>
      <c r="P35">
        <v>109</v>
      </c>
      <c r="Q35">
        <v>292</v>
      </c>
      <c r="R35">
        <v>25</v>
      </c>
      <c r="S35">
        <v>612.5</v>
      </c>
      <c r="T35" t="s">
        <v>193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193</v>
      </c>
      <c r="O36" t="s">
        <v>194</v>
      </c>
      <c r="P36">
        <v>419</v>
      </c>
      <c r="Q36">
        <v>46</v>
      </c>
      <c r="R36">
        <v>5</v>
      </c>
      <c r="S36">
        <v>300</v>
      </c>
      <c r="T36" t="s">
        <v>193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196</v>
      </c>
      <c r="O37" t="s">
        <v>194</v>
      </c>
      <c r="P37">
        <v>72</v>
      </c>
      <c r="Q37">
        <v>170</v>
      </c>
      <c r="R37">
        <v>24</v>
      </c>
      <c r="S37">
        <v>850</v>
      </c>
      <c r="T37" t="s">
        <v>196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193</v>
      </c>
      <c r="O38" t="s">
        <v>195</v>
      </c>
      <c r="P38">
        <v>70</v>
      </c>
      <c r="Q38">
        <v>149</v>
      </c>
      <c r="R38">
        <v>12</v>
      </c>
      <c r="S38" t="s">
        <v>197</v>
      </c>
      <c r="T38" t="s">
        <v>193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196</v>
      </c>
      <c r="O39" t="s">
        <v>194</v>
      </c>
      <c r="P39">
        <v>442</v>
      </c>
      <c r="Q39">
        <v>59</v>
      </c>
      <c r="R39">
        <v>6</v>
      </c>
      <c r="S39">
        <v>90</v>
      </c>
      <c r="T39" t="s">
        <v>196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193</v>
      </c>
      <c r="O40" t="s">
        <v>195</v>
      </c>
      <c r="P40">
        <v>0</v>
      </c>
      <c r="Q40">
        <v>0</v>
      </c>
      <c r="R40">
        <v>0</v>
      </c>
      <c r="S40" t="s">
        <v>197</v>
      </c>
      <c r="T40" t="s">
        <v>193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196</v>
      </c>
      <c r="O41" t="s">
        <v>194</v>
      </c>
      <c r="P41">
        <v>166</v>
      </c>
      <c r="Q41">
        <v>172</v>
      </c>
      <c r="R41">
        <v>10</v>
      </c>
      <c r="S41" t="s">
        <v>197</v>
      </c>
      <c r="T41" t="s">
        <v>196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193</v>
      </c>
      <c r="O42" t="s">
        <v>195</v>
      </c>
      <c r="P42">
        <v>326</v>
      </c>
      <c r="Q42">
        <v>29</v>
      </c>
      <c r="R42">
        <v>5</v>
      </c>
      <c r="S42">
        <v>67.5</v>
      </c>
      <c r="T42" t="s">
        <v>193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196</v>
      </c>
      <c r="O43" t="s">
        <v>194</v>
      </c>
      <c r="P43">
        <v>103</v>
      </c>
      <c r="Q43">
        <v>84</v>
      </c>
      <c r="R43">
        <v>5</v>
      </c>
      <c r="S43" t="s">
        <v>197</v>
      </c>
      <c r="T43" t="s">
        <v>196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196</v>
      </c>
      <c r="O44" t="s">
        <v>194</v>
      </c>
      <c r="P44">
        <v>69</v>
      </c>
      <c r="Q44">
        <v>1</v>
      </c>
      <c r="R44">
        <v>1</v>
      </c>
      <c r="S44" t="s">
        <v>197</v>
      </c>
      <c r="T44" t="s">
        <v>196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193</v>
      </c>
      <c r="O45" t="s">
        <v>195</v>
      </c>
      <c r="P45">
        <v>307</v>
      </c>
      <c r="Q45">
        <v>25</v>
      </c>
      <c r="R45">
        <v>1</v>
      </c>
      <c r="S45">
        <v>180</v>
      </c>
      <c r="T45" t="s">
        <v>193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193</v>
      </c>
      <c r="O46" t="s">
        <v>195</v>
      </c>
      <c r="P46">
        <v>325</v>
      </c>
      <c r="Q46">
        <v>22</v>
      </c>
      <c r="R46">
        <v>2</v>
      </c>
      <c r="S46" t="s">
        <v>197</v>
      </c>
      <c r="T46" t="s">
        <v>193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193</v>
      </c>
      <c r="O47" t="s">
        <v>195</v>
      </c>
      <c r="P47">
        <v>359</v>
      </c>
      <c r="Q47">
        <v>30</v>
      </c>
      <c r="R47">
        <v>4</v>
      </c>
      <c r="S47">
        <v>305</v>
      </c>
      <c r="T47" t="s">
        <v>193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196</v>
      </c>
      <c r="O48" t="s">
        <v>194</v>
      </c>
      <c r="P48">
        <v>73</v>
      </c>
      <c r="Q48">
        <v>177</v>
      </c>
      <c r="R48">
        <v>18</v>
      </c>
      <c r="S48">
        <v>215</v>
      </c>
      <c r="T48" t="s">
        <v>196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193</v>
      </c>
      <c r="O49" t="s">
        <v>195</v>
      </c>
      <c r="P49">
        <v>58</v>
      </c>
      <c r="Q49">
        <v>4</v>
      </c>
      <c r="R49">
        <v>4</v>
      </c>
      <c r="S49">
        <v>247.5</v>
      </c>
      <c r="T49" t="s">
        <v>193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193</v>
      </c>
      <c r="O50" t="s">
        <v>195</v>
      </c>
      <c r="P50">
        <v>697</v>
      </c>
      <c r="Q50">
        <v>61</v>
      </c>
      <c r="R50">
        <v>9</v>
      </c>
      <c r="S50" t="s">
        <v>197</v>
      </c>
      <c r="T50" t="s">
        <v>193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196</v>
      </c>
      <c r="O51" t="s">
        <v>194</v>
      </c>
      <c r="P51">
        <v>303</v>
      </c>
      <c r="Q51">
        <v>9</v>
      </c>
      <c r="R51">
        <v>9</v>
      </c>
      <c r="S51">
        <v>815</v>
      </c>
      <c r="T51" t="s">
        <v>196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193</v>
      </c>
      <c r="O52" t="s">
        <v>194</v>
      </c>
      <c r="P52">
        <v>389</v>
      </c>
      <c r="Q52">
        <v>39</v>
      </c>
      <c r="R52">
        <v>4</v>
      </c>
      <c r="S52">
        <v>875</v>
      </c>
      <c r="T52" t="s">
        <v>193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196</v>
      </c>
      <c r="O53" t="s">
        <v>195</v>
      </c>
      <c r="P53">
        <v>109</v>
      </c>
      <c r="Q53">
        <v>7</v>
      </c>
      <c r="R53">
        <v>3</v>
      </c>
      <c r="S53">
        <v>70</v>
      </c>
      <c r="T53" t="s">
        <v>196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193</v>
      </c>
      <c r="O54" t="s">
        <v>195</v>
      </c>
      <c r="P54">
        <v>0</v>
      </c>
      <c r="Q54">
        <v>0</v>
      </c>
      <c r="R54">
        <v>0</v>
      </c>
      <c r="S54" t="s">
        <v>197</v>
      </c>
      <c r="T54" t="s">
        <v>193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193</v>
      </c>
      <c r="O55" t="s">
        <v>194</v>
      </c>
      <c r="P55">
        <v>67</v>
      </c>
      <c r="Q55">
        <v>147</v>
      </c>
      <c r="R55">
        <v>4</v>
      </c>
      <c r="S55">
        <v>1200</v>
      </c>
      <c r="T55" t="s">
        <v>193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193</v>
      </c>
      <c r="O56" t="s">
        <v>195</v>
      </c>
      <c r="P56">
        <v>316</v>
      </c>
      <c r="Q56">
        <v>6</v>
      </c>
      <c r="R56">
        <v>5</v>
      </c>
      <c r="S56">
        <v>675</v>
      </c>
      <c r="T56" t="s">
        <v>193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196</v>
      </c>
      <c r="O57" t="s">
        <v>194</v>
      </c>
      <c r="P57">
        <v>161</v>
      </c>
      <c r="Q57">
        <v>10</v>
      </c>
      <c r="R57">
        <v>3</v>
      </c>
      <c r="S57">
        <v>415</v>
      </c>
      <c r="T57" t="s">
        <v>196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196</v>
      </c>
      <c r="O58" t="s">
        <v>194</v>
      </c>
      <c r="P58">
        <v>142</v>
      </c>
      <c r="Q58">
        <v>14</v>
      </c>
      <c r="R58">
        <v>2</v>
      </c>
      <c r="S58">
        <v>340</v>
      </c>
      <c r="T58" t="s">
        <v>196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193</v>
      </c>
      <c r="O59" t="s">
        <v>195</v>
      </c>
      <c r="P59">
        <v>425</v>
      </c>
      <c r="Q59">
        <v>43</v>
      </c>
      <c r="R59">
        <v>4</v>
      </c>
      <c r="S59" t="s">
        <v>197</v>
      </c>
      <c r="T59" t="s">
        <v>193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196</v>
      </c>
      <c r="O60" t="s">
        <v>194</v>
      </c>
      <c r="P60">
        <v>106</v>
      </c>
      <c r="Q60">
        <v>206</v>
      </c>
      <c r="R60">
        <v>7</v>
      </c>
      <c r="S60">
        <v>416.66699999999997</v>
      </c>
      <c r="T60" t="s">
        <v>196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193</v>
      </c>
      <c r="O61" t="s">
        <v>195</v>
      </c>
      <c r="P61">
        <v>240</v>
      </c>
      <c r="Q61">
        <v>482</v>
      </c>
      <c r="R61">
        <v>13</v>
      </c>
      <c r="S61">
        <v>1350</v>
      </c>
      <c r="T61" t="s">
        <v>193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193</v>
      </c>
      <c r="O62" t="s">
        <v>195</v>
      </c>
      <c r="P62">
        <v>203</v>
      </c>
      <c r="Q62">
        <v>70</v>
      </c>
      <c r="R62">
        <v>10</v>
      </c>
      <c r="S62">
        <v>90</v>
      </c>
      <c r="T62" t="s">
        <v>193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196</v>
      </c>
      <c r="O63" t="s">
        <v>195</v>
      </c>
      <c r="P63">
        <v>53</v>
      </c>
      <c r="Q63">
        <v>88</v>
      </c>
      <c r="R63">
        <v>3</v>
      </c>
      <c r="S63">
        <v>275</v>
      </c>
      <c r="T63" t="s">
        <v>196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193</v>
      </c>
      <c r="O64" t="s">
        <v>194</v>
      </c>
      <c r="P64">
        <v>125</v>
      </c>
      <c r="Q64">
        <v>199</v>
      </c>
      <c r="R64">
        <v>13</v>
      </c>
      <c r="S64">
        <v>230</v>
      </c>
      <c r="T64" t="s">
        <v>193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196</v>
      </c>
      <c r="O65" t="s">
        <v>194</v>
      </c>
      <c r="P65">
        <v>73</v>
      </c>
      <c r="Q65">
        <v>152</v>
      </c>
      <c r="R65">
        <v>11</v>
      </c>
      <c r="S65">
        <v>225</v>
      </c>
      <c r="T65" t="s">
        <v>196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193</v>
      </c>
      <c r="O66" t="s">
        <v>194</v>
      </c>
      <c r="P66">
        <v>80</v>
      </c>
      <c r="Q66">
        <v>4</v>
      </c>
      <c r="R66">
        <v>0</v>
      </c>
      <c r="S66" t="s">
        <v>197</v>
      </c>
      <c r="T66" t="s">
        <v>193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193</v>
      </c>
      <c r="O67" t="s">
        <v>195</v>
      </c>
      <c r="P67">
        <v>0</v>
      </c>
      <c r="Q67">
        <v>0</v>
      </c>
      <c r="R67">
        <v>0</v>
      </c>
      <c r="S67">
        <v>950</v>
      </c>
      <c r="T67" t="s">
        <v>193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196</v>
      </c>
      <c r="O68" t="s">
        <v>195</v>
      </c>
      <c r="P68">
        <v>391</v>
      </c>
      <c r="Q68">
        <v>38</v>
      </c>
      <c r="R68">
        <v>8</v>
      </c>
      <c r="S68" t="s">
        <v>197</v>
      </c>
      <c r="T68" t="s">
        <v>196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193</v>
      </c>
      <c r="O69" t="s">
        <v>194</v>
      </c>
      <c r="P69">
        <v>152</v>
      </c>
      <c r="Q69">
        <v>3</v>
      </c>
      <c r="R69">
        <v>5</v>
      </c>
      <c r="S69">
        <v>75</v>
      </c>
      <c r="T69" t="s">
        <v>193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193</v>
      </c>
      <c r="O70" t="s">
        <v>195</v>
      </c>
      <c r="P70">
        <v>107</v>
      </c>
      <c r="Q70">
        <v>242</v>
      </c>
      <c r="R70">
        <v>23</v>
      </c>
      <c r="S70">
        <v>105</v>
      </c>
      <c r="T70" t="s">
        <v>193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193</v>
      </c>
      <c r="O71" t="s">
        <v>195</v>
      </c>
      <c r="P71">
        <v>211</v>
      </c>
      <c r="Q71">
        <v>2</v>
      </c>
      <c r="R71">
        <v>1</v>
      </c>
      <c r="S71" t="s">
        <v>197</v>
      </c>
      <c r="T71" t="s">
        <v>193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196</v>
      </c>
      <c r="O72" t="s">
        <v>194</v>
      </c>
      <c r="P72">
        <v>153</v>
      </c>
      <c r="Q72">
        <v>223</v>
      </c>
      <c r="R72">
        <v>10</v>
      </c>
      <c r="S72">
        <v>320</v>
      </c>
      <c r="T72" t="s">
        <v>196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196</v>
      </c>
      <c r="O73" t="s">
        <v>195</v>
      </c>
      <c r="P73">
        <v>244</v>
      </c>
      <c r="Q73">
        <v>21</v>
      </c>
      <c r="R73">
        <v>4</v>
      </c>
      <c r="S73" t="s">
        <v>197</v>
      </c>
      <c r="T73" t="s">
        <v>196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193</v>
      </c>
      <c r="O74" t="s">
        <v>194</v>
      </c>
      <c r="P74">
        <v>119</v>
      </c>
      <c r="Q74">
        <v>216</v>
      </c>
      <c r="R74">
        <v>12</v>
      </c>
      <c r="S74">
        <v>850</v>
      </c>
      <c r="T74" t="s">
        <v>193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193</v>
      </c>
      <c r="O75" t="s">
        <v>195</v>
      </c>
      <c r="P75">
        <v>808</v>
      </c>
      <c r="Q75">
        <v>108</v>
      </c>
      <c r="R75">
        <v>2</v>
      </c>
      <c r="S75">
        <v>535</v>
      </c>
      <c r="T75" t="s">
        <v>193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193</v>
      </c>
      <c r="O76" t="s">
        <v>195</v>
      </c>
      <c r="P76">
        <v>280</v>
      </c>
      <c r="Q76">
        <v>10</v>
      </c>
      <c r="R76">
        <v>5</v>
      </c>
      <c r="S76">
        <v>933.33299999999997</v>
      </c>
      <c r="T76" t="s">
        <v>193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193</v>
      </c>
      <c r="O77" t="s">
        <v>195</v>
      </c>
      <c r="P77">
        <v>224</v>
      </c>
      <c r="Q77">
        <v>286</v>
      </c>
      <c r="R77">
        <v>8</v>
      </c>
      <c r="S77">
        <v>850</v>
      </c>
      <c r="T77" t="s">
        <v>196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196</v>
      </c>
      <c r="O78" t="s">
        <v>194</v>
      </c>
      <c r="P78">
        <v>226</v>
      </c>
      <c r="Q78">
        <v>7</v>
      </c>
      <c r="R78">
        <v>3</v>
      </c>
      <c r="S78">
        <v>210</v>
      </c>
      <c r="T78" t="s">
        <v>193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196</v>
      </c>
      <c r="O79" t="s">
        <v>195</v>
      </c>
      <c r="P79">
        <v>83</v>
      </c>
      <c r="Q79">
        <v>2</v>
      </c>
      <c r="R79">
        <v>1</v>
      </c>
      <c r="S79" t="s">
        <v>197</v>
      </c>
      <c r="T79" t="s">
        <v>196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193</v>
      </c>
      <c r="O80" t="s">
        <v>194</v>
      </c>
      <c r="P80">
        <v>182</v>
      </c>
      <c r="Q80">
        <v>9</v>
      </c>
      <c r="R80">
        <v>4</v>
      </c>
      <c r="S80">
        <v>325</v>
      </c>
      <c r="T80" t="s">
        <v>193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193</v>
      </c>
      <c r="O81" t="s">
        <v>194</v>
      </c>
      <c r="P81">
        <v>104</v>
      </c>
      <c r="Q81">
        <v>213</v>
      </c>
      <c r="R81">
        <v>9</v>
      </c>
      <c r="S81">
        <v>275</v>
      </c>
      <c r="T81" t="s">
        <v>193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193</v>
      </c>
      <c r="O82" t="s">
        <v>194</v>
      </c>
      <c r="P82">
        <v>463</v>
      </c>
      <c r="Q82">
        <v>32</v>
      </c>
      <c r="R82">
        <v>8</v>
      </c>
      <c r="S82" t="s">
        <v>197</v>
      </c>
      <c r="T82" t="s">
        <v>193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196</v>
      </c>
      <c r="O83" t="s">
        <v>195</v>
      </c>
      <c r="P83">
        <v>51</v>
      </c>
      <c r="Q83">
        <v>54</v>
      </c>
      <c r="R83">
        <v>8</v>
      </c>
      <c r="S83">
        <v>450</v>
      </c>
      <c r="T83" t="s">
        <v>196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193</v>
      </c>
      <c r="O84" t="s">
        <v>195</v>
      </c>
      <c r="P84">
        <v>1377</v>
      </c>
      <c r="Q84">
        <v>100</v>
      </c>
      <c r="R84">
        <v>6</v>
      </c>
      <c r="S84">
        <v>1975</v>
      </c>
      <c r="T84" t="s">
        <v>193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193</v>
      </c>
      <c r="O85" t="s">
        <v>194</v>
      </c>
      <c r="P85">
        <v>92</v>
      </c>
      <c r="Q85">
        <v>2</v>
      </c>
      <c r="R85">
        <v>2</v>
      </c>
      <c r="S85" t="s">
        <v>197</v>
      </c>
      <c r="T85" t="s">
        <v>193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196</v>
      </c>
      <c r="O86" t="s">
        <v>194</v>
      </c>
      <c r="P86">
        <v>303</v>
      </c>
      <c r="Q86">
        <v>6</v>
      </c>
      <c r="R86">
        <v>6</v>
      </c>
      <c r="S86">
        <v>1900</v>
      </c>
      <c r="T86" t="s">
        <v>196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193</v>
      </c>
      <c r="O87" t="s">
        <v>194</v>
      </c>
      <c r="P87">
        <v>276</v>
      </c>
      <c r="Q87">
        <v>6</v>
      </c>
      <c r="R87">
        <v>2</v>
      </c>
      <c r="S87">
        <v>600</v>
      </c>
      <c r="T87" t="s">
        <v>193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196</v>
      </c>
      <c r="O88" t="s">
        <v>194</v>
      </c>
      <c r="P88">
        <v>278</v>
      </c>
      <c r="Q88">
        <v>9</v>
      </c>
      <c r="R88">
        <v>9</v>
      </c>
      <c r="S88">
        <v>1041.6669999999999</v>
      </c>
      <c r="T88" t="s">
        <v>196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193</v>
      </c>
      <c r="O89" t="s">
        <v>195</v>
      </c>
      <c r="P89">
        <v>148</v>
      </c>
      <c r="Q89">
        <v>4</v>
      </c>
      <c r="R89">
        <v>2</v>
      </c>
      <c r="S89">
        <v>110</v>
      </c>
      <c r="T89" t="s">
        <v>193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193</v>
      </c>
      <c r="O90" t="s">
        <v>194</v>
      </c>
      <c r="P90">
        <v>165</v>
      </c>
      <c r="Q90">
        <v>9</v>
      </c>
      <c r="R90">
        <v>1</v>
      </c>
      <c r="S90">
        <v>260</v>
      </c>
      <c r="T90" t="s">
        <v>193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193</v>
      </c>
      <c r="O91" t="s">
        <v>194</v>
      </c>
      <c r="P91">
        <v>246</v>
      </c>
      <c r="Q91">
        <v>389</v>
      </c>
      <c r="R91">
        <v>18</v>
      </c>
      <c r="S91">
        <v>475</v>
      </c>
      <c r="T91" t="s">
        <v>193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193</v>
      </c>
      <c r="O92" t="s">
        <v>194</v>
      </c>
      <c r="P92">
        <v>533</v>
      </c>
      <c r="Q92">
        <v>40</v>
      </c>
      <c r="R92">
        <v>4</v>
      </c>
      <c r="S92">
        <v>431.5</v>
      </c>
      <c r="T92" t="s">
        <v>193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196</v>
      </c>
      <c r="O93" t="s">
        <v>195</v>
      </c>
      <c r="P93">
        <v>226</v>
      </c>
      <c r="Q93">
        <v>10</v>
      </c>
      <c r="R93">
        <v>6</v>
      </c>
      <c r="S93">
        <v>1220</v>
      </c>
      <c r="T93" t="s">
        <v>196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193</v>
      </c>
      <c r="O94" t="s">
        <v>195</v>
      </c>
      <c r="P94">
        <v>45</v>
      </c>
      <c r="Q94">
        <v>122</v>
      </c>
      <c r="R94">
        <v>26</v>
      </c>
      <c r="S94">
        <v>70</v>
      </c>
      <c r="T94" t="s">
        <v>193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193</v>
      </c>
      <c r="O95" t="s">
        <v>194</v>
      </c>
      <c r="P95">
        <v>157</v>
      </c>
      <c r="Q95">
        <v>7</v>
      </c>
      <c r="R95">
        <v>8</v>
      </c>
      <c r="S95">
        <v>145</v>
      </c>
      <c r="T95" t="s">
        <v>193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196</v>
      </c>
      <c r="O96" t="s">
        <v>194</v>
      </c>
      <c r="P96">
        <v>142</v>
      </c>
      <c r="Q96">
        <v>210</v>
      </c>
      <c r="R96">
        <v>10</v>
      </c>
      <c r="S96" t="s">
        <v>197</v>
      </c>
      <c r="T96" t="s">
        <v>196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196</v>
      </c>
      <c r="O97" t="s">
        <v>194</v>
      </c>
      <c r="P97">
        <v>59</v>
      </c>
      <c r="Q97">
        <v>156</v>
      </c>
      <c r="R97">
        <v>9</v>
      </c>
      <c r="S97">
        <v>595</v>
      </c>
      <c r="T97" t="s">
        <v>196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193</v>
      </c>
      <c r="O98" t="s">
        <v>195</v>
      </c>
      <c r="P98">
        <v>292</v>
      </c>
      <c r="Q98">
        <v>9</v>
      </c>
      <c r="R98">
        <v>5</v>
      </c>
      <c r="S98">
        <v>1861.46</v>
      </c>
      <c r="T98" t="s">
        <v>193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196</v>
      </c>
      <c r="O99" t="s">
        <v>194</v>
      </c>
      <c r="P99">
        <v>360</v>
      </c>
      <c r="Q99">
        <v>32</v>
      </c>
      <c r="R99">
        <v>5</v>
      </c>
      <c r="S99" t="s">
        <v>197</v>
      </c>
      <c r="T99" t="s">
        <v>196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196</v>
      </c>
      <c r="O100" t="s">
        <v>194</v>
      </c>
      <c r="P100">
        <v>274</v>
      </c>
      <c r="Q100">
        <v>2</v>
      </c>
      <c r="R100">
        <v>7</v>
      </c>
      <c r="S100">
        <v>300</v>
      </c>
      <c r="T100" t="s">
        <v>196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196</v>
      </c>
      <c r="O101" t="s">
        <v>194</v>
      </c>
      <c r="P101">
        <v>292</v>
      </c>
      <c r="Q101">
        <v>6</v>
      </c>
      <c r="R101">
        <v>3</v>
      </c>
      <c r="S101">
        <v>490</v>
      </c>
      <c r="T101" t="s">
        <v>196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193</v>
      </c>
      <c r="O102" t="s">
        <v>195</v>
      </c>
      <c r="P102">
        <v>1045</v>
      </c>
      <c r="Q102">
        <v>88</v>
      </c>
      <c r="R102">
        <v>13</v>
      </c>
      <c r="S102">
        <v>2460</v>
      </c>
      <c r="T102" t="s">
        <v>193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193</v>
      </c>
      <c r="O103" t="s">
        <v>195</v>
      </c>
      <c r="P103">
        <v>212</v>
      </c>
      <c r="Q103">
        <v>327</v>
      </c>
      <c r="R103">
        <v>20</v>
      </c>
      <c r="S103" t="s">
        <v>197</v>
      </c>
      <c r="T103" t="s">
        <v>193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193</v>
      </c>
      <c r="O104" t="s">
        <v>195</v>
      </c>
      <c r="P104">
        <v>102</v>
      </c>
      <c r="Q104">
        <v>132</v>
      </c>
      <c r="R104">
        <v>10</v>
      </c>
      <c r="S104">
        <v>375</v>
      </c>
      <c r="T104" t="s">
        <v>193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193</v>
      </c>
      <c r="O105" t="s">
        <v>195</v>
      </c>
      <c r="P105">
        <v>709</v>
      </c>
      <c r="Q105">
        <v>41</v>
      </c>
      <c r="R105">
        <v>7</v>
      </c>
      <c r="S105" t="s">
        <v>197</v>
      </c>
      <c r="T105" t="s">
        <v>193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193</v>
      </c>
      <c r="O106" t="s">
        <v>195</v>
      </c>
      <c r="P106">
        <v>244</v>
      </c>
      <c r="Q106">
        <v>2</v>
      </c>
      <c r="R106">
        <v>4</v>
      </c>
      <c r="S106" t="s">
        <v>197</v>
      </c>
      <c r="T106" t="s">
        <v>193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193</v>
      </c>
      <c r="O107" t="s">
        <v>195</v>
      </c>
      <c r="P107">
        <v>40</v>
      </c>
      <c r="Q107">
        <v>115</v>
      </c>
      <c r="R107">
        <v>15</v>
      </c>
      <c r="S107" t="s">
        <v>197</v>
      </c>
      <c r="T107" t="s">
        <v>193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196</v>
      </c>
      <c r="O108" t="s">
        <v>194</v>
      </c>
      <c r="P108">
        <v>206</v>
      </c>
      <c r="Q108">
        <v>10</v>
      </c>
      <c r="R108">
        <v>7</v>
      </c>
      <c r="S108" t="s">
        <v>197</v>
      </c>
      <c r="T108" t="s">
        <v>196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193</v>
      </c>
      <c r="O109" t="s">
        <v>194</v>
      </c>
      <c r="P109">
        <v>316</v>
      </c>
      <c r="Q109">
        <v>439</v>
      </c>
      <c r="R109">
        <v>10</v>
      </c>
      <c r="S109">
        <v>750</v>
      </c>
      <c r="T109" t="s">
        <v>193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193</v>
      </c>
      <c r="O110" t="s">
        <v>195</v>
      </c>
      <c r="P110">
        <v>269</v>
      </c>
      <c r="Q110">
        <v>17</v>
      </c>
      <c r="R110">
        <v>10</v>
      </c>
      <c r="S110">
        <v>1175</v>
      </c>
      <c r="T110" t="s">
        <v>193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193</v>
      </c>
      <c r="O111" t="s">
        <v>195</v>
      </c>
      <c r="P111">
        <v>116</v>
      </c>
      <c r="Q111">
        <v>5</v>
      </c>
      <c r="R111">
        <v>12</v>
      </c>
      <c r="S111">
        <v>70</v>
      </c>
      <c r="T111" t="s">
        <v>193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193</v>
      </c>
      <c r="O112" t="s">
        <v>194</v>
      </c>
      <c r="P112">
        <v>97</v>
      </c>
      <c r="Q112">
        <v>218</v>
      </c>
      <c r="R112">
        <v>16</v>
      </c>
      <c r="S112">
        <v>1500</v>
      </c>
      <c r="T112" t="s">
        <v>193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196</v>
      </c>
      <c r="O113" t="s">
        <v>194</v>
      </c>
      <c r="P113">
        <v>726</v>
      </c>
      <c r="Q113">
        <v>87</v>
      </c>
      <c r="R113">
        <v>3</v>
      </c>
      <c r="S113">
        <v>385</v>
      </c>
      <c r="T113" t="s">
        <v>193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196</v>
      </c>
      <c r="O114" t="s">
        <v>195</v>
      </c>
      <c r="P114">
        <v>869</v>
      </c>
      <c r="Q114">
        <v>62</v>
      </c>
      <c r="R114">
        <v>8</v>
      </c>
      <c r="S114">
        <v>1925.5709999999999</v>
      </c>
      <c r="T114" t="s">
        <v>196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196</v>
      </c>
      <c r="O115" t="s">
        <v>194</v>
      </c>
      <c r="P115">
        <v>1253</v>
      </c>
      <c r="Q115">
        <v>111</v>
      </c>
      <c r="R115">
        <v>11</v>
      </c>
      <c r="S115">
        <v>215</v>
      </c>
      <c r="T115" t="s">
        <v>196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196</v>
      </c>
      <c r="O116" t="s">
        <v>195</v>
      </c>
      <c r="P116">
        <v>96</v>
      </c>
      <c r="Q116">
        <v>4</v>
      </c>
      <c r="R116">
        <v>4</v>
      </c>
      <c r="S116" t="s">
        <v>197</v>
      </c>
      <c r="T116" t="s">
        <v>196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193</v>
      </c>
      <c r="O117" t="s">
        <v>194</v>
      </c>
      <c r="P117">
        <v>118</v>
      </c>
      <c r="Q117">
        <v>334</v>
      </c>
      <c r="R117">
        <v>21</v>
      </c>
      <c r="S117">
        <v>900</v>
      </c>
      <c r="T117" t="s">
        <v>193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193</v>
      </c>
      <c r="O118" t="s">
        <v>194</v>
      </c>
      <c r="P118">
        <v>228</v>
      </c>
      <c r="Q118">
        <v>377</v>
      </c>
      <c r="R118">
        <v>26</v>
      </c>
      <c r="S118">
        <v>155</v>
      </c>
      <c r="T118" t="s">
        <v>193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193</v>
      </c>
      <c r="O119" t="s">
        <v>194</v>
      </c>
      <c r="P119">
        <v>144</v>
      </c>
      <c r="Q119">
        <v>6</v>
      </c>
      <c r="R119">
        <v>5</v>
      </c>
      <c r="S119">
        <v>700</v>
      </c>
      <c r="T119" t="s">
        <v>193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196</v>
      </c>
      <c r="O120" t="s">
        <v>194</v>
      </c>
      <c r="P120">
        <v>282</v>
      </c>
      <c r="Q120">
        <v>487</v>
      </c>
      <c r="R120">
        <v>19</v>
      </c>
      <c r="S120">
        <v>535</v>
      </c>
      <c r="T120" t="s">
        <v>196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193</v>
      </c>
      <c r="O121" t="s">
        <v>195</v>
      </c>
      <c r="P121">
        <v>91</v>
      </c>
      <c r="Q121">
        <v>185</v>
      </c>
      <c r="R121">
        <v>12</v>
      </c>
      <c r="S121">
        <v>362.5</v>
      </c>
      <c r="T121" t="s">
        <v>193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196</v>
      </c>
      <c r="O122" t="s">
        <v>195</v>
      </c>
      <c r="P122">
        <v>137</v>
      </c>
      <c r="Q122">
        <v>5</v>
      </c>
      <c r="R122">
        <v>9</v>
      </c>
      <c r="S122">
        <v>733.33299999999997</v>
      </c>
      <c r="T122" t="s">
        <v>196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196</v>
      </c>
      <c r="O123" t="s">
        <v>194</v>
      </c>
      <c r="P123">
        <v>83</v>
      </c>
      <c r="Q123">
        <v>174</v>
      </c>
      <c r="R123">
        <v>16</v>
      </c>
      <c r="S123">
        <v>200</v>
      </c>
      <c r="T123" t="s">
        <v>196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193</v>
      </c>
      <c r="O124" t="s">
        <v>194</v>
      </c>
      <c r="P124">
        <v>462</v>
      </c>
      <c r="Q124">
        <v>9</v>
      </c>
      <c r="R124">
        <v>7</v>
      </c>
      <c r="S124">
        <v>400</v>
      </c>
      <c r="T124" t="s">
        <v>193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196</v>
      </c>
      <c r="O125" t="s">
        <v>195</v>
      </c>
      <c r="P125">
        <v>185</v>
      </c>
      <c r="Q125">
        <v>8</v>
      </c>
      <c r="R125">
        <v>4</v>
      </c>
      <c r="S125">
        <v>400</v>
      </c>
      <c r="T125" t="s">
        <v>193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196</v>
      </c>
      <c r="O126" t="s">
        <v>194</v>
      </c>
      <c r="P126">
        <v>207</v>
      </c>
      <c r="Q126">
        <v>358</v>
      </c>
      <c r="R126">
        <v>20</v>
      </c>
      <c r="S126">
        <v>737.5</v>
      </c>
      <c r="T126" t="s">
        <v>196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193</v>
      </c>
      <c r="O127" t="s">
        <v>194</v>
      </c>
      <c r="P127">
        <v>0</v>
      </c>
      <c r="Q127">
        <v>0</v>
      </c>
      <c r="R127">
        <v>0</v>
      </c>
      <c r="S127" t="s">
        <v>197</v>
      </c>
      <c r="T127" t="s">
        <v>193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193</v>
      </c>
      <c r="O128" t="s">
        <v>194</v>
      </c>
      <c r="P128">
        <v>670</v>
      </c>
      <c r="Q128">
        <v>57</v>
      </c>
      <c r="R128">
        <v>5</v>
      </c>
      <c r="S128">
        <v>500</v>
      </c>
      <c r="T128" t="s">
        <v>193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193</v>
      </c>
      <c r="O129" t="s">
        <v>194</v>
      </c>
      <c r="P129">
        <v>237</v>
      </c>
      <c r="Q129">
        <v>8</v>
      </c>
      <c r="R129">
        <v>1</v>
      </c>
      <c r="S129">
        <v>600</v>
      </c>
      <c r="T129" t="s">
        <v>193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196</v>
      </c>
      <c r="O130" t="s">
        <v>195</v>
      </c>
      <c r="P130">
        <v>331</v>
      </c>
      <c r="Q130">
        <v>20</v>
      </c>
      <c r="R130">
        <v>4</v>
      </c>
      <c r="S130">
        <v>662.5</v>
      </c>
      <c r="T130" t="s">
        <v>196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193</v>
      </c>
      <c r="O131" t="s">
        <v>194</v>
      </c>
      <c r="P131">
        <v>295</v>
      </c>
      <c r="Q131">
        <v>15</v>
      </c>
      <c r="R131">
        <v>5</v>
      </c>
      <c r="S131">
        <v>950</v>
      </c>
      <c r="T131" t="s">
        <v>193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196</v>
      </c>
      <c r="O132" t="s">
        <v>195</v>
      </c>
      <c r="P132">
        <v>116</v>
      </c>
      <c r="Q132">
        <v>222</v>
      </c>
      <c r="R132">
        <v>15</v>
      </c>
      <c r="S132">
        <v>750</v>
      </c>
      <c r="T132" t="s">
        <v>196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196</v>
      </c>
      <c r="O133" t="s">
        <v>195</v>
      </c>
      <c r="P133">
        <v>50</v>
      </c>
      <c r="Q133">
        <v>136</v>
      </c>
      <c r="R133">
        <v>20</v>
      </c>
      <c r="S133">
        <v>297.5</v>
      </c>
      <c r="T133" t="s">
        <v>196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193</v>
      </c>
      <c r="O134" t="s">
        <v>194</v>
      </c>
      <c r="P134">
        <v>0</v>
      </c>
      <c r="Q134">
        <v>0</v>
      </c>
      <c r="R134">
        <v>0</v>
      </c>
      <c r="S134">
        <v>325</v>
      </c>
      <c r="T134" t="s">
        <v>193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193</v>
      </c>
      <c r="O135" t="s">
        <v>194</v>
      </c>
      <c r="P135">
        <v>278</v>
      </c>
      <c r="Q135">
        <v>415</v>
      </c>
      <c r="R135">
        <v>16</v>
      </c>
      <c r="S135">
        <v>87.5</v>
      </c>
      <c r="T135" t="s">
        <v>193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196</v>
      </c>
      <c r="O136" t="s">
        <v>194</v>
      </c>
      <c r="P136">
        <v>138</v>
      </c>
      <c r="Q136">
        <v>15</v>
      </c>
      <c r="R136">
        <v>1</v>
      </c>
      <c r="S136">
        <v>175</v>
      </c>
      <c r="T136" t="s">
        <v>196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196</v>
      </c>
      <c r="O137" t="s">
        <v>195</v>
      </c>
      <c r="P137">
        <v>97</v>
      </c>
      <c r="Q137">
        <v>2</v>
      </c>
      <c r="R137">
        <v>2</v>
      </c>
      <c r="S137">
        <v>90</v>
      </c>
      <c r="T137" t="s">
        <v>196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193</v>
      </c>
      <c r="O138" t="s">
        <v>195</v>
      </c>
      <c r="P138">
        <v>368</v>
      </c>
      <c r="Q138">
        <v>20</v>
      </c>
      <c r="R138">
        <v>3</v>
      </c>
      <c r="S138">
        <v>1237.5</v>
      </c>
      <c r="T138" t="s">
        <v>193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193</v>
      </c>
      <c r="O139" t="s">
        <v>195</v>
      </c>
      <c r="P139">
        <v>211</v>
      </c>
      <c r="Q139">
        <v>56</v>
      </c>
      <c r="R139">
        <v>13</v>
      </c>
      <c r="S139">
        <v>430</v>
      </c>
      <c r="T139" t="s">
        <v>193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193</v>
      </c>
      <c r="O140" t="s">
        <v>195</v>
      </c>
      <c r="P140">
        <v>122</v>
      </c>
      <c r="Q140">
        <v>140</v>
      </c>
      <c r="R140">
        <v>5</v>
      </c>
      <c r="S140" t="s">
        <v>197</v>
      </c>
      <c r="T140" t="s">
        <v>196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193</v>
      </c>
      <c r="O141" t="s">
        <v>194</v>
      </c>
      <c r="P141">
        <v>276</v>
      </c>
      <c r="Q141">
        <v>7</v>
      </c>
      <c r="R141">
        <v>9</v>
      </c>
      <c r="S141">
        <v>100</v>
      </c>
      <c r="T141" t="s">
        <v>196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193</v>
      </c>
      <c r="O142" t="s">
        <v>194</v>
      </c>
      <c r="P142">
        <v>319</v>
      </c>
      <c r="Q142">
        <v>4</v>
      </c>
      <c r="R142">
        <v>14</v>
      </c>
      <c r="S142">
        <v>165</v>
      </c>
      <c r="T142" t="s">
        <v>193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193</v>
      </c>
      <c r="O143" t="s">
        <v>195</v>
      </c>
      <c r="P143">
        <v>241</v>
      </c>
      <c r="Q143">
        <v>8</v>
      </c>
      <c r="R143">
        <v>6</v>
      </c>
      <c r="S143">
        <v>250</v>
      </c>
      <c r="T143" t="s">
        <v>193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196</v>
      </c>
      <c r="O144" t="s">
        <v>195</v>
      </c>
      <c r="P144">
        <v>623</v>
      </c>
      <c r="Q144">
        <v>35</v>
      </c>
      <c r="R144">
        <v>3</v>
      </c>
      <c r="S144">
        <v>1300</v>
      </c>
      <c r="T144" t="s">
        <v>196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196</v>
      </c>
      <c r="O145" t="s">
        <v>194</v>
      </c>
      <c r="P145">
        <v>237</v>
      </c>
      <c r="Q145">
        <v>5</v>
      </c>
      <c r="R145">
        <v>4</v>
      </c>
      <c r="S145">
        <v>773.33299999999997</v>
      </c>
      <c r="T145" t="s">
        <v>196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193</v>
      </c>
      <c r="O146" t="s">
        <v>194</v>
      </c>
      <c r="P146">
        <v>132</v>
      </c>
      <c r="Q146">
        <v>205</v>
      </c>
      <c r="R146">
        <v>5</v>
      </c>
      <c r="S146" t="s">
        <v>197</v>
      </c>
      <c r="T146" t="s">
        <v>193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196</v>
      </c>
      <c r="O147" t="s">
        <v>195</v>
      </c>
      <c r="P147">
        <v>885</v>
      </c>
      <c r="Q147">
        <v>105</v>
      </c>
      <c r="R147">
        <v>8</v>
      </c>
      <c r="S147">
        <v>1008.333</v>
      </c>
      <c r="T147" t="s">
        <v>196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193</v>
      </c>
      <c r="O148" t="s">
        <v>195</v>
      </c>
      <c r="P148">
        <v>33</v>
      </c>
      <c r="Q148">
        <v>3</v>
      </c>
      <c r="R148">
        <v>0</v>
      </c>
      <c r="S148">
        <v>275</v>
      </c>
      <c r="T148" t="s">
        <v>193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193</v>
      </c>
      <c r="O149" t="s">
        <v>195</v>
      </c>
      <c r="P149">
        <v>231</v>
      </c>
      <c r="Q149">
        <v>374</v>
      </c>
      <c r="R149">
        <v>18</v>
      </c>
      <c r="S149">
        <v>775</v>
      </c>
      <c r="T149" t="s">
        <v>193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193</v>
      </c>
      <c r="O150" t="s">
        <v>195</v>
      </c>
      <c r="P150">
        <v>304</v>
      </c>
      <c r="Q150">
        <v>347</v>
      </c>
      <c r="R150">
        <v>10</v>
      </c>
      <c r="S150">
        <v>850</v>
      </c>
      <c r="T150" t="s">
        <v>193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193</v>
      </c>
      <c r="O151" t="s">
        <v>195</v>
      </c>
      <c r="P151">
        <v>0</v>
      </c>
      <c r="Q151">
        <v>0</v>
      </c>
      <c r="R151">
        <v>0</v>
      </c>
      <c r="S151">
        <v>365</v>
      </c>
      <c r="T151" t="s">
        <v>193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193</v>
      </c>
      <c r="O152" t="s">
        <v>194</v>
      </c>
      <c r="P152">
        <v>132</v>
      </c>
      <c r="Q152">
        <v>9</v>
      </c>
      <c r="R152">
        <v>0</v>
      </c>
      <c r="S152" t="s">
        <v>197</v>
      </c>
      <c r="T152" t="s">
        <v>193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193</v>
      </c>
      <c r="O153" t="s">
        <v>194</v>
      </c>
      <c r="P153">
        <v>28</v>
      </c>
      <c r="Q153">
        <v>56</v>
      </c>
      <c r="R153">
        <v>2</v>
      </c>
      <c r="S153">
        <v>95</v>
      </c>
      <c r="T153" t="s">
        <v>193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196</v>
      </c>
      <c r="O154" t="s">
        <v>194</v>
      </c>
      <c r="P154">
        <v>102</v>
      </c>
      <c r="Q154">
        <v>4</v>
      </c>
      <c r="R154">
        <v>2</v>
      </c>
      <c r="S154">
        <v>110</v>
      </c>
      <c r="T154" t="s">
        <v>196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196</v>
      </c>
      <c r="O155" t="s">
        <v>194</v>
      </c>
      <c r="P155">
        <v>158</v>
      </c>
      <c r="Q155">
        <v>4</v>
      </c>
      <c r="R155">
        <v>5</v>
      </c>
      <c r="S155">
        <v>100</v>
      </c>
      <c r="T155" t="s">
        <v>196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196</v>
      </c>
      <c r="O156" t="s">
        <v>195</v>
      </c>
      <c r="P156">
        <v>92</v>
      </c>
      <c r="Q156">
        <v>257</v>
      </c>
      <c r="R156">
        <v>20</v>
      </c>
      <c r="S156">
        <v>277.5</v>
      </c>
      <c r="T156" t="s">
        <v>196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193</v>
      </c>
      <c r="O157" t="s">
        <v>194</v>
      </c>
      <c r="P157">
        <v>211</v>
      </c>
      <c r="Q157">
        <v>9</v>
      </c>
      <c r="R157">
        <v>3</v>
      </c>
      <c r="S157">
        <v>80</v>
      </c>
      <c r="T157" t="s">
        <v>193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196</v>
      </c>
      <c r="O158" t="s">
        <v>195</v>
      </c>
      <c r="P158">
        <v>161</v>
      </c>
      <c r="Q158">
        <v>3</v>
      </c>
      <c r="R158">
        <v>3</v>
      </c>
      <c r="S158">
        <v>600</v>
      </c>
      <c r="T158" t="s">
        <v>196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196</v>
      </c>
      <c r="O159" t="s">
        <v>195</v>
      </c>
      <c r="P159">
        <v>193</v>
      </c>
      <c r="Q159">
        <v>11</v>
      </c>
      <c r="R159">
        <v>4</v>
      </c>
      <c r="S159" t="s">
        <v>197</v>
      </c>
      <c r="T159" t="s">
        <v>196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193</v>
      </c>
      <c r="O160" t="s">
        <v>194</v>
      </c>
      <c r="P160">
        <v>0</v>
      </c>
      <c r="Q160">
        <v>0</v>
      </c>
      <c r="R160">
        <v>0</v>
      </c>
      <c r="S160" t="s">
        <v>197</v>
      </c>
      <c r="T160" t="s">
        <v>193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193</v>
      </c>
      <c r="O161" t="s">
        <v>194</v>
      </c>
      <c r="P161">
        <v>110</v>
      </c>
      <c r="Q161">
        <v>308</v>
      </c>
      <c r="R161">
        <v>15</v>
      </c>
      <c r="S161">
        <v>200</v>
      </c>
      <c r="T161" t="s">
        <v>193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193</v>
      </c>
      <c r="O162" t="s">
        <v>194</v>
      </c>
      <c r="P162">
        <v>260</v>
      </c>
      <c r="Q162">
        <v>58</v>
      </c>
      <c r="R162">
        <v>4</v>
      </c>
      <c r="S162" t="s">
        <v>197</v>
      </c>
      <c r="T162" t="s">
        <v>193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196</v>
      </c>
      <c r="O163" t="s">
        <v>195</v>
      </c>
      <c r="P163">
        <v>280</v>
      </c>
      <c r="Q163">
        <v>479</v>
      </c>
      <c r="R163">
        <v>5</v>
      </c>
      <c r="S163">
        <v>657</v>
      </c>
      <c r="T163" t="s">
        <v>196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193</v>
      </c>
      <c r="O164" t="s">
        <v>194</v>
      </c>
      <c r="P164">
        <v>332</v>
      </c>
      <c r="Q164">
        <v>19</v>
      </c>
      <c r="R164">
        <v>2</v>
      </c>
      <c r="S164">
        <v>75</v>
      </c>
      <c r="T164" t="s">
        <v>196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193</v>
      </c>
      <c r="O165" t="s">
        <v>195</v>
      </c>
      <c r="P165">
        <v>330</v>
      </c>
      <c r="Q165">
        <v>16</v>
      </c>
      <c r="R165">
        <v>8</v>
      </c>
      <c r="S165">
        <v>2412.5</v>
      </c>
      <c r="T165" t="s">
        <v>193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196</v>
      </c>
      <c r="O166" t="s">
        <v>194</v>
      </c>
      <c r="P166">
        <v>87</v>
      </c>
      <c r="Q166">
        <v>166</v>
      </c>
      <c r="R166">
        <v>14</v>
      </c>
      <c r="S166">
        <v>250</v>
      </c>
      <c r="T166" t="s">
        <v>193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196</v>
      </c>
      <c r="O167" t="s">
        <v>195</v>
      </c>
      <c r="P167">
        <v>498</v>
      </c>
      <c r="Q167">
        <v>39</v>
      </c>
      <c r="R167">
        <v>13</v>
      </c>
      <c r="S167">
        <v>155</v>
      </c>
      <c r="T167" t="s">
        <v>196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196</v>
      </c>
      <c r="O168" t="s">
        <v>195</v>
      </c>
      <c r="P168">
        <v>290</v>
      </c>
      <c r="Q168">
        <v>440</v>
      </c>
      <c r="R168">
        <v>25</v>
      </c>
      <c r="S168">
        <v>640</v>
      </c>
      <c r="T168" t="s">
        <v>196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193</v>
      </c>
      <c r="O169" t="s">
        <v>195</v>
      </c>
      <c r="P169">
        <v>222</v>
      </c>
      <c r="Q169">
        <v>5</v>
      </c>
      <c r="R169">
        <v>5</v>
      </c>
      <c r="S169">
        <v>300</v>
      </c>
      <c r="T169" t="s">
        <v>193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193</v>
      </c>
      <c r="O170" t="s">
        <v>194</v>
      </c>
      <c r="P170">
        <v>227</v>
      </c>
      <c r="Q170">
        <v>15</v>
      </c>
      <c r="R170">
        <v>3</v>
      </c>
      <c r="S170">
        <v>110</v>
      </c>
      <c r="T170" t="s">
        <v>193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196</v>
      </c>
      <c r="O171" t="s">
        <v>195</v>
      </c>
      <c r="P171">
        <v>103</v>
      </c>
      <c r="Q171">
        <v>8</v>
      </c>
      <c r="R171">
        <v>2</v>
      </c>
      <c r="S171" t="s">
        <v>197</v>
      </c>
      <c r="T171" t="s">
        <v>196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193</v>
      </c>
      <c r="O172" t="s">
        <v>194</v>
      </c>
      <c r="P172">
        <v>686</v>
      </c>
      <c r="Q172">
        <v>46</v>
      </c>
      <c r="R172">
        <v>4</v>
      </c>
      <c r="S172">
        <v>825</v>
      </c>
      <c r="T172" t="s">
        <v>196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193</v>
      </c>
      <c r="O173" t="s">
        <v>195</v>
      </c>
      <c r="P173">
        <v>243</v>
      </c>
      <c r="Q173">
        <v>23</v>
      </c>
      <c r="R173">
        <v>5</v>
      </c>
      <c r="S173" t="s">
        <v>197</v>
      </c>
      <c r="T173" t="s">
        <v>193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196</v>
      </c>
      <c r="O174" t="s">
        <v>194</v>
      </c>
      <c r="P174">
        <v>249</v>
      </c>
      <c r="Q174">
        <v>444</v>
      </c>
      <c r="R174">
        <v>16</v>
      </c>
      <c r="S174">
        <v>195</v>
      </c>
      <c r="T174" t="s">
        <v>196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193</v>
      </c>
      <c r="O175" t="s">
        <v>194</v>
      </c>
      <c r="P175">
        <v>300</v>
      </c>
      <c r="Q175">
        <v>12</v>
      </c>
      <c r="R175">
        <v>2</v>
      </c>
      <c r="S175" t="s">
        <v>197</v>
      </c>
      <c r="T175" t="s">
        <v>193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196</v>
      </c>
      <c r="O176" t="s">
        <v>194</v>
      </c>
      <c r="P176">
        <v>49</v>
      </c>
      <c r="Q176">
        <v>2</v>
      </c>
      <c r="R176">
        <v>0</v>
      </c>
      <c r="S176">
        <v>450</v>
      </c>
      <c r="T176" t="s">
        <v>196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196</v>
      </c>
      <c r="O177" t="s">
        <v>194</v>
      </c>
      <c r="P177">
        <v>303</v>
      </c>
      <c r="Q177">
        <v>12</v>
      </c>
      <c r="R177">
        <v>5</v>
      </c>
      <c r="S177">
        <v>630</v>
      </c>
      <c r="T177" t="s">
        <v>196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196</v>
      </c>
      <c r="O178" t="s">
        <v>194</v>
      </c>
      <c r="P178">
        <v>88</v>
      </c>
      <c r="Q178">
        <v>0</v>
      </c>
      <c r="R178">
        <v>3</v>
      </c>
      <c r="S178">
        <v>86.5</v>
      </c>
      <c r="T178" t="s">
        <v>196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193</v>
      </c>
      <c r="O179" t="s">
        <v>195</v>
      </c>
      <c r="P179">
        <v>190</v>
      </c>
      <c r="Q179">
        <v>2</v>
      </c>
      <c r="R179">
        <v>2</v>
      </c>
      <c r="S179">
        <v>1300</v>
      </c>
      <c r="T179" t="s">
        <v>193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193</v>
      </c>
      <c r="O180" t="s">
        <v>195</v>
      </c>
      <c r="P180">
        <v>96</v>
      </c>
      <c r="Q180">
        <v>5</v>
      </c>
      <c r="R180">
        <v>3</v>
      </c>
      <c r="S180">
        <v>1000</v>
      </c>
      <c r="T180" t="s">
        <v>196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196</v>
      </c>
      <c r="O181" t="s">
        <v>195</v>
      </c>
      <c r="P181">
        <v>1199</v>
      </c>
      <c r="Q181">
        <v>149</v>
      </c>
      <c r="R181">
        <v>5</v>
      </c>
      <c r="S181">
        <v>1800</v>
      </c>
      <c r="T181" t="s">
        <v>196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193</v>
      </c>
      <c r="O182" t="s">
        <v>194</v>
      </c>
      <c r="P182">
        <v>1218</v>
      </c>
      <c r="Q182">
        <v>104</v>
      </c>
      <c r="R182">
        <v>10</v>
      </c>
      <c r="S182">
        <v>1310</v>
      </c>
      <c r="T182" t="s">
        <v>193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196</v>
      </c>
      <c r="O183" t="s">
        <v>194</v>
      </c>
      <c r="P183">
        <v>145</v>
      </c>
      <c r="Q183">
        <v>5</v>
      </c>
      <c r="R183">
        <v>7</v>
      </c>
      <c r="S183">
        <v>737.5</v>
      </c>
      <c r="T183" t="s">
        <v>196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196</v>
      </c>
      <c r="O184" t="s">
        <v>194</v>
      </c>
      <c r="P184">
        <v>332</v>
      </c>
      <c r="Q184">
        <v>9</v>
      </c>
      <c r="R184">
        <v>8</v>
      </c>
      <c r="S184">
        <v>625</v>
      </c>
      <c r="T184" t="s">
        <v>196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196</v>
      </c>
      <c r="O185" t="s">
        <v>195</v>
      </c>
      <c r="P185">
        <v>145</v>
      </c>
      <c r="Q185">
        <v>59</v>
      </c>
      <c r="R185">
        <v>8</v>
      </c>
      <c r="S185">
        <v>125</v>
      </c>
      <c r="T185" t="s">
        <v>196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196</v>
      </c>
      <c r="O186" t="s">
        <v>195</v>
      </c>
      <c r="P186">
        <v>181</v>
      </c>
      <c r="Q186">
        <v>13</v>
      </c>
      <c r="R186">
        <v>4</v>
      </c>
      <c r="S186">
        <v>1043.3330000000001</v>
      </c>
      <c r="T186" t="s">
        <v>196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196</v>
      </c>
      <c r="O187" t="s">
        <v>194</v>
      </c>
      <c r="P187">
        <v>65</v>
      </c>
      <c r="Q187">
        <v>258</v>
      </c>
      <c r="R187">
        <v>8</v>
      </c>
      <c r="S187">
        <v>725</v>
      </c>
      <c r="T187" t="s">
        <v>196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193</v>
      </c>
      <c r="O188" t="s">
        <v>194</v>
      </c>
      <c r="P188">
        <v>0</v>
      </c>
      <c r="Q188">
        <v>0</v>
      </c>
      <c r="R188">
        <v>0</v>
      </c>
      <c r="S188">
        <v>300</v>
      </c>
      <c r="T188" t="s">
        <v>193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193</v>
      </c>
      <c r="O189" t="s">
        <v>194</v>
      </c>
      <c r="P189">
        <v>429</v>
      </c>
      <c r="Q189">
        <v>8</v>
      </c>
      <c r="R189">
        <v>6</v>
      </c>
      <c r="S189">
        <v>365</v>
      </c>
      <c r="T189" t="s">
        <v>193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196</v>
      </c>
      <c r="O190" t="s">
        <v>194</v>
      </c>
      <c r="P190">
        <v>107</v>
      </c>
      <c r="Q190">
        <v>205</v>
      </c>
      <c r="R190">
        <v>16</v>
      </c>
      <c r="S190">
        <v>75</v>
      </c>
      <c r="T190" t="s">
        <v>196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196</v>
      </c>
      <c r="O191" t="s">
        <v>195</v>
      </c>
      <c r="P191">
        <v>1231</v>
      </c>
      <c r="Q191">
        <v>80</v>
      </c>
      <c r="R191">
        <v>7</v>
      </c>
      <c r="S191">
        <v>1183.3330000000001</v>
      </c>
      <c r="T191" t="s">
        <v>196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196</v>
      </c>
      <c r="O192" t="s">
        <v>195</v>
      </c>
      <c r="P192">
        <v>283</v>
      </c>
      <c r="Q192">
        <v>8</v>
      </c>
      <c r="R192">
        <v>3</v>
      </c>
      <c r="S192">
        <v>202.5</v>
      </c>
      <c r="T192" t="s">
        <v>196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193</v>
      </c>
      <c r="O193" t="s">
        <v>195</v>
      </c>
      <c r="P193">
        <v>156</v>
      </c>
      <c r="Q193">
        <v>2</v>
      </c>
      <c r="R193">
        <v>2</v>
      </c>
      <c r="S193">
        <v>225</v>
      </c>
      <c r="T193" t="s">
        <v>193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193</v>
      </c>
      <c r="O194" t="s">
        <v>195</v>
      </c>
      <c r="P194">
        <v>239</v>
      </c>
      <c r="Q194">
        <v>8</v>
      </c>
      <c r="R194">
        <v>2</v>
      </c>
      <c r="S194">
        <v>525</v>
      </c>
      <c r="T194" t="s">
        <v>193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196</v>
      </c>
      <c r="O195" t="s">
        <v>194</v>
      </c>
      <c r="P195">
        <v>235</v>
      </c>
      <c r="Q195">
        <v>22</v>
      </c>
      <c r="R195">
        <v>5</v>
      </c>
      <c r="S195">
        <v>265</v>
      </c>
      <c r="T195" t="s">
        <v>196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193</v>
      </c>
      <c r="O196" t="s">
        <v>195</v>
      </c>
      <c r="P196">
        <v>371</v>
      </c>
      <c r="Q196">
        <v>6</v>
      </c>
      <c r="R196">
        <v>6</v>
      </c>
      <c r="S196">
        <v>787.5</v>
      </c>
      <c r="T196" t="s">
        <v>193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193</v>
      </c>
      <c r="O197" t="s">
        <v>195</v>
      </c>
      <c r="P197">
        <v>483</v>
      </c>
      <c r="Q197">
        <v>48</v>
      </c>
      <c r="R197">
        <v>6</v>
      </c>
      <c r="S197">
        <v>800</v>
      </c>
      <c r="T197" t="s">
        <v>196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193</v>
      </c>
      <c r="O198" t="s">
        <v>194</v>
      </c>
      <c r="P198">
        <v>0</v>
      </c>
      <c r="Q198">
        <v>0</v>
      </c>
      <c r="R198">
        <v>0</v>
      </c>
      <c r="S198">
        <v>587.5</v>
      </c>
      <c r="T198" t="s">
        <v>193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196</v>
      </c>
      <c r="O199" t="s">
        <v>195</v>
      </c>
      <c r="P199">
        <v>64</v>
      </c>
      <c r="Q199">
        <v>119</v>
      </c>
      <c r="R199">
        <v>9</v>
      </c>
      <c r="S199" t="s">
        <v>197</v>
      </c>
      <c r="T199" t="s">
        <v>196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193</v>
      </c>
      <c r="O200" t="s">
        <v>195</v>
      </c>
      <c r="P200">
        <v>0</v>
      </c>
      <c r="Q200">
        <v>0</v>
      </c>
      <c r="R200">
        <v>0</v>
      </c>
      <c r="S200">
        <v>145</v>
      </c>
      <c r="T200" t="s">
        <v>193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193</v>
      </c>
      <c r="O201" t="s">
        <v>194</v>
      </c>
      <c r="P201">
        <v>245</v>
      </c>
      <c r="Q201">
        <v>5</v>
      </c>
      <c r="R201">
        <v>9</v>
      </c>
      <c r="S201" t="s">
        <v>197</v>
      </c>
      <c r="T201" t="s">
        <v>193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193</v>
      </c>
      <c r="O202" t="s">
        <v>195</v>
      </c>
      <c r="P202">
        <v>276</v>
      </c>
      <c r="Q202">
        <v>421</v>
      </c>
      <c r="R202">
        <v>11</v>
      </c>
      <c r="S202">
        <v>420</v>
      </c>
      <c r="T202" t="s">
        <v>193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196</v>
      </c>
      <c r="O203" t="s">
        <v>194</v>
      </c>
      <c r="P203">
        <v>317</v>
      </c>
      <c r="Q203">
        <v>36</v>
      </c>
      <c r="R203">
        <v>1</v>
      </c>
      <c r="S203">
        <v>75</v>
      </c>
      <c r="T203" t="s">
        <v>196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193</v>
      </c>
      <c r="O204" t="s">
        <v>195</v>
      </c>
      <c r="P204">
        <v>303</v>
      </c>
      <c r="Q204">
        <v>450</v>
      </c>
      <c r="R204">
        <v>14</v>
      </c>
      <c r="S204">
        <v>575</v>
      </c>
      <c r="T204" t="s">
        <v>193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196</v>
      </c>
      <c r="O205" t="s">
        <v>195</v>
      </c>
      <c r="P205">
        <v>107</v>
      </c>
      <c r="Q205">
        <v>3</v>
      </c>
      <c r="R205">
        <v>3</v>
      </c>
      <c r="S205" t="s">
        <v>197</v>
      </c>
      <c r="T205" t="s">
        <v>196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193</v>
      </c>
      <c r="O206" t="s">
        <v>194</v>
      </c>
      <c r="P206">
        <v>310</v>
      </c>
      <c r="Q206">
        <v>9</v>
      </c>
      <c r="R206">
        <v>9</v>
      </c>
      <c r="S206">
        <v>780</v>
      </c>
      <c r="T206" t="s">
        <v>193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196</v>
      </c>
      <c r="O207" t="s">
        <v>195</v>
      </c>
      <c r="P207">
        <v>201</v>
      </c>
      <c r="Q207">
        <v>6</v>
      </c>
      <c r="R207">
        <v>3</v>
      </c>
      <c r="S207">
        <v>90</v>
      </c>
      <c r="T207" t="s">
        <v>196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196</v>
      </c>
      <c r="O208" t="s">
        <v>194</v>
      </c>
      <c r="P208">
        <v>172</v>
      </c>
      <c r="Q208">
        <v>317</v>
      </c>
      <c r="R208">
        <v>25</v>
      </c>
      <c r="S208">
        <v>150</v>
      </c>
      <c r="T208" t="s">
        <v>196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193</v>
      </c>
      <c r="O209" t="s">
        <v>195</v>
      </c>
      <c r="P209">
        <v>0</v>
      </c>
      <c r="Q209">
        <v>0</v>
      </c>
      <c r="R209">
        <v>0</v>
      </c>
      <c r="S209">
        <v>700</v>
      </c>
      <c r="T209" t="s">
        <v>196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196</v>
      </c>
      <c r="O210" t="s">
        <v>195</v>
      </c>
      <c r="P210">
        <v>415</v>
      </c>
      <c r="Q210">
        <v>35</v>
      </c>
      <c r="R210">
        <v>3</v>
      </c>
      <c r="S210" t="s">
        <v>197</v>
      </c>
      <c r="T210" t="s">
        <v>196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193</v>
      </c>
      <c r="O211" t="s">
        <v>195</v>
      </c>
      <c r="P211">
        <v>233</v>
      </c>
      <c r="Q211">
        <v>7</v>
      </c>
      <c r="R211">
        <v>7</v>
      </c>
      <c r="S211">
        <v>550</v>
      </c>
      <c r="T211" t="s">
        <v>193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193</v>
      </c>
      <c r="O212" t="s">
        <v>194</v>
      </c>
      <c r="P212">
        <v>220</v>
      </c>
      <c r="Q212">
        <v>16</v>
      </c>
      <c r="R212">
        <v>4</v>
      </c>
      <c r="S212" t="s">
        <v>197</v>
      </c>
      <c r="T212" t="s">
        <v>193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196</v>
      </c>
      <c r="O213" t="s">
        <v>195</v>
      </c>
      <c r="P213">
        <v>259</v>
      </c>
      <c r="Q213">
        <v>30</v>
      </c>
      <c r="R213">
        <v>10</v>
      </c>
      <c r="S213">
        <v>650</v>
      </c>
      <c r="T213" t="s">
        <v>193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193</v>
      </c>
      <c r="O214" t="s">
        <v>194</v>
      </c>
      <c r="P214">
        <v>102</v>
      </c>
      <c r="Q214">
        <v>6</v>
      </c>
      <c r="R214">
        <v>3</v>
      </c>
      <c r="S214">
        <v>68</v>
      </c>
      <c r="T214" t="s">
        <v>193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196</v>
      </c>
      <c r="O215" t="s">
        <v>195</v>
      </c>
      <c r="P215">
        <v>468</v>
      </c>
      <c r="Q215">
        <v>47</v>
      </c>
      <c r="R215">
        <v>6</v>
      </c>
      <c r="S215">
        <v>100</v>
      </c>
      <c r="T215" t="s">
        <v>196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196</v>
      </c>
      <c r="O216" t="s">
        <v>194</v>
      </c>
      <c r="P216">
        <v>149</v>
      </c>
      <c r="Q216">
        <v>8</v>
      </c>
      <c r="R216">
        <v>6</v>
      </c>
      <c r="S216">
        <v>670</v>
      </c>
      <c r="T216" t="s">
        <v>196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193</v>
      </c>
      <c r="O217" t="s">
        <v>195</v>
      </c>
      <c r="P217">
        <v>103</v>
      </c>
      <c r="Q217">
        <v>283</v>
      </c>
      <c r="R217">
        <v>19</v>
      </c>
      <c r="S217">
        <v>175</v>
      </c>
      <c r="T217" t="s">
        <v>193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193</v>
      </c>
      <c r="O218" t="s">
        <v>194</v>
      </c>
      <c r="P218">
        <v>358</v>
      </c>
      <c r="Q218">
        <v>32</v>
      </c>
      <c r="R218">
        <v>8</v>
      </c>
      <c r="S218">
        <v>137</v>
      </c>
      <c r="T218" t="s">
        <v>193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196</v>
      </c>
      <c r="O219" t="s">
        <v>195</v>
      </c>
      <c r="P219">
        <v>78</v>
      </c>
      <c r="Q219">
        <v>220</v>
      </c>
      <c r="R219">
        <v>6</v>
      </c>
      <c r="S219">
        <v>2127.3330000000001</v>
      </c>
      <c r="T219" t="s">
        <v>196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196</v>
      </c>
      <c r="O220" t="s">
        <v>194</v>
      </c>
      <c r="P220">
        <v>756</v>
      </c>
      <c r="Q220">
        <v>64</v>
      </c>
      <c r="R220">
        <v>15</v>
      </c>
      <c r="S220">
        <v>875</v>
      </c>
      <c r="T220" t="s">
        <v>196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193</v>
      </c>
      <c r="O221" t="s">
        <v>194</v>
      </c>
      <c r="P221">
        <v>463</v>
      </c>
      <c r="Q221">
        <v>32</v>
      </c>
      <c r="R221">
        <v>8</v>
      </c>
      <c r="S221">
        <v>120</v>
      </c>
      <c r="T221" t="s">
        <v>193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196</v>
      </c>
      <c r="O222" t="s">
        <v>195</v>
      </c>
      <c r="P222">
        <v>212</v>
      </c>
      <c r="Q222">
        <v>1</v>
      </c>
      <c r="R222">
        <v>2</v>
      </c>
      <c r="S222">
        <v>140</v>
      </c>
      <c r="T222" t="s">
        <v>196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196</v>
      </c>
      <c r="O223" t="s">
        <v>195</v>
      </c>
      <c r="P223">
        <v>325</v>
      </c>
      <c r="Q223">
        <v>12</v>
      </c>
      <c r="R223">
        <v>8</v>
      </c>
      <c r="S223">
        <v>210</v>
      </c>
      <c r="T223" t="s">
        <v>196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196</v>
      </c>
      <c r="O224" t="s">
        <v>195</v>
      </c>
      <c r="P224">
        <v>228</v>
      </c>
      <c r="Q224">
        <v>7</v>
      </c>
      <c r="R224">
        <v>5</v>
      </c>
      <c r="S224">
        <v>800</v>
      </c>
      <c r="T224" t="s">
        <v>196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196</v>
      </c>
      <c r="O225" t="s">
        <v>194</v>
      </c>
      <c r="P225">
        <v>203</v>
      </c>
      <c r="Q225">
        <v>3</v>
      </c>
      <c r="R225">
        <v>3</v>
      </c>
      <c r="S225">
        <v>240</v>
      </c>
      <c r="T225" t="s">
        <v>196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193</v>
      </c>
      <c r="O226" t="s">
        <v>195</v>
      </c>
      <c r="P226">
        <v>149</v>
      </c>
      <c r="Q226">
        <v>1</v>
      </c>
      <c r="R226">
        <v>6</v>
      </c>
      <c r="S226">
        <v>350</v>
      </c>
      <c r="T226" t="s">
        <v>193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196</v>
      </c>
      <c r="O227" t="s">
        <v>194</v>
      </c>
      <c r="P227">
        <v>512</v>
      </c>
      <c r="Q227">
        <v>30</v>
      </c>
      <c r="R227">
        <v>5</v>
      </c>
      <c r="S227" t="s">
        <v>197</v>
      </c>
      <c r="T227" t="s">
        <v>196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193</v>
      </c>
      <c r="O228" t="s">
        <v>194</v>
      </c>
      <c r="P228">
        <v>261</v>
      </c>
      <c r="Q228">
        <v>459</v>
      </c>
      <c r="R228">
        <v>22</v>
      </c>
      <c r="S228">
        <v>175</v>
      </c>
      <c r="T228" t="s">
        <v>193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193</v>
      </c>
      <c r="O229" t="s">
        <v>194</v>
      </c>
      <c r="P229">
        <v>325</v>
      </c>
      <c r="Q229">
        <v>13</v>
      </c>
      <c r="R229">
        <v>3</v>
      </c>
      <c r="S229">
        <v>200</v>
      </c>
      <c r="T229" t="s">
        <v>193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196</v>
      </c>
      <c r="O230" t="s">
        <v>194</v>
      </c>
      <c r="P230">
        <v>151</v>
      </c>
      <c r="Q230">
        <v>8</v>
      </c>
      <c r="R230">
        <v>5</v>
      </c>
      <c r="S230" t="s">
        <v>197</v>
      </c>
      <c r="T230" t="s">
        <v>196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196</v>
      </c>
      <c r="O231" t="s">
        <v>195</v>
      </c>
      <c r="P231">
        <v>229</v>
      </c>
      <c r="Q231">
        <v>453</v>
      </c>
      <c r="R231">
        <v>15</v>
      </c>
      <c r="S231">
        <v>1940</v>
      </c>
      <c r="T231" t="s">
        <v>196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196</v>
      </c>
      <c r="O232" t="s">
        <v>194</v>
      </c>
      <c r="P232">
        <v>682</v>
      </c>
      <c r="Q232">
        <v>93</v>
      </c>
      <c r="R232">
        <v>13</v>
      </c>
      <c r="S232">
        <v>700</v>
      </c>
      <c r="T232" t="s">
        <v>196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193</v>
      </c>
      <c r="O233" t="s">
        <v>194</v>
      </c>
      <c r="P233">
        <v>250</v>
      </c>
      <c r="Q233">
        <v>11</v>
      </c>
      <c r="R233">
        <v>1</v>
      </c>
      <c r="S233">
        <v>750</v>
      </c>
      <c r="T233" t="s">
        <v>193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196</v>
      </c>
      <c r="O234" t="s">
        <v>194</v>
      </c>
      <c r="P234">
        <v>58</v>
      </c>
      <c r="Q234">
        <v>141</v>
      </c>
      <c r="R234">
        <v>23</v>
      </c>
      <c r="S234">
        <v>450</v>
      </c>
      <c r="T234" t="s">
        <v>196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193</v>
      </c>
      <c r="O235" t="s">
        <v>194</v>
      </c>
      <c r="P235">
        <v>157</v>
      </c>
      <c r="Q235">
        <v>6</v>
      </c>
      <c r="R235">
        <v>14</v>
      </c>
      <c r="S235">
        <v>172</v>
      </c>
      <c r="T235" t="s">
        <v>193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193</v>
      </c>
      <c r="O236" t="s">
        <v>195</v>
      </c>
      <c r="P236">
        <v>82</v>
      </c>
      <c r="Q236">
        <v>170</v>
      </c>
      <c r="R236">
        <v>15</v>
      </c>
      <c r="S236">
        <v>1260</v>
      </c>
      <c r="T236" t="s">
        <v>193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193</v>
      </c>
      <c r="O237" t="s">
        <v>194</v>
      </c>
      <c r="P237">
        <v>1224</v>
      </c>
      <c r="Q237">
        <v>115</v>
      </c>
      <c r="R237">
        <v>11</v>
      </c>
      <c r="S237" t="s">
        <v>197</v>
      </c>
      <c r="T237" t="s">
        <v>193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196</v>
      </c>
      <c r="O238" t="s">
        <v>194</v>
      </c>
      <c r="P238">
        <v>523</v>
      </c>
      <c r="Q238">
        <v>43</v>
      </c>
      <c r="R238">
        <v>6</v>
      </c>
      <c r="S238">
        <v>750</v>
      </c>
      <c r="T238" t="s">
        <v>196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193</v>
      </c>
      <c r="O239" t="s">
        <v>195</v>
      </c>
      <c r="P239">
        <v>172</v>
      </c>
      <c r="Q239">
        <v>1</v>
      </c>
      <c r="R239">
        <v>4</v>
      </c>
      <c r="S239">
        <v>190</v>
      </c>
      <c r="T239" t="s">
        <v>193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193</v>
      </c>
      <c r="O240" t="s">
        <v>195</v>
      </c>
      <c r="P240">
        <v>846</v>
      </c>
      <c r="Q240">
        <v>84</v>
      </c>
      <c r="R240">
        <v>9</v>
      </c>
      <c r="S240">
        <v>580</v>
      </c>
      <c r="T240" t="s">
        <v>193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196</v>
      </c>
      <c r="O241" t="s">
        <v>195</v>
      </c>
      <c r="P241">
        <v>117</v>
      </c>
      <c r="Q241">
        <v>269</v>
      </c>
      <c r="R241">
        <v>12</v>
      </c>
      <c r="S241">
        <v>130</v>
      </c>
      <c r="T241" t="s">
        <v>196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193</v>
      </c>
      <c r="O242" t="s">
        <v>194</v>
      </c>
      <c r="P242">
        <v>62</v>
      </c>
      <c r="Q242">
        <v>90</v>
      </c>
      <c r="R242">
        <v>3</v>
      </c>
      <c r="S242">
        <v>450</v>
      </c>
      <c r="T242" t="s">
        <v>193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193</v>
      </c>
      <c r="O243" t="s">
        <v>194</v>
      </c>
      <c r="P243">
        <v>167</v>
      </c>
      <c r="Q243">
        <v>2</v>
      </c>
      <c r="R243">
        <v>4</v>
      </c>
      <c r="S243">
        <v>300</v>
      </c>
      <c r="T243" t="s">
        <v>193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193</v>
      </c>
      <c r="O244" t="s">
        <v>195</v>
      </c>
      <c r="P244">
        <v>391</v>
      </c>
      <c r="Q244">
        <v>44</v>
      </c>
      <c r="R244">
        <v>4</v>
      </c>
      <c r="S244">
        <v>250</v>
      </c>
      <c r="T244" t="s">
        <v>193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196</v>
      </c>
      <c r="O245" t="s">
        <v>195</v>
      </c>
      <c r="P245">
        <v>41</v>
      </c>
      <c r="Q245">
        <v>118</v>
      </c>
      <c r="R245">
        <v>8</v>
      </c>
      <c r="S245">
        <v>1050</v>
      </c>
      <c r="T245" t="s">
        <v>193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193</v>
      </c>
      <c r="O246" t="s">
        <v>195</v>
      </c>
      <c r="P246">
        <v>286</v>
      </c>
      <c r="Q246">
        <v>8</v>
      </c>
      <c r="R246">
        <v>8</v>
      </c>
      <c r="S246">
        <v>215</v>
      </c>
      <c r="T246" t="s">
        <v>193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193</v>
      </c>
      <c r="O247" t="s">
        <v>195</v>
      </c>
      <c r="P247">
        <v>659</v>
      </c>
      <c r="Q247">
        <v>53</v>
      </c>
      <c r="R247">
        <v>7</v>
      </c>
      <c r="S247">
        <v>400</v>
      </c>
      <c r="T247" t="s">
        <v>193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193</v>
      </c>
      <c r="O248" t="s">
        <v>195</v>
      </c>
      <c r="P248">
        <v>866</v>
      </c>
      <c r="Q248">
        <v>65</v>
      </c>
      <c r="R248">
        <v>6</v>
      </c>
      <c r="S248" t="s">
        <v>197</v>
      </c>
      <c r="T248" t="s">
        <v>193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193</v>
      </c>
      <c r="O249" t="s">
        <v>195</v>
      </c>
      <c r="P249">
        <v>251</v>
      </c>
      <c r="Q249">
        <v>9</v>
      </c>
      <c r="R249">
        <v>4</v>
      </c>
      <c r="S249">
        <v>560</v>
      </c>
      <c r="T249" t="s">
        <v>193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193</v>
      </c>
      <c r="O250" t="s">
        <v>195</v>
      </c>
      <c r="P250">
        <v>426</v>
      </c>
      <c r="Q250">
        <v>4</v>
      </c>
      <c r="R250">
        <v>6</v>
      </c>
      <c r="S250">
        <v>1670</v>
      </c>
      <c r="T250" t="s">
        <v>193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193</v>
      </c>
      <c r="O251" t="s">
        <v>194</v>
      </c>
      <c r="P251">
        <v>0</v>
      </c>
      <c r="Q251">
        <v>0</v>
      </c>
      <c r="R251">
        <v>0</v>
      </c>
      <c r="S251">
        <v>487.5</v>
      </c>
      <c r="T251" t="s">
        <v>193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193</v>
      </c>
      <c r="O252" t="s">
        <v>194</v>
      </c>
      <c r="P252">
        <v>205</v>
      </c>
      <c r="Q252">
        <v>5</v>
      </c>
      <c r="R252">
        <v>4</v>
      </c>
      <c r="S252" t="s">
        <v>197</v>
      </c>
      <c r="T252" t="s">
        <v>193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193</v>
      </c>
      <c r="O253" t="s">
        <v>194</v>
      </c>
      <c r="P253">
        <v>0</v>
      </c>
      <c r="Q253">
        <v>0</v>
      </c>
      <c r="R253">
        <v>0</v>
      </c>
      <c r="S253">
        <v>425</v>
      </c>
      <c r="T253" t="s">
        <v>193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196</v>
      </c>
      <c r="O254" t="s">
        <v>195</v>
      </c>
      <c r="P254">
        <v>88</v>
      </c>
      <c r="Q254">
        <v>204</v>
      </c>
      <c r="R254">
        <v>16</v>
      </c>
      <c r="S254">
        <v>500</v>
      </c>
      <c r="T254" t="s">
        <v>193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196</v>
      </c>
      <c r="O255" t="s">
        <v>194</v>
      </c>
      <c r="P255">
        <v>99</v>
      </c>
      <c r="Q255">
        <v>3</v>
      </c>
      <c r="R255">
        <v>1</v>
      </c>
      <c r="S255" t="s">
        <v>197</v>
      </c>
      <c r="T255" t="s">
        <v>196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193</v>
      </c>
      <c r="O256" t="s">
        <v>194</v>
      </c>
      <c r="P256">
        <v>145</v>
      </c>
      <c r="Q256">
        <v>2</v>
      </c>
      <c r="R256">
        <v>2</v>
      </c>
      <c r="S256" t="s">
        <v>197</v>
      </c>
      <c r="T256" t="s">
        <v>193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193</v>
      </c>
      <c r="O257" t="s">
        <v>195</v>
      </c>
      <c r="P257">
        <v>44</v>
      </c>
      <c r="Q257">
        <v>0</v>
      </c>
      <c r="R257">
        <v>1</v>
      </c>
      <c r="S257">
        <v>250</v>
      </c>
      <c r="T257" t="s">
        <v>193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193</v>
      </c>
      <c r="O258" t="s">
        <v>195</v>
      </c>
      <c r="P258">
        <v>155</v>
      </c>
      <c r="Q258">
        <v>3</v>
      </c>
      <c r="R258">
        <v>2</v>
      </c>
      <c r="S258">
        <v>400</v>
      </c>
      <c r="T258" t="s">
        <v>193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193</v>
      </c>
      <c r="O259" t="s">
        <v>195</v>
      </c>
      <c r="P259">
        <v>60</v>
      </c>
      <c r="Q259">
        <v>176</v>
      </c>
      <c r="R259">
        <v>6</v>
      </c>
      <c r="S259">
        <v>450</v>
      </c>
      <c r="T259" t="s">
        <v>193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196</v>
      </c>
      <c r="O260" t="s">
        <v>194</v>
      </c>
      <c r="P260">
        <v>367</v>
      </c>
      <c r="Q260">
        <v>475</v>
      </c>
      <c r="R260">
        <v>19</v>
      </c>
      <c r="S260">
        <v>750</v>
      </c>
      <c r="T260" t="s">
        <v>196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193</v>
      </c>
      <c r="O261" t="s">
        <v>195</v>
      </c>
      <c r="P261">
        <v>86</v>
      </c>
      <c r="Q261">
        <v>150</v>
      </c>
      <c r="R261">
        <v>15</v>
      </c>
      <c r="S261">
        <v>70</v>
      </c>
      <c r="T261" t="s">
        <v>193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196</v>
      </c>
      <c r="O262" t="s">
        <v>194</v>
      </c>
      <c r="P262">
        <v>155</v>
      </c>
      <c r="Q262">
        <v>371</v>
      </c>
      <c r="R262">
        <v>29</v>
      </c>
      <c r="S262">
        <v>875</v>
      </c>
      <c r="T262" t="s">
        <v>196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196</v>
      </c>
      <c r="O263" t="s">
        <v>195</v>
      </c>
      <c r="P263">
        <v>190</v>
      </c>
      <c r="Q263">
        <v>2</v>
      </c>
      <c r="R263">
        <v>9</v>
      </c>
      <c r="S263">
        <v>190</v>
      </c>
      <c r="T263" t="s">
        <v>196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196</v>
      </c>
      <c r="O264" t="s">
        <v>195</v>
      </c>
      <c r="P264">
        <v>181</v>
      </c>
      <c r="Q264">
        <v>3</v>
      </c>
      <c r="R264">
        <v>2</v>
      </c>
      <c r="S264">
        <v>191</v>
      </c>
      <c r="T264" t="s">
        <v>196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196</v>
      </c>
      <c r="O265" t="s">
        <v>195</v>
      </c>
      <c r="P265">
        <v>309</v>
      </c>
      <c r="Q265">
        <v>492</v>
      </c>
      <c r="R265">
        <v>5</v>
      </c>
      <c r="S265">
        <v>740</v>
      </c>
      <c r="T265" t="s">
        <v>196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196</v>
      </c>
      <c r="O266" t="s">
        <v>195</v>
      </c>
      <c r="P266">
        <v>203</v>
      </c>
      <c r="Q266">
        <v>369</v>
      </c>
      <c r="R266">
        <v>16</v>
      </c>
      <c r="S266">
        <v>250</v>
      </c>
      <c r="T266" t="s">
        <v>196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196</v>
      </c>
      <c r="O267" t="s">
        <v>195</v>
      </c>
      <c r="P267">
        <v>42</v>
      </c>
      <c r="Q267">
        <v>94</v>
      </c>
      <c r="R267">
        <v>13</v>
      </c>
      <c r="S267">
        <v>140</v>
      </c>
      <c r="T267" t="s">
        <v>196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193</v>
      </c>
      <c r="O268" t="s">
        <v>194</v>
      </c>
      <c r="P268">
        <v>200</v>
      </c>
      <c r="Q268">
        <v>7</v>
      </c>
      <c r="R268">
        <v>6</v>
      </c>
      <c r="S268">
        <v>97.5</v>
      </c>
      <c r="T268" t="s">
        <v>193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193</v>
      </c>
      <c r="O269" t="s">
        <v>194</v>
      </c>
      <c r="P269">
        <v>0</v>
      </c>
      <c r="Q269">
        <v>0</v>
      </c>
      <c r="R269">
        <v>0</v>
      </c>
      <c r="S269">
        <v>740</v>
      </c>
      <c r="T269" t="s">
        <v>193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196</v>
      </c>
      <c r="O270" t="s">
        <v>194</v>
      </c>
      <c r="P270">
        <v>255</v>
      </c>
      <c r="Q270">
        <v>450</v>
      </c>
      <c r="R270">
        <v>17</v>
      </c>
      <c r="S270">
        <v>140</v>
      </c>
      <c r="T270" t="s">
        <v>196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193</v>
      </c>
      <c r="O271" t="s">
        <v>194</v>
      </c>
      <c r="P271">
        <v>135</v>
      </c>
      <c r="Q271">
        <v>257</v>
      </c>
      <c r="R271">
        <v>7</v>
      </c>
      <c r="S271">
        <v>341.66699999999997</v>
      </c>
      <c r="T271" t="s">
        <v>193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196</v>
      </c>
      <c r="O272" t="s">
        <v>194</v>
      </c>
      <c r="P272">
        <v>179</v>
      </c>
      <c r="Q272">
        <v>5</v>
      </c>
      <c r="R272">
        <v>3</v>
      </c>
      <c r="S272" t="s">
        <v>197</v>
      </c>
      <c r="T272" t="s">
        <v>196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193</v>
      </c>
      <c r="O273" t="s">
        <v>195</v>
      </c>
      <c r="P273">
        <v>352</v>
      </c>
      <c r="Q273">
        <v>9</v>
      </c>
      <c r="R273">
        <v>1</v>
      </c>
      <c r="S273">
        <v>1000</v>
      </c>
      <c r="T273" t="s">
        <v>193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193</v>
      </c>
      <c r="O274" t="s">
        <v>194</v>
      </c>
      <c r="P274">
        <v>1236</v>
      </c>
      <c r="Q274">
        <v>98</v>
      </c>
      <c r="R274">
        <v>18</v>
      </c>
      <c r="S274">
        <v>100</v>
      </c>
      <c r="T274" t="s">
        <v>193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193</v>
      </c>
      <c r="O275" t="s">
        <v>194</v>
      </c>
      <c r="P275">
        <v>281</v>
      </c>
      <c r="Q275">
        <v>21</v>
      </c>
      <c r="R275">
        <v>3</v>
      </c>
      <c r="S275">
        <v>90</v>
      </c>
      <c r="T275" t="s">
        <v>193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196</v>
      </c>
      <c r="O276" t="s">
        <v>195</v>
      </c>
      <c r="P276">
        <v>1320</v>
      </c>
      <c r="Q276">
        <v>166</v>
      </c>
      <c r="R276">
        <v>17</v>
      </c>
      <c r="S276">
        <v>200</v>
      </c>
      <c r="T276" t="s">
        <v>196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193</v>
      </c>
      <c r="O277" t="s">
        <v>194</v>
      </c>
      <c r="P277">
        <v>111</v>
      </c>
      <c r="Q277">
        <v>226</v>
      </c>
      <c r="R277">
        <v>11</v>
      </c>
      <c r="S277">
        <v>135</v>
      </c>
      <c r="T277" t="s">
        <v>193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196</v>
      </c>
      <c r="O278" t="s">
        <v>195</v>
      </c>
      <c r="P278">
        <v>320</v>
      </c>
      <c r="Q278">
        <v>465</v>
      </c>
      <c r="R278">
        <v>32</v>
      </c>
      <c r="S278">
        <v>155</v>
      </c>
      <c r="T278" t="s">
        <v>196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193</v>
      </c>
      <c r="O279" t="s">
        <v>194</v>
      </c>
      <c r="P279">
        <v>196</v>
      </c>
      <c r="Q279">
        <v>354</v>
      </c>
      <c r="R279">
        <v>15</v>
      </c>
      <c r="S279">
        <v>475</v>
      </c>
      <c r="T279" t="s">
        <v>193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196</v>
      </c>
      <c r="O280" t="s">
        <v>194</v>
      </c>
      <c r="P280">
        <v>1160</v>
      </c>
      <c r="Q280">
        <v>53</v>
      </c>
      <c r="R280">
        <v>7</v>
      </c>
      <c r="S280">
        <v>1450</v>
      </c>
      <c r="T280" t="s">
        <v>196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196</v>
      </c>
      <c r="O281" t="s">
        <v>195</v>
      </c>
      <c r="P281">
        <v>229</v>
      </c>
      <c r="Q281">
        <v>406</v>
      </c>
      <c r="R281">
        <v>22</v>
      </c>
      <c r="S281">
        <v>150</v>
      </c>
      <c r="T281" t="s">
        <v>196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193</v>
      </c>
      <c r="O282" t="s">
        <v>194</v>
      </c>
      <c r="P282">
        <v>289</v>
      </c>
      <c r="Q282">
        <v>407</v>
      </c>
      <c r="R282">
        <v>6</v>
      </c>
      <c r="S282">
        <v>105</v>
      </c>
      <c r="T282" t="s">
        <v>193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193</v>
      </c>
      <c r="O283" t="s">
        <v>194</v>
      </c>
      <c r="P283">
        <v>209</v>
      </c>
      <c r="Q283">
        <v>372</v>
      </c>
      <c r="R283">
        <v>17</v>
      </c>
      <c r="S283">
        <v>350</v>
      </c>
      <c r="T283" t="s">
        <v>193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196</v>
      </c>
      <c r="O284" t="s">
        <v>194</v>
      </c>
      <c r="P284">
        <v>367</v>
      </c>
      <c r="Q284">
        <v>432</v>
      </c>
      <c r="R284">
        <v>16</v>
      </c>
      <c r="S284">
        <v>90</v>
      </c>
      <c r="T284" t="s">
        <v>196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193</v>
      </c>
      <c r="O285" t="s">
        <v>195</v>
      </c>
      <c r="P285">
        <v>247</v>
      </c>
      <c r="Q285">
        <v>4</v>
      </c>
      <c r="R285">
        <v>8</v>
      </c>
      <c r="S285" t="s">
        <v>197</v>
      </c>
      <c r="T285" t="s">
        <v>193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193</v>
      </c>
      <c r="O286" t="s">
        <v>195</v>
      </c>
      <c r="P286">
        <v>351</v>
      </c>
      <c r="Q286">
        <v>442</v>
      </c>
      <c r="R286">
        <v>17</v>
      </c>
      <c r="S286">
        <v>530</v>
      </c>
      <c r="T286" t="s">
        <v>193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193</v>
      </c>
      <c r="O287" t="s">
        <v>195</v>
      </c>
      <c r="P287">
        <v>106</v>
      </c>
      <c r="Q287">
        <v>144</v>
      </c>
      <c r="R287">
        <v>7</v>
      </c>
      <c r="S287">
        <v>341.66699999999997</v>
      </c>
      <c r="T287" t="s">
        <v>193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193</v>
      </c>
      <c r="O288" t="s">
        <v>194</v>
      </c>
      <c r="P288">
        <v>315</v>
      </c>
      <c r="Q288">
        <v>10</v>
      </c>
      <c r="R288">
        <v>6</v>
      </c>
      <c r="S288">
        <v>940</v>
      </c>
      <c r="T288" t="s">
        <v>193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193</v>
      </c>
      <c r="O289" t="s">
        <v>195</v>
      </c>
      <c r="P289">
        <v>294</v>
      </c>
      <c r="Q289">
        <v>445</v>
      </c>
      <c r="R289">
        <v>13</v>
      </c>
      <c r="S289">
        <v>350</v>
      </c>
      <c r="T289" t="s">
        <v>193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196</v>
      </c>
      <c r="O290" t="s">
        <v>194</v>
      </c>
      <c r="P290">
        <v>209</v>
      </c>
      <c r="Q290">
        <v>246</v>
      </c>
      <c r="R290">
        <v>3</v>
      </c>
      <c r="S290">
        <v>326.66699999999997</v>
      </c>
      <c r="T290" t="s">
        <v>196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196</v>
      </c>
      <c r="O291" t="s">
        <v>195</v>
      </c>
      <c r="P291">
        <v>81</v>
      </c>
      <c r="Q291">
        <v>147</v>
      </c>
      <c r="R291">
        <v>4</v>
      </c>
      <c r="S291">
        <v>250</v>
      </c>
      <c r="T291" t="s">
        <v>196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196</v>
      </c>
      <c r="O292" t="s">
        <v>194</v>
      </c>
      <c r="P292">
        <v>337</v>
      </c>
      <c r="Q292">
        <v>19</v>
      </c>
      <c r="R292">
        <v>4</v>
      </c>
      <c r="S292">
        <v>740</v>
      </c>
      <c r="T292" t="s">
        <v>196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196</v>
      </c>
      <c r="O293" t="s">
        <v>194</v>
      </c>
      <c r="P293">
        <v>92</v>
      </c>
      <c r="Q293">
        <v>5</v>
      </c>
      <c r="R293">
        <v>3</v>
      </c>
      <c r="S293">
        <v>425</v>
      </c>
      <c r="T293" t="s">
        <v>193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193</v>
      </c>
      <c r="O294" t="s">
        <v>194</v>
      </c>
      <c r="P294">
        <v>166</v>
      </c>
      <c r="Q294">
        <v>211</v>
      </c>
      <c r="R294">
        <v>7</v>
      </c>
      <c r="S294" t="s">
        <v>197</v>
      </c>
      <c r="T294" t="s">
        <v>193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196</v>
      </c>
      <c r="O295" t="s">
        <v>195</v>
      </c>
      <c r="P295">
        <v>352</v>
      </c>
      <c r="Q295">
        <v>414</v>
      </c>
      <c r="R295">
        <v>9</v>
      </c>
      <c r="S295">
        <v>925</v>
      </c>
      <c r="T295" t="s">
        <v>196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193</v>
      </c>
      <c r="O296" t="s">
        <v>194</v>
      </c>
      <c r="P296">
        <v>70</v>
      </c>
      <c r="Q296">
        <v>144</v>
      </c>
      <c r="R296">
        <v>11</v>
      </c>
      <c r="S296">
        <v>185</v>
      </c>
      <c r="T296" t="s">
        <v>193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196</v>
      </c>
      <c r="O297" t="s">
        <v>194</v>
      </c>
      <c r="P297">
        <v>692</v>
      </c>
      <c r="Q297">
        <v>70</v>
      </c>
      <c r="R297">
        <v>8</v>
      </c>
      <c r="S297">
        <v>920</v>
      </c>
      <c r="T297" t="s">
        <v>193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196</v>
      </c>
      <c r="O298" t="s">
        <v>195</v>
      </c>
      <c r="P298">
        <v>131</v>
      </c>
      <c r="Q298">
        <v>6</v>
      </c>
      <c r="R298">
        <v>1</v>
      </c>
      <c r="S298">
        <v>286.66699999999997</v>
      </c>
      <c r="T298" t="s">
        <v>196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193</v>
      </c>
      <c r="O299" t="s">
        <v>194</v>
      </c>
      <c r="P299">
        <v>299</v>
      </c>
      <c r="Q299">
        <v>13</v>
      </c>
      <c r="R299">
        <v>5</v>
      </c>
      <c r="S299">
        <v>245</v>
      </c>
      <c r="T299" t="s">
        <v>193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193</v>
      </c>
      <c r="O300" t="s">
        <v>195</v>
      </c>
      <c r="P300">
        <v>37</v>
      </c>
      <c r="Q300">
        <v>98</v>
      </c>
      <c r="R300">
        <v>9</v>
      </c>
      <c r="S300" t="s">
        <v>197</v>
      </c>
      <c r="T300" t="s">
        <v>193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193</v>
      </c>
      <c r="O301" t="s">
        <v>194</v>
      </c>
      <c r="P301">
        <v>178</v>
      </c>
      <c r="Q301">
        <v>45</v>
      </c>
      <c r="R301">
        <v>4</v>
      </c>
      <c r="S301">
        <v>235</v>
      </c>
      <c r="T301" t="s">
        <v>193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196</v>
      </c>
      <c r="O302" t="s">
        <v>195</v>
      </c>
      <c r="P302">
        <v>810</v>
      </c>
      <c r="Q302">
        <v>99</v>
      </c>
      <c r="R302">
        <v>18</v>
      </c>
      <c r="S302">
        <v>1150</v>
      </c>
      <c r="T302" t="s">
        <v>196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196</v>
      </c>
      <c r="O303" t="s">
        <v>195</v>
      </c>
      <c r="P303">
        <v>133</v>
      </c>
      <c r="Q303">
        <v>371</v>
      </c>
      <c r="R303">
        <v>20</v>
      </c>
      <c r="S303">
        <v>160</v>
      </c>
      <c r="T303" t="s">
        <v>196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196</v>
      </c>
      <c r="O304" t="s">
        <v>194</v>
      </c>
      <c r="P304">
        <v>398</v>
      </c>
      <c r="Q304">
        <v>29</v>
      </c>
      <c r="R304">
        <v>7</v>
      </c>
      <c r="S304" t="s">
        <v>197</v>
      </c>
      <c r="T304" t="s">
        <v>196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193</v>
      </c>
      <c r="O305" t="s">
        <v>194</v>
      </c>
      <c r="P305">
        <v>160</v>
      </c>
      <c r="Q305">
        <v>290</v>
      </c>
      <c r="R305">
        <v>11</v>
      </c>
      <c r="S305">
        <v>425</v>
      </c>
      <c r="T305" t="s">
        <v>193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196</v>
      </c>
      <c r="O306" t="s">
        <v>194</v>
      </c>
      <c r="P306">
        <v>65</v>
      </c>
      <c r="Q306">
        <v>0</v>
      </c>
      <c r="R306">
        <v>0</v>
      </c>
      <c r="S306">
        <v>900</v>
      </c>
      <c r="T306" t="s">
        <v>196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196</v>
      </c>
      <c r="O307" t="s">
        <v>195</v>
      </c>
      <c r="P307">
        <v>270</v>
      </c>
      <c r="Q307">
        <v>13</v>
      </c>
      <c r="R307">
        <v>6</v>
      </c>
      <c r="S307" t="s">
        <v>197</v>
      </c>
      <c r="T307" t="s">
        <v>196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196</v>
      </c>
      <c r="O308" t="s">
        <v>194</v>
      </c>
      <c r="P308">
        <v>167</v>
      </c>
      <c r="Q308">
        <v>18</v>
      </c>
      <c r="R308">
        <v>6</v>
      </c>
      <c r="S308">
        <v>500</v>
      </c>
      <c r="T308" t="s">
        <v>196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196</v>
      </c>
      <c r="O309" t="s">
        <v>195</v>
      </c>
      <c r="P309">
        <v>133</v>
      </c>
      <c r="Q309">
        <v>173</v>
      </c>
      <c r="R309">
        <v>9</v>
      </c>
      <c r="S309">
        <v>277.5</v>
      </c>
      <c r="T309" t="s">
        <v>196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196</v>
      </c>
      <c r="O310" t="s">
        <v>195</v>
      </c>
      <c r="P310">
        <v>94</v>
      </c>
      <c r="Q310">
        <v>270</v>
      </c>
      <c r="R310">
        <v>16</v>
      </c>
      <c r="S310">
        <v>750</v>
      </c>
      <c r="T310" t="s">
        <v>196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196</v>
      </c>
      <c r="O311" t="s">
        <v>195</v>
      </c>
      <c r="P311">
        <v>300</v>
      </c>
      <c r="Q311">
        <v>12</v>
      </c>
      <c r="R311">
        <v>9</v>
      </c>
      <c r="S311">
        <v>160</v>
      </c>
      <c r="T311" t="s">
        <v>196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196</v>
      </c>
      <c r="O312" t="s">
        <v>195</v>
      </c>
      <c r="P312">
        <v>1182</v>
      </c>
      <c r="Q312">
        <v>96</v>
      </c>
      <c r="R312">
        <v>13</v>
      </c>
      <c r="S312">
        <v>1300</v>
      </c>
      <c r="T312" t="s">
        <v>196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196</v>
      </c>
      <c r="O313" t="s">
        <v>195</v>
      </c>
      <c r="P313">
        <v>170</v>
      </c>
      <c r="Q313">
        <v>284</v>
      </c>
      <c r="R313">
        <v>3</v>
      </c>
      <c r="S313">
        <v>525</v>
      </c>
      <c r="T313" t="s">
        <v>196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196</v>
      </c>
      <c r="O314" t="s">
        <v>195</v>
      </c>
      <c r="P314">
        <v>186</v>
      </c>
      <c r="Q314">
        <v>290</v>
      </c>
      <c r="R314">
        <v>17</v>
      </c>
      <c r="S314">
        <v>550</v>
      </c>
      <c r="T314" t="s">
        <v>196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193</v>
      </c>
      <c r="O315" t="s">
        <v>195</v>
      </c>
      <c r="P315">
        <v>121</v>
      </c>
      <c r="Q315">
        <v>267</v>
      </c>
      <c r="R315">
        <v>19</v>
      </c>
      <c r="S315">
        <v>1600</v>
      </c>
      <c r="T315" t="s">
        <v>193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196</v>
      </c>
      <c r="O316" t="s">
        <v>194</v>
      </c>
      <c r="P316">
        <v>942</v>
      </c>
      <c r="Q316">
        <v>72</v>
      </c>
      <c r="R316">
        <v>11</v>
      </c>
      <c r="S316">
        <v>120</v>
      </c>
      <c r="T316" t="s">
        <v>196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193</v>
      </c>
      <c r="O317" t="s">
        <v>194</v>
      </c>
      <c r="P317">
        <v>1222</v>
      </c>
      <c r="Q317">
        <v>139</v>
      </c>
      <c r="R317">
        <v>15</v>
      </c>
      <c r="S317">
        <v>165</v>
      </c>
      <c r="T317" t="s">
        <v>193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196</v>
      </c>
      <c r="O318" t="s">
        <v>195</v>
      </c>
      <c r="P318">
        <v>325</v>
      </c>
      <c r="Q318">
        <v>58</v>
      </c>
      <c r="R318">
        <v>6</v>
      </c>
      <c r="S318" t="s">
        <v>197</v>
      </c>
      <c r="T318" t="s">
        <v>196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196</v>
      </c>
      <c r="O319" t="s">
        <v>195</v>
      </c>
      <c r="P319">
        <v>325</v>
      </c>
      <c r="Q319">
        <v>9</v>
      </c>
      <c r="R319">
        <v>3</v>
      </c>
      <c r="S319">
        <v>700</v>
      </c>
      <c r="T319" t="s">
        <v>196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193</v>
      </c>
      <c r="O320" t="s">
        <v>195</v>
      </c>
      <c r="P320">
        <v>313</v>
      </c>
      <c r="Q320">
        <v>381</v>
      </c>
      <c r="R320">
        <v>20</v>
      </c>
      <c r="S320">
        <v>875</v>
      </c>
      <c r="T320" t="s">
        <v>193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193</v>
      </c>
      <c r="O321" t="s">
        <v>194</v>
      </c>
      <c r="P321">
        <v>37</v>
      </c>
      <c r="Q321">
        <v>113</v>
      </c>
      <c r="R321">
        <v>7</v>
      </c>
      <c r="S321">
        <v>385</v>
      </c>
      <c r="T321" t="s">
        <v>193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193</v>
      </c>
      <c r="O322" t="s">
        <v>195</v>
      </c>
      <c r="P322">
        <v>1314</v>
      </c>
      <c r="Q322">
        <v>131</v>
      </c>
      <c r="R322">
        <v>12</v>
      </c>
      <c r="S322">
        <v>960</v>
      </c>
      <c r="T322" t="s">
        <v>193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193</v>
      </c>
      <c r="O323" t="s">
        <v>194</v>
      </c>
      <c r="P323">
        <v>408</v>
      </c>
      <c r="Q323">
        <v>4</v>
      </c>
      <c r="R323">
        <v>3</v>
      </c>
      <c r="S323">
        <v>1000</v>
      </c>
      <c r="T323" t="s">
        <v>193</v>
      </c>
    </row>
  </sheetData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 codeName="Sheet15"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216</v>
      </c>
      <c r="B1" t="s">
        <v>215</v>
      </c>
      <c r="C1" t="s">
        <v>214</v>
      </c>
      <c r="D1" t="s">
        <v>213</v>
      </c>
      <c r="E1" t="s">
        <v>211</v>
      </c>
      <c r="F1" t="s">
        <v>199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14</vt:i4>
      </vt:variant>
    </vt:vector>
  </HeadingPairs>
  <TitlesOfParts>
    <vt:vector size="33" baseType="lpstr">
      <vt:lpstr>Today</vt:lpstr>
      <vt:lpstr>Themes</vt:lpstr>
      <vt:lpstr>Assumptions</vt:lpstr>
      <vt:lpstr>KNN</vt:lpstr>
      <vt:lpstr>Diagnostics</vt:lpstr>
      <vt:lpstr>OutOfSampleTesting</vt:lpstr>
      <vt:lpstr>AIC</vt:lpstr>
      <vt:lpstr>PreWork4NextClass</vt:lpstr>
      <vt:lpstr>InClassProjects</vt:lpstr>
      <vt:lpstr>Q_KNN_wVote</vt:lpstr>
      <vt:lpstr>Q_KNN_HighD</vt:lpstr>
      <vt:lpstr>Q_IndepErrors</vt:lpstr>
      <vt:lpstr>Q_CooksD</vt:lpstr>
      <vt:lpstr>Q_Specificity</vt:lpstr>
      <vt:lpstr>Q_OOS</vt:lpstr>
      <vt:lpstr>Q_AIC</vt:lpstr>
      <vt:lpstr>LendingClubData</vt:lpstr>
      <vt:lpstr>Hitters</vt:lpstr>
      <vt:lpstr>Hitters_Simple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2022-06-02T23:54:25Z</dcterms:modified>
</cp:coreProperties>
</file>