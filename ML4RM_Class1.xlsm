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Dev/"/>
    </mc:Choice>
  </mc:AlternateContent>
  <xr:revisionPtr revIDLastSave="0" documentId="13_ncr:1_{9B5476F1-BDFB-B043-959C-1643676D0235}" xr6:coauthVersionLast="47" xr6:coauthVersionMax="47" xr10:uidLastSave="{00000000-0000-0000-0000-000000000000}"/>
  <bookViews>
    <workbookView xWindow="28800" yWindow="0" windowWidth="34540" windowHeight="16740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state="veryHidden" r:id="rId5"/>
    <sheet name="Linearity" sheetId="8" state="veryHidden" r:id="rId6"/>
    <sheet name="NormalErrors" sheetId="68" state="veryHidden" r:id="rId7"/>
    <sheet name="ConstantVariance" sheetId="9" state="veryHidden" r:id="rId8"/>
    <sheet name="Leverage" sheetId="10" state="veryHidden" r:id="rId9"/>
    <sheet name="CooksDistance" sheetId="69" state="veryHidden" r:id="rId10"/>
    <sheet name="IndependentErrors" sheetId="11" state="veryHidden" r:id="rId11"/>
    <sheet name="DurbinWatson" sheetId="16" state="veryHidden" r:id="rId12"/>
    <sheet name="Diagnostics" sheetId="32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OutOfSampleTesting" sheetId="36" state="hidden" r:id="rId22"/>
    <sheet name="LearningCurves" sheetId="29" state="veryHidden" r:id="rId23"/>
    <sheet name="Contents" sheetId="37" state="veryHidden" r:id="rId24"/>
    <sheet name="BasicsWarmup" sheetId="38" state="veryHidden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AIC" sheetId="64" state="hidden" r:id="rId32"/>
    <sheet name="MLR_Step" sheetId="51" state="veryHidden" r:id="rId33"/>
    <sheet name="Data" sheetId="53" state="veryHidden" r:id="rId34"/>
    <sheet name="AIC_0" sheetId="62" state="veryHidden" r:id="rId35"/>
    <sheet name="AIC_1" sheetId="63" state="veryHidden" r:id="rId36"/>
    <sheet name="PreWork4NextClass" sheetId="27" r:id="rId37"/>
    <sheet name="InClassProjects" sheetId="26" r:id="rId38"/>
    <sheet name="Q_Regression" sheetId="33" r:id="rId39"/>
    <sheet name="Q_KNN" sheetId="25" state="hidden" r:id="rId40"/>
    <sheet name="Q_Diagnostics" sheetId="31" r:id="rId41"/>
    <sheet name="Q_AIC" sheetId="65" state="hidden" r:id="rId42"/>
    <sheet name="LendingClubData" sheetId="70" r:id="rId43"/>
    <sheet name="Hitters" sheetId="7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4">[2]Binomial!$C$14</definedName>
    <definedName name="k" localSheetId="35">[2]Binomial!$C$14</definedName>
    <definedName name="k" localSheetId="33">[2]Binomial!$C$14</definedName>
    <definedName name="k" localSheetId="18">KNN_K!$AB$4</definedName>
    <definedName name="k" localSheetId="32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4">[2]Binomial!$C$13</definedName>
    <definedName name="p" localSheetId="35">[2]Binomial!$C$13</definedName>
    <definedName name="p" localSheetId="33">[2]Binomial!$C$13</definedName>
    <definedName name="p" localSheetId="32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8" hidden="1">Q_Regression!$F$16</definedName>
    <definedName name="solver_cvg" localSheetId="38" hidden="1">0.0001</definedName>
    <definedName name="solver_drv" localSheetId="38" hidden="1">1</definedName>
    <definedName name="solver_eng" localSheetId="38" hidden="1">1</definedName>
    <definedName name="solver_itr" localSheetId="38" hidden="1">2147483647</definedName>
    <definedName name="solver_lin" localSheetId="38" hidden="1">2</definedName>
    <definedName name="solver_mip" localSheetId="38" hidden="1">2147483647</definedName>
    <definedName name="solver_mni" localSheetId="38" hidden="1">30</definedName>
    <definedName name="solver_mrt" localSheetId="38" hidden="1">0.075</definedName>
    <definedName name="solver_msl" localSheetId="38" hidden="1">2</definedName>
    <definedName name="solver_neg" localSheetId="38" hidden="1">1</definedName>
    <definedName name="solver_nod" localSheetId="38" hidden="1">2147483647</definedName>
    <definedName name="solver_num" localSheetId="38" hidden="1">0</definedName>
    <definedName name="solver_opt" localSheetId="38" hidden="1">Q_Regression!$F$19</definedName>
    <definedName name="solver_pre" localSheetId="38" hidden="1">0.000001</definedName>
    <definedName name="solver_rbv" localSheetId="38" hidden="1">1</definedName>
    <definedName name="solver_rlx" localSheetId="38" hidden="1">2</definedName>
    <definedName name="solver_rsd" localSheetId="38" hidden="1">0</definedName>
    <definedName name="solver_scl" localSheetId="38" hidden="1">1</definedName>
    <definedName name="solver_sho" localSheetId="38" hidden="1">2</definedName>
    <definedName name="solver_ssz" localSheetId="38" hidden="1">100</definedName>
    <definedName name="solver_tim" localSheetId="38" hidden="1">2147483647</definedName>
    <definedName name="solver_tol" localSheetId="38" hidden="1">0.01</definedName>
    <definedName name="solver_typ" localSheetId="38" hidden="1">2</definedName>
    <definedName name="solver_val" localSheetId="38" hidden="1">0</definedName>
    <definedName name="solver_ver" localSheetId="38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33" l="1"/>
  <c r="E36" i="33"/>
  <c r="E37" i="33"/>
  <c r="E38" i="33"/>
  <c r="E39" i="33"/>
  <c r="E40" i="33"/>
  <c r="E41" i="33"/>
  <c r="E42" i="33"/>
  <c r="E43" i="33"/>
  <c r="E34" i="33"/>
  <c r="E18" i="33"/>
  <c r="E19" i="33"/>
  <c r="E20" i="33"/>
  <c r="E21" i="33"/>
  <c r="E22" i="33"/>
  <c r="E23" i="33"/>
  <c r="E24" i="33"/>
  <c r="E25" i="33"/>
  <c r="E26" i="33"/>
  <c r="E17" i="33"/>
  <c r="I2" i="63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<sst xmlns="http://schemas.openxmlformats.org/spreadsheetml/2006/main" count="15098" uniqueCount="279">
  <si>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</si>
  <si>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</si>
  <si>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</si>
  <si>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</si>
  <si>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</si>
  <si>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</si>
  <si>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</si>
  <si>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</si>
  <si>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</si>
  <si>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</si>
  <si>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</si>
  <si>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</si>
  <si>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Visualization of the forecast</t>
  </si>
  <si>
    <t>K Nearest Neighbors</t>
  </si>
  <si>
    <t>Out of Sample Testing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</si>
  <si>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</si>
  <si>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</si>
  <si>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</si>
  <si>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</si>
  <si>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</si>
  <si>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</si>
  <si>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</si>
  <si>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</si>
  <si>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</si>
  <si>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</si>
  <si>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</si>
  <si>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</si>
  <si>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</si>
  <si>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</si>
  <si>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</si>
  <si>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</si>
  <si>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</si>
  <si>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</si>
  <si>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</si>
  <si>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</si>
  <si>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</si>
  <si>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</si>
  <si>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</si>
  <si>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</si>
  <si>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</si>
  <si>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</si>
  <si>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</si>
  <si>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</si>
  <si>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</si>
  <si>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</si>
  <si>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</si>
  <si>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</si>
  <si>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</si>
  <si>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</si>
  <si>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</si>
  <si>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</si>
  <si>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</si>
  <si>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</si>
  <si>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</si>
  <si>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</si>
  <si>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</si>
  <si>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</si>
  <si>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</si>
  <si>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</si>
  <si>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</si>
  <si>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</si>
  <si>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</si>
  <si>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</si>
  <si>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</si>
  <si>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</si>
  <si>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</si>
  <si>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</si>
  <si>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</si>
  <si>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</si>
  <si>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</si>
  <si>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</si>
  <si>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</si>
  <si>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</si>
  <si>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</si>
  <si>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</si>
  <si>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</si>
  <si>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</si>
  <si>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</si>
  <si>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</si>
  <si>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</si>
  <si>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</si>
  <si>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</si>
  <si>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</si>
  <si>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</si>
  <si>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</si>
  <si>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</si>
  <si>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</si>
  <si>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</si>
  <si>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</si>
  <si>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</si>
  <si>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</si>
  <si>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</si>
  <si>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</si>
  <si>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</si>
  <si>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</si>
  <si>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</si>
  <si>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</si>
  <si>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</si>
  <si>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</si>
  <si>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</si>
  <si>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</si>
  <si>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</si>
  <si>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</si>
  <si>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</si>
  <si>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</si>
  <si>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</si>
  <si>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</si>
  <si>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</si>
  <si>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</si>
  <si>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</si>
  <si>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</si>
  <si>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</si>
  <si>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</si>
  <si>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</si>
  <si>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</si>
  <si>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</si>
  <si>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</si>
  <si>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</si>
  <si>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</si>
  <si>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</si>
  <si>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</si>
  <si>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</si>
  <si>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</si>
  <si>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</si>
  <si>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</si>
  <si>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</si>
  <si>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</si>
  <si>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</si>
  <si>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</si>
  <si>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</si>
  <si>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</si>
  <si>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</si>
  <si>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</si>
  <si>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</si>
  <si>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</si>
  <si>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</si>
  <si>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</si>
  <si>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</si>
  <si>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</si>
  <si>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</si>
  <si>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</si>
  <si>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</si>
  <si>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</si>
  <si>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</si>
  <si>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</si>
  <si>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</si>
  <si>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</si>
  <si>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</si>
  <si>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</si>
  <si>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</si>
  <si>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</si>
  <si>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</si>
  <si>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</si>
  <si>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</si>
  <si>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</si>
  <si>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</si>
  <si>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</si>
  <si>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</si>
  <si>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</si>
  <si>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</si>
  <si>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</si>
  <si>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</si>
  <si>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</si>
  <si>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</si>
  <si>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</si>
  <si>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</si>
  <si>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</si>
  <si>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</si>
  <si>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</si>
  <si>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</si>
  <si>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</si>
  <si>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</si>
  <si>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</si>
  <si>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</si>
  <si>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</si>
  <si>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</si>
  <si>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</si>
  <si>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</si>
  <si>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</si>
  <si>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</si>
  <si>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</si>
  <si>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</si>
  <si>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</si>
  <si>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</si>
  <si>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</si>
  <si>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</si>
  <si>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</si>
  <si>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</si>
  <si>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</si>
  <si>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</si>
  <si>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</si>
  <si>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</si>
  <si>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</si>
  <si>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</si>
  <si>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</si>
  <si>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</si>
  <si>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</si>
  <si>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</si>
  <si>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</si>
  <si>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</si>
  <si>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Regression</t>
  </si>
  <si>
    <t>Question</t>
  </si>
  <si>
    <t>Points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</si>
  <si>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</si>
  <si>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</si>
  <si>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</si>
  <si>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</si>
  <si>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</si>
  <si>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</si>
  <si>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</si>
  <si>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</si>
  <si>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</si>
  <si>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</si>
  <si>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</si>
  <si>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</si>
  <si>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</si>
  <si>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</si>
  <si>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</si>
  <si>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</si>
  <si>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</si>
  <si>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</si>
  <si>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</si>
  <si>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</si>
  <si>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</si>
  <si>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</si>
  <si>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</si>
  <si>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</si>
  <si>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</si>
  <si>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</si>
  <si>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</si>
  <si>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</si>
  <si>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</si>
  <si>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</si>
  <si>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</si>
  <si>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</si>
  <si>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</si>
  <si>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</si>
  <si>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</si>
  <si>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</si>
  <si>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</si>
  <si>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</si>
  <si>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Your answer should display the following in this tab.</t>
  </si>
  <si>
    <t>Normal Errors 1</t>
  </si>
  <si>
    <t>Normal Errors 2</t>
  </si>
  <si>
    <t>Constant Variance</t>
  </si>
  <si>
    <t>Independent Errors</t>
  </si>
  <si>
    <t>DB1</t>
  </si>
  <si>
    <t>DB2</t>
  </si>
  <si>
    <t>Knn Data</t>
  </si>
  <si>
    <t>KNN xNew</t>
  </si>
  <si>
    <t>Knn Distance</t>
  </si>
  <si>
    <t>KNN Nearest</t>
  </si>
  <si>
    <t>KNN Vote</t>
  </si>
  <si>
    <t>KNN Rcode</t>
  </si>
  <si>
    <t>Define 'linear combination'</t>
  </si>
  <si>
    <t>Define 'multicollinearity'</t>
  </si>
  <si>
    <t>List 4 assumptions of linear regression</t>
  </si>
  <si>
    <t>y</t>
  </si>
  <si>
    <t>b</t>
  </si>
  <si>
    <t>Use Solver to solve for beta by minimizing the Residual Sum of Squares.</t>
  </si>
  <si>
    <t>Objective</t>
  </si>
  <si>
    <t>Minimize the value in cell labeled Objective.</t>
  </si>
  <si>
    <t>Use Solver to solve for beta by maximizing likelihood.</t>
  </si>
  <si>
    <t>You are welcome to manually solve in a programming language, but that will be more difficult.</t>
  </si>
  <si>
    <t>Use an Ftest to check if the variance of the first 5 error terms is different from the second 5.</t>
  </si>
  <si>
    <t>n1</t>
  </si>
  <si>
    <t>n2</t>
  </si>
  <si>
    <t>Ratio</t>
  </si>
  <si>
    <t>Fvalue</t>
  </si>
  <si>
    <t>Pvalue</t>
  </si>
  <si>
    <t>Learning Curve plot (errors by K)</t>
  </si>
  <si>
    <t>A portfolio has 1 dollar invested into assets A and B.</t>
  </si>
  <si>
    <t>V(A) = 1</t>
  </si>
  <si>
    <t>V(B) = 1</t>
  </si>
  <si>
    <t>Correlation(A,B) = 0</t>
  </si>
  <si>
    <t>What is the variance of the portfolio?</t>
  </si>
  <si>
    <t>Correlation(A,B) = 1</t>
  </si>
  <si>
    <t>Correlation(A,B) = -1</t>
  </si>
  <si>
    <t>Describe the Durbin Watson test in terms of porfolio variance.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</si>
</sst>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  <xf numFmtId="11" fontId="0" fillId="0" borderId="0" xfId="0" applyNumberFormat="1"/>
    <xf numFmtId="0" fontId="1" fillId="5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shrinkToFi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0.56973720225237146</c:v>
                </c:pt>
                <c:pt idx="1">
                  <c:v>0.20741604397943569</c:v>
                </c:pt>
                <c:pt idx="2">
                  <c:v>0.38954036034770212</c:v>
                </c:pt>
                <c:pt idx="3">
                  <c:v>0.37069943132577399</c:v>
                </c:pt>
                <c:pt idx="4">
                  <c:v>0.36044924439095583</c:v>
                </c:pt>
                <c:pt idx="5">
                  <c:v>0.26021041575391801</c:v>
                </c:pt>
                <c:pt idx="6">
                  <c:v>0.8369690807345882</c:v>
                </c:pt>
                <c:pt idx="7">
                  <c:v>0.49866783494739764</c:v>
                </c:pt>
                <c:pt idx="8">
                  <c:v>0.80898604687346554</c:v>
                </c:pt>
                <c:pt idx="9">
                  <c:v>2.1590414334473507E-2</c:v>
                </c:pt>
                <c:pt idx="10">
                  <c:v>0.88280860641511094</c:v>
                </c:pt>
                <c:pt idx="11">
                  <c:v>0.98764636776108472</c:v>
                </c:pt>
                <c:pt idx="12">
                  <c:v>0.59597537423453695</c:v>
                </c:pt>
                <c:pt idx="13">
                  <c:v>0.21347462537635908</c:v>
                </c:pt>
                <c:pt idx="14">
                  <c:v>0.28332424247051557</c:v>
                </c:pt>
                <c:pt idx="15">
                  <c:v>0.54308369212255181</c:v>
                </c:pt>
                <c:pt idx="16">
                  <c:v>0.52655903407584781</c:v>
                </c:pt>
                <c:pt idx="17">
                  <c:v>0.17391725575958106</c:v>
                </c:pt>
                <c:pt idx="18">
                  <c:v>0.8306832367446163</c:v>
                </c:pt>
                <c:pt idx="19">
                  <c:v>0.43433781687465989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0.88681259554597047</c:v>
                </c:pt>
                <c:pt idx="1">
                  <c:v>0.91535980754708979</c:v>
                </c:pt>
                <c:pt idx="2">
                  <c:v>0.65889556025787577</c:v>
                </c:pt>
                <c:pt idx="3">
                  <c:v>0.48970967268838445</c:v>
                </c:pt>
                <c:pt idx="4">
                  <c:v>0.87549881266240215</c:v>
                </c:pt>
                <c:pt idx="5">
                  <c:v>0.32902483061441989</c:v>
                </c:pt>
                <c:pt idx="6">
                  <c:v>0.93796261429300509</c:v>
                </c:pt>
                <c:pt idx="7">
                  <c:v>0.74658692927562476</c:v>
                </c:pt>
                <c:pt idx="8">
                  <c:v>0.93863196558104289</c:v>
                </c:pt>
                <c:pt idx="9">
                  <c:v>0.48415888223056042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0.56973720225237146</c:v>
                </c:pt>
                <c:pt idx="1">
                  <c:v>0.20741604397943569</c:v>
                </c:pt>
                <c:pt idx="2">
                  <c:v>0.38954036034770212</c:v>
                </c:pt>
                <c:pt idx="3">
                  <c:v>0.37069943132577399</c:v>
                </c:pt>
                <c:pt idx="4">
                  <c:v>0.36044924439095583</c:v>
                </c:pt>
                <c:pt idx="5">
                  <c:v>0.26021041575391801</c:v>
                </c:pt>
                <c:pt idx="6">
                  <c:v>0.8369690807345882</c:v>
                </c:pt>
                <c:pt idx="7">
                  <c:v>0.49866783494739764</c:v>
                </c:pt>
                <c:pt idx="8">
                  <c:v>0.80898604687346554</c:v>
                </c:pt>
                <c:pt idx="9">
                  <c:v>2.1590414334473507E-2</c:v>
                </c:pt>
                <c:pt idx="10">
                  <c:v>0.88280860641511094</c:v>
                </c:pt>
                <c:pt idx="11">
                  <c:v>0.98764636776108472</c:v>
                </c:pt>
                <c:pt idx="12">
                  <c:v>0.59597537423453695</c:v>
                </c:pt>
                <c:pt idx="13">
                  <c:v>0.21347462537635908</c:v>
                </c:pt>
                <c:pt idx="14">
                  <c:v>0.28332424247051557</c:v>
                </c:pt>
                <c:pt idx="15">
                  <c:v>0.54308369212255181</c:v>
                </c:pt>
                <c:pt idx="16">
                  <c:v>0.52655903407584781</c:v>
                </c:pt>
                <c:pt idx="17">
                  <c:v>0.17391725575958106</c:v>
                </c:pt>
                <c:pt idx="18">
                  <c:v>0.8306832367446163</c:v>
                </c:pt>
                <c:pt idx="19">
                  <c:v>0.43433781687465989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0.15082445217475168</c:v>
                </c:pt>
                <c:pt idx="11">
                  <c:v>0.19059182662361088</c:v>
                </c:pt>
                <c:pt idx="12">
                  <c:v>0.55390344085686638</c:v>
                </c:pt>
                <c:pt idx="13">
                  <c:v>9.4882104564890032E-2</c:v>
                </c:pt>
                <c:pt idx="14">
                  <c:v>5.8456268299032506E-2</c:v>
                </c:pt>
                <c:pt idx="15">
                  <c:v>0.1532176290118529</c:v>
                </c:pt>
                <c:pt idx="16">
                  <c:v>0.48875233773761162</c:v>
                </c:pt>
                <c:pt idx="17">
                  <c:v>3.9733561335747727E-3</c:v>
                </c:pt>
                <c:pt idx="18">
                  <c:v>9.9046488717427023E-2</c:v>
                </c:pt>
                <c:pt idx="19">
                  <c:v>7.9879409686046884E-3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0.33370782686727907</c:v>
                </c:pt>
                <c:pt idx="1">
                  <c:v>0.1097781939898822</c:v>
                </c:pt>
                <c:pt idx="2">
                  <c:v>0.91509292293692146</c:v>
                </c:pt>
                <c:pt idx="3">
                  <c:v>0.26591404232155869</c:v>
                </c:pt>
                <c:pt idx="4">
                  <c:v>0.30808574089114049</c:v>
                </c:pt>
                <c:pt idx="5">
                  <c:v>0.13801540267214774</c:v>
                </c:pt>
                <c:pt idx="6">
                  <c:v>0.59480473030654313</c:v>
                </c:pt>
                <c:pt idx="7">
                  <c:v>0.86871665585408697</c:v>
                </c:pt>
                <c:pt idx="8">
                  <c:v>0.254765789749131</c:v>
                </c:pt>
                <c:pt idx="9">
                  <c:v>0.6174717353101824</c:v>
                </c:pt>
                <c:pt idx="10">
                  <c:v>0.72569171372318919</c:v>
                </c:pt>
                <c:pt idx="11">
                  <c:v>0.32491630257973336</c:v>
                </c:pt>
                <c:pt idx="12">
                  <c:v>0.2273852223671069</c:v>
                </c:pt>
                <c:pt idx="13">
                  <c:v>0.34415390077654917</c:v>
                </c:pt>
                <c:pt idx="14">
                  <c:v>0.71582966244920732</c:v>
                </c:pt>
                <c:pt idx="15">
                  <c:v>0.70146619674407684</c:v>
                </c:pt>
                <c:pt idx="16">
                  <c:v>0.94564827921131334</c:v>
                </c:pt>
                <c:pt idx="17">
                  <c:v>0.2759047369512766</c:v>
                </c:pt>
                <c:pt idx="18">
                  <c:v>9.2116378870835125E-2</c:v>
                </c:pt>
                <c:pt idx="19">
                  <c:v>0.33638453496948728</c:v>
                </c:pt>
                <c:pt idx="20">
                  <c:v>0.37436442678465864</c:v>
                </c:pt>
                <c:pt idx="21">
                  <c:v>0.33105696145439434</c:v>
                </c:pt>
                <c:pt idx="22">
                  <c:v>0.58908650746112945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0.91090618822684977</c:v>
                </c:pt>
                <c:pt idx="1">
                  <c:v>0.44485203854971667</c:v>
                </c:pt>
                <c:pt idx="2">
                  <c:v>0.99118836136377153</c:v>
                </c:pt>
                <c:pt idx="3">
                  <c:v>0.38051204524165538</c:v>
                </c:pt>
                <c:pt idx="4">
                  <c:v>0.4083563002133283</c:v>
                </c:pt>
                <c:pt idx="5">
                  <c:v>0.90927078727744737</c:v>
                </c:pt>
                <c:pt idx="6">
                  <c:v>0.78729502462397583</c:v>
                </c:pt>
                <c:pt idx="7">
                  <c:v>0.97941737497619674</c:v>
                </c:pt>
                <c:pt idx="8">
                  <c:v>0.39040825251638267</c:v>
                </c:pt>
                <c:pt idx="9">
                  <c:v>0.85717635429091876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0.33370782686727907</c:v>
                </c:pt>
                <c:pt idx="1">
                  <c:v>0.1097781939898822</c:v>
                </c:pt>
                <c:pt idx="2">
                  <c:v>0.91509292293692146</c:v>
                </c:pt>
                <c:pt idx="3">
                  <c:v>0.26591404232155869</c:v>
                </c:pt>
                <c:pt idx="4">
                  <c:v>0.30808574089114049</c:v>
                </c:pt>
                <c:pt idx="5">
                  <c:v>0.13801540267214774</c:v>
                </c:pt>
                <c:pt idx="6">
                  <c:v>0.59480473030654313</c:v>
                </c:pt>
                <c:pt idx="7">
                  <c:v>0.86871665585408697</c:v>
                </c:pt>
                <c:pt idx="8">
                  <c:v>0.254765789749131</c:v>
                </c:pt>
                <c:pt idx="9">
                  <c:v>0.6174717353101824</c:v>
                </c:pt>
                <c:pt idx="10">
                  <c:v>0.72569171372318919</c:v>
                </c:pt>
                <c:pt idx="11">
                  <c:v>0.32491630257973336</c:v>
                </c:pt>
                <c:pt idx="12">
                  <c:v>0.2273852223671069</c:v>
                </c:pt>
                <c:pt idx="13">
                  <c:v>0.34415390077654917</c:v>
                </c:pt>
                <c:pt idx="14">
                  <c:v>0.71582966244920732</c:v>
                </c:pt>
                <c:pt idx="15">
                  <c:v>0.70146619674407684</c:v>
                </c:pt>
                <c:pt idx="16">
                  <c:v>0.94564827921131334</c:v>
                </c:pt>
                <c:pt idx="17">
                  <c:v>0.2759047369512766</c:v>
                </c:pt>
                <c:pt idx="18">
                  <c:v>9.2116378870835125E-2</c:v>
                </c:pt>
                <c:pt idx="19">
                  <c:v>0.33638453496948728</c:v>
                </c:pt>
                <c:pt idx="20">
                  <c:v>0.37436442678465864</c:v>
                </c:pt>
                <c:pt idx="21">
                  <c:v>0.33105696145439434</c:v>
                </c:pt>
                <c:pt idx="22">
                  <c:v>0.58908650746112945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0.16854292680563421</c:v>
                </c:pt>
                <c:pt idx="11">
                  <c:v>2.7857042313071879E-2</c:v>
                </c:pt>
                <c:pt idx="12">
                  <c:v>0.1377556618651504</c:v>
                </c:pt>
                <c:pt idx="13">
                  <c:v>0.25751252769281519</c:v>
                </c:pt>
                <c:pt idx="14">
                  <c:v>0.69834898517835686</c:v>
                </c:pt>
                <c:pt idx="15">
                  <c:v>0.62210811735381333</c:v>
                </c:pt>
                <c:pt idx="16">
                  <c:v>0.35131834592469552</c:v>
                </c:pt>
                <c:pt idx="17">
                  <c:v>0.15590574668078017</c:v>
                </c:pt>
                <c:pt idx="18">
                  <c:v>2.4137089733855966E-3</c:v>
                </c:pt>
                <c:pt idx="19">
                  <c:v>9.2866987427514772E-2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0.33370782686727907</c:v>
                </c:pt>
                <c:pt idx="1">
                  <c:v>0.1097781939898822</c:v>
                </c:pt>
                <c:pt idx="2">
                  <c:v>0.91509292293692146</c:v>
                </c:pt>
                <c:pt idx="3">
                  <c:v>0.26591404232155869</c:v>
                </c:pt>
                <c:pt idx="4">
                  <c:v>0.30808574089114049</c:v>
                </c:pt>
                <c:pt idx="5">
                  <c:v>0.13801540267214774</c:v>
                </c:pt>
                <c:pt idx="6">
                  <c:v>0.59480473030654313</c:v>
                </c:pt>
                <c:pt idx="7">
                  <c:v>0.86871665585408697</c:v>
                </c:pt>
                <c:pt idx="8">
                  <c:v>0.254765789749131</c:v>
                </c:pt>
                <c:pt idx="9">
                  <c:v>0.6174717353101824</c:v>
                </c:pt>
                <c:pt idx="10">
                  <c:v>0.72569171372318919</c:v>
                </c:pt>
                <c:pt idx="11">
                  <c:v>0.32491630257973336</c:v>
                </c:pt>
                <c:pt idx="12">
                  <c:v>0.2273852223671069</c:v>
                </c:pt>
                <c:pt idx="13">
                  <c:v>0.34415390077654917</c:v>
                </c:pt>
                <c:pt idx="14">
                  <c:v>0.71582966244920732</c:v>
                </c:pt>
                <c:pt idx="15">
                  <c:v>0.70146619674407684</c:v>
                </c:pt>
                <c:pt idx="16">
                  <c:v>0.94564827921131334</c:v>
                </c:pt>
                <c:pt idx="17">
                  <c:v>0.2759047369512766</c:v>
                </c:pt>
                <c:pt idx="18">
                  <c:v>9.2116378870835125E-2</c:v>
                </c:pt>
                <c:pt idx="19">
                  <c:v>0.33638453496948728</c:v>
                </c:pt>
                <c:pt idx="20">
                  <c:v>0.37436442678465864</c:v>
                </c:pt>
                <c:pt idx="21">
                  <c:v>0.33105696145439434</c:v>
                </c:pt>
                <c:pt idx="22">
                  <c:v>0.58908650746112945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0.86415244452865547</c:v>
                </c:pt>
                <c:pt idx="21" formatCode="0.00">
                  <c:v>0.74949652132729638</c:v>
                </c:pt>
                <c:pt idx="22" formatCode="0.00">
                  <c:v>0.52663386721518224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0.91667828639276039</c:v>
                </c:pt>
                <c:pt idx="1">
                  <c:v>0.59608514232745025</c:v>
                </c:pt>
                <c:pt idx="2">
                  <c:v>0.55130422067182239</c:v>
                </c:pt>
                <c:pt idx="3">
                  <c:v>0.43739829792947849</c:v>
                </c:pt>
                <c:pt idx="4">
                  <c:v>0.49490974452915282</c:v>
                </c:pt>
                <c:pt idx="5">
                  <c:v>0.22660339845196087</c:v>
                </c:pt>
                <c:pt idx="6">
                  <c:v>0.32551279660046617</c:v>
                </c:pt>
                <c:pt idx="7">
                  <c:v>0.98003723627095118</c:v>
                </c:pt>
                <c:pt idx="8">
                  <c:v>0.13551118688397235</c:v>
                </c:pt>
                <c:pt idx="9">
                  <c:v>7.470061337071543E-2</c:v>
                </c:pt>
                <c:pt idx="10">
                  <c:v>0.70152874761707651</c:v>
                </c:pt>
                <c:pt idx="11">
                  <c:v>0.15577111373147456</c:v>
                </c:pt>
                <c:pt idx="12">
                  <c:v>0.8798941878907216</c:v>
                </c:pt>
                <c:pt idx="13">
                  <c:v>0.61086107630801689</c:v>
                </c:pt>
                <c:pt idx="14">
                  <c:v>0.20284663142542247</c:v>
                </c:pt>
                <c:pt idx="15">
                  <c:v>0.12972366891824139</c:v>
                </c:pt>
                <c:pt idx="16">
                  <c:v>0.36958890679605039</c:v>
                </c:pt>
                <c:pt idx="17">
                  <c:v>0.38630497138280806</c:v>
                </c:pt>
                <c:pt idx="18">
                  <c:v>0.84429157301941327</c:v>
                </c:pt>
                <c:pt idx="19">
                  <c:v>0.33096904413425665</c:v>
                </c:pt>
                <c:pt idx="20">
                  <c:v>0.89466763967849339</c:v>
                </c:pt>
                <c:pt idx="21">
                  <c:v>0.13544303748895981</c:v>
                </c:pt>
                <c:pt idx="22">
                  <c:v>0.28018424961741051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0.98444966870806072</c:v>
                </c:pt>
                <c:pt idx="1">
                  <c:v>0.98718451256370032</c:v>
                </c:pt>
                <c:pt idx="2">
                  <c:v>0.92527324372774755</c:v>
                </c:pt>
                <c:pt idx="3">
                  <c:v>0.5541375396506516</c:v>
                </c:pt>
                <c:pt idx="4">
                  <c:v>0.58554374352780225</c:v>
                </c:pt>
                <c:pt idx="5">
                  <c:v>0.2300018923674198</c:v>
                </c:pt>
                <c:pt idx="6">
                  <c:v>0.69086410623480088</c:v>
                </c:pt>
                <c:pt idx="7">
                  <c:v>0.99710215264426072</c:v>
                </c:pt>
                <c:pt idx="8">
                  <c:v>0.92068476788614473</c:v>
                </c:pt>
                <c:pt idx="9">
                  <c:v>0.62785104973365269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0.91667828639276039</c:v>
                </c:pt>
                <c:pt idx="1">
                  <c:v>0.59608514232745025</c:v>
                </c:pt>
                <c:pt idx="2">
                  <c:v>0.55130422067182239</c:v>
                </c:pt>
                <c:pt idx="3">
                  <c:v>0.43739829792947849</c:v>
                </c:pt>
                <c:pt idx="4">
                  <c:v>0.49490974452915282</c:v>
                </c:pt>
                <c:pt idx="5">
                  <c:v>0.22660339845196087</c:v>
                </c:pt>
                <c:pt idx="6">
                  <c:v>0.32551279660046617</c:v>
                </c:pt>
                <c:pt idx="7">
                  <c:v>0.98003723627095118</c:v>
                </c:pt>
                <c:pt idx="8">
                  <c:v>0.13551118688397235</c:v>
                </c:pt>
                <c:pt idx="9">
                  <c:v>7.470061337071543E-2</c:v>
                </c:pt>
                <c:pt idx="10">
                  <c:v>0.70152874761707651</c:v>
                </c:pt>
                <c:pt idx="11">
                  <c:v>0.15577111373147456</c:v>
                </c:pt>
                <c:pt idx="12">
                  <c:v>0.8798941878907216</c:v>
                </c:pt>
                <c:pt idx="13">
                  <c:v>0.61086107630801689</c:v>
                </c:pt>
                <c:pt idx="14">
                  <c:v>0.20284663142542247</c:v>
                </c:pt>
                <c:pt idx="15">
                  <c:v>0.12972366891824139</c:v>
                </c:pt>
                <c:pt idx="16">
                  <c:v>0.36958890679605039</c:v>
                </c:pt>
                <c:pt idx="17">
                  <c:v>0.38630497138280806</c:v>
                </c:pt>
                <c:pt idx="18">
                  <c:v>0.84429157301941327</c:v>
                </c:pt>
                <c:pt idx="19">
                  <c:v>0.33096904413425665</c:v>
                </c:pt>
                <c:pt idx="20">
                  <c:v>0.89466763967849339</c:v>
                </c:pt>
                <c:pt idx="21">
                  <c:v>0.13544303748895981</c:v>
                </c:pt>
                <c:pt idx="22">
                  <c:v>0.28018424961741051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0.33726281373731293</c:v>
                </c:pt>
                <c:pt idx="11">
                  <c:v>3.6149757409477339E-2</c:v>
                </c:pt>
                <c:pt idx="12">
                  <c:v>0.11339072400652066</c:v>
                </c:pt>
                <c:pt idx="13">
                  <c:v>0.56401221757534958</c:v>
                </c:pt>
                <c:pt idx="14">
                  <c:v>4.247866868720084E-3</c:v>
                </c:pt>
                <c:pt idx="15">
                  <c:v>7.1011715667522856E-3</c:v>
                </c:pt>
                <c:pt idx="16">
                  <c:v>0.26090770200471169</c:v>
                </c:pt>
                <c:pt idx="17">
                  <c:v>3.4444486280162563E-2</c:v>
                </c:pt>
                <c:pt idx="18">
                  <c:v>0.38848330941994264</c:v>
                </c:pt>
                <c:pt idx="19">
                  <c:v>0.20339923398123913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0.91667828639276039</c:v>
                </c:pt>
                <c:pt idx="1">
                  <c:v>0.59608514232745025</c:v>
                </c:pt>
                <c:pt idx="2">
                  <c:v>0.55130422067182239</c:v>
                </c:pt>
                <c:pt idx="3">
                  <c:v>0.43739829792947849</c:v>
                </c:pt>
                <c:pt idx="4">
                  <c:v>0.49490974452915282</c:v>
                </c:pt>
                <c:pt idx="5">
                  <c:v>0.22660339845196087</c:v>
                </c:pt>
                <c:pt idx="6">
                  <c:v>0.32551279660046617</c:v>
                </c:pt>
                <c:pt idx="7">
                  <c:v>0.98003723627095118</c:v>
                </c:pt>
                <c:pt idx="8">
                  <c:v>0.13551118688397235</c:v>
                </c:pt>
                <c:pt idx="9">
                  <c:v>7.470061337071543E-2</c:v>
                </c:pt>
                <c:pt idx="10">
                  <c:v>0.70152874761707651</c:v>
                </c:pt>
                <c:pt idx="11">
                  <c:v>0.15577111373147456</c:v>
                </c:pt>
                <c:pt idx="12">
                  <c:v>0.8798941878907216</c:v>
                </c:pt>
                <c:pt idx="13">
                  <c:v>0.61086107630801689</c:v>
                </c:pt>
                <c:pt idx="14">
                  <c:v>0.20284663142542247</c:v>
                </c:pt>
                <c:pt idx="15">
                  <c:v>0.12972366891824139</c:v>
                </c:pt>
                <c:pt idx="16">
                  <c:v>0.36958890679605039</c:v>
                </c:pt>
                <c:pt idx="17">
                  <c:v>0.38630497138280806</c:v>
                </c:pt>
                <c:pt idx="18">
                  <c:v>0.84429157301941327</c:v>
                </c:pt>
                <c:pt idx="19">
                  <c:v>0.33096904413425665</c:v>
                </c:pt>
                <c:pt idx="20">
                  <c:v>0.89466763967849339</c:v>
                </c:pt>
                <c:pt idx="21">
                  <c:v>0.13544303748895981</c:v>
                </c:pt>
                <c:pt idx="22">
                  <c:v>0.28018424961741051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0.50733346009008562</c:v>
                </c:pt>
                <c:pt idx="21" formatCode="0.00">
                  <c:v>8.9423965462755217E-2</c:v>
                </c:pt>
                <c:pt idx="22" formatCode="0.00">
                  <c:v>0.86613637809629263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0.44930815980023853</c:v>
                </c:pt>
                <c:pt idx="1">
                  <c:v>0.89629590636730028</c:v>
                </c:pt>
                <c:pt idx="2">
                  <c:v>0.15707595823400688</c:v>
                </c:pt>
                <c:pt idx="3">
                  <c:v>0.32417273540204006</c:v>
                </c:pt>
                <c:pt idx="4">
                  <c:v>0.52054766331070967</c:v>
                </c:pt>
                <c:pt idx="5">
                  <c:v>0.15405670660886128</c:v>
                </c:pt>
                <c:pt idx="6">
                  <c:v>0.84960002678061763</c:v>
                </c:pt>
                <c:pt idx="7">
                  <c:v>0.66376935022827321</c:v>
                </c:pt>
                <c:pt idx="8">
                  <c:v>0.75681130356279147</c:v>
                </c:pt>
                <c:pt idx="9">
                  <c:v>0.42415143250712628</c:v>
                </c:pt>
                <c:pt idx="10">
                  <c:v>0.28713908568539637</c:v>
                </c:pt>
                <c:pt idx="11">
                  <c:v>0.88927923007149512</c:v>
                </c:pt>
                <c:pt idx="12">
                  <c:v>0.61440985770483747</c:v>
                </c:pt>
                <c:pt idx="13">
                  <c:v>0.95378954771256863</c:v>
                </c:pt>
                <c:pt idx="14">
                  <c:v>0.19346915751642424</c:v>
                </c:pt>
                <c:pt idx="15">
                  <c:v>0.7518092486543293</c:v>
                </c:pt>
                <c:pt idx="16">
                  <c:v>0.24092023579046906</c:v>
                </c:pt>
                <c:pt idx="17">
                  <c:v>0.59306615656649708</c:v>
                </c:pt>
                <c:pt idx="18">
                  <c:v>0.58033078025698315</c:v>
                </c:pt>
                <c:pt idx="19">
                  <c:v>0.45968847916234223</c:v>
                </c:pt>
                <c:pt idx="21">
                  <c:v>0.84519254430368429</c:v>
                </c:pt>
                <c:pt idx="22">
                  <c:v>0.71341258455017964</c:v>
                </c:pt>
                <c:pt idx="23">
                  <c:v>0.4669427926811589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0.77253979749571577</c:v>
                </c:pt>
                <c:pt idx="1">
                  <c:v>0.9869318379879477</c:v>
                </c:pt>
                <c:pt idx="2">
                  <c:v>0.48924380470932805</c:v>
                </c:pt>
                <c:pt idx="3">
                  <c:v>0.7832000604872067</c:v>
                </c:pt>
                <c:pt idx="4">
                  <c:v>0.73782218711538927</c:v>
                </c:pt>
                <c:pt idx="5">
                  <c:v>0.45981461763688508</c:v>
                </c:pt>
                <c:pt idx="6">
                  <c:v>0.98707104619775943</c:v>
                </c:pt>
                <c:pt idx="7">
                  <c:v>0.82830093079350919</c:v>
                </c:pt>
                <c:pt idx="8">
                  <c:v>0.84713909128045883</c:v>
                </c:pt>
                <c:pt idx="9">
                  <c:v>0.71730825209756677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0.44930815980023853</c:v>
                </c:pt>
                <c:pt idx="1">
                  <c:v>0.89629590636730028</c:v>
                </c:pt>
                <c:pt idx="2">
                  <c:v>0.15707595823400688</c:v>
                </c:pt>
                <c:pt idx="3">
                  <c:v>0.32417273540204006</c:v>
                </c:pt>
                <c:pt idx="4">
                  <c:v>0.52054766331070967</c:v>
                </c:pt>
                <c:pt idx="5">
                  <c:v>0.15405670660886128</c:v>
                </c:pt>
                <c:pt idx="6">
                  <c:v>0.84960002678061763</c:v>
                </c:pt>
                <c:pt idx="7">
                  <c:v>0.66376935022827321</c:v>
                </c:pt>
                <c:pt idx="8">
                  <c:v>0.75681130356279147</c:v>
                </c:pt>
                <c:pt idx="9">
                  <c:v>0.42415143250712628</c:v>
                </c:pt>
                <c:pt idx="10">
                  <c:v>0.28713908568539637</c:v>
                </c:pt>
                <c:pt idx="11">
                  <c:v>0.88927923007149512</c:v>
                </c:pt>
                <c:pt idx="12">
                  <c:v>0.61440985770483747</c:v>
                </c:pt>
                <c:pt idx="13">
                  <c:v>0.95378954771256863</c:v>
                </c:pt>
                <c:pt idx="14">
                  <c:v>0.19346915751642424</c:v>
                </c:pt>
                <c:pt idx="15">
                  <c:v>0.7518092486543293</c:v>
                </c:pt>
                <c:pt idx="16">
                  <c:v>0.24092023579046906</c:v>
                </c:pt>
                <c:pt idx="17">
                  <c:v>0.59306615656649708</c:v>
                </c:pt>
                <c:pt idx="18">
                  <c:v>0.58033078025698315</c:v>
                </c:pt>
                <c:pt idx="19">
                  <c:v>0.45968847916234223</c:v>
                </c:pt>
                <c:pt idx="21">
                  <c:v>0.84519254430368429</c:v>
                </c:pt>
                <c:pt idx="22">
                  <c:v>0.71341258455017964</c:v>
                </c:pt>
                <c:pt idx="23">
                  <c:v>0.4669427926811589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0.10334767078525535</c:v>
                </c:pt>
                <c:pt idx="11">
                  <c:v>0.24767454035490818</c:v>
                </c:pt>
                <c:pt idx="12">
                  <c:v>0.52021809066805413</c:v>
                </c:pt>
                <c:pt idx="13">
                  <c:v>0.41840589045770932</c:v>
                </c:pt>
                <c:pt idx="14">
                  <c:v>6.3489533354937122E-2</c:v>
                </c:pt>
                <c:pt idx="15">
                  <c:v>1.8034675610998117E-2</c:v>
                </c:pt>
                <c:pt idx="16">
                  <c:v>0.11166651548305742</c:v>
                </c:pt>
                <c:pt idx="17">
                  <c:v>0.54985888477661571</c:v>
                </c:pt>
                <c:pt idx="18">
                  <c:v>8.7506244624267981E-2</c:v>
                </c:pt>
                <c:pt idx="19">
                  <c:v>6.0154540205886196E-2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0.44930815980023853</c:v>
                </c:pt>
                <c:pt idx="1">
                  <c:v>0.89629590636730028</c:v>
                </c:pt>
                <c:pt idx="2">
                  <c:v>0.15707595823400688</c:v>
                </c:pt>
                <c:pt idx="3">
                  <c:v>0.32417273540204006</c:v>
                </c:pt>
                <c:pt idx="4">
                  <c:v>0.52054766331070967</c:v>
                </c:pt>
                <c:pt idx="5">
                  <c:v>0.15405670660886128</c:v>
                </c:pt>
                <c:pt idx="6">
                  <c:v>0.84960002678061763</c:v>
                </c:pt>
                <c:pt idx="7">
                  <c:v>0.66376935022827321</c:v>
                </c:pt>
                <c:pt idx="8">
                  <c:v>0.75681130356279147</c:v>
                </c:pt>
                <c:pt idx="9">
                  <c:v>0.42415143250712628</c:v>
                </c:pt>
                <c:pt idx="10">
                  <c:v>0.28713908568539637</c:v>
                </c:pt>
                <c:pt idx="11">
                  <c:v>0.88927923007149512</c:v>
                </c:pt>
                <c:pt idx="12">
                  <c:v>0.61440985770483747</c:v>
                </c:pt>
                <c:pt idx="13">
                  <c:v>0.95378954771256863</c:v>
                </c:pt>
                <c:pt idx="14">
                  <c:v>0.19346915751642424</c:v>
                </c:pt>
                <c:pt idx="15">
                  <c:v>0.7518092486543293</c:v>
                </c:pt>
                <c:pt idx="16">
                  <c:v>0.24092023579046906</c:v>
                </c:pt>
                <c:pt idx="17">
                  <c:v>0.59306615656649708</c:v>
                </c:pt>
                <c:pt idx="18">
                  <c:v>0.58033078025698315</c:v>
                </c:pt>
                <c:pt idx="19">
                  <c:v>0.45968847916234223</c:v>
                </c:pt>
                <c:pt idx="21">
                  <c:v>0.84519254430368429</c:v>
                </c:pt>
                <c:pt idx="22">
                  <c:v>0.71341258455017964</c:v>
                </c:pt>
                <c:pt idx="23">
                  <c:v>0.4669427926811589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0.5439894717951792</c:v>
                </c:pt>
                <c:pt idx="22" formatCode="0.00">
                  <c:v>7.2612091372449616E-2</c:v>
                </c:pt>
                <c:pt idx="23" formatCode="0.00">
                  <c:v>0.36950942287641231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0.54793197542710093</c:v>
                </c:pt>
                <c:pt idx="1">
                  <c:v>0.24976000204025339</c:v>
                </c:pt>
                <c:pt idx="2">
                  <c:v>0.59631294952122826</c:v>
                </c:pt>
                <c:pt idx="3">
                  <c:v>0.16039259020026064</c:v>
                </c:pt>
                <c:pt idx="4">
                  <c:v>0.94111636217404515</c:v>
                </c:pt>
                <c:pt idx="5">
                  <c:v>0.5831996905304262</c:v>
                </c:pt>
                <c:pt idx="6">
                  <c:v>8.8988823515356974E-2</c:v>
                </c:pt>
                <c:pt idx="7">
                  <c:v>0.73374725920651307</c:v>
                </c:pt>
                <c:pt idx="8">
                  <c:v>0.35822935762391628</c:v>
                </c:pt>
                <c:pt idx="9">
                  <c:v>0.21585047893617215</c:v>
                </c:pt>
                <c:pt idx="10">
                  <c:v>0.6662523541623161</c:v>
                </c:pt>
                <c:pt idx="11">
                  <c:v>0.45834282334570831</c:v>
                </c:pt>
                <c:pt idx="12">
                  <c:v>5.5653007464268489E-2</c:v>
                </c:pt>
                <c:pt idx="13">
                  <c:v>3.1952251043798285E-2</c:v>
                </c:pt>
                <c:pt idx="14">
                  <c:v>6.420391265187686E-2</c:v>
                </c:pt>
                <c:pt idx="15">
                  <c:v>6.3279967221479771E-2</c:v>
                </c:pt>
                <c:pt idx="16">
                  <c:v>0.60051030419459805</c:v>
                </c:pt>
                <c:pt idx="17">
                  <c:v>0.36610615376798517</c:v>
                </c:pt>
                <c:pt idx="18">
                  <c:v>0.83897579030206326</c:v>
                </c:pt>
                <c:pt idx="19">
                  <c:v>0.95322185097353207</c:v>
                </c:pt>
                <c:pt idx="21">
                  <c:v>0.41852117072958073</c:v>
                </c:pt>
                <c:pt idx="22">
                  <c:v>2.114662838455994E-2</c:v>
                </c:pt>
                <c:pt idx="23">
                  <c:v>0.6797303180415164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0.70324303424706014</c:v>
                </c:pt>
                <c:pt idx="1">
                  <c:v>0.52619115507547332</c:v>
                </c:pt>
                <c:pt idx="2">
                  <c:v>0.74911206246358786</c:v>
                </c:pt>
                <c:pt idx="3">
                  <c:v>0.8894845220321389</c:v>
                </c:pt>
                <c:pt idx="4">
                  <c:v>0.9508993223087483</c:v>
                </c:pt>
                <c:pt idx="5">
                  <c:v>0.6586414912484303</c:v>
                </c:pt>
                <c:pt idx="6">
                  <c:v>0.38375269689034175</c:v>
                </c:pt>
                <c:pt idx="7">
                  <c:v>0.75041826261184896</c:v>
                </c:pt>
                <c:pt idx="8">
                  <c:v>0.4866120762456122</c:v>
                </c:pt>
                <c:pt idx="9">
                  <c:v>0.58673376803684851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0.54793197542710093</c:v>
                </c:pt>
                <c:pt idx="1">
                  <c:v>0.24976000204025339</c:v>
                </c:pt>
                <c:pt idx="2">
                  <c:v>0.59631294952122826</c:v>
                </c:pt>
                <c:pt idx="3">
                  <c:v>0.16039259020026064</c:v>
                </c:pt>
                <c:pt idx="4">
                  <c:v>0.94111636217404515</c:v>
                </c:pt>
                <c:pt idx="5">
                  <c:v>0.5831996905304262</c:v>
                </c:pt>
                <c:pt idx="6">
                  <c:v>8.8988823515356974E-2</c:v>
                </c:pt>
                <c:pt idx="7">
                  <c:v>0.73374725920651307</c:v>
                </c:pt>
                <c:pt idx="8">
                  <c:v>0.35822935762391628</c:v>
                </c:pt>
                <c:pt idx="9">
                  <c:v>0.21585047893617215</c:v>
                </c:pt>
                <c:pt idx="10">
                  <c:v>0.6662523541623161</c:v>
                </c:pt>
                <c:pt idx="11">
                  <c:v>0.45834282334570831</c:v>
                </c:pt>
                <c:pt idx="12">
                  <c:v>5.5653007464268489E-2</c:v>
                </c:pt>
                <c:pt idx="13">
                  <c:v>3.1952251043798285E-2</c:v>
                </c:pt>
                <c:pt idx="14">
                  <c:v>6.420391265187686E-2</c:v>
                </c:pt>
                <c:pt idx="15">
                  <c:v>6.3279967221479771E-2</c:v>
                </c:pt>
                <c:pt idx="16">
                  <c:v>0.60051030419459805</c:v>
                </c:pt>
                <c:pt idx="17">
                  <c:v>0.36610615376798517</c:v>
                </c:pt>
                <c:pt idx="18">
                  <c:v>0.83897579030206326</c:v>
                </c:pt>
                <c:pt idx="19">
                  <c:v>0.95322185097353207</c:v>
                </c:pt>
                <c:pt idx="21">
                  <c:v>0.41852117072958073</c:v>
                </c:pt>
                <c:pt idx="22">
                  <c:v>2.114662838455994E-2</c:v>
                </c:pt>
                <c:pt idx="23">
                  <c:v>0.6797303180415164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9.080570961670642E-2</c:v>
                </c:pt>
                <c:pt idx="11">
                  <c:v>0.13341718535865413</c:v>
                </c:pt>
                <c:pt idx="12">
                  <c:v>1.8975717350447008E-2</c:v>
                </c:pt>
                <c:pt idx="13">
                  <c:v>3.8216319302887729E-3</c:v>
                </c:pt>
                <c:pt idx="14">
                  <c:v>2.6305193494077461E-2</c:v>
                </c:pt>
                <c:pt idx="15">
                  <c:v>4.1976020995990494E-2</c:v>
                </c:pt>
                <c:pt idx="16">
                  <c:v>0.25356868560426993</c:v>
                </c:pt>
                <c:pt idx="17">
                  <c:v>0.244438525556291</c:v>
                </c:pt>
                <c:pt idx="18">
                  <c:v>0.5747463601926569</c:v>
                </c:pt>
                <c:pt idx="19">
                  <c:v>0.54952731307563851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0.54793197542710093</c:v>
                </c:pt>
                <c:pt idx="1">
                  <c:v>0.24976000204025339</c:v>
                </c:pt>
                <c:pt idx="2">
                  <c:v>0.59631294952122826</c:v>
                </c:pt>
                <c:pt idx="3">
                  <c:v>0.16039259020026064</c:v>
                </c:pt>
                <c:pt idx="4">
                  <c:v>0.94111636217404515</c:v>
                </c:pt>
                <c:pt idx="5">
                  <c:v>0.5831996905304262</c:v>
                </c:pt>
                <c:pt idx="6">
                  <c:v>8.8988823515356974E-2</c:v>
                </c:pt>
                <c:pt idx="7">
                  <c:v>0.73374725920651307</c:v>
                </c:pt>
                <c:pt idx="8">
                  <c:v>0.35822935762391628</c:v>
                </c:pt>
                <c:pt idx="9">
                  <c:v>0.21585047893617215</c:v>
                </c:pt>
                <c:pt idx="10">
                  <c:v>0.6662523541623161</c:v>
                </c:pt>
                <c:pt idx="11">
                  <c:v>0.45834282334570831</c:v>
                </c:pt>
                <c:pt idx="12">
                  <c:v>5.5653007464268489E-2</c:v>
                </c:pt>
                <c:pt idx="13">
                  <c:v>3.1952251043798285E-2</c:v>
                </c:pt>
                <c:pt idx="14">
                  <c:v>6.420391265187686E-2</c:v>
                </c:pt>
                <c:pt idx="15">
                  <c:v>6.3279967221479771E-2</c:v>
                </c:pt>
                <c:pt idx="16">
                  <c:v>0.60051030419459805</c:v>
                </c:pt>
                <c:pt idx="17">
                  <c:v>0.36610615376798517</c:v>
                </c:pt>
                <c:pt idx="18">
                  <c:v>0.83897579030206326</c:v>
                </c:pt>
                <c:pt idx="19">
                  <c:v>0.95322185097353207</c:v>
                </c:pt>
                <c:pt idx="21">
                  <c:v>0.41852117072958073</c:v>
                </c:pt>
                <c:pt idx="22">
                  <c:v>2.114662838455994E-2</c:v>
                </c:pt>
                <c:pt idx="23">
                  <c:v>0.6797303180415164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2.7631355152119008E-2</c:v>
                </c:pt>
                <c:pt idx="22" formatCode="0.00">
                  <c:v>0.51859116610790246</c:v>
                </c:pt>
                <c:pt idx="23" formatCode="0.00">
                  <c:v>0.35420425317340387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0.32855980926767492</c:v>
                </c:pt>
                <c:pt idx="1">
                  <c:v>0.55000685392707993</c:v>
                </c:pt>
                <c:pt idx="2">
                  <c:v>0.25472332110944529</c:v>
                </c:pt>
                <c:pt idx="3">
                  <c:v>0.40660681942973809</c:v>
                </c:pt>
                <c:pt idx="4">
                  <c:v>0.82215439210908292</c:v>
                </c:pt>
                <c:pt idx="5">
                  <c:v>3.8223303161393996E-2</c:v>
                </c:pt>
                <c:pt idx="6">
                  <c:v>9.6734105379478685E-2</c:v>
                </c:pt>
                <c:pt idx="7">
                  <c:v>0.15922269320482296</c:v>
                </c:pt>
                <c:pt idx="8">
                  <c:v>0.67953991655000112</c:v>
                </c:pt>
                <c:pt idx="9">
                  <c:v>0.75905789035125049</c:v>
                </c:pt>
                <c:pt idx="10">
                  <c:v>0.53850020541243449</c:v>
                </c:pt>
                <c:pt idx="11">
                  <c:v>0.88561580079849556</c:v>
                </c:pt>
                <c:pt idx="12">
                  <c:v>0.74948417912161602</c:v>
                </c:pt>
                <c:pt idx="13">
                  <c:v>0.21955037959445722</c:v>
                </c:pt>
                <c:pt idx="14">
                  <c:v>0.60394281784933945</c:v>
                </c:pt>
                <c:pt idx="15">
                  <c:v>0.15274052530940141</c:v>
                </c:pt>
                <c:pt idx="16">
                  <c:v>0.70358333103552195</c:v>
                </c:pt>
                <c:pt idx="17">
                  <c:v>0.24349611025437412</c:v>
                </c:pt>
                <c:pt idx="18">
                  <c:v>0.3100154590516998</c:v>
                </c:pt>
                <c:pt idx="19">
                  <c:v>0.30145677652277658</c:v>
                </c:pt>
                <c:pt idx="21">
                  <c:v>0.15039166473399057</c:v>
                </c:pt>
                <c:pt idx="22">
                  <c:v>0.63128941674796779</c:v>
                </c:pt>
                <c:pt idx="23">
                  <c:v>0.50269150050768463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0.55056550778213786</c:v>
                </c:pt>
                <c:pt idx="1">
                  <c:v>0.72178701048888949</c:v>
                </c:pt>
                <c:pt idx="2">
                  <c:v>0.38643743557965848</c:v>
                </c:pt>
                <c:pt idx="3">
                  <c:v>0.8385340692957578</c:v>
                </c:pt>
                <c:pt idx="4">
                  <c:v>0.9387740402692879</c:v>
                </c:pt>
                <c:pt idx="5">
                  <c:v>0.58525470028509208</c:v>
                </c:pt>
                <c:pt idx="6">
                  <c:v>0.33473611567274808</c:v>
                </c:pt>
                <c:pt idx="7">
                  <c:v>0.47332342209507372</c:v>
                </c:pt>
                <c:pt idx="8">
                  <c:v>0.92298617535091632</c:v>
                </c:pt>
                <c:pt idx="9">
                  <c:v>0.95917166075405769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0.32855980926767492</c:v>
                </c:pt>
                <c:pt idx="1">
                  <c:v>0.55000685392707993</c:v>
                </c:pt>
                <c:pt idx="2">
                  <c:v>0.25472332110944529</c:v>
                </c:pt>
                <c:pt idx="3">
                  <c:v>0.40660681942973809</c:v>
                </c:pt>
                <c:pt idx="4">
                  <c:v>0.82215439210908292</c:v>
                </c:pt>
                <c:pt idx="5">
                  <c:v>3.8223303161393996E-2</c:v>
                </c:pt>
                <c:pt idx="6">
                  <c:v>9.6734105379478685E-2</c:v>
                </c:pt>
                <c:pt idx="7">
                  <c:v>0.15922269320482296</c:v>
                </c:pt>
                <c:pt idx="8">
                  <c:v>0.67953991655000112</c:v>
                </c:pt>
                <c:pt idx="9">
                  <c:v>0.75905789035125049</c:v>
                </c:pt>
                <c:pt idx="10">
                  <c:v>0.53850020541243449</c:v>
                </c:pt>
                <c:pt idx="11">
                  <c:v>0.88561580079849556</c:v>
                </c:pt>
                <c:pt idx="12">
                  <c:v>0.74948417912161602</c:v>
                </c:pt>
                <c:pt idx="13">
                  <c:v>0.21955037959445722</c:v>
                </c:pt>
                <c:pt idx="14">
                  <c:v>0.60394281784933945</c:v>
                </c:pt>
                <c:pt idx="15">
                  <c:v>0.15274052530940141</c:v>
                </c:pt>
                <c:pt idx="16">
                  <c:v>0.70358333103552195</c:v>
                </c:pt>
                <c:pt idx="17">
                  <c:v>0.24349611025437412</c:v>
                </c:pt>
                <c:pt idx="18">
                  <c:v>0.3100154590516998</c:v>
                </c:pt>
                <c:pt idx="19">
                  <c:v>0.30145677652277658</c:v>
                </c:pt>
                <c:pt idx="21">
                  <c:v>0.15039166473399057</c:v>
                </c:pt>
                <c:pt idx="22">
                  <c:v>0.63128941674796779</c:v>
                </c:pt>
                <c:pt idx="23">
                  <c:v>0.50269150050768463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0.21982822384928513</c:v>
                </c:pt>
                <c:pt idx="11">
                  <c:v>0.28284708941274511</c:v>
                </c:pt>
                <c:pt idx="12">
                  <c:v>9.4938022589882376E-2</c:v>
                </c:pt>
                <c:pt idx="13">
                  <c:v>0.21311134553174729</c:v>
                </c:pt>
                <c:pt idx="14">
                  <c:v>0.17899424609795433</c:v>
                </c:pt>
                <c:pt idx="15">
                  <c:v>6.4959874753878405E-2</c:v>
                </c:pt>
                <c:pt idx="16">
                  <c:v>0.60004926851791274</c:v>
                </c:pt>
                <c:pt idx="17">
                  <c:v>1.7103471196239863E-2</c:v>
                </c:pt>
                <c:pt idx="18">
                  <c:v>0.11839403840266505</c:v>
                </c:pt>
                <c:pt idx="19">
                  <c:v>0.23268818061931951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0.32855980926767492</c:v>
                </c:pt>
                <c:pt idx="1">
                  <c:v>0.55000685392707993</c:v>
                </c:pt>
                <c:pt idx="2">
                  <c:v>0.25472332110944529</c:v>
                </c:pt>
                <c:pt idx="3">
                  <c:v>0.40660681942973809</c:v>
                </c:pt>
                <c:pt idx="4">
                  <c:v>0.82215439210908292</c:v>
                </c:pt>
                <c:pt idx="5">
                  <c:v>3.8223303161393996E-2</c:v>
                </c:pt>
                <c:pt idx="6">
                  <c:v>9.6734105379478685E-2</c:v>
                </c:pt>
                <c:pt idx="7">
                  <c:v>0.15922269320482296</c:v>
                </c:pt>
                <c:pt idx="8">
                  <c:v>0.67953991655000112</c:v>
                </c:pt>
                <c:pt idx="9">
                  <c:v>0.75905789035125049</c:v>
                </c:pt>
                <c:pt idx="10">
                  <c:v>0.53850020541243449</c:v>
                </c:pt>
                <c:pt idx="11">
                  <c:v>0.88561580079849556</c:v>
                </c:pt>
                <c:pt idx="12">
                  <c:v>0.74948417912161602</c:v>
                </c:pt>
                <c:pt idx="13">
                  <c:v>0.21955037959445722</c:v>
                </c:pt>
                <c:pt idx="14">
                  <c:v>0.60394281784933945</c:v>
                </c:pt>
                <c:pt idx="15">
                  <c:v>0.15274052530940141</c:v>
                </c:pt>
                <c:pt idx="16">
                  <c:v>0.70358333103552195</c:v>
                </c:pt>
                <c:pt idx="17">
                  <c:v>0.24349611025437412</c:v>
                </c:pt>
                <c:pt idx="18">
                  <c:v>0.3100154590516998</c:v>
                </c:pt>
                <c:pt idx="19">
                  <c:v>0.30145677652277658</c:v>
                </c:pt>
                <c:pt idx="21">
                  <c:v>0.15039166473399057</c:v>
                </c:pt>
                <c:pt idx="22">
                  <c:v>0.63128941674796779</c:v>
                </c:pt>
                <c:pt idx="23">
                  <c:v>0.50269150050768463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0.69257450972949364</c:v>
                </c:pt>
                <c:pt idx="22" formatCode="0.00">
                  <c:v>0.59355185382746023</c:v>
                </c:pt>
                <c:pt idx="23" formatCode="0.00">
                  <c:v>0.29099586107890663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Basics warm up ####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Closed Form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Closed form.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en.wikipedia.org/wiki/Precision_and_recal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13</v>
      </c>
    </row>
    <row r="7" spans="2:2" x14ac:dyDescent="0.3">
      <c r="B7" s="1" t="s">
        <v>14</v>
      </c>
    </row>
    <row r="9" spans="2:2" x14ac:dyDescent="0.3">
      <c r="B9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</v>
      </c>
    </row>
    <row r="4" spans="2:2" x14ac:dyDescent="0.3">
      <c r="B4" s="1" t="s">
        <v>17</v>
      </c>
    </row>
    <row r="6" spans="2:2" x14ac:dyDescent="0.3">
      <c r="B6" s="1" t="s">
        <v>18</v>
      </c>
    </row>
    <row r="8" spans="2:2" x14ac:dyDescent="0.3">
      <c r="B8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 codeName="Sheet3">
    <tabColor rgb="FF00206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187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</v>
      </c>
    </row>
    <row r="2" spans="1:1" x14ac:dyDescent="0.3">
      <c r="A2" s="1" t="s">
        <v>0</v>
      </c>
    </row>
    <row r="3" spans="1:1" x14ac:dyDescent="0.3">
      <c r="A3" s="1" t="s">
        <v>188</v>
      </c>
    </row>
    <row r="4" spans="1:1" x14ac:dyDescent="0.3">
      <c r="A4" s="1" t="s">
        <v>49</v>
      </c>
    </row>
    <row r="5" spans="1:1" x14ac:dyDescent="0.3">
      <c r="A5" s="1" t="s">
        <v>199</v>
      </c>
    </row>
    <row r="6" spans="1:1" x14ac:dyDescent="0.3">
      <c r="A6" s="1" t="s">
        <v>50</v>
      </c>
    </row>
    <row r="7" spans="1:1" x14ac:dyDescent="0.3">
      <c r="A7" s="1" t="s">
        <v>51</v>
      </c>
    </row>
    <row r="8" spans="1:1" x14ac:dyDescent="0.3">
      <c r="A8" s="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37D81B1E-8F86-F540-AF47-DC7ED260981E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242</v>
      </c>
      <c r="D1" s="9" t="s">
        <v>243</v>
      </c>
    </row>
  </sheetData>
  <hyperlinks>
    <hyperlink ref="B1" r:id="rId1" xr:uid="{B8B7F16C-C270-AE48-8E63-F53A985603D0}"/>
    <hyperlink ref="D1" r:id="rId2" xr:uid="{1E66A680-971C-DF43-BD48-33E0FD8F3EDA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244</v>
      </c>
    </row>
  </sheetData>
  <hyperlinks>
    <hyperlink ref="B1" r:id="rId1" xr:uid="{F0AF9FB1-712D-AF4C-9E63-B593A285F8F4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50</v>
      </c>
    </row>
  </sheetData>
  <hyperlinks>
    <hyperlink ref="B1" r:id="rId1" xr:uid="{7C9939BB-3225-AF4C-9F9F-3F49D49B2695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245</v>
      </c>
    </row>
  </sheetData>
  <hyperlinks>
    <hyperlink ref="B1" r:id="rId1" xr:uid="{671663CB-808F-C04F-B9A9-6CEAE87EFF6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9" t="s">
        <v>246</v>
      </c>
    </row>
    <row r="2" spans="1:17" x14ac:dyDescent="0.2">
      <c r="A2" s="9" t="s">
        <v>247</v>
      </c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3.5371271366700081</v>
      </c>
      <c r="I2" s="6">
        <f t="shared" si="0"/>
        <v>3.1537005951474013</v>
      </c>
      <c r="J2" s="6">
        <f t="shared" si="0"/>
        <v>2.7601719244737115</v>
      </c>
      <c r="K2" s="6">
        <f t="shared" si="0"/>
        <v>2.3686798706055079</v>
      </c>
      <c r="L2" s="6">
        <f t="shared" si="0"/>
        <v>1.9608896830335842</v>
      </c>
      <c r="M2" s="6">
        <f t="shared" si="0"/>
        <v>1.6275120813362736</v>
      </c>
      <c r="N2" s="6">
        <f t="shared" si="0"/>
        <v>1.2261296347368322</v>
      </c>
      <c r="O2" s="6">
        <f t="shared" si="0"/>
        <v>0.8533852969250536</v>
      </c>
      <c r="P2" s="6">
        <f t="shared" si="0"/>
        <v>0.41481906359080251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0.58768598384990911</v>
      </c>
    </row>
    <row r="4" spans="1:17" x14ac:dyDescent="0.2">
      <c r="F4" s="4">
        <f ca="1">D12</f>
        <v>0.78274656748446325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-0.95511493677498527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3.5447190209226394</v>
      </c>
      <c r="I5" s="3">
        <v>3.5513160605713683</v>
      </c>
      <c r="J5" s="3">
        <v>2.8337312138762809</v>
      </c>
      <c r="K5" s="3">
        <v>2.4654210084838604</v>
      </c>
      <c r="L5" s="3">
        <v>1.8308854412429914</v>
      </c>
      <c r="M5" s="3">
        <v>1.7354036277252343</v>
      </c>
      <c r="N5" s="3">
        <v>1.1464077441048162</v>
      </c>
      <c r="O5" s="3">
        <v>0.98798876260015767</v>
      </c>
      <c r="P5" s="3">
        <v>0.39061307695967334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-0.119651462056453</v>
      </c>
      <c r="D6" s="5">
        <f ca="1">SUMXMY2(OFFSET(B4,1,0,99),OFFSET(B4,2,0,99))</f>
        <v>66.011186632358289</v>
      </c>
      <c r="F6" s="4">
        <v>2</v>
      </c>
      <c r="G6" s="3">
        <v>3.96</v>
      </c>
      <c r="H6" s="3">
        <v>3.5408072716765129</v>
      </c>
      <c r="I6" s="3">
        <v>3.4181701814882994</v>
      </c>
      <c r="J6" s="3">
        <v>2.8368492280402036</v>
      </c>
      <c r="K6" s="3">
        <v>2.5962525055864081</v>
      </c>
      <c r="L6" s="3">
        <v>1.9235080134406171</v>
      </c>
      <c r="M6" s="3">
        <v>1.9424473880143693</v>
      </c>
      <c r="N6" s="3">
        <v>1.2052408716028769</v>
      </c>
      <c r="O6" s="3">
        <v>0.80098579929090064</v>
      </c>
      <c r="P6" s="3">
        <v>0.54272126393775344</v>
      </c>
      <c r="Q6" s="3">
        <v>0</v>
      </c>
    </row>
    <row r="7" spans="1:17" x14ac:dyDescent="0.2">
      <c r="A7" s="2">
        <v>3</v>
      </c>
      <c r="B7" s="2">
        <f t="shared" ca="1" si="1"/>
        <v>1.8283745224908636</v>
      </c>
      <c r="F7" s="4">
        <v>3</v>
      </c>
      <c r="G7" s="3">
        <v>3.96</v>
      </c>
      <c r="H7" s="3">
        <v>3.5664204245389715</v>
      </c>
      <c r="I7" s="3">
        <v>3.305163317590353</v>
      </c>
      <c r="J7" s="3">
        <v>2.4285060322107337</v>
      </c>
      <c r="K7" s="3">
        <v>2.3915009769764648</v>
      </c>
      <c r="L7" s="3">
        <v>1.5090518274639586</v>
      </c>
      <c r="M7" s="3">
        <v>1.6975547302463896</v>
      </c>
      <c r="N7" s="3">
        <v>1.4837007028230802</v>
      </c>
      <c r="O7" s="3">
        <v>0.77585264023228506</v>
      </c>
      <c r="P7" s="3">
        <v>0.40301262479588318</v>
      </c>
      <c r="Q7" s="3">
        <v>0</v>
      </c>
    </row>
    <row r="8" spans="1:17" x14ac:dyDescent="0.2">
      <c r="A8" s="2">
        <v>4</v>
      </c>
      <c r="B8" s="2">
        <f t="shared" ca="1" si="1"/>
        <v>0.90752088352442184</v>
      </c>
      <c r="D8" s="2" t="s">
        <v>3</v>
      </c>
      <c r="F8" s="4">
        <v>4</v>
      </c>
      <c r="G8" s="3">
        <v>3.96</v>
      </c>
      <c r="H8" s="3">
        <v>3.5568796110342746</v>
      </c>
      <c r="I8" s="3">
        <v>3.2163232107412494</v>
      </c>
      <c r="J8" s="3">
        <v>2.7740576775966774</v>
      </c>
      <c r="K8" s="3">
        <v>2.0777801967956875</v>
      </c>
      <c r="L8" s="3">
        <v>1.9880375221014264</v>
      </c>
      <c r="M8" s="3">
        <v>1.5841876354697777</v>
      </c>
      <c r="N8" s="3">
        <v>1.3659802172237954</v>
      </c>
      <c r="O8" s="3">
        <v>0.79760683131112775</v>
      </c>
      <c r="P8" s="3">
        <v>0.36569691606705862</v>
      </c>
      <c r="Q8" s="3">
        <v>0</v>
      </c>
    </row>
    <row r="9" spans="1:17" x14ac:dyDescent="0.2">
      <c r="A9" s="2">
        <v>5</v>
      </c>
      <c r="B9" s="2">
        <f t="shared" ca="1" si="1"/>
        <v>1.3183221901465962</v>
      </c>
      <c r="D9" s="2">
        <f ca="1">SUMSQ(B5:B104)</f>
        <v>84.33277049620348</v>
      </c>
      <c r="F9" s="4">
        <v>5</v>
      </c>
      <c r="G9" s="3">
        <v>3.96</v>
      </c>
      <c r="H9" s="3">
        <v>3.6076959360043896</v>
      </c>
      <c r="I9" s="3">
        <v>3.0288580904782498</v>
      </c>
      <c r="J9" s="3">
        <v>2.6269483778823055</v>
      </c>
      <c r="K9" s="3">
        <v>2.3632749426124855</v>
      </c>
      <c r="L9" s="3">
        <v>1.8982949246505629</v>
      </c>
      <c r="M9" s="3">
        <v>1.9107253087767551</v>
      </c>
      <c r="N9" s="3">
        <v>1.4383101901694073</v>
      </c>
      <c r="O9" s="3">
        <v>0.80854229369911301</v>
      </c>
      <c r="P9" s="3">
        <v>0.49156452755360081</v>
      </c>
      <c r="Q9" s="3">
        <v>0</v>
      </c>
    </row>
    <row r="10" spans="1:17" x14ac:dyDescent="0.2">
      <c r="A10" s="2">
        <v>6</v>
      </c>
      <c r="B10" s="2">
        <f t="shared" ca="1" si="1"/>
        <v>1.229757595883096</v>
      </c>
      <c r="F10" s="4">
        <v>6</v>
      </c>
      <c r="G10" s="3">
        <v>3.96</v>
      </c>
      <c r="H10" s="3">
        <v>3.6448191416524325</v>
      </c>
      <c r="I10" s="3">
        <v>2.9227442757974624</v>
      </c>
      <c r="J10" s="3">
        <v>2.8075929408053915</v>
      </c>
      <c r="K10" s="3">
        <v>2.5714453807402657</v>
      </c>
      <c r="L10" s="3">
        <v>1.9173653390408585</v>
      </c>
      <c r="M10" s="3">
        <v>1.2708961311673321</v>
      </c>
      <c r="N10" s="3">
        <v>1.5801306976126066</v>
      </c>
      <c r="O10" s="3">
        <v>0.80478162862097657</v>
      </c>
      <c r="P10" s="3">
        <v>0.33103859654429585</v>
      </c>
      <c r="Q10" s="3">
        <v>0</v>
      </c>
    </row>
    <row r="11" spans="1:17" x14ac:dyDescent="0.2">
      <c r="A11" s="2">
        <v>7</v>
      </c>
      <c r="B11" s="2">
        <f t="shared" ca="1" si="1"/>
        <v>-0.41174702912628769</v>
      </c>
      <c r="D11" s="2" t="s">
        <v>2</v>
      </c>
      <c r="F11" s="4">
        <v>7</v>
      </c>
      <c r="G11" s="3">
        <v>3.96</v>
      </c>
      <c r="H11" s="3">
        <v>3.5211765871200811</v>
      </c>
      <c r="I11" s="3">
        <v>3.3536701320153162</v>
      </c>
      <c r="J11" s="3">
        <v>2.6420864795781362</v>
      </c>
      <c r="K11" s="3">
        <v>2.4751133283474709</v>
      </c>
      <c r="L11" s="3">
        <v>2.1191707428502409</v>
      </c>
      <c r="M11" s="3">
        <v>2.0704072488487095</v>
      </c>
      <c r="N11" s="3">
        <v>1.2742616889469736</v>
      </c>
      <c r="O11" s="3">
        <v>1.2092801698701918</v>
      </c>
      <c r="P11" s="3">
        <v>0.3883095930759764</v>
      </c>
      <c r="Q11" s="3">
        <v>0</v>
      </c>
    </row>
    <row r="12" spans="1:17" x14ac:dyDescent="0.2">
      <c r="A12" s="2">
        <v>8</v>
      </c>
      <c r="B12" s="2">
        <f t="shared" ca="1" si="1"/>
        <v>-0.11694810063864702</v>
      </c>
      <c r="D12" s="2">
        <f ca="1">D6/D9</f>
        <v>0.78274656748446325</v>
      </c>
      <c r="F12" s="4">
        <v>8</v>
      </c>
      <c r="G12" s="3">
        <v>3.96</v>
      </c>
      <c r="H12" s="3">
        <v>3.5899087468312674</v>
      </c>
      <c r="I12" s="3">
        <v>2.8857884286051103</v>
      </c>
      <c r="J12" s="3">
        <v>2.6017521146675509</v>
      </c>
      <c r="K12" s="3">
        <v>2.5040962803234064</v>
      </c>
      <c r="L12" s="3">
        <v>2.2714645804549276</v>
      </c>
      <c r="M12" s="3">
        <v>1.6032131237984804</v>
      </c>
      <c r="N12" s="3">
        <v>1.2556175978794499</v>
      </c>
      <c r="O12" s="3">
        <v>0.78558280749328391</v>
      </c>
      <c r="P12" s="3">
        <v>0.31976605783318379</v>
      </c>
      <c r="Q12" s="3">
        <v>0</v>
      </c>
    </row>
    <row r="13" spans="1:17" x14ac:dyDescent="0.2">
      <c r="A13" s="2">
        <v>9</v>
      </c>
      <c r="B13" s="2">
        <f t="shared" ca="1" si="1"/>
        <v>-0.81513924266913818</v>
      </c>
      <c r="F13" s="4">
        <v>9</v>
      </c>
      <c r="G13" s="3">
        <v>3.96</v>
      </c>
      <c r="H13" s="3">
        <v>3.6591265975473863</v>
      </c>
      <c r="I13" s="3">
        <v>3.2069078763584931</v>
      </c>
      <c r="J13" s="3">
        <v>2.8732342940503939</v>
      </c>
      <c r="K13" s="3">
        <v>2.3884400479113377</v>
      </c>
      <c r="L13" s="3">
        <v>2.0540903817699419</v>
      </c>
      <c r="M13" s="3">
        <v>1.2672772125234069</v>
      </c>
      <c r="N13" s="3">
        <v>1.2929682709912695</v>
      </c>
      <c r="O13" s="3">
        <v>0.88367890200343724</v>
      </c>
      <c r="P13" s="3">
        <v>0.41201059570383414</v>
      </c>
      <c r="Q13" s="3">
        <v>0</v>
      </c>
    </row>
    <row r="14" spans="1:17" x14ac:dyDescent="0.2">
      <c r="A14" s="2">
        <v>10</v>
      </c>
      <c r="B14" s="2">
        <f t="shared" ca="1" si="1"/>
        <v>-1.0759402982556354</v>
      </c>
      <c r="F14" s="4">
        <v>10</v>
      </c>
      <c r="G14" s="3">
        <v>3.96</v>
      </c>
      <c r="H14" s="3">
        <v>3.4461151523723377</v>
      </c>
      <c r="I14" s="3">
        <v>3.0620854805353379</v>
      </c>
      <c r="J14" s="3">
        <v>2.7601997381633141</v>
      </c>
      <c r="K14" s="3">
        <v>2.5289490805249235</v>
      </c>
      <c r="L14" s="3">
        <v>2.023949099997596</v>
      </c>
      <c r="M14" s="3">
        <v>1.6374584932435179</v>
      </c>
      <c r="N14" s="3">
        <v>1.2152972919994089</v>
      </c>
      <c r="O14" s="3">
        <v>0.73429013822895017</v>
      </c>
      <c r="P14" s="3">
        <v>0.38342013628810517</v>
      </c>
      <c r="Q14" s="3">
        <v>0</v>
      </c>
    </row>
    <row r="15" spans="1:17" x14ac:dyDescent="0.2">
      <c r="A15" s="2">
        <v>11</v>
      </c>
      <c r="B15" s="2">
        <f t="shared" ca="1" si="1"/>
        <v>2.9888690194718293E-2</v>
      </c>
      <c r="F15" s="4">
        <v>11</v>
      </c>
      <c r="G15" s="3">
        <v>3.96</v>
      </c>
      <c r="H15" s="3">
        <v>3.4264112761553283</v>
      </c>
      <c r="I15" s="3">
        <v>3.2826896266298884</v>
      </c>
      <c r="J15" s="3">
        <v>2.8560456793228401</v>
      </c>
      <c r="K15" s="3">
        <v>2.4032510119629826</v>
      </c>
      <c r="L15" s="3">
        <v>1.8877032476610569</v>
      </c>
      <c r="M15" s="3">
        <v>1.7468396946759301</v>
      </c>
      <c r="N15" s="3">
        <v>1.1071762189647898</v>
      </c>
      <c r="O15" s="3">
        <v>0.84462578728037985</v>
      </c>
      <c r="P15" s="3">
        <v>0.56478754424615185</v>
      </c>
      <c r="Q15" s="3">
        <v>0</v>
      </c>
    </row>
    <row r="16" spans="1:17" x14ac:dyDescent="0.2">
      <c r="A16" s="2">
        <v>12</v>
      </c>
      <c r="B16" s="2">
        <f t="shared" ca="1" si="1"/>
        <v>0.57152936802561705</v>
      </c>
      <c r="F16" s="4">
        <v>12</v>
      </c>
      <c r="G16" s="3">
        <v>3.96</v>
      </c>
      <c r="H16" s="3">
        <v>3.5831496074928855</v>
      </c>
      <c r="I16" s="3">
        <v>3.0221812774071029</v>
      </c>
      <c r="J16" s="3">
        <v>2.8834489806021191</v>
      </c>
      <c r="K16" s="3">
        <v>2.2792049101995762</v>
      </c>
      <c r="L16" s="3">
        <v>1.7216243376816787</v>
      </c>
      <c r="M16" s="3">
        <v>1.2894669651913351</v>
      </c>
      <c r="N16" s="3">
        <v>1.1621911869905666</v>
      </c>
      <c r="O16" s="3">
        <v>0.79846247439516416</v>
      </c>
      <c r="P16" s="3">
        <v>0.36495322748661208</v>
      </c>
      <c r="Q16" s="3">
        <v>0</v>
      </c>
    </row>
    <row r="17" spans="1:17" x14ac:dyDescent="0.2">
      <c r="A17" s="2">
        <v>13</v>
      </c>
      <c r="B17" s="2">
        <f t="shared" ca="1" si="1"/>
        <v>0.71541832357866009</v>
      </c>
      <c r="F17" s="4">
        <v>13</v>
      </c>
      <c r="G17" s="3">
        <v>3.96</v>
      </c>
      <c r="H17" s="3">
        <v>3.5094442659177756</v>
      </c>
      <c r="I17" s="3">
        <v>3.3315529415335234</v>
      </c>
      <c r="J17" s="3">
        <v>2.6630467550842605</v>
      </c>
      <c r="K17" s="3">
        <v>2.1240230153975435</v>
      </c>
      <c r="L17" s="3">
        <v>1.9576699598714749</v>
      </c>
      <c r="M17" s="3">
        <v>1.6633019339458495</v>
      </c>
      <c r="N17" s="3">
        <v>1.1206644948238453</v>
      </c>
      <c r="O17" s="3">
        <v>0.88578505305221578</v>
      </c>
      <c r="P17" s="3">
        <v>0.47400068417866853</v>
      </c>
      <c r="Q17" s="3">
        <v>0</v>
      </c>
    </row>
    <row r="18" spans="1:17" x14ac:dyDescent="0.2">
      <c r="A18" s="2">
        <v>14</v>
      </c>
      <c r="B18" s="2">
        <f t="shared" ca="1" si="1"/>
        <v>0.7394497602134531</v>
      </c>
      <c r="F18" s="4">
        <v>14</v>
      </c>
      <c r="G18" s="3">
        <v>3.96</v>
      </c>
      <c r="H18" s="3">
        <v>3.3177190289118346</v>
      </c>
      <c r="I18" s="3">
        <v>3.4101929706152272</v>
      </c>
      <c r="J18" s="3">
        <v>2.6854427698238208</v>
      </c>
      <c r="K18" s="3">
        <v>2.402726151093352</v>
      </c>
      <c r="L18" s="3">
        <v>1.7443211917395942</v>
      </c>
      <c r="M18" s="3">
        <v>1.6229221063878461</v>
      </c>
      <c r="N18" s="3">
        <v>1.18054217503204</v>
      </c>
      <c r="O18" s="3">
        <v>1.0060094370180552</v>
      </c>
      <c r="P18" s="3">
        <v>0.45702579410749894</v>
      </c>
      <c r="Q18" s="3">
        <v>0</v>
      </c>
    </row>
    <row r="19" spans="1:17" x14ac:dyDescent="0.2">
      <c r="A19" s="2">
        <v>15</v>
      </c>
      <c r="B19" s="2">
        <f t="shared" ca="1" si="1"/>
        <v>0.9074427192704948</v>
      </c>
      <c r="F19" s="4">
        <v>15</v>
      </c>
      <c r="G19" s="3">
        <v>3.9600000000000004</v>
      </c>
      <c r="H19" s="3">
        <v>3.397461271387336</v>
      </c>
      <c r="I19" s="3">
        <v>2.8619219973819963</v>
      </c>
      <c r="J19" s="3">
        <v>3.005808148742974</v>
      </c>
      <c r="K19" s="3">
        <v>2.6933595338615555</v>
      </c>
      <c r="L19" s="3">
        <v>1.9779849719984359</v>
      </c>
      <c r="M19" s="3">
        <v>1.7216206269936389</v>
      </c>
      <c r="N19" s="3">
        <v>1.5471382972789354</v>
      </c>
      <c r="O19" s="3">
        <v>0.96287256784337283</v>
      </c>
      <c r="P19" s="3">
        <v>0.58297714189795002</v>
      </c>
      <c r="Q19" s="3">
        <v>0</v>
      </c>
    </row>
    <row r="20" spans="1:17" x14ac:dyDescent="0.2">
      <c r="A20" s="2">
        <v>16</v>
      </c>
      <c r="B20" s="2">
        <f t="shared" ca="1" si="1"/>
        <v>-0.13302829062032107</v>
      </c>
      <c r="F20" s="4">
        <v>16</v>
      </c>
      <c r="G20" s="3">
        <v>3.96</v>
      </c>
      <c r="H20" s="3">
        <v>3.3726319469351784</v>
      </c>
      <c r="I20" s="3">
        <v>3.0845631003401586</v>
      </c>
      <c r="J20" s="3">
        <v>3.044273862900531</v>
      </c>
      <c r="K20" s="3">
        <v>2.588847282620887</v>
      </c>
      <c r="L20" s="3">
        <v>1.915456310054469</v>
      </c>
      <c r="M20" s="3">
        <v>1.681775531899109</v>
      </c>
      <c r="N20" s="3">
        <v>1.4189783302287597</v>
      </c>
      <c r="O20" s="3">
        <v>1.0012522171118834</v>
      </c>
      <c r="P20" s="3">
        <v>0.60588154823172158</v>
      </c>
      <c r="Q20" s="3">
        <v>0</v>
      </c>
    </row>
    <row r="21" spans="1:17" x14ac:dyDescent="0.2">
      <c r="A21" s="2">
        <v>17</v>
      </c>
      <c r="B21" s="2">
        <f t="shared" ca="1" si="1"/>
        <v>4.6914720013795555E-2</v>
      </c>
      <c r="F21" s="4">
        <v>17</v>
      </c>
      <c r="G21" s="3">
        <v>3.96</v>
      </c>
      <c r="H21" s="3">
        <v>3.6953625740700535</v>
      </c>
      <c r="I21" s="3">
        <v>3.2529551260136276</v>
      </c>
      <c r="J21" s="3">
        <v>2.945201073912874</v>
      </c>
      <c r="K21" s="3">
        <v>2.0602424061061955</v>
      </c>
      <c r="L21" s="3">
        <v>1.9957980290154647</v>
      </c>
      <c r="M21" s="3">
        <v>1.8026170113324076</v>
      </c>
      <c r="N21" s="3">
        <v>1.3986261127892636</v>
      </c>
      <c r="O21" s="3">
        <v>0.88948067970374911</v>
      </c>
      <c r="P21" s="3">
        <v>0.67272064435736134</v>
      </c>
      <c r="Q21" s="3">
        <v>0</v>
      </c>
    </row>
    <row r="22" spans="1:17" x14ac:dyDescent="0.2">
      <c r="A22" s="2">
        <v>18</v>
      </c>
      <c r="B22" s="2">
        <f t="shared" ca="1" si="1"/>
        <v>-0.10957087966434281</v>
      </c>
      <c r="F22" s="4">
        <v>18</v>
      </c>
      <c r="G22" s="3">
        <v>3.96</v>
      </c>
      <c r="H22" s="3">
        <v>3.4357249843060322</v>
      </c>
      <c r="I22" s="3">
        <v>3.1655048620379311</v>
      </c>
      <c r="J22" s="3">
        <v>2.8645180448847105</v>
      </c>
      <c r="K22" s="3">
        <v>2.5922333506253863</v>
      </c>
      <c r="L22" s="3">
        <v>1.9464097092438317</v>
      </c>
      <c r="M22" s="3">
        <v>1.1866350857390471</v>
      </c>
      <c r="N22" s="3">
        <v>1.4978997260752711</v>
      </c>
      <c r="O22" s="3">
        <v>1.318347183500703</v>
      </c>
      <c r="P22" s="3">
        <v>0.32833358166005666</v>
      </c>
      <c r="Q22" s="3">
        <v>0</v>
      </c>
    </row>
    <row r="23" spans="1:17" x14ac:dyDescent="0.2">
      <c r="A23" s="2">
        <v>19</v>
      </c>
      <c r="B23" s="2">
        <f t="shared" ca="1" si="1"/>
        <v>-0.54731867392108691</v>
      </c>
      <c r="F23" s="4">
        <v>19</v>
      </c>
      <c r="G23" s="3">
        <v>3.96</v>
      </c>
      <c r="H23" s="3">
        <v>3.4824804098718336</v>
      </c>
      <c r="I23" s="3">
        <v>3.3272989250033689</v>
      </c>
      <c r="J23" s="3">
        <v>3.0630033862823698</v>
      </c>
      <c r="K23" s="3">
        <v>2.3568078726427726</v>
      </c>
      <c r="L23" s="3">
        <v>1.7392151996991132</v>
      </c>
      <c r="M23" s="3">
        <v>1.7246684211293466</v>
      </c>
      <c r="N23" s="3">
        <v>1.2694042955994056</v>
      </c>
      <c r="O23" s="3">
        <v>0.80914620109495183</v>
      </c>
      <c r="P23" s="3">
        <v>0.44515635920598012</v>
      </c>
      <c r="Q23" s="3">
        <v>0</v>
      </c>
    </row>
    <row r="24" spans="1:17" x14ac:dyDescent="0.2">
      <c r="A24" s="2">
        <v>20</v>
      </c>
      <c r="B24" s="2">
        <f t="shared" ca="1" si="1"/>
        <v>-1.1604634792146378</v>
      </c>
      <c r="F24" s="4">
        <v>20</v>
      </c>
      <c r="G24" s="3">
        <v>3.9600000000000004</v>
      </c>
      <c r="H24" s="3">
        <v>3.6070428664510521</v>
      </c>
      <c r="I24" s="3">
        <v>3.2059851903079046</v>
      </c>
      <c r="J24" s="3">
        <v>2.9490960128435773</v>
      </c>
      <c r="K24" s="3">
        <v>2.4172141448899196</v>
      </c>
      <c r="L24" s="3">
        <v>1.7321942480875707</v>
      </c>
      <c r="M24" s="3">
        <v>1.8478250558493903</v>
      </c>
      <c r="N24" s="3">
        <v>0.96846680618109038</v>
      </c>
      <c r="O24" s="3">
        <v>0.69072057075605919</v>
      </c>
      <c r="P24" s="3">
        <v>0.36243098918426436</v>
      </c>
      <c r="Q24" s="3">
        <v>0</v>
      </c>
    </row>
    <row r="25" spans="1:17" x14ac:dyDescent="0.2">
      <c r="A25" s="2">
        <v>21</v>
      </c>
      <c r="B25" s="2">
        <f t="shared" ca="1" si="1"/>
        <v>-0.37688465349392841</v>
      </c>
      <c r="F25" s="4">
        <v>21</v>
      </c>
      <c r="G25" s="3">
        <v>3.96</v>
      </c>
      <c r="H25" s="3">
        <v>3.6144747464532063</v>
      </c>
      <c r="I25" s="3">
        <v>3.5094268635235362</v>
      </c>
      <c r="J25" s="3">
        <v>2.981097475785385</v>
      </c>
      <c r="K25" s="3">
        <v>2.3815301828609998</v>
      </c>
      <c r="L25" s="3">
        <v>2.1297336624864327</v>
      </c>
      <c r="M25" s="3">
        <v>1.3427260951787952</v>
      </c>
      <c r="N25" s="3">
        <v>1.3519809523680868</v>
      </c>
      <c r="O25" s="3">
        <v>0.57826176581763378</v>
      </c>
      <c r="P25" s="3">
        <v>0.3507007496916692</v>
      </c>
      <c r="Q25" s="3">
        <v>0</v>
      </c>
    </row>
    <row r="26" spans="1:17" x14ac:dyDescent="0.2">
      <c r="A26" s="2">
        <v>22</v>
      </c>
      <c r="B26" s="2">
        <f t="shared" ca="1" si="1"/>
        <v>-0.35023601389366188</v>
      </c>
      <c r="F26" s="4">
        <v>22</v>
      </c>
      <c r="G26" s="3">
        <v>3.96</v>
      </c>
      <c r="H26" s="3">
        <v>3.6187837904309355</v>
      </c>
      <c r="I26" s="3">
        <v>3.28448252531477</v>
      </c>
      <c r="J26" s="3">
        <v>2.7969645433552914</v>
      </c>
      <c r="K26" s="3">
        <v>2.3647163578832462</v>
      </c>
      <c r="L26" s="3">
        <v>1.7692571561423698</v>
      </c>
      <c r="M26" s="3">
        <v>1.9060598323694211</v>
      </c>
      <c r="N26" s="3">
        <v>1.3913887379344883</v>
      </c>
      <c r="O26" s="3">
        <v>0.63597866680527493</v>
      </c>
      <c r="P26" s="3">
        <v>0.49504192774782302</v>
      </c>
      <c r="Q26" s="3">
        <v>0</v>
      </c>
    </row>
    <row r="27" spans="1:17" x14ac:dyDescent="0.2">
      <c r="A27" s="2">
        <v>23</v>
      </c>
      <c r="B27" s="2">
        <f t="shared" ca="1" si="1"/>
        <v>0.29096529070933796</v>
      </c>
      <c r="F27" s="4">
        <v>23</v>
      </c>
      <c r="G27" s="3">
        <v>3.96</v>
      </c>
      <c r="H27" s="3">
        <v>3.6622082451972786</v>
      </c>
      <c r="I27" s="3">
        <v>2.910893796354078</v>
      </c>
      <c r="J27" s="3">
        <v>2.4477649844583049</v>
      </c>
      <c r="K27" s="3">
        <v>2.6729481597627776</v>
      </c>
      <c r="L27" s="3">
        <v>1.7988459245763413</v>
      </c>
      <c r="M27" s="3">
        <v>1.7125481630256367</v>
      </c>
      <c r="N27" s="3">
        <v>1.1116450333545573</v>
      </c>
      <c r="O27" s="3">
        <v>0.95336557647206943</v>
      </c>
      <c r="P27" s="3">
        <v>0.30817347505660564</v>
      </c>
      <c r="Q27" s="3">
        <v>0</v>
      </c>
    </row>
    <row r="28" spans="1:17" x14ac:dyDescent="0.2">
      <c r="A28" s="2">
        <v>24</v>
      </c>
      <c r="B28" s="2">
        <f t="shared" ca="1" si="1"/>
        <v>-0.38682616235298367</v>
      </c>
      <c r="F28" s="4">
        <v>24</v>
      </c>
      <c r="G28" s="3">
        <v>3.96</v>
      </c>
      <c r="H28" s="3">
        <v>3.3375115244448321</v>
      </c>
      <c r="I28" s="3">
        <v>3.1482824759918815</v>
      </c>
      <c r="J28" s="3">
        <v>2.7826012944635816</v>
      </c>
      <c r="K28" s="3">
        <v>2.5572678953996331</v>
      </c>
      <c r="L28" s="3">
        <v>1.6827029824053219</v>
      </c>
      <c r="M28" s="3">
        <v>1.9115379800787959</v>
      </c>
      <c r="N28" s="3">
        <v>1.1707139800015531</v>
      </c>
      <c r="O28" s="3">
        <v>0.77605502126000736</v>
      </c>
      <c r="P28" s="3">
        <v>0.60478013064635616</v>
      </c>
      <c r="Q28" s="3">
        <v>0</v>
      </c>
    </row>
    <row r="29" spans="1:17" x14ac:dyDescent="0.2">
      <c r="A29" s="2">
        <v>25</v>
      </c>
      <c r="B29" s="2">
        <f t="shared" ca="1" si="1"/>
        <v>0.31157245628314245</v>
      </c>
      <c r="F29" s="4">
        <v>25</v>
      </c>
      <c r="G29" s="3">
        <v>3.96</v>
      </c>
      <c r="H29" s="3">
        <v>3.5153199568721938</v>
      </c>
      <c r="I29" s="3">
        <v>2.9597025055346515</v>
      </c>
      <c r="J29" s="3">
        <v>2.5128729697021095</v>
      </c>
      <c r="K29" s="3">
        <v>1.9080726153773575</v>
      </c>
      <c r="L29" s="3">
        <v>2.3112450218561342</v>
      </c>
      <c r="M29" s="3">
        <v>1.8018829436039212</v>
      </c>
      <c r="N29" s="3">
        <v>1.3572678746356057</v>
      </c>
      <c r="O29" s="3">
        <v>0.87015270196377648</v>
      </c>
      <c r="P29" s="3">
        <v>0.39891743701731813</v>
      </c>
      <c r="Q29" s="3">
        <v>0</v>
      </c>
    </row>
    <row r="30" spans="1:17" x14ac:dyDescent="0.2">
      <c r="A30" s="2">
        <v>26</v>
      </c>
      <c r="B30" s="2">
        <f t="shared" ca="1" si="1"/>
        <v>5.2064424566235099E-2</v>
      </c>
      <c r="F30" s="4">
        <v>26</v>
      </c>
      <c r="G30" s="3">
        <v>3.96</v>
      </c>
      <c r="H30" s="3">
        <v>3.4980086694368495</v>
      </c>
      <c r="I30" s="3">
        <v>3.3941075804628063</v>
      </c>
      <c r="J30" s="3">
        <v>2.6506185163273073</v>
      </c>
      <c r="K30" s="3">
        <v>2.056360691193547</v>
      </c>
      <c r="L30" s="3">
        <v>2.1137172092063268</v>
      </c>
      <c r="M30" s="3">
        <v>1.765130088040693</v>
      </c>
      <c r="N30" s="3">
        <v>1.1784156760439475</v>
      </c>
      <c r="O30" s="3">
        <v>1.2465441859955306</v>
      </c>
      <c r="P30" s="3">
        <v>0.50464998773460523</v>
      </c>
      <c r="Q30" s="3">
        <v>0</v>
      </c>
    </row>
    <row r="31" spans="1:17" x14ac:dyDescent="0.2">
      <c r="A31" s="2">
        <v>27</v>
      </c>
      <c r="B31" s="2">
        <f t="shared" ca="1" si="1"/>
        <v>1.1188796410124193</v>
      </c>
      <c r="F31" s="4">
        <v>27</v>
      </c>
      <c r="G31" s="3">
        <v>3.96</v>
      </c>
      <c r="H31" s="3">
        <v>3.472820532412459</v>
      </c>
      <c r="I31" s="3">
        <v>3.0132369932277054</v>
      </c>
      <c r="J31" s="3">
        <v>3.0867970249250716</v>
      </c>
      <c r="K31" s="3">
        <v>1.7985725950918126</v>
      </c>
      <c r="L31" s="3">
        <v>1.9024776963026648</v>
      </c>
      <c r="M31" s="3">
        <v>1.7925156844828816</v>
      </c>
      <c r="N31" s="3">
        <v>1.2650395944579085</v>
      </c>
      <c r="O31" s="3">
        <v>0.7306409959196386</v>
      </c>
      <c r="P31" s="3">
        <v>0.43967947790331147</v>
      </c>
      <c r="Q31" s="3">
        <v>0</v>
      </c>
    </row>
    <row r="32" spans="1:17" x14ac:dyDescent="0.2">
      <c r="A32" s="2">
        <v>28</v>
      </c>
      <c r="B32" s="2">
        <f t="shared" ca="1" si="1"/>
        <v>1.1072320938895097</v>
      </c>
      <c r="F32" s="4">
        <v>28</v>
      </c>
      <c r="G32" s="3">
        <v>3.96</v>
      </c>
      <c r="H32" s="3">
        <v>3.4833523080885835</v>
      </c>
      <c r="I32" s="3">
        <v>3.0239738187347691</v>
      </c>
      <c r="J32" s="3">
        <v>2.4772093388163294</v>
      </c>
      <c r="K32" s="3">
        <v>2.2180047092431803</v>
      </c>
      <c r="L32" s="3">
        <v>1.9536475208074362</v>
      </c>
      <c r="M32" s="3">
        <v>1.5644466189860753</v>
      </c>
      <c r="N32" s="3">
        <v>1.1611271290445995</v>
      </c>
      <c r="O32" s="3">
        <v>0.72246349351988315</v>
      </c>
      <c r="P32" s="3">
        <v>0.3503675480013726</v>
      </c>
      <c r="Q32" s="3">
        <v>0</v>
      </c>
    </row>
    <row r="33" spans="1:17" x14ac:dyDescent="0.2">
      <c r="A33" s="2">
        <v>29</v>
      </c>
      <c r="B33" s="2">
        <f t="shared" ca="1" si="1"/>
        <v>0.69780938104948587</v>
      </c>
      <c r="F33" s="4">
        <v>29</v>
      </c>
      <c r="G33" s="3">
        <v>3.96</v>
      </c>
      <c r="H33" s="3">
        <v>3.6314575133342752</v>
      </c>
      <c r="I33" s="3">
        <v>3.0190001631588639</v>
      </c>
      <c r="J33" s="3">
        <v>2.979711342299959</v>
      </c>
      <c r="K33" s="3">
        <v>2.5465693419565163</v>
      </c>
      <c r="L33" s="3">
        <v>2.4126072726765382</v>
      </c>
      <c r="M33" s="3">
        <v>1.5669680728023316</v>
      </c>
      <c r="N33" s="3">
        <v>1.2891182172172666</v>
      </c>
      <c r="O33" s="3">
        <v>0.93160413404140641</v>
      </c>
      <c r="P33" s="3">
        <v>0.26792709781314289</v>
      </c>
      <c r="Q33" s="3">
        <v>0</v>
      </c>
    </row>
    <row r="34" spans="1:17" x14ac:dyDescent="0.2">
      <c r="A34" s="2">
        <v>30</v>
      </c>
      <c r="B34" s="2">
        <f t="shared" ca="1" si="1"/>
        <v>0.85077343817276263</v>
      </c>
      <c r="F34" s="4">
        <v>30</v>
      </c>
      <c r="G34" s="3">
        <v>3.96</v>
      </c>
      <c r="H34" s="3">
        <v>3.3858134965302775</v>
      </c>
      <c r="I34" s="3">
        <v>3.1839152715639667</v>
      </c>
      <c r="J34" s="3">
        <v>2.6764688381336574</v>
      </c>
      <c r="K34" s="3">
        <v>2.1788461789606899</v>
      </c>
      <c r="L34" s="3">
        <v>1.7421867999023464</v>
      </c>
      <c r="M34" s="3">
        <v>1.5155246312487083</v>
      </c>
      <c r="N34" s="3">
        <v>1.076576189584898</v>
      </c>
      <c r="O34" s="3">
        <v>1.3427025292739245</v>
      </c>
      <c r="P34" s="3">
        <v>0.36004549019082188</v>
      </c>
      <c r="Q34" s="3">
        <v>0</v>
      </c>
    </row>
    <row r="35" spans="1:17" x14ac:dyDescent="0.2">
      <c r="A35" s="2">
        <v>31</v>
      </c>
      <c r="B35" s="2">
        <f t="shared" ca="1" si="1"/>
        <v>-0.18205376907925858</v>
      </c>
      <c r="F35" s="4">
        <v>31</v>
      </c>
      <c r="G35" s="3">
        <v>3.9600000000000004</v>
      </c>
      <c r="H35" s="3">
        <v>3.5613517072321046</v>
      </c>
      <c r="I35" s="3">
        <v>3.2587614357075352</v>
      </c>
      <c r="J35" s="3">
        <v>2.9320437597595963</v>
      </c>
      <c r="K35" s="3">
        <v>2.3601240053157881</v>
      </c>
      <c r="L35" s="3">
        <v>1.6743273824216454</v>
      </c>
      <c r="M35" s="3">
        <v>1.3510291882135583</v>
      </c>
      <c r="N35" s="3">
        <v>1.2784677041417365</v>
      </c>
      <c r="O35" s="3">
        <v>1.2193502127411937</v>
      </c>
      <c r="P35" s="3">
        <v>0.61197595947016969</v>
      </c>
      <c r="Q35" s="3">
        <v>0</v>
      </c>
    </row>
    <row r="36" spans="1:17" x14ac:dyDescent="0.2">
      <c r="A36" s="2">
        <v>32</v>
      </c>
      <c r="B36" s="2">
        <f t="shared" ca="1" si="1"/>
        <v>-1.5154034596813051</v>
      </c>
      <c r="F36" s="4">
        <v>32</v>
      </c>
      <c r="G36" s="3">
        <v>3.96</v>
      </c>
      <c r="H36" s="3">
        <v>3.6155082327891126</v>
      </c>
      <c r="I36" s="3">
        <v>2.916203941601399</v>
      </c>
      <c r="J36" s="3">
        <v>2.796390778859815</v>
      </c>
      <c r="K36" s="3">
        <v>1.9747383129062404</v>
      </c>
      <c r="L36" s="3">
        <v>1.8791853207206815</v>
      </c>
      <c r="M36" s="3">
        <v>1.6462539388060071</v>
      </c>
      <c r="N36" s="3">
        <v>0.97926132709123415</v>
      </c>
      <c r="O36" s="3">
        <v>0.81456499730748311</v>
      </c>
      <c r="P36" s="3">
        <v>0.62384865461354877</v>
      </c>
      <c r="Q36" s="3">
        <v>0</v>
      </c>
    </row>
    <row r="37" spans="1:17" x14ac:dyDescent="0.2">
      <c r="A37" s="2">
        <v>33</v>
      </c>
      <c r="B37" s="2">
        <f t="shared" ca="1" si="1"/>
        <v>-1.1684222749090523</v>
      </c>
      <c r="F37" s="4">
        <v>33</v>
      </c>
      <c r="G37" s="3">
        <v>3.96</v>
      </c>
      <c r="H37" s="3">
        <v>3.5268394746175344</v>
      </c>
      <c r="I37" s="3">
        <v>3.0508951958956194</v>
      </c>
      <c r="J37" s="3">
        <v>2.7316102968920375</v>
      </c>
      <c r="K37" s="3">
        <v>2.102608836608276</v>
      </c>
      <c r="L37" s="3">
        <v>1.7700601947362147</v>
      </c>
      <c r="M37" s="3">
        <v>1.4743593910510429</v>
      </c>
      <c r="N37" s="3">
        <v>1.5067313560940621</v>
      </c>
      <c r="O37" s="3">
        <v>0.8124785529829105</v>
      </c>
      <c r="P37" s="3">
        <v>0.34838887889551667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-0.51835696298514466</v>
      </c>
      <c r="F38" s="4">
        <v>34</v>
      </c>
      <c r="G38" s="3">
        <v>3.96</v>
      </c>
      <c r="H38" s="3">
        <v>3.4724958184844814</v>
      </c>
      <c r="I38" s="3">
        <v>3.2547764015949472</v>
      </c>
      <c r="J38" s="3">
        <v>2.796867998108473</v>
      </c>
      <c r="K38" s="3">
        <v>2.3263223297351345</v>
      </c>
      <c r="L38" s="3">
        <v>1.867536256951317</v>
      </c>
      <c r="M38" s="3">
        <v>1.4643559628116953</v>
      </c>
      <c r="N38" s="3">
        <v>1.1572433699153863</v>
      </c>
      <c r="O38" s="3">
        <v>0.54660719298201188</v>
      </c>
      <c r="P38" s="3">
        <v>0.42025560248042204</v>
      </c>
      <c r="Q38" s="3">
        <v>0</v>
      </c>
    </row>
    <row r="39" spans="1:17" x14ac:dyDescent="0.2">
      <c r="A39" s="2">
        <v>35</v>
      </c>
      <c r="B39" s="2">
        <f t="shared" ca="1" si="2"/>
        <v>-2.0984695736663297</v>
      </c>
      <c r="F39" s="4">
        <v>35</v>
      </c>
      <c r="G39" s="3">
        <v>3.9600000000000004</v>
      </c>
      <c r="H39" s="3">
        <v>3.4972513408225216</v>
      </c>
      <c r="I39" s="3">
        <v>3.2407013759321392</v>
      </c>
      <c r="J39" s="3">
        <v>2.9054482891735285</v>
      </c>
      <c r="K39" s="3">
        <v>2.3946438900074325</v>
      </c>
      <c r="L39" s="3">
        <v>2.1009250952678382</v>
      </c>
      <c r="M39" s="3">
        <v>1.7786049583531858</v>
      </c>
      <c r="N39" s="3">
        <v>1.3230747648166934</v>
      </c>
      <c r="O39" s="3">
        <v>0.52670485490261298</v>
      </c>
      <c r="P39" s="3">
        <v>0.42352987716421286</v>
      </c>
      <c r="Q39" s="3">
        <v>0</v>
      </c>
    </row>
    <row r="40" spans="1:17" x14ac:dyDescent="0.2">
      <c r="A40" s="2">
        <v>36</v>
      </c>
      <c r="B40" s="2">
        <f t="shared" ca="1" si="2"/>
        <v>-0.78091616821496923</v>
      </c>
      <c r="F40" s="4">
        <v>36</v>
      </c>
      <c r="G40" s="3">
        <v>3.96</v>
      </c>
      <c r="H40" s="3">
        <v>3.5239684437916972</v>
      </c>
      <c r="I40" s="3">
        <v>3.2441076192171767</v>
      </c>
      <c r="J40" s="3">
        <v>2.714989488028007</v>
      </c>
      <c r="K40" s="3">
        <v>2.1860804656341393</v>
      </c>
      <c r="L40" s="3">
        <v>1.5821909310136146</v>
      </c>
      <c r="M40" s="3">
        <v>1.7562804625861681</v>
      </c>
      <c r="N40" s="3">
        <v>1.0709567368729977</v>
      </c>
      <c r="O40" s="3">
        <v>0.95716395369642293</v>
      </c>
      <c r="P40" s="3">
        <v>0.37855368711679116</v>
      </c>
      <c r="Q40" s="3">
        <v>0</v>
      </c>
    </row>
    <row r="41" spans="1:17" x14ac:dyDescent="0.2">
      <c r="A41" s="2">
        <v>37</v>
      </c>
      <c r="B41" s="2">
        <f t="shared" ca="1" si="2"/>
        <v>-0.31979845157908526</v>
      </c>
      <c r="F41" s="4">
        <v>37</v>
      </c>
      <c r="G41" s="3">
        <v>3.96</v>
      </c>
      <c r="H41" s="3">
        <v>3.531406488187701</v>
      </c>
      <c r="I41" s="3">
        <v>3.1932556673435566</v>
      </c>
      <c r="J41" s="3">
        <v>3.0328457642076447</v>
      </c>
      <c r="K41" s="3">
        <v>2.4705504261277782</v>
      </c>
      <c r="L41" s="3">
        <v>1.8549343778652008</v>
      </c>
      <c r="M41" s="3">
        <v>1.6812597952678816</v>
      </c>
      <c r="N41" s="3">
        <v>1.247208829460196</v>
      </c>
      <c r="O41" s="3">
        <v>0.60157803379273578</v>
      </c>
      <c r="P41" s="3">
        <v>0.336072762770809</v>
      </c>
      <c r="Q41" s="3">
        <v>0</v>
      </c>
    </row>
    <row r="42" spans="1:17" x14ac:dyDescent="0.2">
      <c r="A42" s="2">
        <v>38</v>
      </c>
      <c r="B42" s="2">
        <f t="shared" ca="1" si="2"/>
        <v>9.2996690138813509E-2</v>
      </c>
      <c r="F42" s="4">
        <v>38</v>
      </c>
      <c r="G42" s="3">
        <v>3.96</v>
      </c>
      <c r="H42" s="3">
        <v>3.3719186514080284</v>
      </c>
      <c r="I42" s="3">
        <v>3.3115949139003198</v>
      </c>
      <c r="J42" s="3">
        <v>2.6890084317274883</v>
      </c>
      <c r="K42" s="3">
        <v>2.3889391493257324</v>
      </c>
      <c r="L42" s="3">
        <v>1.8055814437186706</v>
      </c>
      <c r="M42" s="3">
        <v>1.6573181164726707</v>
      </c>
      <c r="N42" s="3">
        <v>1.0155570080894802</v>
      </c>
      <c r="O42" s="3">
        <v>0.72463379424296559</v>
      </c>
      <c r="P42" s="3">
        <v>0.30083340205643044</v>
      </c>
      <c r="Q42" s="3">
        <v>0</v>
      </c>
    </row>
    <row r="43" spans="1:17" x14ac:dyDescent="0.2">
      <c r="A43" s="2">
        <v>39</v>
      </c>
      <c r="B43" s="2">
        <f t="shared" ca="1" si="2"/>
        <v>-1.171221916929899</v>
      </c>
      <c r="F43" s="4">
        <v>39</v>
      </c>
      <c r="G43" s="3">
        <v>3.96</v>
      </c>
      <c r="H43" s="3">
        <v>3.7325715598855842</v>
      </c>
      <c r="I43" s="3">
        <v>3.3569930148334062</v>
      </c>
      <c r="J43" s="3">
        <v>3.1317164289700186</v>
      </c>
      <c r="K43" s="3">
        <v>2.6253892660439231</v>
      </c>
      <c r="L43" s="3">
        <v>1.9395448349708917</v>
      </c>
      <c r="M43" s="3">
        <v>1.6681744196112314</v>
      </c>
      <c r="N43" s="3">
        <v>1.234077794280215</v>
      </c>
      <c r="O43" s="3">
        <v>0.81438940073758559</v>
      </c>
      <c r="P43" s="3">
        <v>0.6461206679670346</v>
      </c>
      <c r="Q43" s="3">
        <v>0</v>
      </c>
    </row>
    <row r="44" spans="1:17" x14ac:dyDescent="0.2">
      <c r="A44" s="2">
        <v>40</v>
      </c>
      <c r="B44" s="2">
        <f t="shared" ca="1" si="2"/>
        <v>2.1489941263178935E-2</v>
      </c>
      <c r="F44" s="4">
        <v>40</v>
      </c>
      <c r="G44" s="3">
        <v>3.96</v>
      </c>
      <c r="H44" s="3">
        <v>3.7131060523352337</v>
      </c>
      <c r="I44" s="3">
        <v>3.0344102079771136</v>
      </c>
      <c r="J44" s="3">
        <v>2.7082696190843203</v>
      </c>
      <c r="K44" s="3">
        <v>2.3884665331883101</v>
      </c>
      <c r="L44" s="3">
        <v>1.9857426064221237</v>
      </c>
      <c r="M44" s="3">
        <v>1.7579278633515278</v>
      </c>
      <c r="N44" s="3">
        <v>1.5113633806179141</v>
      </c>
      <c r="O44" s="3">
        <v>0.79836543729371456</v>
      </c>
      <c r="P44" s="3">
        <v>0.48256917334297533</v>
      </c>
      <c r="Q44" s="3">
        <v>0</v>
      </c>
    </row>
    <row r="45" spans="1:17" x14ac:dyDescent="0.2">
      <c r="A45" s="2">
        <v>41</v>
      </c>
      <c r="B45" s="2">
        <f t="shared" ca="1" si="2"/>
        <v>-1.1513291771506684</v>
      </c>
      <c r="F45" s="4">
        <v>41</v>
      </c>
      <c r="G45" s="3">
        <v>3.96</v>
      </c>
      <c r="H45" s="3">
        <v>3.7034840689226121</v>
      </c>
      <c r="I45" s="3">
        <v>2.895491753889178</v>
      </c>
      <c r="J45" s="3">
        <v>2.9777003474050696</v>
      </c>
      <c r="K45" s="3">
        <v>2.5099485320084871</v>
      </c>
      <c r="L45" s="3">
        <v>2.2474447049579687</v>
      </c>
      <c r="M45" s="3">
        <v>1.5785107212727658</v>
      </c>
      <c r="N45" s="3">
        <v>0.93927156411724633</v>
      </c>
      <c r="O45" s="3">
        <v>0.68739051906189996</v>
      </c>
      <c r="P45" s="3">
        <v>0.47251429385256055</v>
      </c>
      <c r="Q45" s="3">
        <v>0</v>
      </c>
    </row>
    <row r="46" spans="1:17" x14ac:dyDescent="0.2">
      <c r="A46" s="2">
        <v>42</v>
      </c>
      <c r="B46" s="2">
        <f t="shared" ca="1" si="2"/>
        <v>-0.78449336397575253</v>
      </c>
      <c r="F46" s="4">
        <v>42</v>
      </c>
      <c r="G46" s="3">
        <v>3.96</v>
      </c>
      <c r="H46" s="3">
        <v>3.4843706155845546</v>
      </c>
      <c r="I46" s="3">
        <v>3.1795736007678088</v>
      </c>
      <c r="J46" s="3">
        <v>3.0945063400110366</v>
      </c>
      <c r="K46" s="3">
        <v>2.2601633355689539</v>
      </c>
      <c r="L46" s="3">
        <v>1.4698303780290767</v>
      </c>
      <c r="M46" s="3">
        <v>1.7514354706912145</v>
      </c>
      <c r="N46" s="3">
        <v>1.408661350930686</v>
      </c>
      <c r="O46" s="3">
        <v>0.99019616323665849</v>
      </c>
      <c r="P46" s="3">
        <v>0.33318072058956549</v>
      </c>
      <c r="Q46" s="3">
        <v>0</v>
      </c>
    </row>
    <row r="47" spans="1:17" x14ac:dyDescent="0.2">
      <c r="A47" s="2">
        <v>43</v>
      </c>
      <c r="B47" s="2">
        <f t="shared" ca="1" si="2"/>
        <v>-1.6011057694619044</v>
      </c>
      <c r="F47" s="4">
        <v>43</v>
      </c>
      <c r="G47" s="3">
        <v>3.96</v>
      </c>
      <c r="H47" s="3">
        <v>3.7472254647909105</v>
      </c>
      <c r="I47" s="3">
        <v>3.1908471597034271</v>
      </c>
      <c r="J47" s="3">
        <v>2.9649301598863596</v>
      </c>
      <c r="K47" s="3">
        <v>2.4389429306828045</v>
      </c>
      <c r="L47" s="3">
        <v>1.7766241935235247</v>
      </c>
      <c r="M47" s="3">
        <v>1.3758270973636484</v>
      </c>
      <c r="N47" s="3">
        <v>1.1474388542424094</v>
      </c>
      <c r="O47" s="3">
        <v>0.93694302302279175</v>
      </c>
      <c r="P47" s="3">
        <v>0.37766386734877905</v>
      </c>
      <c r="Q47" s="3">
        <v>0</v>
      </c>
    </row>
    <row r="48" spans="1:17" x14ac:dyDescent="0.2">
      <c r="A48" s="2">
        <v>44</v>
      </c>
      <c r="B48" s="2">
        <f t="shared" ca="1" si="2"/>
        <v>-1.0126693343494535</v>
      </c>
      <c r="F48" s="4">
        <v>44</v>
      </c>
      <c r="G48" s="3">
        <v>3.96</v>
      </c>
      <c r="H48" s="3">
        <v>3.6299570275266242</v>
      </c>
      <c r="I48" s="3">
        <v>3.1934356172535137</v>
      </c>
      <c r="J48" s="3">
        <v>2.7824935555112376</v>
      </c>
      <c r="K48" s="3">
        <v>2.1434734024712174</v>
      </c>
      <c r="L48" s="3">
        <v>1.9675170002457911</v>
      </c>
      <c r="M48" s="3">
        <v>1.3548807599735273</v>
      </c>
      <c r="N48" s="3">
        <v>1.1474789420187166</v>
      </c>
      <c r="O48" s="3">
        <v>0.91192001522000798</v>
      </c>
      <c r="P48" s="3">
        <v>0.45382449773170253</v>
      </c>
      <c r="Q48" s="3">
        <v>0</v>
      </c>
    </row>
    <row r="49" spans="1:17" x14ac:dyDescent="0.2">
      <c r="A49" s="2">
        <v>45</v>
      </c>
      <c r="B49" s="2">
        <f t="shared" ca="1" si="2"/>
        <v>-1.1208167506856985</v>
      </c>
      <c r="F49" s="4">
        <v>45</v>
      </c>
      <c r="G49" s="3">
        <v>3.96</v>
      </c>
      <c r="H49" s="3">
        <v>3.5415297506030248</v>
      </c>
      <c r="I49" s="3">
        <v>3.1738532048033608</v>
      </c>
      <c r="J49" s="3">
        <v>2.8885222816797569</v>
      </c>
      <c r="K49" s="3">
        <v>2.4920492159253231</v>
      </c>
      <c r="L49" s="3">
        <v>1.9372421127668908</v>
      </c>
      <c r="M49" s="3">
        <v>1.7491359714453263</v>
      </c>
      <c r="N49" s="3">
        <v>0.96076933496988892</v>
      </c>
      <c r="O49" s="3">
        <v>0.61726986354065261</v>
      </c>
      <c r="P49" s="3">
        <v>0.38028486252227112</v>
      </c>
      <c r="Q49" s="3">
        <v>0</v>
      </c>
    </row>
    <row r="50" spans="1:17" x14ac:dyDescent="0.2">
      <c r="A50" s="2">
        <v>46</v>
      </c>
      <c r="B50" s="2">
        <f t="shared" ca="1" si="2"/>
        <v>0.85424743680040938</v>
      </c>
      <c r="F50" s="4">
        <v>46</v>
      </c>
      <c r="G50" s="3">
        <v>3.96</v>
      </c>
      <c r="H50" s="3">
        <v>3.6564939108856045</v>
      </c>
      <c r="I50" s="3">
        <v>3.1101799662443974</v>
      </c>
      <c r="J50" s="3">
        <v>2.6185227838074785</v>
      </c>
      <c r="K50" s="3">
        <v>2.668874251297968</v>
      </c>
      <c r="L50" s="3">
        <v>2.0938553723466131</v>
      </c>
      <c r="M50" s="3">
        <v>1.7427464707053724</v>
      </c>
      <c r="N50" s="3">
        <v>1.1746601115445225</v>
      </c>
      <c r="O50" s="3">
        <v>0.93144532245719902</v>
      </c>
      <c r="P50" s="3">
        <v>0.30511035456537516</v>
      </c>
      <c r="Q50" s="3">
        <v>0</v>
      </c>
    </row>
    <row r="51" spans="1:17" x14ac:dyDescent="0.2">
      <c r="A51" s="2">
        <v>47</v>
      </c>
      <c r="B51" s="2">
        <f t="shared" ca="1" si="2"/>
        <v>2.1407288891580025</v>
      </c>
      <c r="F51" s="4">
        <v>47</v>
      </c>
      <c r="G51" s="3">
        <v>3.9600000000000004</v>
      </c>
      <c r="H51" s="3">
        <v>3.6301052879855504</v>
      </c>
      <c r="I51" s="3">
        <v>3.1314704615485858</v>
      </c>
      <c r="J51" s="3">
        <v>2.9186043171558511</v>
      </c>
      <c r="K51" s="3">
        <v>2.2313482969064098</v>
      </c>
      <c r="L51" s="3">
        <v>2.0045792379440424</v>
      </c>
      <c r="M51" s="3">
        <v>1.7081590475996831</v>
      </c>
      <c r="N51" s="3">
        <v>1.37408079858294</v>
      </c>
      <c r="O51" s="3">
        <v>0.69684588630262756</v>
      </c>
      <c r="P51" s="3">
        <v>0.35918532665446246</v>
      </c>
      <c r="Q51" s="3">
        <v>0</v>
      </c>
    </row>
    <row r="52" spans="1:17" x14ac:dyDescent="0.2">
      <c r="A52" s="2">
        <v>48</v>
      </c>
      <c r="B52" s="2">
        <f t="shared" ca="1" si="2"/>
        <v>2.2993734791998923</v>
      </c>
      <c r="F52" s="4">
        <v>48</v>
      </c>
      <c r="G52" s="3">
        <v>3.9600000000000004</v>
      </c>
      <c r="H52" s="3">
        <v>3.7039012848237465</v>
      </c>
      <c r="I52" s="3">
        <v>3.0555729085697791</v>
      </c>
      <c r="J52" s="3">
        <v>2.6589431842182258</v>
      </c>
      <c r="K52" s="3">
        <v>2.3404828870690837</v>
      </c>
      <c r="L52" s="3">
        <v>2.0225623942924931</v>
      </c>
      <c r="M52" s="3">
        <v>1.6106209797296567</v>
      </c>
      <c r="N52" s="3">
        <v>1.4137033653456312</v>
      </c>
      <c r="O52" s="3">
        <v>0.9708752968230836</v>
      </c>
      <c r="P52" s="3">
        <v>0.41049381646992883</v>
      </c>
      <c r="Q52" s="3">
        <v>0</v>
      </c>
    </row>
    <row r="53" spans="1:17" x14ac:dyDescent="0.2">
      <c r="A53" s="2">
        <v>49</v>
      </c>
      <c r="B53" s="2">
        <f t="shared" ca="1" si="2"/>
        <v>1.3294187377389168</v>
      </c>
      <c r="F53" s="4">
        <v>49</v>
      </c>
      <c r="G53" s="3">
        <v>3.96</v>
      </c>
      <c r="H53" s="3">
        <v>3.1339978545075442</v>
      </c>
      <c r="I53" s="3">
        <v>3.1091811749972909</v>
      </c>
      <c r="J53" s="3">
        <v>2.9961109847352452</v>
      </c>
      <c r="K53" s="3">
        <v>2.3455633402828826</v>
      </c>
      <c r="L53" s="3">
        <v>2.0365214489815702</v>
      </c>
      <c r="M53" s="3">
        <v>1.5463601098846562</v>
      </c>
      <c r="N53" s="3">
        <v>1.514096617615698</v>
      </c>
      <c r="O53" s="3">
        <v>0.67175795432097307</v>
      </c>
      <c r="P53" s="3">
        <v>0.53957888588615877</v>
      </c>
      <c r="Q53" s="3">
        <v>0</v>
      </c>
    </row>
    <row r="54" spans="1:17" x14ac:dyDescent="0.2">
      <c r="A54" s="2">
        <v>50</v>
      </c>
      <c r="B54" s="2">
        <f t="shared" ca="1" si="2"/>
        <v>0.23067216571196347</v>
      </c>
      <c r="F54" s="4">
        <v>50</v>
      </c>
      <c r="G54" s="3">
        <v>3.96</v>
      </c>
      <c r="H54" s="3">
        <v>3.7444835266049625</v>
      </c>
      <c r="I54" s="3">
        <v>3.28657000325483</v>
      </c>
      <c r="J54" s="3">
        <v>2.7221074146103144</v>
      </c>
      <c r="K54" s="3">
        <v>2.4995303618678801</v>
      </c>
      <c r="L54" s="3">
        <v>1.9273482319673496</v>
      </c>
      <c r="M54" s="3">
        <v>1.4349928545755868</v>
      </c>
      <c r="N54" s="3">
        <v>0.98421780746491028</v>
      </c>
      <c r="O54" s="3">
        <v>0.89160314642437211</v>
      </c>
      <c r="P54" s="3">
        <v>0.3872539464930414</v>
      </c>
      <c r="Q54" s="3">
        <v>0</v>
      </c>
    </row>
    <row r="55" spans="1:17" x14ac:dyDescent="0.2">
      <c r="A55" s="2">
        <v>51</v>
      </c>
      <c r="B55" s="2">
        <f t="shared" ca="1" si="2"/>
        <v>-0.26319489866126616</v>
      </c>
      <c r="F55" s="4">
        <v>51</v>
      </c>
      <c r="G55" s="3">
        <v>3.9600000000000004</v>
      </c>
      <c r="H55" s="3">
        <v>3.4395605517240262</v>
      </c>
      <c r="I55" s="3">
        <v>3.1827955037078057</v>
      </c>
      <c r="J55" s="3">
        <v>2.8117623065238408</v>
      </c>
      <c r="K55" s="3">
        <v>2.3175786608496027</v>
      </c>
      <c r="L55" s="3">
        <v>1.7681905882714735</v>
      </c>
      <c r="M55" s="3">
        <v>1.7416626738456999</v>
      </c>
      <c r="N55" s="3">
        <v>1.072966686933525</v>
      </c>
      <c r="O55" s="3">
        <v>0.94494393269266563</v>
      </c>
      <c r="P55" s="3">
        <v>0.23035867408573255</v>
      </c>
      <c r="Q55" s="3">
        <v>0</v>
      </c>
    </row>
    <row r="56" spans="1:17" x14ac:dyDescent="0.2">
      <c r="A56" s="2">
        <v>52</v>
      </c>
      <c r="B56" s="2">
        <f t="shared" ca="1" si="2"/>
        <v>-1.1652900172823988</v>
      </c>
      <c r="F56" s="4">
        <v>52</v>
      </c>
      <c r="G56" s="3">
        <v>3.9600000000000004</v>
      </c>
      <c r="H56" s="3">
        <v>3.6147012443094564</v>
      </c>
      <c r="I56" s="3">
        <v>3.0593335655431066</v>
      </c>
      <c r="J56" s="3">
        <v>2.4481813002348258</v>
      </c>
      <c r="K56" s="3">
        <v>2.5884869281696492</v>
      </c>
      <c r="L56" s="3">
        <v>2.1599204891389254</v>
      </c>
      <c r="M56" s="3">
        <v>1.5099182462619516</v>
      </c>
      <c r="N56" s="3">
        <v>1.2545917677907459</v>
      </c>
      <c r="O56" s="3">
        <v>0.91488339330692314</v>
      </c>
      <c r="P56" s="3">
        <v>0.5225620392774839</v>
      </c>
      <c r="Q56" s="3">
        <v>0</v>
      </c>
    </row>
    <row r="57" spans="1:17" x14ac:dyDescent="0.2">
      <c r="A57" s="2">
        <v>53</v>
      </c>
      <c r="B57" s="2">
        <f t="shared" ca="1" si="2"/>
        <v>-0.81257027199885035</v>
      </c>
      <c r="F57" s="4">
        <v>53</v>
      </c>
      <c r="G57" s="3">
        <v>3.96</v>
      </c>
      <c r="H57" s="3">
        <v>3.5370996711552998</v>
      </c>
      <c r="I57" s="3">
        <v>3.3688123359751234</v>
      </c>
      <c r="J57" s="3">
        <v>2.7365659709818355</v>
      </c>
      <c r="K57" s="3">
        <v>2.5184797298339614</v>
      </c>
      <c r="L57" s="3">
        <v>2.0068010123141851</v>
      </c>
      <c r="M57" s="3">
        <v>1.5073437280914976</v>
      </c>
      <c r="N57" s="3">
        <v>1.2226029468753996</v>
      </c>
      <c r="O57" s="3">
        <v>0.81094880964624882</v>
      </c>
      <c r="P57" s="3">
        <v>0.39567965692504969</v>
      </c>
      <c r="Q57" s="3">
        <v>0</v>
      </c>
    </row>
    <row r="58" spans="1:17" x14ac:dyDescent="0.2">
      <c r="A58" s="2">
        <v>54</v>
      </c>
      <c r="B58" s="2">
        <f t="shared" ca="1" si="2"/>
        <v>0.56171517197981446</v>
      </c>
      <c r="F58" s="4">
        <v>54</v>
      </c>
      <c r="G58" s="3">
        <v>3.96</v>
      </c>
      <c r="H58" s="3">
        <v>3.3920429854292058</v>
      </c>
      <c r="I58" s="3">
        <v>3.3512554572719861</v>
      </c>
      <c r="J58" s="3">
        <v>2.3933934600092406</v>
      </c>
      <c r="K58" s="3">
        <v>2.7097760958208315</v>
      </c>
      <c r="L58" s="3">
        <v>1.9756063697439237</v>
      </c>
      <c r="M58" s="3">
        <v>1.3559536016796132</v>
      </c>
      <c r="N58" s="3">
        <v>1.0293586793779972</v>
      </c>
      <c r="O58" s="3">
        <v>0.66070224867273797</v>
      </c>
      <c r="P58" s="3">
        <v>0.60456072501599678</v>
      </c>
      <c r="Q58" s="3">
        <v>0</v>
      </c>
    </row>
    <row r="59" spans="1:17" x14ac:dyDescent="0.2">
      <c r="A59" s="2">
        <v>55</v>
      </c>
      <c r="B59" s="2">
        <f t="shared" ca="1" si="2"/>
        <v>-0.29245399222107887</v>
      </c>
      <c r="F59" s="4">
        <v>55</v>
      </c>
      <c r="G59" s="3">
        <v>3.96</v>
      </c>
      <c r="H59" s="3">
        <v>3.4084911667685089</v>
      </c>
      <c r="I59" s="3">
        <v>3.1050574423522108</v>
      </c>
      <c r="J59" s="3">
        <v>2.7527798222178186</v>
      </c>
      <c r="K59" s="3">
        <v>2.3319923756028871</v>
      </c>
      <c r="L59" s="3">
        <v>2.3551543254879603</v>
      </c>
      <c r="M59" s="3">
        <v>1.6109104339003097</v>
      </c>
      <c r="N59" s="3">
        <v>1.517488537994635</v>
      </c>
      <c r="O59" s="3">
        <v>0.80761917134324324</v>
      </c>
      <c r="P59" s="3">
        <v>0.37602565891061829</v>
      </c>
      <c r="Q59" s="3">
        <v>0</v>
      </c>
    </row>
    <row r="60" spans="1:17" x14ac:dyDescent="0.2">
      <c r="A60" s="2">
        <v>56</v>
      </c>
      <c r="B60" s="2">
        <f t="shared" ca="1" si="2"/>
        <v>0.44885718027725263</v>
      </c>
      <c r="F60" s="4">
        <v>56</v>
      </c>
      <c r="G60" s="3">
        <v>3.9599999999999995</v>
      </c>
      <c r="H60" s="3">
        <v>3.5479945403414495</v>
      </c>
      <c r="I60" s="3">
        <v>3.0764759164113507</v>
      </c>
      <c r="J60" s="3">
        <v>2.6143608103572049</v>
      </c>
      <c r="K60" s="3">
        <v>2.4318975963660661</v>
      </c>
      <c r="L60" s="3">
        <v>2.0064889211639132</v>
      </c>
      <c r="M60" s="3">
        <v>2.1058292112936194</v>
      </c>
      <c r="N60" s="3">
        <v>0.86790930867793881</v>
      </c>
      <c r="O60" s="3">
        <v>0.67066603566812455</v>
      </c>
      <c r="P60" s="3">
        <v>0.36332932774534943</v>
      </c>
      <c r="Q60" s="3">
        <v>0</v>
      </c>
    </row>
    <row r="61" spans="1:17" x14ac:dyDescent="0.2">
      <c r="A61" s="2">
        <v>57</v>
      </c>
      <c r="B61" s="2">
        <f t="shared" ca="1" si="2"/>
        <v>1.8931746661957081</v>
      </c>
      <c r="F61" s="4">
        <v>57</v>
      </c>
      <c r="G61" s="3">
        <v>3.96</v>
      </c>
      <c r="H61" s="3">
        <v>3.5253728165609881</v>
      </c>
      <c r="I61" s="3">
        <v>2.8733838924593655</v>
      </c>
      <c r="J61" s="3">
        <v>2.4600173489465154</v>
      </c>
      <c r="K61" s="3">
        <v>2.3551607948522642</v>
      </c>
      <c r="L61" s="3">
        <v>2.0474418783638169</v>
      </c>
      <c r="M61" s="3">
        <v>1.5389276906406202</v>
      </c>
      <c r="N61" s="3">
        <v>1.1037045815678022</v>
      </c>
      <c r="O61" s="3">
        <v>1.0327467753063351</v>
      </c>
      <c r="P61" s="3">
        <v>0.30802632611429431</v>
      </c>
      <c r="Q61" s="3">
        <v>0</v>
      </c>
    </row>
    <row r="62" spans="1:17" x14ac:dyDescent="0.2">
      <c r="A62" s="2">
        <v>58</v>
      </c>
      <c r="B62" s="2">
        <f t="shared" ca="1" si="2"/>
        <v>1.4087624021961238</v>
      </c>
      <c r="F62" s="4">
        <v>58</v>
      </c>
      <c r="G62" s="3">
        <v>3.96</v>
      </c>
      <c r="H62" s="3">
        <v>3.3699440288767093</v>
      </c>
      <c r="I62" s="3">
        <v>3.0521447310383136</v>
      </c>
      <c r="J62" s="3">
        <v>2.7174530932282002</v>
      </c>
      <c r="K62" s="3">
        <v>2.0739708089697975</v>
      </c>
      <c r="L62" s="3">
        <v>2.1770202267413543</v>
      </c>
      <c r="M62" s="3">
        <v>1.5292932679220823</v>
      </c>
      <c r="N62" s="3">
        <v>1.2960033123717458</v>
      </c>
      <c r="O62" s="3">
        <v>1.0564741832892464</v>
      </c>
      <c r="P62" s="3">
        <v>0.47093570528929091</v>
      </c>
      <c r="Q62" s="3">
        <v>0</v>
      </c>
    </row>
    <row r="63" spans="1:17" x14ac:dyDescent="0.2">
      <c r="A63" s="2">
        <v>59</v>
      </c>
      <c r="B63" s="2">
        <f t="shared" ca="1" si="2"/>
        <v>-9.7663928126563992E-2</v>
      </c>
      <c r="F63" s="4">
        <v>59</v>
      </c>
      <c r="G63" s="3">
        <v>3.96</v>
      </c>
      <c r="H63" s="3">
        <v>3.5594769952279655</v>
      </c>
      <c r="I63" s="3">
        <v>3.0584518169517136</v>
      </c>
      <c r="J63" s="3">
        <v>2.5522698187980368</v>
      </c>
      <c r="K63" s="3">
        <v>2.3864538018853789</v>
      </c>
      <c r="L63" s="3">
        <v>2.0323769957205089</v>
      </c>
      <c r="M63" s="3">
        <v>1.5268594019865402</v>
      </c>
      <c r="N63" s="3">
        <v>1.2458734512083935</v>
      </c>
      <c r="O63" s="3">
        <v>0.70085769117360874</v>
      </c>
      <c r="P63" s="3">
        <v>0.60687854930773266</v>
      </c>
      <c r="Q63" s="3">
        <v>0</v>
      </c>
    </row>
    <row r="64" spans="1:17" x14ac:dyDescent="0.2">
      <c r="A64" s="2">
        <v>60</v>
      </c>
      <c r="B64" s="2">
        <f t="shared" ca="1" si="2"/>
        <v>-0.41680688310027808</v>
      </c>
      <c r="F64" s="4">
        <v>60</v>
      </c>
      <c r="G64" s="3">
        <v>3.9600000000000004</v>
      </c>
      <c r="H64" s="3">
        <v>3.6181469315685568</v>
      </c>
      <c r="I64" s="3">
        <v>3.1263823076461446</v>
      </c>
      <c r="J64" s="3">
        <v>2.4587657774033951</v>
      </c>
      <c r="K64" s="3">
        <v>2.225066640499056</v>
      </c>
      <c r="L64" s="3">
        <v>1.7053303452423796</v>
      </c>
      <c r="M64" s="3">
        <v>1.3609560276673298</v>
      </c>
      <c r="N64" s="3">
        <v>1.0433178985655165</v>
      </c>
      <c r="O64" s="3">
        <v>0.63325518803044878</v>
      </c>
      <c r="P64" s="3">
        <v>0.35157554221895015</v>
      </c>
      <c r="Q64" s="3">
        <v>0</v>
      </c>
    </row>
    <row r="65" spans="1:17" x14ac:dyDescent="0.2">
      <c r="A65" s="2">
        <v>61</v>
      </c>
      <c r="B65" s="2">
        <f t="shared" ca="1" si="2"/>
        <v>-0.29467683560758168</v>
      </c>
      <c r="F65" s="4">
        <v>61</v>
      </c>
      <c r="G65" s="3">
        <v>3.96</v>
      </c>
      <c r="H65" s="3">
        <v>3.3596811064569292</v>
      </c>
      <c r="I65" s="3">
        <v>3.1901804550538273</v>
      </c>
      <c r="J65" s="3">
        <v>2.9968392676996096</v>
      </c>
      <c r="K65" s="3">
        <v>2.6729937707660771</v>
      </c>
      <c r="L65" s="3">
        <v>1.8619511359334782</v>
      </c>
      <c r="M65" s="3">
        <v>1.8495585402443764</v>
      </c>
      <c r="N65" s="3">
        <v>1.4148540236769518</v>
      </c>
      <c r="O65" s="3">
        <v>0.79691323959340354</v>
      </c>
      <c r="P65" s="3">
        <v>0.64346366586356896</v>
      </c>
      <c r="Q65" s="3">
        <v>0</v>
      </c>
    </row>
    <row r="66" spans="1:17" x14ac:dyDescent="0.2">
      <c r="A66" s="2">
        <v>62</v>
      </c>
      <c r="B66" s="2">
        <f t="shared" ca="1" si="2"/>
        <v>-1.4709404625121447</v>
      </c>
      <c r="F66" s="4">
        <v>62</v>
      </c>
      <c r="G66" s="3">
        <v>3.96</v>
      </c>
      <c r="H66" s="3">
        <v>3.5743901436181056</v>
      </c>
      <c r="I66" s="3">
        <v>3.1309799637485263</v>
      </c>
      <c r="J66" s="3">
        <v>2.6126135533493806</v>
      </c>
      <c r="K66" s="3">
        <v>2.21682206367226</v>
      </c>
      <c r="L66" s="3">
        <v>2.3313789014298525</v>
      </c>
      <c r="M66" s="3">
        <v>1.4317913453063147</v>
      </c>
      <c r="N66" s="3">
        <v>1.3259437299004981</v>
      </c>
      <c r="O66" s="3">
        <v>0.78055505513377366</v>
      </c>
      <c r="P66" s="3">
        <v>0.56708692899645441</v>
      </c>
      <c r="Q66" s="3">
        <v>0</v>
      </c>
    </row>
    <row r="67" spans="1:17" x14ac:dyDescent="0.2">
      <c r="A67" s="2">
        <v>63</v>
      </c>
      <c r="B67" s="2">
        <f t="shared" ca="1" si="2"/>
        <v>-0.78234645858767426</v>
      </c>
      <c r="F67" s="4">
        <v>63</v>
      </c>
      <c r="G67" s="3">
        <v>3.96</v>
      </c>
      <c r="H67" s="3">
        <v>3.5108465623335783</v>
      </c>
      <c r="I67" s="3">
        <v>2.9793291325990605</v>
      </c>
      <c r="J67" s="3">
        <v>2.7579291991348431</v>
      </c>
      <c r="K67" s="3">
        <v>2.4072919129923567</v>
      </c>
      <c r="L67" s="3">
        <v>1.7364685403176079</v>
      </c>
      <c r="M67" s="3">
        <v>2.132074436406127</v>
      </c>
      <c r="N67" s="3">
        <v>1.5508785504543898</v>
      </c>
      <c r="O67" s="3">
        <v>0.67992317407127389</v>
      </c>
      <c r="P67" s="3">
        <v>0.27161963507225062</v>
      </c>
      <c r="Q67" s="3">
        <v>0</v>
      </c>
    </row>
    <row r="68" spans="1:17" x14ac:dyDescent="0.2">
      <c r="A68" s="2">
        <v>64</v>
      </c>
      <c r="B68" s="2">
        <f t="shared" ca="1" si="2"/>
        <v>0.5762775130739235</v>
      </c>
      <c r="F68" s="4">
        <v>64</v>
      </c>
      <c r="G68" s="3">
        <v>3.96</v>
      </c>
      <c r="H68" s="3">
        <v>3.400631040556704</v>
      </c>
      <c r="I68" s="3">
        <v>3.1512316840675765</v>
      </c>
      <c r="J68" s="3">
        <v>2.6323563062408626</v>
      </c>
      <c r="K68" s="3">
        <v>2.4318110610227048</v>
      </c>
      <c r="L68" s="3">
        <v>2.3343577367441877</v>
      </c>
      <c r="M68" s="3">
        <v>1.5926131717864151</v>
      </c>
      <c r="N68" s="3">
        <v>1.3006700725402345</v>
      </c>
      <c r="O68" s="3">
        <v>0.91234762469988884</v>
      </c>
      <c r="P68" s="3">
        <v>0.32556768787365048</v>
      </c>
      <c r="Q68" s="3">
        <v>0</v>
      </c>
    </row>
    <row r="69" spans="1:17" x14ac:dyDescent="0.2">
      <c r="A69" s="2">
        <v>65</v>
      </c>
      <c r="B69" s="2">
        <f t="shared" ca="1" si="2"/>
        <v>0.3353900856581995</v>
      </c>
      <c r="F69" s="4">
        <v>65</v>
      </c>
      <c r="G69" s="3">
        <v>3.96</v>
      </c>
      <c r="H69" s="3">
        <v>3.4458806907769057</v>
      </c>
      <c r="I69" s="3">
        <v>3.3244059783846076</v>
      </c>
      <c r="J69" s="3">
        <v>2.4604908581534466</v>
      </c>
      <c r="K69" s="3">
        <v>2.3659319159334915</v>
      </c>
      <c r="L69" s="3">
        <v>1.8357136033658352</v>
      </c>
      <c r="M69" s="3">
        <v>1.8576646221675333</v>
      </c>
      <c r="N69" s="3">
        <v>1.0719963705820807</v>
      </c>
      <c r="O69" s="3">
        <v>0.85567758405213679</v>
      </c>
      <c r="P69" s="3">
        <v>0.50806328612848817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-0.27382135736945445</v>
      </c>
      <c r="F70" s="4">
        <v>66</v>
      </c>
      <c r="G70" s="3">
        <v>3.96</v>
      </c>
      <c r="H70" s="3">
        <v>3.65309489717872</v>
      </c>
      <c r="I70" s="3">
        <v>2.7708185997993779</v>
      </c>
      <c r="J70" s="3">
        <v>2.8559248288691101</v>
      </c>
      <c r="K70" s="3">
        <v>2.5638092755009581</v>
      </c>
      <c r="L70" s="3">
        <v>1.9458966015715231</v>
      </c>
      <c r="M70" s="3">
        <v>1.2734510856346537</v>
      </c>
      <c r="N70" s="3">
        <v>1.0555149675471605</v>
      </c>
      <c r="O70" s="3">
        <v>1.0689578737135361</v>
      </c>
      <c r="P70" s="3">
        <v>0.42964538749183179</v>
      </c>
      <c r="Q70" s="3">
        <v>0</v>
      </c>
    </row>
    <row r="71" spans="1:17" x14ac:dyDescent="0.2">
      <c r="A71" s="2">
        <v>67</v>
      </c>
      <c r="B71" s="2">
        <f t="shared" ca="1" si="3"/>
        <v>-0.31540573377065872</v>
      </c>
      <c r="F71" s="4">
        <v>67</v>
      </c>
      <c r="G71" s="3">
        <v>3.96</v>
      </c>
      <c r="H71" s="3">
        <v>3.5598214409524926</v>
      </c>
      <c r="I71" s="3">
        <v>3.1683316835034074</v>
      </c>
      <c r="J71" s="3">
        <v>2.7076309884149059</v>
      </c>
      <c r="K71" s="3">
        <v>2.1049061680737968</v>
      </c>
      <c r="L71" s="3">
        <v>2.1623171919780528</v>
      </c>
      <c r="M71" s="3">
        <v>1.3341151083683751</v>
      </c>
      <c r="N71" s="3">
        <v>1.3045385212253267</v>
      </c>
      <c r="O71" s="3">
        <v>0.9106136610902017</v>
      </c>
      <c r="P71" s="3">
        <v>0.46818865531528769</v>
      </c>
      <c r="Q71" s="3">
        <v>0</v>
      </c>
    </row>
    <row r="72" spans="1:17" x14ac:dyDescent="0.2">
      <c r="A72" s="2">
        <v>68</v>
      </c>
      <c r="B72" s="2">
        <f t="shared" ca="1" si="3"/>
        <v>-0.94133668904735934</v>
      </c>
      <c r="F72" s="4">
        <v>68</v>
      </c>
      <c r="G72" s="3">
        <v>3.96</v>
      </c>
      <c r="H72" s="3">
        <v>3.278389817697549</v>
      </c>
      <c r="I72" s="3">
        <v>3.2861557195617896</v>
      </c>
      <c r="J72" s="3">
        <v>2.9022465934330843</v>
      </c>
      <c r="K72" s="3">
        <v>2.6700764193205186</v>
      </c>
      <c r="L72" s="3">
        <v>1.9495205460842244</v>
      </c>
      <c r="M72" s="3">
        <v>1.2437402468831542</v>
      </c>
      <c r="N72" s="3">
        <v>1.0702740406738951</v>
      </c>
      <c r="O72" s="3">
        <v>0.78726469721340286</v>
      </c>
      <c r="P72" s="3">
        <v>0.29944822232472945</v>
      </c>
      <c r="Q72" s="3">
        <v>0</v>
      </c>
    </row>
    <row r="73" spans="1:17" x14ac:dyDescent="0.2">
      <c r="A73" s="2">
        <v>69</v>
      </c>
      <c r="B73" s="2">
        <f t="shared" ca="1" si="3"/>
        <v>-0.2822369078721057</v>
      </c>
      <c r="F73" s="4">
        <v>69</v>
      </c>
      <c r="G73" s="3">
        <v>3.96</v>
      </c>
      <c r="H73" s="3">
        <v>3.6813607369438475</v>
      </c>
      <c r="I73" s="3">
        <v>3.2426066827371187</v>
      </c>
      <c r="J73" s="3">
        <v>2.7101161062511347</v>
      </c>
      <c r="K73" s="3">
        <v>2.2858174306069987</v>
      </c>
      <c r="L73" s="3">
        <v>1.6944997117042337</v>
      </c>
      <c r="M73" s="3">
        <v>1.6362266523482814</v>
      </c>
      <c r="N73" s="3">
        <v>0.87573537736367524</v>
      </c>
      <c r="O73" s="3">
        <v>0.66920225860616667</v>
      </c>
      <c r="P73" s="3">
        <v>0.27198556579966127</v>
      </c>
      <c r="Q73" s="3">
        <v>0</v>
      </c>
    </row>
    <row r="74" spans="1:17" x14ac:dyDescent="0.2">
      <c r="A74" s="2">
        <v>70</v>
      </c>
      <c r="B74" s="2">
        <f t="shared" ca="1" si="3"/>
        <v>-0.3877794129706863</v>
      </c>
      <c r="F74" s="4">
        <v>70</v>
      </c>
      <c r="G74" s="3">
        <v>3.9600000000000004</v>
      </c>
      <c r="H74" s="3">
        <v>3.4508366929879868</v>
      </c>
      <c r="I74" s="3">
        <v>2.9169976305580652</v>
      </c>
      <c r="J74" s="3">
        <v>2.2457217138361831</v>
      </c>
      <c r="K74" s="3">
        <v>2.3337198056573056</v>
      </c>
      <c r="L74" s="3">
        <v>1.9143184416909333</v>
      </c>
      <c r="M74" s="3">
        <v>1.3949613807886434</v>
      </c>
      <c r="N74" s="3">
        <v>1.2625078718093345</v>
      </c>
      <c r="O74" s="3">
        <v>0.93344663475696354</v>
      </c>
      <c r="P74" s="3">
        <v>0.32373676798268697</v>
      </c>
      <c r="Q74" s="3">
        <v>0</v>
      </c>
    </row>
    <row r="75" spans="1:17" x14ac:dyDescent="0.2">
      <c r="A75" s="2">
        <v>71</v>
      </c>
      <c r="B75" s="2">
        <f t="shared" ca="1" si="3"/>
        <v>-0.20557077559534342</v>
      </c>
      <c r="F75" s="4">
        <v>71</v>
      </c>
      <c r="G75" s="3">
        <v>3.96</v>
      </c>
      <c r="H75" s="3">
        <v>3.391732985795779</v>
      </c>
      <c r="I75" s="3">
        <v>3.1480917310861218</v>
      </c>
      <c r="J75" s="3">
        <v>2.5866324172702702</v>
      </c>
      <c r="K75" s="3">
        <v>2.0384802600531149</v>
      </c>
      <c r="L75" s="3">
        <v>1.9652864104674006</v>
      </c>
      <c r="M75" s="3">
        <v>1.3833473584766025</v>
      </c>
      <c r="N75" s="3">
        <v>1.0468627211079704</v>
      </c>
      <c r="O75" s="3">
        <v>1.1136217043864147</v>
      </c>
      <c r="P75" s="3">
        <v>0.37039202772832552</v>
      </c>
      <c r="Q75" s="3">
        <v>0</v>
      </c>
    </row>
    <row r="76" spans="1:17" x14ac:dyDescent="0.2">
      <c r="A76" s="2">
        <v>72</v>
      </c>
      <c r="B76" s="2">
        <f t="shared" ca="1" si="3"/>
        <v>-0.14372263005147629</v>
      </c>
      <c r="F76" s="4">
        <v>72</v>
      </c>
      <c r="G76" s="3">
        <v>3.96</v>
      </c>
      <c r="H76" s="3">
        <v>3.7664572522250657</v>
      </c>
      <c r="I76" s="3">
        <v>3.0386492085014414</v>
      </c>
      <c r="J76" s="3">
        <v>3.0690539702484156</v>
      </c>
      <c r="K76" s="3">
        <v>2.1671977591615734</v>
      </c>
      <c r="L76" s="3">
        <v>1.6114161810707379</v>
      </c>
      <c r="M76" s="3">
        <v>1.6270867762157024</v>
      </c>
      <c r="N76" s="3">
        <v>1.2189920836855617</v>
      </c>
      <c r="O76" s="3">
        <v>1.037372716715973</v>
      </c>
      <c r="P76" s="3">
        <v>0.30232998766446362</v>
      </c>
      <c r="Q76" s="3">
        <v>0</v>
      </c>
    </row>
    <row r="77" spans="1:17" x14ac:dyDescent="0.2">
      <c r="A77" s="2">
        <v>73</v>
      </c>
      <c r="B77" s="2">
        <f t="shared" ca="1" si="3"/>
        <v>0.2785291124840088</v>
      </c>
      <c r="F77" s="4">
        <v>73</v>
      </c>
      <c r="G77" s="3">
        <v>3.96</v>
      </c>
      <c r="H77" s="3">
        <v>3.5827358574119277</v>
      </c>
      <c r="I77" s="3">
        <v>3.1925084162667132</v>
      </c>
      <c r="J77" s="3">
        <v>2.5175688463512373</v>
      </c>
      <c r="K77" s="3">
        <v>2.3915833888985971</v>
      </c>
      <c r="L77" s="3">
        <v>1.961602744276193</v>
      </c>
      <c r="M77" s="3">
        <v>1.3358633579784147</v>
      </c>
      <c r="N77" s="3">
        <v>1.3443108431489226</v>
      </c>
      <c r="O77" s="3">
        <v>0.61832194971487009</v>
      </c>
      <c r="P77" s="3">
        <v>0.30889791954942947</v>
      </c>
      <c r="Q77" s="3">
        <v>0</v>
      </c>
    </row>
    <row r="78" spans="1:17" x14ac:dyDescent="0.2">
      <c r="A78" s="2">
        <v>74</v>
      </c>
      <c r="B78" s="2">
        <f t="shared" ca="1" si="3"/>
        <v>0.83321609080604808</v>
      </c>
      <c r="F78" s="4">
        <v>74</v>
      </c>
      <c r="G78" s="3">
        <v>3.96</v>
      </c>
      <c r="H78" s="3">
        <v>3.7599899723701062</v>
      </c>
      <c r="I78" s="3">
        <v>3.2465800253086319</v>
      </c>
      <c r="J78" s="3">
        <v>2.8405288927747967</v>
      </c>
      <c r="K78" s="3">
        <v>2.2670177914129659</v>
      </c>
      <c r="L78" s="3">
        <v>2.3146732163924613</v>
      </c>
      <c r="M78" s="3">
        <v>1.605967107287029</v>
      </c>
      <c r="N78" s="3">
        <v>0.92563878967647883</v>
      </c>
      <c r="O78" s="3">
        <v>1.0295487702187291</v>
      </c>
      <c r="P78" s="3">
        <v>0.24192383732883324</v>
      </c>
      <c r="Q78" s="3">
        <v>0</v>
      </c>
    </row>
    <row r="79" spans="1:17" x14ac:dyDescent="0.2">
      <c r="A79" s="2">
        <v>75</v>
      </c>
      <c r="B79" s="2">
        <f t="shared" ca="1" si="3"/>
        <v>0.60589943674309388</v>
      </c>
      <c r="F79" s="4">
        <v>75</v>
      </c>
      <c r="G79" s="3">
        <v>3.96</v>
      </c>
      <c r="H79" s="3">
        <v>3.4765271791873249</v>
      </c>
      <c r="I79" s="3">
        <v>3.2314544441915798</v>
      </c>
      <c r="J79" s="3">
        <v>2.5112402010008195</v>
      </c>
      <c r="K79" s="3">
        <v>2.5530849883734157</v>
      </c>
      <c r="L79" s="3">
        <v>1.8556214685497376</v>
      </c>
      <c r="M79" s="3">
        <v>1.7900889948057059</v>
      </c>
      <c r="N79" s="3">
        <v>1.4929287243525844</v>
      </c>
      <c r="O79" s="3">
        <v>0.79544831144699024</v>
      </c>
      <c r="P79" s="3">
        <v>0.44787347435259933</v>
      </c>
      <c r="Q79" s="3">
        <v>0</v>
      </c>
    </row>
    <row r="80" spans="1:17" x14ac:dyDescent="0.2">
      <c r="A80" s="2">
        <v>76</v>
      </c>
      <c r="B80" s="2">
        <f t="shared" ca="1" si="3"/>
        <v>0.27495772630610632</v>
      </c>
      <c r="F80" s="4">
        <v>76</v>
      </c>
      <c r="G80" s="3">
        <v>3.96</v>
      </c>
      <c r="H80" s="3">
        <v>3.6324708549428251</v>
      </c>
      <c r="I80" s="3">
        <v>2.8956859713998999</v>
      </c>
      <c r="J80" s="3">
        <v>2.9333169348896249</v>
      </c>
      <c r="K80" s="3">
        <v>2.4606832180244522</v>
      </c>
      <c r="L80" s="3">
        <v>1.8654666012048939</v>
      </c>
      <c r="M80" s="3">
        <v>2.200236554470469</v>
      </c>
      <c r="N80" s="3">
        <v>1.2880291509218993</v>
      </c>
      <c r="O80" s="3">
        <v>0.57369023330063984</v>
      </c>
      <c r="P80" s="3">
        <v>0.47367109218885256</v>
      </c>
      <c r="Q80" s="3">
        <v>0</v>
      </c>
    </row>
    <row r="81" spans="1:17" x14ac:dyDescent="0.2">
      <c r="A81" s="2">
        <v>77</v>
      </c>
      <c r="B81" s="2">
        <f t="shared" ca="1" si="3"/>
        <v>-0.34219395075619286</v>
      </c>
      <c r="F81" s="4">
        <v>77</v>
      </c>
      <c r="G81" s="3">
        <v>3.96</v>
      </c>
      <c r="H81" s="3">
        <v>3.7277972278739973</v>
      </c>
      <c r="I81" s="3">
        <v>3.3390358710970212</v>
      </c>
      <c r="J81" s="3">
        <v>2.7051022785124279</v>
      </c>
      <c r="K81" s="3">
        <v>2.3817858664459584</v>
      </c>
      <c r="L81" s="3">
        <v>2.0754344349712155</v>
      </c>
      <c r="M81" s="3">
        <v>1.8529233027834895</v>
      </c>
      <c r="N81" s="3">
        <v>0.91672579126064402</v>
      </c>
      <c r="O81" s="3">
        <v>0.85898794171746951</v>
      </c>
      <c r="P81" s="3">
        <v>0.29766470221664898</v>
      </c>
      <c r="Q81" s="3">
        <v>0</v>
      </c>
    </row>
    <row r="82" spans="1:17" x14ac:dyDescent="0.2">
      <c r="A82" s="2">
        <v>78</v>
      </c>
      <c r="B82" s="2">
        <f t="shared" ca="1" si="3"/>
        <v>-0.17050859128506915</v>
      </c>
      <c r="F82" s="4">
        <v>78</v>
      </c>
      <c r="G82" s="3">
        <v>3.96</v>
      </c>
      <c r="H82" s="3">
        <v>3.6002931160518181</v>
      </c>
      <c r="I82" s="3">
        <v>3.1944814931165832</v>
      </c>
      <c r="J82" s="3">
        <v>2.8153018871694337</v>
      </c>
      <c r="K82" s="3">
        <v>2.5032810645342121</v>
      </c>
      <c r="L82" s="3">
        <v>2.1399753557626005</v>
      </c>
      <c r="M82" s="3">
        <v>1.4571624170365536</v>
      </c>
      <c r="N82" s="3">
        <v>1.0032611244930698</v>
      </c>
      <c r="O82" s="3">
        <v>0.87535537910026417</v>
      </c>
      <c r="P82" s="3">
        <v>0.36069154099595901</v>
      </c>
      <c r="Q82" s="3">
        <v>0</v>
      </c>
    </row>
    <row r="83" spans="1:17" x14ac:dyDescent="0.2">
      <c r="A83" s="2">
        <v>79</v>
      </c>
      <c r="B83" s="2">
        <f t="shared" ca="1" si="3"/>
        <v>-0.6240291730080002</v>
      </c>
      <c r="F83" s="4">
        <v>79</v>
      </c>
      <c r="G83" s="3">
        <v>3.96</v>
      </c>
      <c r="H83" s="3">
        <v>3.5380039083173331</v>
      </c>
      <c r="I83" s="3">
        <v>3.4000505254028237</v>
      </c>
      <c r="J83" s="3">
        <v>2.5706942704781328</v>
      </c>
      <c r="K83" s="3">
        <v>2.2315410200258512</v>
      </c>
      <c r="L83" s="3">
        <v>1.9461585636219021</v>
      </c>
      <c r="M83" s="3">
        <v>1.6852858257647083</v>
      </c>
      <c r="N83" s="3">
        <v>1.2381874192212601</v>
      </c>
      <c r="O83" s="3">
        <v>0.50598786311893851</v>
      </c>
      <c r="P83" s="3">
        <v>0.38691718722967905</v>
      </c>
      <c r="Q83" s="3">
        <v>0</v>
      </c>
    </row>
    <row r="84" spans="1:17" x14ac:dyDescent="0.2">
      <c r="A84" s="2">
        <v>80</v>
      </c>
      <c r="B84" s="2">
        <f t="shared" ca="1" si="3"/>
        <v>-0.37615346629560564</v>
      </c>
      <c r="F84" s="4">
        <v>80</v>
      </c>
      <c r="G84" s="3">
        <v>3.9600000000000004</v>
      </c>
      <c r="H84" s="3">
        <v>3.4918524769731727</v>
      </c>
      <c r="I84" s="3">
        <v>3.1652343124787965</v>
      </c>
      <c r="J84" s="3">
        <v>2.5631259513256266</v>
      </c>
      <c r="K84" s="3">
        <v>2.6168518281363271</v>
      </c>
      <c r="L84" s="3">
        <v>1.7630174569865362</v>
      </c>
      <c r="M84" s="3">
        <v>1.3220562185695031</v>
      </c>
      <c r="N84" s="3">
        <v>1.3390102963394297</v>
      </c>
      <c r="O84" s="3">
        <v>0.72512093581677672</v>
      </c>
      <c r="P84" s="3">
        <v>0.52080333324237882</v>
      </c>
      <c r="Q84" s="3">
        <v>0</v>
      </c>
    </row>
    <row r="85" spans="1:17" x14ac:dyDescent="0.2">
      <c r="A85" s="2">
        <v>81</v>
      </c>
      <c r="B85" s="2">
        <f t="shared" ca="1" si="3"/>
        <v>0.20136160827831567</v>
      </c>
      <c r="F85" s="4">
        <v>81</v>
      </c>
      <c r="G85" s="3">
        <v>3.96</v>
      </c>
      <c r="H85" s="3">
        <v>3.4812617342370511</v>
      </c>
      <c r="I85" s="3">
        <v>3.2497788872858262</v>
      </c>
      <c r="J85" s="3">
        <v>2.8538875439180122</v>
      </c>
      <c r="K85" s="3">
        <v>2.3639666192190987</v>
      </c>
      <c r="L85" s="3">
        <v>2.48981480620402</v>
      </c>
      <c r="M85" s="3">
        <v>1.6145946170606273</v>
      </c>
      <c r="N85" s="3">
        <v>1.4096346003166194</v>
      </c>
      <c r="O85" s="3">
        <v>1.0676548129024999</v>
      </c>
      <c r="P85" s="3">
        <v>0.41815247473292849</v>
      </c>
      <c r="Q85" s="3">
        <v>0</v>
      </c>
    </row>
    <row r="86" spans="1:17" x14ac:dyDescent="0.2">
      <c r="A86" s="2">
        <v>82</v>
      </c>
      <c r="B86" s="2">
        <f t="shared" ca="1" si="3"/>
        <v>-1.0699215413620771</v>
      </c>
      <c r="F86" s="4">
        <v>82</v>
      </c>
      <c r="G86" s="3">
        <v>3.96</v>
      </c>
      <c r="H86" s="3">
        <v>3.6469464317801146</v>
      </c>
      <c r="I86" s="3">
        <v>3.073798949379495</v>
      </c>
      <c r="J86" s="3">
        <v>3.0096661968340404</v>
      </c>
      <c r="K86" s="3">
        <v>2.4546635817647107</v>
      </c>
      <c r="L86" s="3">
        <v>2.0120684453295214</v>
      </c>
      <c r="M86" s="3">
        <v>1.5863409580959498</v>
      </c>
      <c r="N86" s="3">
        <v>1.2089420582260941</v>
      </c>
      <c r="O86" s="3">
        <v>0.76168026149082424</v>
      </c>
      <c r="P86" s="3">
        <v>0.18607710461838284</v>
      </c>
      <c r="Q86" s="3">
        <v>0</v>
      </c>
    </row>
    <row r="87" spans="1:17" x14ac:dyDescent="0.2">
      <c r="A87" s="2">
        <v>83</v>
      </c>
      <c r="B87" s="2">
        <f t="shared" ca="1" si="3"/>
        <v>-0.76224633667567532</v>
      </c>
      <c r="F87" s="4">
        <v>83</v>
      </c>
      <c r="G87" s="3">
        <v>3.96</v>
      </c>
      <c r="H87" s="3">
        <v>3.7380823788839312</v>
      </c>
      <c r="I87" s="3">
        <v>3.1576249167564288</v>
      </c>
      <c r="J87" s="3">
        <v>2.7610481013569466</v>
      </c>
      <c r="K87" s="3">
        <v>2.4377253257320848</v>
      </c>
      <c r="L87" s="3">
        <v>2.0750807582061457</v>
      </c>
      <c r="M87" s="3">
        <v>1.5936964255885671</v>
      </c>
      <c r="N87" s="3">
        <v>1.3325238486819881</v>
      </c>
      <c r="O87" s="3">
        <v>1.2154392706935051</v>
      </c>
      <c r="P87" s="3">
        <v>0.53247607067743241</v>
      </c>
      <c r="Q87" s="3">
        <v>0</v>
      </c>
    </row>
    <row r="88" spans="1:17" x14ac:dyDescent="0.2">
      <c r="A88" s="2">
        <v>84</v>
      </c>
      <c r="B88" s="2">
        <f t="shared" ca="1" si="3"/>
        <v>-1.3969087748536828</v>
      </c>
      <c r="F88" s="4">
        <v>84</v>
      </c>
      <c r="G88" s="3">
        <v>3.96</v>
      </c>
      <c r="H88" s="3">
        <v>3.6118613023461306</v>
      </c>
      <c r="I88" s="3">
        <v>3.3414196603255775</v>
      </c>
      <c r="J88" s="3">
        <v>2.8453741808410524</v>
      </c>
      <c r="K88" s="3">
        <v>2.245415296094631</v>
      </c>
      <c r="L88" s="3">
        <v>1.9770261459902441</v>
      </c>
      <c r="M88" s="3">
        <v>1.7191609963330436</v>
      </c>
      <c r="N88" s="3">
        <v>1.1578760190121178</v>
      </c>
      <c r="O88" s="3">
        <v>0.68248728827218719</v>
      </c>
      <c r="P88" s="3">
        <v>0.55605459385452194</v>
      </c>
      <c r="Q88" s="3">
        <v>0</v>
      </c>
    </row>
    <row r="89" spans="1:17" x14ac:dyDescent="0.2">
      <c r="A89" s="2">
        <v>85</v>
      </c>
      <c r="B89" s="2">
        <f t="shared" ca="1" si="3"/>
        <v>-1.6592923621641995</v>
      </c>
      <c r="F89" s="4">
        <v>85</v>
      </c>
      <c r="G89" s="3">
        <v>3.96</v>
      </c>
      <c r="H89" s="3">
        <v>3.5483146431868149</v>
      </c>
      <c r="I89" s="3">
        <v>2.9667786139615502</v>
      </c>
      <c r="J89" s="3">
        <v>2.5744524617240909</v>
      </c>
      <c r="K89" s="3">
        <v>2.3052851453793348</v>
      </c>
      <c r="L89" s="3">
        <v>2.1564123392976868</v>
      </c>
      <c r="M89" s="3">
        <v>2.1500793193824705</v>
      </c>
      <c r="N89" s="3">
        <v>0.96450992306412786</v>
      </c>
      <c r="O89" s="3">
        <v>0.82484994202879447</v>
      </c>
      <c r="P89" s="3">
        <v>0.44714127216920158</v>
      </c>
      <c r="Q89" s="3">
        <v>0</v>
      </c>
    </row>
    <row r="90" spans="1:17" x14ac:dyDescent="0.2">
      <c r="A90" s="2">
        <v>86</v>
      </c>
      <c r="B90" s="2">
        <f t="shared" ca="1" si="3"/>
        <v>-0.32822541797917482</v>
      </c>
      <c r="F90" s="4">
        <v>86</v>
      </c>
      <c r="G90" s="3">
        <v>3.9600000000000004</v>
      </c>
      <c r="H90" s="3">
        <v>3.5072642373534983</v>
      </c>
      <c r="I90" s="3">
        <v>3.3346877854078376</v>
      </c>
      <c r="J90" s="3">
        <v>3.0559908626168402</v>
      </c>
      <c r="K90" s="3">
        <v>2.2055137440318777</v>
      </c>
      <c r="L90" s="3">
        <v>1.9376239537520019</v>
      </c>
      <c r="M90" s="3">
        <v>1.6139829624281947</v>
      </c>
      <c r="N90" s="3">
        <v>1.0173294565351791</v>
      </c>
      <c r="O90" s="3">
        <v>0.67175771884654578</v>
      </c>
      <c r="P90" s="3">
        <v>0.46428450845176672</v>
      </c>
      <c r="Q90" s="3">
        <v>0</v>
      </c>
    </row>
    <row r="91" spans="1:17" x14ac:dyDescent="0.2">
      <c r="A91" s="2">
        <v>87</v>
      </c>
      <c r="B91" s="2">
        <f t="shared" ca="1" si="3"/>
        <v>-0.54512273570607794</v>
      </c>
      <c r="F91" s="4">
        <v>87</v>
      </c>
      <c r="G91" s="3">
        <v>3.96</v>
      </c>
      <c r="H91" s="3">
        <v>3.6829459576967229</v>
      </c>
      <c r="I91" s="3">
        <v>3.1166719277223214</v>
      </c>
      <c r="J91" s="3">
        <v>2.5524934369774446</v>
      </c>
      <c r="K91" s="3">
        <v>2.5067066316941178</v>
      </c>
      <c r="L91" s="3">
        <v>1.783381383591067</v>
      </c>
      <c r="M91" s="3">
        <v>1.6168895542269373</v>
      </c>
      <c r="N91" s="3">
        <v>0.96242419822387648</v>
      </c>
      <c r="O91" s="3">
        <v>0.92155310838215765</v>
      </c>
      <c r="P91" s="3">
        <v>0.33650036919260079</v>
      </c>
      <c r="Q91" s="3">
        <v>0</v>
      </c>
    </row>
    <row r="92" spans="1:17" x14ac:dyDescent="0.2">
      <c r="A92" s="2">
        <v>88</v>
      </c>
      <c r="B92" s="2">
        <f t="shared" ca="1" si="3"/>
        <v>-1.4136175408252012</v>
      </c>
      <c r="F92" s="4">
        <v>88</v>
      </c>
      <c r="G92" s="3">
        <v>3.9600000000000004</v>
      </c>
      <c r="H92" s="3">
        <v>3.530073162654626</v>
      </c>
      <c r="I92" s="3">
        <v>3.2179583984365219</v>
      </c>
      <c r="J92" s="3">
        <v>2.6533483661676178</v>
      </c>
      <c r="K92" s="3">
        <v>2.3360102872009376</v>
      </c>
      <c r="L92" s="3">
        <v>2.2547581586849548</v>
      </c>
      <c r="M92" s="3">
        <v>1.5059849747900469</v>
      </c>
      <c r="N92" s="3">
        <v>1.3194412461279408</v>
      </c>
      <c r="O92" s="3">
        <v>0.85690316997883598</v>
      </c>
      <c r="P92" s="3">
        <v>0.39833250125279412</v>
      </c>
      <c r="Q92" s="3">
        <v>0</v>
      </c>
    </row>
    <row r="93" spans="1:17" x14ac:dyDescent="0.2">
      <c r="A93" s="2">
        <v>89</v>
      </c>
      <c r="B93" s="2">
        <f t="shared" ca="1" si="3"/>
        <v>-0.49165158127257441</v>
      </c>
      <c r="F93" s="4">
        <v>89</v>
      </c>
      <c r="G93" s="3">
        <v>3.9600000000000004</v>
      </c>
      <c r="H93" s="3">
        <v>3.3099388395541549</v>
      </c>
      <c r="I93" s="3">
        <v>3.1437358300520057</v>
      </c>
      <c r="J93" s="3">
        <v>2.9572401427035095</v>
      </c>
      <c r="K93" s="3">
        <v>2.1727399509058918</v>
      </c>
      <c r="L93" s="3">
        <v>2.1150921431532272</v>
      </c>
      <c r="M93" s="3">
        <v>1.393847821577513</v>
      </c>
      <c r="N93" s="3">
        <v>1.1496935118421916</v>
      </c>
      <c r="O93" s="3">
        <v>1.0302187261193774</v>
      </c>
      <c r="P93" s="3">
        <v>0.34508012791156789</v>
      </c>
      <c r="Q93" s="3">
        <v>0</v>
      </c>
    </row>
    <row r="94" spans="1:17" x14ac:dyDescent="0.2">
      <c r="A94" s="2">
        <v>90</v>
      </c>
      <c r="B94" s="2">
        <f t="shared" ca="1" si="3"/>
        <v>-0.35897015128475518</v>
      </c>
      <c r="F94" s="4">
        <v>90</v>
      </c>
      <c r="G94" s="3">
        <v>3.96</v>
      </c>
      <c r="H94" s="3">
        <v>3.5152287907554993</v>
      </c>
      <c r="I94" s="3">
        <v>3.2213503731803304</v>
      </c>
      <c r="J94" s="3">
        <v>2.9363871898127636</v>
      </c>
      <c r="K94" s="3">
        <v>2.2561050806492018</v>
      </c>
      <c r="L94" s="3">
        <v>2.2091217957252596</v>
      </c>
      <c r="M94" s="3">
        <v>1.3952725481413177</v>
      </c>
      <c r="N94" s="3">
        <v>1.0873241103011844</v>
      </c>
      <c r="O94" s="3">
        <v>0.87601708758617247</v>
      </c>
      <c r="P94" s="3">
        <v>0.39094436589932763</v>
      </c>
      <c r="Q94" s="3">
        <v>0</v>
      </c>
    </row>
    <row r="95" spans="1:17" x14ac:dyDescent="0.2">
      <c r="A95" s="2">
        <v>91</v>
      </c>
      <c r="B95" s="2">
        <f t="shared" ca="1" si="3"/>
        <v>-6.2906129673442529E-2</v>
      </c>
      <c r="F95" s="4">
        <v>91</v>
      </c>
      <c r="G95" s="3">
        <v>3.96</v>
      </c>
      <c r="H95" s="3">
        <v>3.6844070413199295</v>
      </c>
      <c r="I95" s="3">
        <v>2.9999763708939322</v>
      </c>
      <c r="J95" s="3">
        <v>2.9260774549434769</v>
      </c>
      <c r="K95" s="3">
        <v>2.7114162584678607</v>
      </c>
      <c r="L95" s="3">
        <v>2.1184573147152359</v>
      </c>
      <c r="M95" s="3">
        <v>1.715335937629906</v>
      </c>
      <c r="N95" s="3">
        <v>1.4050411520395107</v>
      </c>
      <c r="O95" s="3">
        <v>1.1246640153393821</v>
      </c>
      <c r="P95" s="3">
        <v>0.30606335421165531</v>
      </c>
      <c r="Q95" s="3">
        <v>0</v>
      </c>
    </row>
    <row r="96" spans="1:17" x14ac:dyDescent="0.2">
      <c r="A96" s="2">
        <v>92</v>
      </c>
      <c r="B96" s="2">
        <f t="shared" ca="1" si="3"/>
        <v>-0.40850875579877277</v>
      </c>
      <c r="F96" s="4">
        <v>92</v>
      </c>
      <c r="G96" s="3">
        <v>3.96</v>
      </c>
      <c r="H96" s="3">
        <v>3.6304109625982153</v>
      </c>
      <c r="I96" s="3">
        <v>2.85578781786064</v>
      </c>
      <c r="J96" s="3">
        <v>2.7236275873834486</v>
      </c>
      <c r="K96" s="3">
        <v>2.2886685744287476</v>
      </c>
      <c r="L96" s="3">
        <v>1.7515767483567182</v>
      </c>
      <c r="M96" s="3">
        <v>1.6470606933637137</v>
      </c>
      <c r="N96" s="3">
        <v>0.94970624524226221</v>
      </c>
      <c r="O96" s="3">
        <v>0.69681544932112471</v>
      </c>
      <c r="P96" s="3">
        <v>0.33254628994791202</v>
      </c>
      <c r="Q96" s="3">
        <v>0</v>
      </c>
    </row>
    <row r="97" spans="1:17" x14ac:dyDescent="0.2">
      <c r="A97" s="2">
        <v>93</v>
      </c>
      <c r="B97" s="2">
        <f t="shared" ca="1" si="3"/>
        <v>-0.89518891721160732</v>
      </c>
      <c r="F97" s="4">
        <v>93</v>
      </c>
      <c r="G97" s="3">
        <v>3.96</v>
      </c>
      <c r="H97" s="3">
        <v>3.3431023049791504</v>
      </c>
      <c r="I97" s="3">
        <v>3.4157075514508777</v>
      </c>
      <c r="J97" s="3">
        <v>3.0696868424889061</v>
      </c>
      <c r="K97" s="3">
        <v>2.3768884515836248</v>
      </c>
      <c r="L97" s="3">
        <v>1.735366503781796</v>
      </c>
      <c r="M97" s="3">
        <v>1.7527141707747664</v>
      </c>
      <c r="N97" s="3">
        <v>1.5911879310188333</v>
      </c>
      <c r="O97" s="3">
        <v>0.92212352972936273</v>
      </c>
      <c r="P97" s="3">
        <v>0.42297159705996001</v>
      </c>
      <c r="Q97" s="3">
        <v>0</v>
      </c>
    </row>
    <row r="98" spans="1:17" x14ac:dyDescent="0.2">
      <c r="A98" s="2">
        <v>94</v>
      </c>
      <c r="B98" s="2">
        <f t="shared" ca="1" si="3"/>
        <v>-1.6969297165776223</v>
      </c>
      <c r="F98" s="4">
        <v>94</v>
      </c>
      <c r="G98" s="3">
        <v>3.9600000000000004</v>
      </c>
      <c r="H98" s="3">
        <v>3.3265336405729351</v>
      </c>
      <c r="I98" s="3">
        <v>2.9849641743922577</v>
      </c>
      <c r="J98" s="3">
        <v>2.6396564541583616</v>
      </c>
      <c r="K98" s="3">
        <v>2.3003678257771059</v>
      </c>
      <c r="L98" s="3">
        <v>2.1382364960809634</v>
      </c>
      <c r="M98" s="3">
        <v>1.6862970494071836</v>
      </c>
      <c r="N98" s="3">
        <v>1.2171994098414445</v>
      </c>
      <c r="O98" s="3">
        <v>0.95121147305680864</v>
      </c>
      <c r="P98" s="3">
        <v>0.45977478364709468</v>
      </c>
      <c r="Q98" s="3">
        <v>0</v>
      </c>
    </row>
    <row r="99" spans="1:17" x14ac:dyDescent="0.2">
      <c r="A99" s="2">
        <v>95</v>
      </c>
      <c r="B99" s="2">
        <f t="shared" ca="1" si="3"/>
        <v>-1.1419994794286032</v>
      </c>
      <c r="F99" s="4">
        <v>95</v>
      </c>
      <c r="G99" s="3">
        <v>3.96</v>
      </c>
      <c r="H99" s="3">
        <v>3.4286642465912709</v>
      </c>
      <c r="I99" s="3">
        <v>2.8882705916875442</v>
      </c>
      <c r="J99" s="3">
        <v>2.492463729786722</v>
      </c>
      <c r="K99" s="3">
        <v>2.090795965658812</v>
      </c>
      <c r="L99" s="3">
        <v>2.0111986743391816</v>
      </c>
      <c r="M99" s="3">
        <v>1.7320624699032117</v>
      </c>
      <c r="N99" s="3">
        <v>1.3243726908980369</v>
      </c>
      <c r="O99" s="3">
        <v>1.027367988909456</v>
      </c>
      <c r="P99" s="3">
        <v>0.54659535119728764</v>
      </c>
      <c r="Q99" s="3">
        <v>0</v>
      </c>
    </row>
    <row r="100" spans="1:17" x14ac:dyDescent="0.2">
      <c r="A100" s="2">
        <v>96</v>
      </c>
      <c r="B100" s="2">
        <f t="shared" ca="1" si="3"/>
        <v>-1.0626344243019388</v>
      </c>
      <c r="F100" s="4">
        <v>96</v>
      </c>
      <c r="G100" s="3">
        <v>3.96</v>
      </c>
      <c r="H100" s="3">
        <v>3.5288798476097658</v>
      </c>
      <c r="I100" s="3">
        <v>3.0976290983177721</v>
      </c>
      <c r="J100" s="3">
        <v>2.5088806118865938</v>
      </c>
      <c r="K100" s="3">
        <v>2.4816696651787056</v>
      </c>
      <c r="L100" s="3">
        <v>1.9417725659047358</v>
      </c>
      <c r="M100" s="3">
        <v>1.4381197464037785</v>
      </c>
      <c r="N100" s="3">
        <v>1.1077557242758564</v>
      </c>
      <c r="O100" s="3">
        <v>0.85605941201792168</v>
      </c>
      <c r="P100" s="3">
        <v>0.28618887506025859</v>
      </c>
      <c r="Q100" s="3">
        <v>0</v>
      </c>
    </row>
    <row r="101" spans="1:17" x14ac:dyDescent="0.2">
      <c r="A101" s="2">
        <v>97</v>
      </c>
      <c r="B101" s="2">
        <f t="shared" ca="1" si="3"/>
        <v>-0.35971781184844565</v>
      </c>
      <c r="F101" s="4">
        <v>97</v>
      </c>
      <c r="G101" s="3">
        <v>3.96</v>
      </c>
      <c r="H101" s="3">
        <v>3.2943776788538899</v>
      </c>
      <c r="I101" s="3">
        <v>3.1047352355032243</v>
      </c>
      <c r="J101" s="3">
        <v>2.7643549857555096</v>
      </c>
      <c r="K101" s="3">
        <v>2.4857206870436395</v>
      </c>
      <c r="L101" s="3">
        <v>2.0495321236344504</v>
      </c>
      <c r="M101" s="3">
        <v>1.8060713648974707</v>
      </c>
      <c r="N101" s="3">
        <v>1.3895351482748044</v>
      </c>
      <c r="O101" s="3">
        <v>0.53540167946175832</v>
      </c>
      <c r="P101" s="3">
        <v>0.41319845633571839</v>
      </c>
      <c r="Q101" s="3">
        <v>0</v>
      </c>
    </row>
    <row r="102" spans="1:17" x14ac:dyDescent="0.2">
      <c r="A102" s="2">
        <v>98</v>
      </c>
      <c r="B102" s="2">
        <f t="shared" ca="1" si="3"/>
        <v>-8.1706401274548493E-2</v>
      </c>
      <c r="F102" s="4">
        <v>98</v>
      </c>
      <c r="G102" s="3">
        <v>3.96</v>
      </c>
      <c r="H102" s="3">
        <v>3.6993919341141197</v>
      </c>
      <c r="I102" s="3">
        <v>3.2575345035556071</v>
      </c>
      <c r="J102" s="3">
        <v>2.5691563981156826</v>
      </c>
      <c r="K102" s="3">
        <v>2.6952572568274302</v>
      </c>
      <c r="L102" s="3">
        <v>2.0445701470892641</v>
      </c>
      <c r="M102" s="3">
        <v>1.8378210814321394</v>
      </c>
      <c r="N102" s="3">
        <v>1.2436603374427964</v>
      </c>
      <c r="O102" s="3">
        <v>0.95033713279913312</v>
      </c>
      <c r="P102" s="3">
        <v>0.3756131902533032</v>
      </c>
      <c r="Q102" s="3">
        <v>0</v>
      </c>
    </row>
    <row r="103" spans="1:17" x14ac:dyDescent="0.2">
      <c r="A103" s="2">
        <v>99</v>
      </c>
      <c r="B103" s="2">
        <f t="shared" ca="1" si="3"/>
        <v>-2.1607632136704185</v>
      </c>
      <c r="F103" s="4">
        <v>99</v>
      </c>
      <c r="G103" s="3">
        <v>3.96</v>
      </c>
      <c r="H103" s="3">
        <v>3.6190685463965671</v>
      </c>
      <c r="I103" s="3">
        <v>2.9842845252732686</v>
      </c>
      <c r="J103" s="3">
        <v>2.7865776590685036</v>
      </c>
      <c r="K103" s="3">
        <v>2.3148473670710583</v>
      </c>
      <c r="L103" s="3">
        <v>1.8242800130930483</v>
      </c>
      <c r="M103" s="3">
        <v>1.4972548352961876</v>
      </c>
      <c r="N103" s="3">
        <v>1.4128087380345249</v>
      </c>
      <c r="O103" s="3">
        <v>1.1367772072716151</v>
      </c>
      <c r="P103" s="3">
        <v>0.41379013312237156</v>
      </c>
      <c r="Q103" s="3">
        <v>0</v>
      </c>
    </row>
    <row r="104" spans="1:17" x14ac:dyDescent="0.2">
      <c r="A104" s="2">
        <v>100</v>
      </c>
      <c r="B104" s="2">
        <f t="shared" ca="1" si="3"/>
        <v>-0.90192480500248129</v>
      </c>
      <c r="F104" s="4">
        <v>100</v>
      </c>
      <c r="G104" s="3">
        <v>3.9599999999999995</v>
      </c>
      <c r="H104" s="3">
        <v>3.4435210267124452</v>
      </c>
      <c r="I104" s="3">
        <v>3.1596911147227837</v>
      </c>
      <c r="J104" s="3">
        <v>2.7982561033577893</v>
      </c>
      <c r="K104" s="3">
        <v>2.1233609799735227</v>
      </c>
      <c r="L104" s="3">
        <v>2.0500219465456264</v>
      </c>
      <c r="M104" s="3">
        <v>1.6799347977414798</v>
      </c>
      <c r="N104" s="3">
        <v>0.99072216276562564</v>
      </c>
      <c r="O104" s="3">
        <v>0.76261054343450385</v>
      </c>
      <c r="P104" s="3">
        <v>0.242274366137468</v>
      </c>
      <c r="Q104" s="3">
        <v>0</v>
      </c>
    </row>
  </sheetData>
  <hyperlinks>
    <hyperlink ref="A1" r:id="rId1" xr:uid="{D74C9D9C-9394-3E43-A8BE-2C72E3EA023A}"/>
    <hyperlink ref="A2" r:id="rId2" xr:uid="{69688835-204F-874A-8E89-38647B9F9AD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24</v>
      </c>
    </row>
    <row r="3" spans="2:5" x14ac:dyDescent="0.25">
      <c r="B3" s="9" t="s">
        <v>28</v>
      </c>
      <c r="C3" s="9"/>
    </row>
    <row r="4" spans="2:5" x14ac:dyDescent="0.25">
      <c r="B4" s="8" t="s">
        <v>25</v>
      </c>
    </row>
    <row r="5" spans="2:5" x14ac:dyDescent="0.25">
      <c r="B5" s="8" t="s">
        <v>26</v>
      </c>
    </row>
    <row r="7" spans="2:5" x14ac:dyDescent="0.25">
      <c r="B7" s="11" t="s">
        <v>20</v>
      </c>
      <c r="C7" s="11" t="s">
        <v>21</v>
      </c>
      <c r="E7" s="11" t="s">
        <v>24</v>
      </c>
    </row>
    <row r="8" spans="2:5" x14ac:dyDescent="0.25">
      <c r="B8" s="8" t="s">
        <v>22</v>
      </c>
      <c r="C8" s="8" t="s">
        <v>22</v>
      </c>
      <c r="E8" s="8" cm="1">
        <f t="array" ref="E8">SUM((B8:B27=C8:C27)*(C8:C27="Sick"))/SUM((C8:C27="Sick")*1)</f>
        <v>0.66666666666666663</v>
      </c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23</v>
      </c>
      <c r="C10" s="8" t="s">
        <v>22</v>
      </c>
    </row>
    <row r="11" spans="2:5" x14ac:dyDescent="0.25">
      <c r="B11" s="8" t="s">
        <v>23</v>
      </c>
      <c r="C11" s="8" t="s">
        <v>23</v>
      </c>
    </row>
    <row r="12" spans="2:5" x14ac:dyDescent="0.25">
      <c r="B12" s="8" t="s">
        <v>22</v>
      </c>
      <c r="C12" s="8" t="s">
        <v>23</v>
      </c>
    </row>
    <row r="13" spans="2:5" x14ac:dyDescent="0.25">
      <c r="B13" s="8" t="s">
        <v>23</v>
      </c>
      <c r="C13" s="8" t="s">
        <v>23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23</v>
      </c>
    </row>
    <row r="16" spans="2:5" x14ac:dyDescent="0.25">
      <c r="B16" s="8" t="s">
        <v>22</v>
      </c>
      <c r="C16" s="8" t="s">
        <v>22</v>
      </c>
    </row>
    <row r="17" spans="2:3" x14ac:dyDescent="0.25">
      <c r="B17" s="8" t="s">
        <v>23</v>
      </c>
      <c r="C17" s="8" t="s">
        <v>22</v>
      </c>
    </row>
    <row r="18" spans="2:3" x14ac:dyDescent="0.25">
      <c r="B18" s="8" t="s">
        <v>22</v>
      </c>
      <c r="C18" s="8" t="s">
        <v>22</v>
      </c>
    </row>
    <row r="19" spans="2:3" x14ac:dyDescent="0.25">
      <c r="B19" s="8" t="s">
        <v>22</v>
      </c>
      <c r="C19" s="8" t="s">
        <v>22</v>
      </c>
    </row>
    <row r="20" spans="2:3" x14ac:dyDescent="0.25">
      <c r="B20" s="8" t="s">
        <v>22</v>
      </c>
      <c r="C20" s="8" t="s">
        <v>23</v>
      </c>
    </row>
    <row r="21" spans="2:3" x14ac:dyDescent="0.25">
      <c r="B21" s="8" t="s">
        <v>23</v>
      </c>
      <c r="C21" s="8" t="s">
        <v>23</v>
      </c>
    </row>
    <row r="22" spans="2:3" x14ac:dyDescent="0.25">
      <c r="B22" s="8" t="s">
        <v>23</v>
      </c>
      <c r="C22" s="8" t="s">
        <v>22</v>
      </c>
    </row>
    <row r="23" spans="2:3" x14ac:dyDescent="0.25">
      <c r="B23" s="8" t="s">
        <v>22</v>
      </c>
      <c r="C23" s="8" t="s">
        <v>22</v>
      </c>
    </row>
    <row r="24" spans="2:3" x14ac:dyDescent="0.25">
      <c r="B24" s="8" t="s">
        <v>23</v>
      </c>
      <c r="C24" s="8" t="s">
        <v>23</v>
      </c>
    </row>
    <row r="25" spans="2:3" x14ac:dyDescent="0.25">
      <c r="B25" s="8" t="s">
        <v>23</v>
      </c>
      <c r="C25" s="8" t="s">
        <v>23</v>
      </c>
    </row>
    <row r="26" spans="2:3" x14ac:dyDescent="0.25">
      <c r="B26" s="8" t="s">
        <v>22</v>
      </c>
      <c r="C26" s="8" t="s">
        <v>22</v>
      </c>
    </row>
    <row r="27" spans="2:3" x14ac:dyDescent="0.25">
      <c r="B27" s="8" t="s">
        <v>22</v>
      </c>
      <c r="C27" s="8" t="s">
        <v>22</v>
      </c>
    </row>
  </sheetData>
  <hyperlinks>
    <hyperlink ref="B3" r:id="rId1" xr:uid="{FF44839E-5187-E04A-B2FB-DF9FF4B73D53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</v>
      </c>
    </row>
    <row r="2" spans="1:1" x14ac:dyDescent="0.3">
      <c r="A2" s="1" t="s">
        <v>73</v>
      </c>
    </row>
    <row r="3" spans="1:1" x14ac:dyDescent="0.3">
      <c r="A3" s="1" t="s">
        <v>74</v>
      </c>
    </row>
    <row r="4" spans="1:1" x14ac:dyDescent="0.3">
      <c r="A4" s="1" t="s">
        <v>75</v>
      </c>
    </row>
    <row r="5" spans="1:1" x14ac:dyDescent="0.3">
      <c r="A5" s="1" t="s">
        <v>76</v>
      </c>
    </row>
    <row r="6" spans="1:1" x14ac:dyDescent="0.3">
      <c r="A6" s="1" t="s">
        <v>77</v>
      </c>
    </row>
    <row r="7" spans="1:1" x14ac:dyDescent="0.3">
      <c r="A7" s="1" t="s">
        <v>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248</v>
      </c>
    </row>
    <row r="2" spans="1:5" x14ac:dyDescent="0.3">
      <c r="B2" s="17" t="s">
        <v>63</v>
      </c>
      <c r="C2" s="16" t="s">
        <v>62</v>
      </c>
      <c r="D2" s="16" t="s">
        <v>61</v>
      </c>
      <c r="E2" s="16" t="s">
        <v>60</v>
      </c>
    </row>
    <row r="3" spans="1:5" x14ac:dyDescent="0.3">
      <c r="B3" s="1" t="s">
        <v>59</v>
      </c>
      <c r="C3" s="15">
        <f t="shared" ref="C3:C22" ca="1" si="0">RAND()</f>
        <v>0.56973720225237146</v>
      </c>
      <c r="D3" s="15">
        <f ca="1">C3+RAND()*(1-C3)</f>
        <v>0.88681259554597047</v>
      </c>
      <c r="E3" s="15"/>
    </row>
    <row r="4" spans="1:5" x14ac:dyDescent="0.3">
      <c r="B4" s="1" t="s">
        <v>59</v>
      </c>
      <c r="C4" s="15">
        <f t="shared" ca="1" si="0"/>
        <v>0.20741604397943569</v>
      </c>
      <c r="D4" s="15">
        <f t="shared" ref="D4:D12" ca="1" si="1">C4+RAND()*(1-C4)</f>
        <v>0.91535980754708979</v>
      </c>
      <c r="E4" s="15"/>
    </row>
    <row r="5" spans="1:5" x14ac:dyDescent="0.3">
      <c r="B5" s="1" t="s">
        <v>59</v>
      </c>
      <c r="C5" s="15">
        <f t="shared" ca="1" si="0"/>
        <v>0.38954036034770212</v>
      </c>
      <c r="D5" s="15">
        <f t="shared" ca="1" si="1"/>
        <v>0.65889556025787577</v>
      </c>
      <c r="E5" s="15"/>
    </row>
    <row r="6" spans="1:5" x14ac:dyDescent="0.3">
      <c r="B6" s="1" t="s">
        <v>59</v>
      </c>
      <c r="C6" s="15">
        <f t="shared" ca="1" si="0"/>
        <v>0.37069943132577399</v>
      </c>
      <c r="D6" s="15">
        <f t="shared" ca="1" si="1"/>
        <v>0.48970967268838445</v>
      </c>
      <c r="E6" s="15"/>
    </row>
    <row r="7" spans="1:5" x14ac:dyDescent="0.3">
      <c r="B7" s="1" t="s">
        <v>59</v>
      </c>
      <c r="C7" s="15">
        <f t="shared" ca="1" si="0"/>
        <v>0.36044924439095583</v>
      </c>
      <c r="D7" s="15">
        <f t="shared" ca="1" si="1"/>
        <v>0.87549881266240215</v>
      </c>
      <c r="E7" s="15"/>
    </row>
    <row r="8" spans="1:5" x14ac:dyDescent="0.3">
      <c r="B8" s="1" t="s">
        <v>59</v>
      </c>
      <c r="C8" s="15">
        <f t="shared" ca="1" si="0"/>
        <v>0.26021041575391801</v>
      </c>
      <c r="D8" s="15">
        <f t="shared" ca="1" si="1"/>
        <v>0.32902483061441989</v>
      </c>
      <c r="E8" s="15"/>
    </row>
    <row r="9" spans="1:5" x14ac:dyDescent="0.3">
      <c r="B9" s="1" t="s">
        <v>59</v>
      </c>
      <c r="C9" s="15">
        <f t="shared" ca="1" si="0"/>
        <v>0.8369690807345882</v>
      </c>
      <c r="D9" s="15">
        <f t="shared" ca="1" si="1"/>
        <v>0.93796261429300509</v>
      </c>
      <c r="E9" s="15"/>
    </row>
    <row r="10" spans="1:5" x14ac:dyDescent="0.3">
      <c r="B10" s="1" t="s">
        <v>59</v>
      </c>
      <c r="C10" s="15">
        <f t="shared" ca="1" si="0"/>
        <v>0.49866783494739764</v>
      </c>
      <c r="D10" s="15">
        <f t="shared" ca="1" si="1"/>
        <v>0.74658692927562476</v>
      </c>
      <c r="E10" s="15"/>
    </row>
    <row r="11" spans="1:5" x14ac:dyDescent="0.3">
      <c r="B11" s="1" t="s">
        <v>59</v>
      </c>
      <c r="C11" s="15">
        <f t="shared" ca="1" si="0"/>
        <v>0.80898604687346554</v>
      </c>
      <c r="D11" s="15">
        <f t="shared" ca="1" si="1"/>
        <v>0.93863196558104289</v>
      </c>
      <c r="E11" s="15"/>
    </row>
    <row r="12" spans="1:5" x14ac:dyDescent="0.3">
      <c r="B12" s="1" t="s">
        <v>59</v>
      </c>
      <c r="C12" s="15">
        <f t="shared" ca="1" si="0"/>
        <v>2.1590414334473507E-2</v>
      </c>
      <c r="D12" s="15">
        <f t="shared" ca="1" si="1"/>
        <v>0.48415888223056042</v>
      </c>
      <c r="E12" s="15"/>
    </row>
    <row r="13" spans="1:5" x14ac:dyDescent="0.3">
      <c r="B13" s="1" t="s">
        <v>58</v>
      </c>
      <c r="C13" s="15">
        <f t="shared" ca="1" si="0"/>
        <v>0.88280860641511094</v>
      </c>
      <c r="D13" s="15"/>
      <c r="E13" s="15">
        <f t="shared" ref="E13:E22" ca="1" si="2">RAND()*C13</f>
        <v>0.15082445217475168</v>
      </c>
    </row>
    <row r="14" spans="1:5" x14ac:dyDescent="0.3">
      <c r="B14" s="1" t="s">
        <v>58</v>
      </c>
      <c r="C14" s="15">
        <f t="shared" ca="1" si="0"/>
        <v>0.98764636776108472</v>
      </c>
      <c r="D14" s="15"/>
      <c r="E14" s="15">
        <f t="shared" ca="1" si="2"/>
        <v>0.19059182662361088</v>
      </c>
    </row>
    <row r="15" spans="1:5" x14ac:dyDescent="0.3">
      <c r="B15" s="1" t="s">
        <v>58</v>
      </c>
      <c r="C15" s="15">
        <f t="shared" ca="1" si="0"/>
        <v>0.59597537423453695</v>
      </c>
      <c r="D15" s="15"/>
      <c r="E15" s="15">
        <f t="shared" ca="1" si="2"/>
        <v>0.55390344085686638</v>
      </c>
    </row>
    <row r="16" spans="1:5" x14ac:dyDescent="0.3">
      <c r="B16" s="1" t="s">
        <v>58</v>
      </c>
      <c r="C16" s="15">
        <f t="shared" ca="1" si="0"/>
        <v>0.21347462537635908</v>
      </c>
      <c r="D16" s="15"/>
      <c r="E16" s="15">
        <f t="shared" ca="1" si="2"/>
        <v>9.4882104564890032E-2</v>
      </c>
    </row>
    <row r="17" spans="2:5" x14ac:dyDescent="0.3">
      <c r="B17" s="1" t="s">
        <v>58</v>
      </c>
      <c r="C17" s="15">
        <f t="shared" ca="1" si="0"/>
        <v>0.28332424247051557</v>
      </c>
      <c r="D17" s="15"/>
      <c r="E17" s="15">
        <f t="shared" ca="1" si="2"/>
        <v>5.8456268299032506E-2</v>
      </c>
    </row>
    <row r="18" spans="2:5" x14ac:dyDescent="0.3">
      <c r="B18" s="1" t="s">
        <v>58</v>
      </c>
      <c r="C18" s="15">
        <f t="shared" ca="1" si="0"/>
        <v>0.54308369212255181</v>
      </c>
      <c r="D18" s="15"/>
      <c r="E18" s="15">
        <f t="shared" ca="1" si="2"/>
        <v>0.1532176290118529</v>
      </c>
    </row>
    <row r="19" spans="2:5" x14ac:dyDescent="0.3">
      <c r="B19" s="1" t="s">
        <v>58</v>
      </c>
      <c r="C19" s="15">
        <f t="shared" ca="1" si="0"/>
        <v>0.52655903407584781</v>
      </c>
      <c r="D19" s="15"/>
      <c r="E19" s="15">
        <f t="shared" ca="1" si="2"/>
        <v>0.48875233773761162</v>
      </c>
    </row>
    <row r="20" spans="2:5" x14ac:dyDescent="0.3">
      <c r="B20" s="1" t="s">
        <v>58</v>
      </c>
      <c r="C20" s="15">
        <f t="shared" ca="1" si="0"/>
        <v>0.17391725575958106</v>
      </c>
      <c r="D20" s="15"/>
      <c r="E20" s="15">
        <f t="shared" ca="1" si="2"/>
        <v>3.9733561335747727E-3</v>
      </c>
    </row>
    <row r="21" spans="2:5" x14ac:dyDescent="0.3">
      <c r="B21" s="1" t="s">
        <v>58</v>
      </c>
      <c r="C21" s="15">
        <f t="shared" ca="1" si="0"/>
        <v>0.8306832367446163</v>
      </c>
      <c r="D21" s="15"/>
      <c r="E21" s="15">
        <f t="shared" ca="1" si="2"/>
        <v>9.9046488717427023E-2</v>
      </c>
    </row>
    <row r="22" spans="2:5" x14ac:dyDescent="0.3">
      <c r="B22" s="1" t="s">
        <v>58</v>
      </c>
      <c r="C22" s="15">
        <f t="shared" ca="1" si="0"/>
        <v>0.43433781687465989</v>
      </c>
      <c r="D22" s="15"/>
      <c r="E22" s="15">
        <f t="shared" ca="1" si="2"/>
        <v>7.9879409686046884E-3</v>
      </c>
    </row>
  </sheetData>
  <hyperlinks>
    <hyperlink ref="A1" r:id="rId1" xr:uid="{53B298E7-DA8E-2048-8255-4B6B8AEB0DB3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249</v>
      </c>
    </row>
    <row r="2" spans="1:6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</row>
    <row r="3" spans="1:6" x14ac:dyDescent="0.3">
      <c r="B3" s="1" t="s">
        <v>59</v>
      </c>
      <c r="C3" s="15">
        <f t="shared" ref="C3:C25" ca="1" si="0">RAND()</f>
        <v>0.33370782686727907</v>
      </c>
      <c r="D3" s="15">
        <f t="shared" ref="D3:D12" ca="1" si="1">C3+RAND()*(1-C3)</f>
        <v>0.91090618822684977</v>
      </c>
      <c r="E3" s="15"/>
    </row>
    <row r="4" spans="1:6" x14ac:dyDescent="0.3">
      <c r="B4" s="1" t="s">
        <v>59</v>
      </c>
      <c r="C4" s="15">
        <f t="shared" ca="1" si="0"/>
        <v>0.1097781939898822</v>
      </c>
      <c r="D4" s="15">
        <f t="shared" ca="1" si="1"/>
        <v>0.44485203854971667</v>
      </c>
      <c r="E4" s="15"/>
    </row>
    <row r="5" spans="1:6" x14ac:dyDescent="0.3">
      <c r="B5" s="1" t="s">
        <v>59</v>
      </c>
      <c r="C5" s="15">
        <f t="shared" ca="1" si="0"/>
        <v>0.91509292293692146</v>
      </c>
      <c r="D5" s="15">
        <f t="shared" ca="1" si="1"/>
        <v>0.99118836136377153</v>
      </c>
      <c r="E5" s="15"/>
    </row>
    <row r="6" spans="1:6" x14ac:dyDescent="0.3">
      <c r="B6" s="1" t="s">
        <v>59</v>
      </c>
      <c r="C6" s="15">
        <f t="shared" ca="1" si="0"/>
        <v>0.26591404232155869</v>
      </c>
      <c r="D6" s="15">
        <f t="shared" ca="1" si="1"/>
        <v>0.38051204524165538</v>
      </c>
      <c r="E6" s="15"/>
    </row>
    <row r="7" spans="1:6" x14ac:dyDescent="0.3">
      <c r="B7" s="1" t="s">
        <v>59</v>
      </c>
      <c r="C7" s="15">
        <f t="shared" ca="1" si="0"/>
        <v>0.30808574089114049</v>
      </c>
      <c r="D7" s="15">
        <f t="shared" ca="1" si="1"/>
        <v>0.4083563002133283</v>
      </c>
      <c r="E7" s="15"/>
    </row>
    <row r="8" spans="1:6" x14ac:dyDescent="0.3">
      <c r="B8" s="1" t="s">
        <v>59</v>
      </c>
      <c r="C8" s="15">
        <f t="shared" ca="1" si="0"/>
        <v>0.13801540267214774</v>
      </c>
      <c r="D8" s="15">
        <f t="shared" ca="1" si="1"/>
        <v>0.90927078727744737</v>
      </c>
      <c r="E8" s="15"/>
    </row>
    <row r="9" spans="1:6" x14ac:dyDescent="0.3">
      <c r="B9" s="1" t="s">
        <v>59</v>
      </c>
      <c r="C9" s="15">
        <f t="shared" ca="1" si="0"/>
        <v>0.59480473030654313</v>
      </c>
      <c r="D9" s="15">
        <f t="shared" ca="1" si="1"/>
        <v>0.78729502462397583</v>
      </c>
      <c r="E9" s="15"/>
    </row>
    <row r="10" spans="1:6" x14ac:dyDescent="0.3">
      <c r="B10" s="1" t="s">
        <v>59</v>
      </c>
      <c r="C10" s="15">
        <f t="shared" ca="1" si="0"/>
        <v>0.86871665585408697</v>
      </c>
      <c r="D10" s="15">
        <f t="shared" ca="1" si="1"/>
        <v>0.97941737497619674</v>
      </c>
      <c r="E10" s="15"/>
    </row>
    <row r="11" spans="1:6" x14ac:dyDescent="0.3">
      <c r="B11" s="1" t="s">
        <v>59</v>
      </c>
      <c r="C11" s="15">
        <f t="shared" ca="1" si="0"/>
        <v>0.254765789749131</v>
      </c>
      <c r="D11" s="15">
        <f t="shared" ca="1" si="1"/>
        <v>0.39040825251638267</v>
      </c>
      <c r="E11" s="15"/>
    </row>
    <row r="12" spans="1:6" x14ac:dyDescent="0.3">
      <c r="B12" s="1" t="s">
        <v>59</v>
      </c>
      <c r="C12" s="15">
        <f t="shared" ca="1" si="0"/>
        <v>0.6174717353101824</v>
      </c>
      <c r="D12" s="15">
        <f t="shared" ca="1" si="1"/>
        <v>0.85717635429091876</v>
      </c>
      <c r="E12" s="15"/>
    </row>
    <row r="13" spans="1:6" x14ac:dyDescent="0.3">
      <c r="B13" s="1" t="s">
        <v>58</v>
      </c>
      <c r="C13" s="15">
        <f t="shared" ca="1" si="0"/>
        <v>0.72569171372318919</v>
      </c>
      <c r="D13" s="15"/>
      <c r="E13" s="15">
        <f t="shared" ref="E13:E22" ca="1" si="2">RAND()*C13</f>
        <v>0.16854292680563421</v>
      </c>
    </row>
    <row r="14" spans="1:6" x14ac:dyDescent="0.3">
      <c r="B14" s="1" t="s">
        <v>58</v>
      </c>
      <c r="C14" s="15">
        <f t="shared" ca="1" si="0"/>
        <v>0.32491630257973336</v>
      </c>
      <c r="D14" s="15"/>
      <c r="E14" s="15">
        <f t="shared" ca="1" si="2"/>
        <v>2.7857042313071879E-2</v>
      </c>
    </row>
    <row r="15" spans="1:6" x14ac:dyDescent="0.3">
      <c r="B15" s="1" t="s">
        <v>58</v>
      </c>
      <c r="C15" s="15">
        <f t="shared" ca="1" si="0"/>
        <v>0.2273852223671069</v>
      </c>
      <c r="D15" s="15"/>
      <c r="E15" s="15">
        <f t="shared" ca="1" si="2"/>
        <v>0.1377556618651504</v>
      </c>
    </row>
    <row r="16" spans="1:6" x14ac:dyDescent="0.3">
      <c r="B16" s="1" t="s">
        <v>58</v>
      </c>
      <c r="C16" s="15">
        <f t="shared" ca="1" si="0"/>
        <v>0.34415390077654917</v>
      </c>
      <c r="D16" s="15"/>
      <c r="E16" s="15">
        <f t="shared" ca="1" si="2"/>
        <v>0.25751252769281519</v>
      </c>
    </row>
    <row r="17" spans="2:6" x14ac:dyDescent="0.3">
      <c r="B17" s="1" t="s">
        <v>58</v>
      </c>
      <c r="C17" s="15">
        <f t="shared" ca="1" si="0"/>
        <v>0.71582966244920732</v>
      </c>
      <c r="D17" s="15"/>
      <c r="E17" s="15">
        <f t="shared" ca="1" si="2"/>
        <v>0.69834898517835686</v>
      </c>
    </row>
    <row r="18" spans="2:6" x14ac:dyDescent="0.3">
      <c r="B18" s="1" t="s">
        <v>58</v>
      </c>
      <c r="C18" s="15">
        <f t="shared" ca="1" si="0"/>
        <v>0.70146619674407684</v>
      </c>
      <c r="D18" s="15"/>
      <c r="E18" s="15">
        <f t="shared" ca="1" si="2"/>
        <v>0.62210811735381333</v>
      </c>
    </row>
    <row r="19" spans="2:6" x14ac:dyDescent="0.3">
      <c r="B19" s="1" t="s">
        <v>58</v>
      </c>
      <c r="C19" s="15">
        <f t="shared" ca="1" si="0"/>
        <v>0.94564827921131334</v>
      </c>
      <c r="D19" s="15"/>
      <c r="E19" s="15">
        <f t="shared" ca="1" si="2"/>
        <v>0.35131834592469552</v>
      </c>
    </row>
    <row r="20" spans="2:6" x14ac:dyDescent="0.3">
      <c r="B20" s="1" t="s">
        <v>58</v>
      </c>
      <c r="C20" s="15">
        <f t="shared" ca="1" si="0"/>
        <v>0.2759047369512766</v>
      </c>
      <c r="D20" s="15"/>
      <c r="E20" s="15">
        <f t="shared" ca="1" si="2"/>
        <v>0.15590574668078017</v>
      </c>
    </row>
    <row r="21" spans="2:6" x14ac:dyDescent="0.3">
      <c r="B21" s="1" t="s">
        <v>58</v>
      </c>
      <c r="C21" s="15">
        <f t="shared" ca="1" si="0"/>
        <v>9.2116378870835125E-2</v>
      </c>
      <c r="D21" s="15"/>
      <c r="E21" s="15">
        <f t="shared" ca="1" si="2"/>
        <v>2.4137089733855966E-3</v>
      </c>
    </row>
    <row r="22" spans="2:6" x14ac:dyDescent="0.3">
      <c r="B22" s="1" t="s">
        <v>58</v>
      </c>
      <c r="C22" s="15">
        <f t="shared" ca="1" si="0"/>
        <v>0.33638453496948728</v>
      </c>
      <c r="D22" s="15"/>
      <c r="E22" s="15">
        <f t="shared" ca="1" si="2"/>
        <v>9.2866987427514772E-2</v>
      </c>
    </row>
    <row r="23" spans="2:6" x14ac:dyDescent="0.3">
      <c r="B23" s="1" t="s">
        <v>66</v>
      </c>
      <c r="C23" s="15">
        <f t="shared" ca="1" si="0"/>
        <v>0.37436442678465864</v>
      </c>
      <c r="F23" s="15">
        <f ca="1">RAND()</f>
        <v>0.86415244452865547</v>
      </c>
    </row>
    <row r="24" spans="2:6" x14ac:dyDescent="0.3">
      <c r="B24" s="1" t="s">
        <v>65</v>
      </c>
      <c r="C24" s="15">
        <f t="shared" ca="1" si="0"/>
        <v>0.33105696145439434</v>
      </c>
      <c r="F24" s="15">
        <f ca="1">RAND()</f>
        <v>0.74949652132729638</v>
      </c>
    </row>
    <row r="25" spans="2:6" x14ac:dyDescent="0.3">
      <c r="B25" s="1" t="s">
        <v>64</v>
      </c>
      <c r="C25" s="15">
        <f t="shared" ca="1" si="0"/>
        <v>0.58908650746112945</v>
      </c>
      <c r="F25" s="15">
        <f ca="1">RAND()</f>
        <v>0.52663386721518224</v>
      </c>
    </row>
  </sheetData>
  <hyperlinks>
    <hyperlink ref="A1" r:id="rId1" xr:uid="{BBA9A4C7-DF97-314C-A7AA-C345E61153AB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250</v>
      </c>
    </row>
    <row r="2" spans="1:9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  <c r="G2" s="19" t="s">
        <v>70</v>
      </c>
      <c r="H2" s="19" t="s">
        <v>69</v>
      </c>
      <c r="I2" s="18" t="s">
        <v>68</v>
      </c>
    </row>
    <row r="3" spans="1:9" x14ac:dyDescent="0.3">
      <c r="B3" s="1" t="s">
        <v>59</v>
      </c>
      <c r="C3" s="15">
        <f t="shared" ref="C3:C25" ca="1" si="0">RAND()</f>
        <v>0.91667828639276039</v>
      </c>
      <c r="D3" s="15">
        <f t="shared" ref="D3:D12" ca="1" si="1">C3+RAND()*(1-C3)</f>
        <v>0.98444966870806072</v>
      </c>
      <c r="E3" s="15"/>
      <c r="G3" s="15">
        <f t="shared" ref="G3:G12" ca="1" si="2">SUMSQ($C3-$C$23,$D3-$F$23)</f>
        <v>0.22812434509477139</v>
      </c>
      <c r="H3" s="15">
        <f t="shared" ref="H3:H12" ca="1" si="3">SUMSQ($C3-$C$24,$D3-$F$24)</f>
        <v>1.4113995235995369</v>
      </c>
      <c r="I3" s="15">
        <f t="shared" ref="I3:I12" ca="1" si="4">SUMSQ($C3-$C$25,$D3-$F$25)</f>
        <v>0.41912269358596516</v>
      </c>
    </row>
    <row r="4" spans="1:9" x14ac:dyDescent="0.3">
      <c r="B4" s="1" t="s">
        <v>59</v>
      </c>
      <c r="C4" s="15">
        <f t="shared" ca="1" si="0"/>
        <v>0.59608514232745025</v>
      </c>
      <c r="D4" s="15">
        <f t="shared" ca="1" si="1"/>
        <v>0.98718451256370032</v>
      </c>
      <c r="E4" s="15"/>
      <c r="G4" s="15">
        <f t="shared" ca="1" si="2"/>
        <v>0.31940854028442145</v>
      </c>
      <c r="H4" s="15">
        <f t="shared" ca="1" si="3"/>
        <v>1.018165148681023</v>
      </c>
      <c r="I4" s="15">
        <f t="shared" ca="1" si="4"/>
        <v>0.11444602487303965</v>
      </c>
    </row>
    <row r="5" spans="1:9" x14ac:dyDescent="0.3">
      <c r="B5" s="1" t="s">
        <v>59</v>
      </c>
      <c r="C5" s="15">
        <f t="shared" ca="1" si="0"/>
        <v>0.55130422067182239</v>
      </c>
      <c r="D5" s="15">
        <f t="shared" ca="1" si="1"/>
        <v>0.92527324372774755</v>
      </c>
      <c r="E5" s="15"/>
      <c r="G5" s="15">
        <f t="shared" ca="1" si="2"/>
        <v>0.2925721002590464</v>
      </c>
      <c r="H5" s="15">
        <f t="shared" ca="1" si="3"/>
        <v>0.871584539654359</v>
      </c>
      <c r="I5" s="15">
        <f t="shared" ca="1" si="4"/>
        <v>7.7003207581257893E-2</v>
      </c>
    </row>
    <row r="6" spans="1:9" x14ac:dyDescent="0.3">
      <c r="B6" s="1" t="s">
        <v>59</v>
      </c>
      <c r="C6" s="15">
        <f t="shared" ca="1" si="0"/>
        <v>0.43739829792947849</v>
      </c>
      <c r="D6" s="15">
        <f t="shared" ca="1" si="1"/>
        <v>0.5541375396506516</v>
      </c>
      <c r="E6" s="15"/>
      <c r="G6" s="15">
        <f t="shared" ca="1" si="2"/>
        <v>0.21128587276708918</v>
      </c>
      <c r="H6" s="15">
        <f t="shared" ca="1" si="3"/>
        <v>0.30713568534219093</v>
      </c>
      <c r="I6" s="15">
        <f t="shared" ca="1" si="4"/>
        <v>0.12205953217809845</v>
      </c>
    </row>
    <row r="7" spans="1:9" x14ac:dyDescent="0.3">
      <c r="B7" s="1" t="s">
        <v>59</v>
      </c>
      <c r="C7" s="15">
        <f t="shared" ca="1" si="0"/>
        <v>0.49490974452915282</v>
      </c>
      <c r="D7" s="15">
        <f t="shared" ca="1" si="1"/>
        <v>0.58554374352780225</v>
      </c>
      <c r="E7" s="15"/>
      <c r="G7" s="15">
        <f t="shared" ca="1" si="2"/>
        <v>0.16592322316963914</v>
      </c>
      <c r="H7" s="15">
        <f t="shared" ca="1" si="3"/>
        <v>0.37535114765763145</v>
      </c>
      <c r="I7" s="15">
        <f t="shared" ca="1" si="4"/>
        <v>0.12483926473917906</v>
      </c>
    </row>
    <row r="8" spans="1:9" x14ac:dyDescent="0.3">
      <c r="B8" s="1" t="s">
        <v>59</v>
      </c>
      <c r="C8" s="15">
        <f t="shared" ca="1" si="0"/>
        <v>0.22660339845196087</v>
      </c>
      <c r="D8" s="15">
        <f t="shared" ca="1" si="1"/>
        <v>0.2300018923674198</v>
      </c>
      <c r="E8" s="15"/>
      <c r="G8" s="15">
        <f t="shared" ca="1" si="2"/>
        <v>0.52322262886109416</v>
      </c>
      <c r="H8" s="15">
        <f t="shared" ca="1" si="3"/>
        <v>2.8072364943717867E-2</v>
      </c>
      <c r="I8" s="15">
        <f t="shared" ca="1" si="4"/>
        <v>0.40753799154515163</v>
      </c>
    </row>
    <row r="9" spans="1:9" x14ac:dyDescent="0.3">
      <c r="B9" s="1" t="s">
        <v>59</v>
      </c>
      <c r="C9" s="15">
        <f t="shared" ca="1" si="0"/>
        <v>0.32551279660046617</v>
      </c>
      <c r="D9" s="15">
        <f t="shared" ca="1" si="1"/>
        <v>0.69086410623480088</v>
      </c>
      <c r="E9" s="15"/>
      <c r="G9" s="15">
        <f t="shared" ca="1" si="2"/>
        <v>0.35762073347347045</v>
      </c>
      <c r="H9" s="15">
        <f t="shared" ca="1" si="3"/>
        <v>0.39785675626060413</v>
      </c>
      <c r="I9" s="15">
        <f t="shared" ca="1" si="4"/>
        <v>3.2775046455083758E-2</v>
      </c>
    </row>
    <row r="10" spans="1:9" x14ac:dyDescent="0.3">
      <c r="B10" s="1" t="s">
        <v>59</v>
      </c>
      <c r="C10" s="15">
        <f t="shared" ca="1" si="0"/>
        <v>0.98003723627095118</v>
      </c>
      <c r="D10" s="15">
        <f t="shared" ca="1" si="1"/>
        <v>0.99710215264426072</v>
      </c>
      <c r="E10" s="15"/>
      <c r="G10" s="15">
        <f t="shared" ca="1" si="2"/>
        <v>0.24716134022858507</v>
      </c>
      <c r="H10" s="15">
        <f t="shared" ca="1" si="3"/>
        <v>1.5372190521012981</v>
      </c>
      <c r="I10" s="15">
        <f t="shared" ca="1" si="4"/>
        <v>0.50694623703083019</v>
      </c>
    </row>
    <row r="11" spans="1:9" x14ac:dyDescent="0.3">
      <c r="B11" s="1" t="s">
        <v>59</v>
      </c>
      <c r="C11" s="15">
        <f t="shared" ca="1" si="0"/>
        <v>0.13551118688397235</v>
      </c>
      <c r="D11" s="15">
        <f t="shared" ca="1" si="1"/>
        <v>0.92068476788614473</v>
      </c>
      <c r="E11" s="15"/>
      <c r="G11" s="15">
        <f t="shared" ca="1" si="2"/>
        <v>0.74717782347627226</v>
      </c>
      <c r="H11" s="15">
        <f t="shared" ca="1" si="3"/>
        <v>0.69099452628991742</v>
      </c>
      <c r="I11" s="15">
        <f t="shared" ca="1" si="4"/>
        <v>2.3905821909338976E-2</v>
      </c>
    </row>
    <row r="12" spans="1:9" x14ac:dyDescent="0.3">
      <c r="B12" s="1" t="s">
        <v>59</v>
      </c>
      <c r="C12" s="15">
        <f t="shared" ca="1" si="0"/>
        <v>7.470061337071543E-2</v>
      </c>
      <c r="D12" s="15">
        <f t="shared" ca="1" si="1"/>
        <v>0.62785104973365269</v>
      </c>
      <c r="E12" s="15"/>
      <c r="G12" s="15">
        <f t="shared" ca="1" si="2"/>
        <v>0.68687041364551549</v>
      </c>
      <c r="H12" s="15">
        <f t="shared" ca="1" si="3"/>
        <v>0.2935933671642208</v>
      </c>
      <c r="I12" s="15">
        <f t="shared" ca="1" si="4"/>
        <v>9.9003422478055242E-2</v>
      </c>
    </row>
    <row r="13" spans="1:9" x14ac:dyDescent="0.3">
      <c r="B13" s="1" t="s">
        <v>58</v>
      </c>
      <c r="C13" s="15">
        <f t="shared" ca="1" si="0"/>
        <v>0.70152874761707651</v>
      </c>
      <c r="D13" s="15"/>
      <c r="E13" s="15">
        <f t="shared" ref="E13:E22" ca="1" si="5">RAND()*C13</f>
        <v>0.33726281373731293</v>
      </c>
      <c r="G13" s="15">
        <f t="shared" ref="G13:G22" ca="1" si="6">SUMSQ(C13-$C$23,E13-$F$23)</f>
        <v>6.6226656377561505E-2</v>
      </c>
      <c r="H13" s="15">
        <f t="shared" ref="H13:H22" ca="1" si="7">SUMSQ($C13-$C$24,$E13-$F$24)</f>
        <v>0.38187712592531342</v>
      </c>
      <c r="I13" s="15">
        <f t="shared" ref="I13:I22" ca="1" si="8">SUMSQ($C13-$C$25,$E13-$F$25)</f>
        <v>0.45723843307236239</v>
      </c>
    </row>
    <row r="14" spans="1:9" x14ac:dyDescent="0.3">
      <c r="B14" s="1" t="s">
        <v>58</v>
      </c>
      <c r="C14" s="15">
        <f t="shared" ca="1" si="0"/>
        <v>0.15577111373147456</v>
      </c>
      <c r="D14" s="15"/>
      <c r="E14" s="15">
        <f t="shared" ca="1" si="5"/>
        <v>3.6149757409477339E-2</v>
      </c>
      <c r="G14" s="15">
        <f t="shared" ca="1" si="6"/>
        <v>0.76798215772838141</v>
      </c>
      <c r="H14" s="15">
        <f t="shared" ca="1" si="7"/>
        <v>3.2513719274254302E-3</v>
      </c>
      <c r="I14" s="15">
        <f t="shared" ca="1" si="8"/>
        <v>0.70435641890009171</v>
      </c>
    </row>
    <row r="15" spans="1:9" x14ac:dyDescent="0.3">
      <c r="B15" s="1" t="s">
        <v>58</v>
      </c>
      <c r="C15" s="15">
        <f t="shared" ca="1" si="0"/>
        <v>0.8798941878907216</v>
      </c>
      <c r="D15" s="15"/>
      <c r="E15" s="15">
        <f t="shared" ca="1" si="5"/>
        <v>0.11339072400652066</v>
      </c>
      <c r="G15" s="15">
        <f t="shared" ca="1" si="6"/>
        <v>0.15540913419073091</v>
      </c>
      <c r="H15" s="15">
        <f t="shared" ca="1" si="7"/>
        <v>0.55478192084960165</v>
      </c>
      <c r="I15" s="15">
        <f t="shared" ca="1" si="8"/>
        <v>0.92627802981481722</v>
      </c>
    </row>
    <row r="16" spans="1:9" x14ac:dyDescent="0.3">
      <c r="B16" s="1" t="s">
        <v>58</v>
      </c>
      <c r="C16" s="15">
        <f t="shared" ca="1" si="0"/>
        <v>0.61086107630801689</v>
      </c>
      <c r="D16" s="15"/>
      <c r="E16" s="15">
        <f t="shared" ca="1" si="5"/>
        <v>0.56401221757534958</v>
      </c>
      <c r="G16" s="15">
        <f t="shared" ca="1" si="6"/>
        <v>8.375864696223366E-2</v>
      </c>
      <c r="H16" s="15">
        <f t="shared" ca="1" si="7"/>
        <v>0.45125632067784593</v>
      </c>
      <c r="I16" s="15">
        <f t="shared" ca="1" si="8"/>
        <v>0.20062617208065389</v>
      </c>
    </row>
    <row r="17" spans="2:9" x14ac:dyDescent="0.3">
      <c r="B17" s="1" t="s">
        <v>58</v>
      </c>
      <c r="C17" s="15">
        <f t="shared" ca="1" si="0"/>
        <v>0.20284663142542247</v>
      </c>
      <c r="D17" s="15"/>
      <c r="E17" s="15">
        <f t="shared" ca="1" si="5"/>
        <v>4.247866868720084E-3</v>
      </c>
      <c r="G17" s="15">
        <f t="shared" ca="1" si="6"/>
        <v>0.73171142156718894</v>
      </c>
      <c r="H17" s="15">
        <f t="shared" ca="1" si="7"/>
        <v>1.1798212247252341E-2</v>
      </c>
      <c r="I17" s="15">
        <f t="shared" ca="1" si="8"/>
        <v>0.74883291297369126</v>
      </c>
    </row>
    <row r="18" spans="2:9" x14ac:dyDescent="0.3">
      <c r="B18" s="1" t="s">
        <v>58</v>
      </c>
      <c r="C18" s="15">
        <f t="shared" ca="1" si="0"/>
        <v>0.12972366891824139</v>
      </c>
      <c r="D18" s="15"/>
      <c r="E18" s="15">
        <f t="shared" ca="1" si="5"/>
        <v>7.1011715667522856E-3</v>
      </c>
      <c r="G18" s="15">
        <f t="shared" ca="1" si="6"/>
        <v>0.83537162088375272</v>
      </c>
      <c r="H18" s="15">
        <f t="shared" ca="1" si="7"/>
        <v>6.8097535716914988E-3</v>
      </c>
      <c r="I18" s="15">
        <f t="shared" ca="1" si="8"/>
        <v>0.76057987240158131</v>
      </c>
    </row>
    <row r="19" spans="2:9" x14ac:dyDescent="0.3">
      <c r="B19" s="1" t="s">
        <v>58</v>
      </c>
      <c r="C19" s="15">
        <f t="shared" ca="1" si="0"/>
        <v>0.36958890679605039</v>
      </c>
      <c r="D19" s="15"/>
      <c r="E19" s="15">
        <f t="shared" ca="1" si="5"/>
        <v>0.26090770200471169</v>
      </c>
      <c r="G19" s="15">
        <f t="shared" ca="1" si="6"/>
        <v>0.33643332997338316</v>
      </c>
      <c r="H19" s="15">
        <f t="shared" ca="1" si="7"/>
        <v>8.4230960011964284E-2</v>
      </c>
      <c r="I19" s="15">
        <f t="shared" ca="1" si="8"/>
        <v>0.3742949430887979</v>
      </c>
    </row>
    <row r="20" spans="2:9" x14ac:dyDescent="0.3">
      <c r="B20" s="1" t="s">
        <v>58</v>
      </c>
      <c r="C20" s="15">
        <f t="shared" ca="1" si="0"/>
        <v>0.38630497138280806</v>
      </c>
      <c r="D20" s="15"/>
      <c r="E20" s="15">
        <f t="shared" ca="1" si="5"/>
        <v>3.4444486280162563E-2</v>
      </c>
      <c r="G20" s="15">
        <f t="shared" ca="1" si="6"/>
        <v>0.48205658406771107</v>
      </c>
      <c r="H20" s="15">
        <f t="shared" ca="1" si="7"/>
        <v>6.5954453008150629E-2</v>
      </c>
      <c r="I20" s="15">
        <f t="shared" ca="1" si="8"/>
        <v>0.70297301050070216</v>
      </c>
    </row>
    <row r="21" spans="2:9" x14ac:dyDescent="0.3">
      <c r="B21" s="1" t="s">
        <v>58</v>
      </c>
      <c r="C21" s="15">
        <f t="shared" ca="1" si="0"/>
        <v>0.84429157301941327</v>
      </c>
      <c r="D21" s="15"/>
      <c r="E21" s="15">
        <f t="shared" ca="1" si="5"/>
        <v>0.38848330941994264</v>
      </c>
      <c r="G21" s="15">
        <f t="shared" ca="1" si="6"/>
        <v>1.6663106406355772E-2</v>
      </c>
      <c r="H21" s="15">
        <f t="shared" ca="1" si="7"/>
        <v>0.59190273753177192</v>
      </c>
      <c r="I21" s="15">
        <f t="shared" ca="1" si="8"/>
        <v>0.54636952633170566</v>
      </c>
    </row>
    <row r="22" spans="2:9" x14ac:dyDescent="0.3">
      <c r="B22" s="1" t="s">
        <v>58</v>
      </c>
      <c r="C22" s="15">
        <f t="shared" ca="1" si="0"/>
        <v>0.33096904413425665</v>
      </c>
      <c r="D22" s="15"/>
      <c r="E22" s="15">
        <f t="shared" ca="1" si="5"/>
        <v>0.20339923398123913</v>
      </c>
      <c r="G22" s="15">
        <f t="shared" ca="1" si="6"/>
        <v>0.41013212041892838</v>
      </c>
      <c r="H22" s="15">
        <f t="shared" ca="1" si="7"/>
        <v>5.1220781108517174E-2</v>
      </c>
      <c r="I22" s="15">
        <f t="shared" ca="1" si="8"/>
        <v>0.44179961754389541</v>
      </c>
    </row>
    <row r="23" spans="2:9" x14ac:dyDescent="0.3">
      <c r="B23" s="1" t="s">
        <v>66</v>
      </c>
      <c r="C23" s="15">
        <f t="shared" ca="1" si="0"/>
        <v>0.89466763967849339</v>
      </c>
      <c r="F23" s="15">
        <f ca="1">RAND()</f>
        <v>0.50733346009008562</v>
      </c>
    </row>
    <row r="24" spans="2:9" x14ac:dyDescent="0.3">
      <c r="B24" s="1" t="s">
        <v>65</v>
      </c>
      <c r="C24" s="15">
        <f t="shared" ca="1" si="0"/>
        <v>0.13544303748895981</v>
      </c>
      <c r="F24" s="15">
        <f ca="1">RAND()</f>
        <v>8.9423965462755217E-2</v>
      </c>
    </row>
    <row r="25" spans="2:9" x14ac:dyDescent="0.3">
      <c r="B25" s="1" t="s">
        <v>64</v>
      </c>
      <c r="C25" s="15">
        <f t="shared" ca="1" si="0"/>
        <v>0.28018424961741051</v>
      </c>
      <c r="F25" s="15">
        <f ca="1">RAND()</f>
        <v>0.86613637809629263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7D85DEE9-86F8-7540-A027-420ABE74E899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9" t="s">
        <v>251</v>
      </c>
    </row>
    <row r="2" spans="1:10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10" x14ac:dyDescent="0.25">
      <c r="B3" s="8" t="s">
        <v>59</v>
      </c>
      <c r="C3" s="21">
        <f t="shared" ref="C3:C22" ca="1" si="0">RAND()</f>
        <v>0.44930815980023853</v>
      </c>
      <c r="D3" s="21">
        <f t="shared" ref="D3:D12" ca="1" si="1">C3+RAND()*(1-C3)</f>
        <v>0.77253979749571577</v>
      </c>
      <c r="E3" s="21"/>
      <c r="H3" s="21">
        <f t="shared" ref="H3:H12" ca="1" si="2">SUMSQ($C3-$C$24,$D3-$F$24)</f>
        <v>0.20895969727149344</v>
      </c>
      <c r="I3" s="21">
        <f t="shared" ref="I3:I12" ca="1" si="3">SUMSQ($C3-$C$25,$D3-$F$25)</f>
        <v>0.55964994097147458</v>
      </c>
      <c r="J3" s="21">
        <f t="shared" ref="J3:J12" ca="1" si="4">SUMSQ($C3-$C$26,$D3-$F$26)</f>
        <v>0.16274446314262092</v>
      </c>
    </row>
    <row r="4" spans="1:10" x14ac:dyDescent="0.25">
      <c r="B4" s="8" t="s">
        <v>59</v>
      </c>
      <c r="C4" s="21">
        <f t="shared" ca="1" si="0"/>
        <v>0.89629590636730028</v>
      </c>
      <c r="D4" s="21">
        <f t="shared" ca="1" si="1"/>
        <v>0.9869318379879477</v>
      </c>
      <c r="E4" s="21"/>
      <c r="H4" s="21">
        <f t="shared" ca="1" si="2"/>
        <v>0.19880949338265366</v>
      </c>
      <c r="I4" s="21">
        <f t="shared" ca="1" si="3"/>
        <v>0.86942690844989312</v>
      </c>
      <c r="J4" s="21">
        <f t="shared" ca="1" si="4"/>
        <v>0.56555453491414576</v>
      </c>
    </row>
    <row r="5" spans="1:10" x14ac:dyDescent="0.25">
      <c r="B5" s="8" t="s">
        <v>59</v>
      </c>
      <c r="C5" s="21">
        <f t="shared" ca="1" si="0"/>
        <v>0.15707595823400688</v>
      </c>
      <c r="D5" s="21">
        <f t="shared" ca="1" si="1"/>
        <v>0.48924380470932805</v>
      </c>
      <c r="E5" s="21"/>
      <c r="H5" s="21">
        <f t="shared" ca="1" si="2"/>
        <v>0.47650152408886259</v>
      </c>
      <c r="I5" s="21">
        <f t="shared" ca="1" si="3"/>
        <v>0.48309242633888372</v>
      </c>
      <c r="J5" s="21">
        <f t="shared" ca="1" si="4"/>
        <v>0.11035377728320918</v>
      </c>
    </row>
    <row r="6" spans="1:10" x14ac:dyDescent="0.25">
      <c r="B6" s="8" t="s">
        <v>59</v>
      </c>
      <c r="C6" s="21">
        <f t="shared" ca="1" si="0"/>
        <v>0.32417273540204006</v>
      </c>
      <c r="D6" s="21">
        <f t="shared" ca="1" si="1"/>
        <v>0.7832000604872067</v>
      </c>
      <c r="E6" s="21"/>
      <c r="H6" s="21">
        <f t="shared" ca="1" si="2"/>
        <v>0.32868334701029223</v>
      </c>
      <c r="I6" s="21">
        <f t="shared" ca="1" si="3"/>
        <v>0.65644292201550147</v>
      </c>
      <c r="J6" s="21">
        <f t="shared" ca="1" si="4"/>
        <v>0.19152323290230849</v>
      </c>
    </row>
    <row r="7" spans="1:10" x14ac:dyDescent="0.25">
      <c r="B7" s="8" t="s">
        <v>59</v>
      </c>
      <c r="C7" s="21">
        <f t="shared" ca="1" si="0"/>
        <v>0.52054766331070967</v>
      </c>
      <c r="D7" s="21">
        <f t="shared" ca="1" si="1"/>
        <v>0.73782218711538927</v>
      </c>
      <c r="E7" s="21"/>
      <c r="H7" s="21">
        <f t="shared" ca="1" si="2"/>
        <v>0.14296542028334824</v>
      </c>
      <c r="I7" s="21">
        <f t="shared" ca="1" si="3"/>
        <v>0.47970134932303787</v>
      </c>
      <c r="J7" s="21">
        <f t="shared" ca="1" si="4"/>
        <v>0.13852777445656711</v>
      </c>
    </row>
    <row r="8" spans="1:10" x14ac:dyDescent="0.25">
      <c r="B8" s="8" t="s">
        <v>59</v>
      </c>
      <c r="C8" s="21">
        <f t="shared" ca="1" si="0"/>
        <v>0.15405670660886128</v>
      </c>
      <c r="D8" s="21">
        <f t="shared" ca="1" si="1"/>
        <v>0.45981461763688508</v>
      </c>
      <c r="E8" s="21"/>
      <c r="H8" s="21">
        <f t="shared" ca="1" si="2"/>
        <v>0.48475415221869483</v>
      </c>
      <c r="I8" s="21">
        <f t="shared" ca="1" si="3"/>
        <v>0.46280479453306389</v>
      </c>
      <c r="J8" s="21">
        <f t="shared" ca="1" si="4"/>
        <v>0.10605273105836815</v>
      </c>
    </row>
    <row r="9" spans="1:10" x14ac:dyDescent="0.25">
      <c r="B9" s="8" t="s">
        <v>59</v>
      </c>
      <c r="C9" s="21">
        <f t="shared" ca="1" si="0"/>
        <v>0.84960002678061763</v>
      </c>
      <c r="D9" s="21">
        <f t="shared" ca="1" si="1"/>
        <v>0.98707104619775943</v>
      </c>
      <c r="E9" s="21"/>
      <c r="H9" s="21">
        <f t="shared" ca="1" si="2"/>
        <v>0.1963407074768537</v>
      </c>
      <c r="I9" s="21">
        <f t="shared" ca="1" si="3"/>
        <v>0.85478219948146694</v>
      </c>
      <c r="J9" s="21">
        <f t="shared" ca="1" si="4"/>
        <v>0.52780891740794544</v>
      </c>
    </row>
    <row r="10" spans="1:10" x14ac:dyDescent="0.25">
      <c r="B10" s="8" t="s">
        <v>59</v>
      </c>
      <c r="C10" s="21">
        <f t="shared" ca="1" si="0"/>
        <v>0.66376935022827321</v>
      </c>
      <c r="D10" s="21">
        <f t="shared" ca="1" si="1"/>
        <v>0.82830093079350919</v>
      </c>
      <c r="E10" s="21"/>
      <c r="H10" s="21">
        <f t="shared" ca="1" si="2"/>
        <v>0.11374738106628335</v>
      </c>
      <c r="I10" s="21">
        <f t="shared" ca="1" si="3"/>
        <v>0.57353007273948775</v>
      </c>
      <c r="J10" s="21">
        <f t="shared" ca="1" si="4"/>
        <v>0.24923034149269108</v>
      </c>
    </row>
    <row r="11" spans="1:10" x14ac:dyDescent="0.25">
      <c r="B11" s="8" t="s">
        <v>59</v>
      </c>
      <c r="C11" s="21">
        <f t="shared" ca="1" si="0"/>
        <v>0.75681130356279147</v>
      </c>
      <c r="D11" s="21">
        <f t="shared" ca="1" si="1"/>
        <v>0.84713909128045883</v>
      </c>
      <c r="E11" s="21"/>
      <c r="H11" s="21">
        <f t="shared" ca="1" si="2"/>
        <v>9.9710935508969478E-2</v>
      </c>
      <c r="I11" s="21">
        <f t="shared" ca="1" si="3"/>
        <v>0.6017755223984369</v>
      </c>
      <c r="J11" s="21">
        <f t="shared" ca="1" si="4"/>
        <v>0.31215385374049454</v>
      </c>
    </row>
    <row r="12" spans="1:10" x14ac:dyDescent="0.25">
      <c r="B12" s="8" t="s">
        <v>59</v>
      </c>
      <c r="C12" s="21">
        <f t="shared" ca="1" si="0"/>
        <v>0.42415143250712628</v>
      </c>
      <c r="D12" s="21">
        <f t="shared" ca="1" si="1"/>
        <v>0.71730825209756677</v>
      </c>
      <c r="E12" s="21"/>
      <c r="H12" s="21">
        <f t="shared" ca="1" si="2"/>
        <v>0.20731501742838893</v>
      </c>
      <c r="I12" s="21">
        <f t="shared" ca="1" si="3"/>
        <v>0.49930515373498052</v>
      </c>
      <c r="J12" s="21">
        <f t="shared" ca="1" si="4"/>
        <v>0.12279512611314955</v>
      </c>
    </row>
    <row r="13" spans="1:10" x14ac:dyDescent="0.25">
      <c r="B13" s="8" t="s">
        <v>58</v>
      </c>
      <c r="C13" s="21">
        <f t="shared" ca="1" si="0"/>
        <v>0.28713908568539637</v>
      </c>
      <c r="D13" s="21"/>
      <c r="E13" s="21">
        <f t="shared" ref="E13:E22" ca="1" si="5">RAND()*C13</f>
        <v>0.10334767078525535</v>
      </c>
      <c r="H13" s="21">
        <f t="shared" ref="H13:H22" ca="1" si="6">SUMSQ(C13-$C$24,E13-$F$24)</f>
        <v>0.5055888594731025</v>
      </c>
      <c r="I13" s="21">
        <f t="shared" ref="I13:I22" ca="1" si="7">SUMSQ($C13-$C$25,$E13-$F$25)</f>
        <v>0.18265377167626526</v>
      </c>
      <c r="J13" s="21">
        <f t="shared" ref="J13:J22" ca="1" si="8">SUMSQ($C13-$C$26,$E13-$F$26)</f>
        <v>0.1031714513256525</v>
      </c>
    </row>
    <row r="14" spans="1:10" x14ac:dyDescent="0.25">
      <c r="B14" s="8" t="s">
        <v>58</v>
      </c>
      <c r="C14" s="21">
        <f t="shared" ca="1" si="0"/>
        <v>0.88927923007149512</v>
      </c>
      <c r="D14" s="21"/>
      <c r="E14" s="21">
        <f t="shared" ca="1" si="5"/>
        <v>0.24767454035490818</v>
      </c>
      <c r="H14" s="21">
        <f t="shared" ca="1" si="6"/>
        <v>8.9746174456442201E-2</v>
      </c>
      <c r="I14" s="21">
        <f t="shared" ca="1" si="7"/>
        <v>6.1575938050655941E-2</v>
      </c>
      <c r="J14" s="21">
        <f t="shared" ca="1" si="8"/>
        <v>0.1932118049465901</v>
      </c>
    </row>
    <row r="15" spans="1:10" x14ac:dyDescent="0.25">
      <c r="B15" s="8" t="s">
        <v>58</v>
      </c>
      <c r="C15" s="21">
        <f t="shared" ca="1" si="0"/>
        <v>0.61440985770483747</v>
      </c>
      <c r="D15" s="21"/>
      <c r="E15" s="21">
        <f t="shared" ca="1" si="5"/>
        <v>0.52021809066805413</v>
      </c>
      <c r="H15" s="21">
        <f t="shared" ca="1" si="6"/>
        <v>5.3825726994472592E-2</v>
      </c>
      <c r="I15" s="21">
        <f t="shared" ca="1" si="7"/>
        <v>0.21015267052823014</v>
      </c>
      <c r="J15" s="21">
        <f t="shared" ca="1" si="8"/>
        <v>4.4459637814229298E-2</v>
      </c>
    </row>
    <row r="16" spans="1:10" x14ac:dyDescent="0.25">
      <c r="B16" s="8" t="s">
        <v>58</v>
      </c>
      <c r="C16" s="21">
        <f t="shared" ca="1" si="0"/>
        <v>0.95378954771256863</v>
      </c>
      <c r="D16" s="21"/>
      <c r="E16" s="21">
        <f t="shared" ca="1" si="5"/>
        <v>0.41840589045770932</v>
      </c>
      <c r="H16" s="21">
        <f t="shared" ca="1" si="6"/>
        <v>2.7564545050934149E-2</v>
      </c>
      <c r="I16" s="21">
        <f t="shared" ca="1" si="7"/>
        <v>0.17735443590498945</v>
      </c>
      <c r="J16" s="21">
        <f t="shared" ca="1" si="8"/>
        <v>0.23941062742654229</v>
      </c>
    </row>
    <row r="17" spans="2:27" x14ac:dyDescent="0.25">
      <c r="B17" s="8" t="s">
        <v>58</v>
      </c>
      <c r="C17" s="21">
        <f t="shared" ca="1" si="0"/>
        <v>0.19346915751642424</v>
      </c>
      <c r="D17" s="21"/>
      <c r="E17" s="21">
        <f t="shared" ca="1" si="5"/>
        <v>6.3489533354937122E-2</v>
      </c>
      <c r="H17" s="21">
        <f t="shared" ca="1" si="6"/>
        <v>0.65562356372653297</v>
      </c>
      <c r="I17" s="21">
        <f t="shared" ca="1" si="7"/>
        <v>0.27042438838038901</v>
      </c>
      <c r="J17" s="21">
        <f t="shared" ca="1" si="8"/>
        <v>0.16843600191295027</v>
      </c>
    </row>
    <row r="18" spans="2:27" x14ac:dyDescent="0.25">
      <c r="B18" s="8" t="s">
        <v>58</v>
      </c>
      <c r="C18" s="21">
        <f t="shared" ca="1" si="0"/>
        <v>0.7518092486543293</v>
      </c>
      <c r="D18" s="21"/>
      <c r="E18" s="21">
        <f t="shared" ca="1" si="5"/>
        <v>1.8034675610998117E-2</v>
      </c>
      <c r="H18" s="21">
        <f t="shared" ca="1" si="6"/>
        <v>0.28534888753547832</v>
      </c>
      <c r="I18" s="21">
        <f t="shared" ca="1" si="7"/>
        <v>4.4529981255252296E-3</v>
      </c>
      <c r="J18" s="21">
        <f t="shared" ca="1" si="8"/>
        <v>0.20468339570400099</v>
      </c>
    </row>
    <row r="19" spans="2:27" x14ac:dyDescent="0.25">
      <c r="B19" s="8" t="s">
        <v>58</v>
      </c>
      <c r="C19" s="21">
        <f t="shared" ca="1" si="0"/>
        <v>0.24092023579046906</v>
      </c>
      <c r="D19" s="21"/>
      <c r="E19" s="21">
        <f t="shared" ca="1" si="5"/>
        <v>0.11166651548305742</v>
      </c>
      <c r="H19" s="21">
        <f t="shared" ca="1" si="6"/>
        <v>0.55204816139034318</v>
      </c>
      <c r="I19" s="21">
        <f t="shared" ca="1" si="7"/>
        <v>0.22477426767907921</v>
      </c>
      <c r="J19" s="21">
        <f t="shared" ca="1" si="8"/>
        <v>0.11756916111646333</v>
      </c>
    </row>
    <row r="20" spans="2:27" x14ac:dyDescent="0.25">
      <c r="B20" s="8" t="s">
        <v>58</v>
      </c>
      <c r="C20" s="21">
        <f t="shared" ca="1" si="0"/>
        <v>0.59306615656649708</v>
      </c>
      <c r="D20" s="21"/>
      <c r="E20" s="21">
        <f t="shared" ca="1" si="5"/>
        <v>0.54985888477661571</v>
      </c>
      <c r="H20" s="21">
        <f t="shared" ca="1" si="6"/>
        <v>6.3602165402149122E-2</v>
      </c>
      <c r="I20" s="21">
        <f t="shared" ca="1" si="7"/>
        <v>0.24224776454299049</v>
      </c>
      <c r="J20" s="21">
        <f t="shared" ca="1" si="8"/>
        <v>4.8433031325446345E-2</v>
      </c>
    </row>
    <row r="21" spans="2:27" x14ac:dyDescent="0.25">
      <c r="B21" s="8" t="s">
        <v>58</v>
      </c>
      <c r="C21" s="21">
        <f t="shared" ca="1" si="0"/>
        <v>0.58033078025698315</v>
      </c>
      <c r="D21" s="21"/>
      <c r="E21" s="21">
        <f t="shared" ca="1" si="5"/>
        <v>8.7506244624267981E-2</v>
      </c>
      <c r="H21" s="21">
        <f t="shared" ca="1" si="6"/>
        <v>0.27852869074230013</v>
      </c>
      <c r="I21" s="21">
        <f t="shared" ca="1" si="7"/>
        <v>1.7932602435021303E-2</v>
      </c>
      <c r="J21" s="21">
        <f t="shared" ca="1" si="8"/>
        <v>9.2382628270805969E-2</v>
      </c>
    </row>
    <row r="22" spans="2:27" x14ac:dyDescent="0.25">
      <c r="B22" s="8" t="s">
        <v>58</v>
      </c>
      <c r="C22" s="21">
        <f t="shared" ca="1" si="0"/>
        <v>0.45968847916234223</v>
      </c>
      <c r="D22" s="21"/>
      <c r="E22" s="21">
        <f t="shared" ca="1" si="5"/>
        <v>6.0154540205886196E-2</v>
      </c>
      <c r="H22" s="21">
        <f t="shared" ca="1" si="6"/>
        <v>0.38270962526651597</v>
      </c>
      <c r="I22" s="21">
        <f t="shared" ca="1" si="7"/>
        <v>6.4531112235925961E-2</v>
      </c>
      <c r="J22" s="21">
        <f t="shared" ca="1" si="8"/>
        <v>9.5753068496724283E-2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0.84519254430368429</v>
      </c>
      <c r="F24" s="21">
        <f ca="1">RAND()</f>
        <v>0.5439894717951792</v>
      </c>
      <c r="G24" s="23" t="s">
        <v>70</v>
      </c>
      <c r="H24" s="20" t="str">
        <f t="shared" ref="H24:AA24" ca="1" si="9">OFFSET($B$2,MATCH(SMALL($H$3:$H$22,H$27),$H$3:$H$22,0),0)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Blue</v>
      </c>
      <c r="M24" s="20" t="str">
        <f t="shared" ca="1" si="9"/>
        <v>Blue</v>
      </c>
      <c r="N24" s="20" t="str">
        <f t="shared" ca="1" si="9"/>
        <v>Blue</v>
      </c>
      <c r="O24" s="20" t="str">
        <f t="shared" ca="1" si="9"/>
        <v>Blue</v>
      </c>
      <c r="P24" s="20" t="str">
        <f t="shared" ca="1" si="9"/>
        <v>Blue</v>
      </c>
      <c r="Q24" s="20" t="str">
        <f t="shared" ca="1" si="9"/>
        <v>Blue</v>
      </c>
      <c r="R24" s="20" t="str">
        <f t="shared" ca="1" si="9"/>
        <v>Blue</v>
      </c>
      <c r="S24" s="20" t="str">
        <f t="shared" ca="1" si="9"/>
        <v>Orange</v>
      </c>
      <c r="T24" s="20" t="str">
        <f t="shared" ca="1" si="9"/>
        <v>Orange</v>
      </c>
      <c r="U24" s="20" t="str">
        <f t="shared" ca="1" si="9"/>
        <v>Blue</v>
      </c>
      <c r="V24" s="20" t="str">
        <f t="shared" ca="1" si="9"/>
        <v>Orange</v>
      </c>
      <c r="W24" s="20" t="str">
        <f t="shared" ca="1" si="9"/>
        <v>Blue</v>
      </c>
      <c r="X24" s="20" t="str">
        <f t="shared" ca="1" si="9"/>
        <v>Blue</v>
      </c>
      <c r="Y24" s="20" t="str">
        <f t="shared" ca="1" si="9"/>
        <v>Orange</v>
      </c>
      <c r="Z24" s="20" t="str">
        <f t="shared" ca="1" si="9"/>
        <v>Orange</v>
      </c>
      <c r="AA24" s="20" t="str">
        <f t="shared" ca="1" si="9"/>
        <v>Orange</v>
      </c>
    </row>
    <row r="25" spans="2:27" x14ac:dyDescent="0.25">
      <c r="B25" s="8" t="s">
        <v>65</v>
      </c>
      <c r="C25" s="21">
        <f ca="1">RAND()</f>
        <v>0.71341258455017964</v>
      </c>
      <c r="F25" s="21">
        <f ca="1">RAND()</f>
        <v>7.2612091372449616E-2</v>
      </c>
      <c r="G25" s="22" t="s">
        <v>69</v>
      </c>
      <c r="H25" s="20" t="str">
        <f t="shared" ref="H25:Q25" ca="1" si="10">OFFSET($B$2,MATCH(SMALL($I$3:$I$22,H$27),$I$3:$I$22,0),0)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>Orange</v>
      </c>
      <c r="O25" s="20" t="str">
        <f t="shared" ca="1" si="10"/>
        <v>Orange</v>
      </c>
      <c r="P25" s="20" t="str">
        <f t="shared" ca="1" si="10"/>
        <v>Orange</v>
      </c>
      <c r="Q25" s="20" t="str">
        <f t="shared" ca="1" si="10"/>
        <v>Orange</v>
      </c>
      <c r="R25" s="20" t="str">
        <f t="shared" ref="R25:AA25" ca="1" si="11">OFFSET($B$2,MATCH(SMALL($I$3:$I$22,R$27),$I$3:$I$22,0),0)</f>
        <v>Blue</v>
      </c>
      <c r="S25" s="20" t="str">
        <f t="shared" ca="1" si="11"/>
        <v>Blue</v>
      </c>
      <c r="T25" s="20" t="str">
        <f t="shared" ca="1" si="11"/>
        <v>Blue</v>
      </c>
      <c r="U25" s="20" t="str">
        <f t="shared" ca="1" si="11"/>
        <v>Blue</v>
      </c>
      <c r="V25" s="20" t="str">
        <f t="shared" ca="1" si="11"/>
        <v>Blue</v>
      </c>
      <c r="W25" s="20" t="str">
        <f t="shared" ca="1" si="11"/>
        <v>Blue</v>
      </c>
      <c r="X25" s="20" t="str">
        <f t="shared" ca="1" si="11"/>
        <v>Blue</v>
      </c>
      <c r="Y25" s="20" t="str">
        <f t="shared" ca="1" si="11"/>
        <v>Blue</v>
      </c>
      <c r="Z25" s="20" t="str">
        <f t="shared" ca="1" si="11"/>
        <v>Blue</v>
      </c>
      <c r="AA25" s="20" t="str">
        <f t="shared" ca="1" si="11"/>
        <v>Blue</v>
      </c>
    </row>
    <row r="26" spans="2:27" x14ac:dyDescent="0.25">
      <c r="B26" s="8" t="s">
        <v>64</v>
      </c>
      <c r="C26" s="21">
        <f ca="1">RAND()</f>
        <v>0.4669427926811589</v>
      </c>
      <c r="F26" s="21">
        <f ca="1">RAND()</f>
        <v>0.36950942287641231</v>
      </c>
      <c r="G26" s="19" t="s">
        <v>68</v>
      </c>
      <c r="H26" s="20" t="str">
        <f ca="1">OFFSET($B$2,MATCH(SMALL($J$3:$J$22,H$27),$J$3:$J$22,0),0)</f>
        <v>Orange</v>
      </c>
      <c r="I26" s="20" t="str">
        <f t="shared" ref="I26:AA26" ca="1" si="12">OFFSET($B$2,MATCH(SMALL($J$3:$J$22,I$27),$J$3:$J$22,0),0)</f>
        <v>Orange</v>
      </c>
      <c r="J26" s="20" t="str">
        <f t="shared" ca="1" si="12"/>
        <v>Orange</v>
      </c>
      <c r="K26" s="20" t="str">
        <f t="shared" ca="1" si="12"/>
        <v>Orange</v>
      </c>
      <c r="L26" s="20" t="str">
        <f t="shared" ca="1" si="12"/>
        <v>Orange</v>
      </c>
      <c r="M26" s="20" t="str">
        <f t="shared" ca="1" si="12"/>
        <v>Blue</v>
      </c>
      <c r="N26" s="20" t="str">
        <f t="shared" ca="1" si="12"/>
        <v>Blue</v>
      </c>
      <c r="O26" s="20" t="str">
        <f t="shared" ca="1" si="12"/>
        <v>Orange</v>
      </c>
      <c r="P26" s="20" t="str">
        <f t="shared" ca="1" si="12"/>
        <v>Blue</v>
      </c>
      <c r="Q26" s="20" t="str">
        <f t="shared" ca="1" si="12"/>
        <v>Blue</v>
      </c>
      <c r="R26" s="20" t="str">
        <f t="shared" ca="1" si="12"/>
        <v>Blue</v>
      </c>
      <c r="S26" s="20" t="str">
        <f t="shared" ca="1" si="12"/>
        <v>Orange</v>
      </c>
      <c r="T26" s="20" t="str">
        <f t="shared" ca="1" si="12"/>
        <v>Blue</v>
      </c>
      <c r="U26" s="20" t="str">
        <f t="shared" ca="1" si="12"/>
        <v>Orange</v>
      </c>
      <c r="V26" s="20" t="str">
        <f t="shared" ca="1" si="12"/>
        <v>Orange</v>
      </c>
      <c r="W26" s="20" t="str">
        <f t="shared" ca="1" si="12"/>
        <v>Orange</v>
      </c>
      <c r="X26" s="20" t="str">
        <f t="shared" ca="1" si="12"/>
        <v>Blue</v>
      </c>
      <c r="Y26" s="20" t="str">
        <f t="shared" ca="1" si="12"/>
        <v>Blue</v>
      </c>
      <c r="Z26" s="20" t="str">
        <f t="shared" ca="1" si="12"/>
        <v>Blue</v>
      </c>
      <c r="AA26" s="20" t="str">
        <f t="shared" ca="1" si="12"/>
        <v>Blue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386B2E1A-2615-5440-AE58-CC4B87256832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252</v>
      </c>
    </row>
    <row r="2" spans="1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28" x14ac:dyDescent="0.25">
      <c r="B3" s="8" t="s">
        <v>59</v>
      </c>
      <c r="C3" s="21">
        <f t="shared" ref="C3:C22" ca="1" si="0">RAND()</f>
        <v>0.54793197542710093</v>
      </c>
      <c r="D3" s="21">
        <f t="shared" ref="D3:D12" ca="1" si="1">C3+RAND()*(1-C3)</f>
        <v>0.70324303424706014</v>
      </c>
      <c r="E3" s="21"/>
      <c r="H3" s="21">
        <f t="shared" ref="H3:H12" ca="1" si="2">SUMSQ($C3-$C$24,$D3-$F$24)</f>
        <v>0.4731982973019454</v>
      </c>
      <c r="I3" s="21">
        <f t="shared" ref="I3:I12" ca="1" si="3">SUMSQ($C3-$C$25,$D3-$F$25)</f>
        <v>0.31159911426601122</v>
      </c>
      <c r="J3" s="21">
        <f t="shared" ref="J3:J12" ca="1" si="4">SUMSQ($C3-$C$26,$D3-$F$26)</f>
        <v>0.13919887380929061</v>
      </c>
      <c r="AB3" s="22" t="s">
        <v>71</v>
      </c>
    </row>
    <row r="4" spans="1:28" x14ac:dyDescent="0.25">
      <c r="B4" s="8" t="s">
        <v>59</v>
      </c>
      <c r="C4" s="21">
        <f t="shared" ca="1" si="0"/>
        <v>0.24976000204025339</v>
      </c>
      <c r="D4" s="21">
        <f t="shared" ca="1" si="1"/>
        <v>0.52619115507547332</v>
      </c>
      <c r="E4" s="21"/>
      <c r="H4" s="21">
        <f t="shared" ca="1" si="2"/>
        <v>0.2770422061570027</v>
      </c>
      <c r="I4" s="21">
        <f t="shared" ca="1" si="3"/>
        <v>5.232183444654491E-2</v>
      </c>
      <c r="J4" s="21">
        <f t="shared" ca="1" si="4"/>
        <v>0.21445396706809805</v>
      </c>
      <c r="AB4" s="26">
        <v>6</v>
      </c>
    </row>
    <row r="5" spans="1:28" x14ac:dyDescent="0.25">
      <c r="B5" s="8" t="s">
        <v>59</v>
      </c>
      <c r="C5" s="21">
        <f t="shared" ca="1" si="0"/>
        <v>0.59631294952122826</v>
      </c>
      <c r="D5" s="21">
        <f t="shared" ca="1" si="1"/>
        <v>0.74911206246358786</v>
      </c>
      <c r="E5" s="21"/>
      <c r="H5" s="21">
        <f t="shared" ca="1" si="2"/>
        <v>0.55214432762855559</v>
      </c>
      <c r="I5" s="21">
        <f t="shared" ca="1" si="3"/>
        <v>0.38395618062651771</v>
      </c>
      <c r="J5" s="21">
        <f t="shared" ca="1" si="4"/>
        <v>0.16291063520922186</v>
      </c>
    </row>
    <row r="6" spans="1:28" x14ac:dyDescent="0.25">
      <c r="B6" s="8" t="s">
        <v>59</v>
      </c>
      <c r="C6" s="21">
        <f t="shared" ca="1" si="0"/>
        <v>0.16039259020026064</v>
      </c>
      <c r="D6" s="21">
        <f t="shared" ca="1" si="1"/>
        <v>0.8894845220321389</v>
      </c>
      <c r="E6" s="21"/>
      <c r="H6" s="21">
        <f t="shared" ca="1" si="2"/>
        <v>0.80942124534720117</v>
      </c>
      <c r="I6" s="21">
        <f t="shared" ca="1" si="3"/>
        <v>0.15695131935072193</v>
      </c>
      <c r="J6" s="21">
        <f t="shared" ca="1" si="4"/>
        <v>0.55623664178879784</v>
      </c>
    </row>
    <row r="7" spans="1:28" x14ac:dyDescent="0.25">
      <c r="B7" s="8" t="s">
        <v>59</v>
      </c>
      <c r="C7" s="21">
        <f t="shared" ca="1" si="0"/>
        <v>0.94111636217404515</v>
      </c>
      <c r="D7" s="21">
        <f t="shared" ca="1" si="1"/>
        <v>0.9508993223087483</v>
      </c>
      <c r="E7" s="21"/>
      <c r="H7" s="21">
        <f t="shared" ca="1" si="2"/>
        <v>1.1255294732984111</v>
      </c>
      <c r="I7" s="21">
        <f t="shared" ca="1" si="3"/>
        <v>1.0332346530064711</v>
      </c>
      <c r="J7" s="21">
        <f t="shared" ca="1" si="4"/>
        <v>0.42436766959768568</v>
      </c>
    </row>
    <row r="8" spans="1:28" x14ac:dyDescent="0.25">
      <c r="B8" s="8" t="s">
        <v>59</v>
      </c>
      <c r="C8" s="21">
        <f t="shared" ca="1" si="0"/>
        <v>0.5831996905304262</v>
      </c>
      <c r="D8" s="21">
        <f t="shared" ca="1" si="1"/>
        <v>0.6586414912484303</v>
      </c>
      <c r="E8" s="21"/>
      <c r="H8" s="21">
        <f t="shared" ca="1" si="2"/>
        <v>0.4252928067400828</v>
      </c>
      <c r="I8" s="21">
        <f t="shared" ca="1" si="3"/>
        <v>0.33551773823951259</v>
      </c>
      <c r="J8" s="21">
        <f t="shared" ca="1" si="4"/>
        <v>0.10200019397443517</v>
      </c>
    </row>
    <row r="9" spans="1:28" x14ac:dyDescent="0.25">
      <c r="B9" s="8" t="s">
        <v>59</v>
      </c>
      <c r="C9" s="21">
        <f t="shared" ca="1" si="0"/>
        <v>8.8988823515356974E-2</v>
      </c>
      <c r="D9" s="21">
        <f t="shared" ca="1" si="1"/>
        <v>0.38375269689034175</v>
      </c>
      <c r="E9" s="21"/>
      <c r="H9" s="21">
        <f t="shared" ca="1" si="2"/>
        <v>0.23541397790194774</v>
      </c>
      <c r="I9" s="21">
        <f t="shared" ca="1" si="3"/>
        <v>2.2783976221100209E-2</v>
      </c>
      <c r="J9" s="21">
        <f t="shared" ca="1" si="4"/>
        <v>0.3498486238810935</v>
      </c>
    </row>
    <row r="10" spans="1:28" x14ac:dyDescent="0.25">
      <c r="B10" s="8" t="s">
        <v>59</v>
      </c>
      <c r="C10" s="21">
        <f t="shared" ca="1" si="0"/>
        <v>0.73374725920651307</v>
      </c>
      <c r="D10" s="21">
        <f t="shared" ca="1" si="1"/>
        <v>0.75041826261184896</v>
      </c>
      <c r="E10" s="21"/>
      <c r="H10" s="21">
        <f t="shared" ca="1" si="2"/>
        <v>0.62178840045166706</v>
      </c>
      <c r="I10" s="21">
        <f t="shared" ca="1" si="3"/>
        <v>0.56154346172129566</v>
      </c>
      <c r="J10" s="21">
        <f t="shared" ca="1" si="4"/>
        <v>0.15990337120811096</v>
      </c>
    </row>
    <row r="11" spans="1:28" x14ac:dyDescent="0.25">
      <c r="B11" s="8" t="s">
        <v>59</v>
      </c>
      <c r="C11" s="21">
        <f t="shared" ca="1" si="0"/>
        <v>0.35822935762391628</v>
      </c>
      <c r="D11" s="21">
        <f t="shared" ca="1" si="1"/>
        <v>0.4866120762456122</v>
      </c>
      <c r="E11" s="21"/>
      <c r="H11" s="21">
        <f t="shared" ca="1" si="2"/>
        <v>0.21429840506307135</v>
      </c>
      <c r="I11" s="21">
        <f t="shared" ca="1" si="3"/>
        <v>0.11464742853987366</v>
      </c>
      <c r="J11" s="21">
        <f t="shared" ca="1" si="4"/>
        <v>0.1208946991601605</v>
      </c>
    </row>
    <row r="12" spans="1:28" x14ac:dyDescent="0.25">
      <c r="B12" s="8" t="s">
        <v>59</v>
      </c>
      <c r="C12" s="21">
        <f t="shared" ca="1" si="0"/>
        <v>0.21585047893617215</v>
      </c>
      <c r="D12" s="21">
        <f t="shared" ca="1" si="1"/>
        <v>0.58673376803684851</v>
      </c>
      <c r="E12" s="21"/>
      <c r="H12" s="21">
        <f t="shared" ca="1" si="2"/>
        <v>0.35367091740554535</v>
      </c>
      <c r="I12" s="21">
        <f t="shared" ca="1" si="3"/>
        <v>4.2553003617271344E-2</v>
      </c>
      <c r="J12" s="21">
        <f t="shared" ca="1" si="4"/>
        <v>0.26925448041102901</v>
      </c>
    </row>
    <row r="13" spans="1:28" x14ac:dyDescent="0.25">
      <c r="B13" s="8" t="s">
        <v>58</v>
      </c>
      <c r="C13" s="21">
        <f t="shared" ca="1" si="0"/>
        <v>0.6662523541623161</v>
      </c>
      <c r="D13" s="21"/>
      <c r="E13" s="21">
        <f t="shared" ref="E13:E22" ca="1" si="5">RAND()*C13</f>
        <v>9.080570961670642E-2</v>
      </c>
      <c r="H13" s="21">
        <f t="shared" ref="H13:H22" ca="1" si="6">SUMSQ(C13-$C$24,E13-$F$24)</f>
        <v>6.5361738307000913E-2</v>
      </c>
      <c r="I13" s="21">
        <f t="shared" ref="I13:I22" ca="1" si="7">SUMSQ($C13-$C$25,$E13-$F$25)</f>
        <v>0.59916179421662652</v>
      </c>
      <c r="J13" s="21">
        <f t="shared" ref="J13:J22" ca="1" si="8">SUMSQ($C13-$C$26,$E13-$F$26)</f>
        <v>6.9560448258118482E-2</v>
      </c>
    </row>
    <row r="14" spans="1:28" x14ac:dyDescent="0.25">
      <c r="B14" s="8" t="s">
        <v>58</v>
      </c>
      <c r="C14" s="21">
        <f t="shared" ca="1" si="0"/>
        <v>0.45834282334570831</v>
      </c>
      <c r="D14" s="21"/>
      <c r="E14" s="21">
        <f t="shared" ca="1" si="5"/>
        <v>0.13341718535865413</v>
      </c>
      <c r="H14" s="21">
        <f t="shared" ca="1" si="6"/>
        <v>1.2776405889565419E-2</v>
      </c>
      <c r="I14" s="21">
        <f t="shared" ca="1" si="7"/>
        <v>0.33949950833472875</v>
      </c>
      <c r="J14" s="21">
        <f t="shared" ca="1" si="8"/>
        <v>9.7759352121921356E-2</v>
      </c>
    </row>
    <row r="15" spans="1:28" x14ac:dyDescent="0.25">
      <c r="B15" s="8" t="s">
        <v>58</v>
      </c>
      <c r="C15" s="21">
        <f t="shared" ca="1" si="0"/>
        <v>5.5653007464268489E-2</v>
      </c>
      <c r="D15" s="21"/>
      <c r="E15" s="21">
        <f t="shared" ca="1" si="5"/>
        <v>1.8975717350447008E-2</v>
      </c>
      <c r="H15" s="21">
        <f t="shared" ca="1" si="6"/>
        <v>0.13174822397729505</v>
      </c>
      <c r="I15" s="21">
        <f t="shared" ca="1" si="7"/>
        <v>0.25080628683430611</v>
      </c>
      <c r="J15" s="21">
        <f t="shared" ca="1" si="8"/>
        <v>0.5018506608073342</v>
      </c>
    </row>
    <row r="16" spans="1:28" x14ac:dyDescent="0.25">
      <c r="B16" s="8" t="s">
        <v>58</v>
      </c>
      <c r="C16" s="21">
        <f t="shared" ca="1" si="0"/>
        <v>3.1952251043798285E-2</v>
      </c>
      <c r="D16" s="21"/>
      <c r="E16" s="21">
        <f t="shared" ca="1" si="5"/>
        <v>3.8216319302887729E-3</v>
      </c>
      <c r="H16" s="21">
        <f t="shared" ca="1" si="6"/>
        <v>0.15000243258693308</v>
      </c>
      <c r="I16" s="21">
        <f t="shared" ca="1" si="7"/>
        <v>0.26510443479849127</v>
      </c>
      <c r="J16" s="21">
        <f t="shared" ca="1" si="8"/>
        <v>0.54238440535249643</v>
      </c>
    </row>
    <row r="17" spans="2:27" x14ac:dyDescent="0.25">
      <c r="B17" s="8" t="s">
        <v>58</v>
      </c>
      <c r="C17" s="21">
        <f t="shared" ca="1" si="0"/>
        <v>6.420391265187686E-2</v>
      </c>
      <c r="D17" s="21"/>
      <c r="E17" s="21">
        <f t="shared" ca="1" si="5"/>
        <v>2.6305193494077461E-2</v>
      </c>
      <c r="H17" s="21">
        <f t="shared" ca="1" si="6"/>
        <v>0.12554247807644547</v>
      </c>
      <c r="I17" s="21">
        <f t="shared" ca="1" si="7"/>
        <v>0.24419940856081621</v>
      </c>
      <c r="J17" s="21">
        <f t="shared" ca="1" si="8"/>
        <v>0.48639054907047735</v>
      </c>
    </row>
    <row r="18" spans="2:27" x14ac:dyDescent="0.25">
      <c r="B18" s="8" t="s">
        <v>58</v>
      </c>
      <c r="C18" s="21">
        <f t="shared" ca="1" si="0"/>
        <v>6.3279967221479771E-2</v>
      </c>
      <c r="D18" s="21"/>
      <c r="E18" s="21">
        <f t="shared" ca="1" si="5"/>
        <v>4.1976020995990494E-2</v>
      </c>
      <c r="H18" s="21">
        <f t="shared" ca="1" si="6"/>
        <v>0.12640208210805631</v>
      </c>
      <c r="I18" s="21">
        <f t="shared" ca="1" si="7"/>
        <v>0.22893721479159557</v>
      </c>
      <c r="J18" s="21">
        <f t="shared" ca="1" si="8"/>
        <v>0.47749750399477897</v>
      </c>
    </row>
    <row r="19" spans="2:27" x14ac:dyDescent="0.25">
      <c r="B19" s="8" t="s">
        <v>58</v>
      </c>
      <c r="C19" s="21">
        <f t="shared" ca="1" si="0"/>
        <v>0.60051030419459805</v>
      </c>
      <c r="D19" s="21"/>
      <c r="E19" s="21">
        <f t="shared" ca="1" si="5"/>
        <v>0.25356868560426993</v>
      </c>
      <c r="H19" s="21">
        <f t="shared" ca="1" si="6"/>
        <v>8.4167721991192324E-2</v>
      </c>
      <c r="I19" s="21">
        <f t="shared" ca="1" si="7"/>
        <v>0.40589918402041725</v>
      </c>
      <c r="J19" s="21">
        <f t="shared" ca="1" si="8"/>
        <v>1.6403328053867659E-2</v>
      </c>
    </row>
    <row r="20" spans="2:27" x14ac:dyDescent="0.25">
      <c r="B20" s="8" t="s">
        <v>58</v>
      </c>
      <c r="C20" s="21">
        <f t="shared" ca="1" si="0"/>
        <v>0.36610615376798517</v>
      </c>
      <c r="D20" s="21"/>
      <c r="E20" s="21">
        <f t="shared" ca="1" si="5"/>
        <v>0.244438525556291</v>
      </c>
      <c r="H20" s="21">
        <f t="shared" ca="1" si="6"/>
        <v>4.9752683141748022E-2</v>
      </c>
      <c r="I20" s="21">
        <f t="shared" ca="1" si="7"/>
        <v>0.19415674447417908</v>
      </c>
      <c r="J20" s="21">
        <f t="shared" ca="1" si="8"/>
        <v>0.11040863137558513</v>
      </c>
    </row>
    <row r="21" spans="2:27" x14ac:dyDescent="0.25">
      <c r="B21" s="8" t="s">
        <v>58</v>
      </c>
      <c r="C21" s="21">
        <f t="shared" ca="1" si="0"/>
        <v>0.83897579030206326</v>
      </c>
      <c r="D21" s="21"/>
      <c r="E21" s="21">
        <f t="shared" ca="1" si="5"/>
        <v>0.5747463601926569</v>
      </c>
      <c r="H21" s="21">
        <f t="shared" ca="1" si="6"/>
        <v>0.47611691586034882</v>
      </c>
      <c r="I21" s="21">
        <f t="shared" ca="1" si="7"/>
        <v>0.67199794390538226</v>
      </c>
      <c r="J21" s="21">
        <f t="shared" ca="1" si="8"/>
        <v>7.3997941403976253E-2</v>
      </c>
    </row>
    <row r="22" spans="2:27" x14ac:dyDescent="0.25">
      <c r="B22" s="8" t="s">
        <v>58</v>
      </c>
      <c r="C22" s="21">
        <f t="shared" ca="1" si="0"/>
        <v>0.95322185097353207</v>
      </c>
      <c r="D22" s="21"/>
      <c r="E22" s="21">
        <f t="shared" ca="1" si="5"/>
        <v>0.54952731307563851</v>
      </c>
      <c r="H22" s="21">
        <f t="shared" ca="1" si="6"/>
        <v>0.55828020835025227</v>
      </c>
      <c r="I22" s="21">
        <f t="shared" ca="1" si="7"/>
        <v>0.86972126575349129</v>
      </c>
      <c r="J22" s="21">
        <f t="shared" ca="1" si="8"/>
        <v>0.11294871631507575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0.41852117072958073</v>
      </c>
      <c r="F24" s="21">
        <f ca="1">RAND()</f>
        <v>2.7631355152119008E-2</v>
      </c>
      <c r="G24" s="23" t="s">
        <v>70</v>
      </c>
      <c r="H24" s="20" t="str">
        <f t="shared" ref="H24:AA24" ca="1" si="9">IF(H27&lt;=k,OFFSET($B$2,MATCH(SMALL($H$3:$H$22,H$27),$H$3:$H$22,0),0),"")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65</v>
      </c>
      <c r="C25" s="21">
        <f ca="1">RAND()</f>
        <v>2.114662838455994E-2</v>
      </c>
      <c r="F25" s="21">
        <f ca="1">RAND()</f>
        <v>0.51859116610790246</v>
      </c>
      <c r="G25" s="22" t="s">
        <v>69</v>
      </c>
      <c r="H25" s="20" t="str">
        <f t="shared" ref="H25:AA25" ca="1" si="10">IF(H27&lt;=k,OFFSET($B$2,MATCH(SMALL($I$3:$I$22,H$27),$I$3:$I$22,0),0),"")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>Blue</v>
      </c>
      <c r="M25" s="20" t="str">
        <f t="shared" ca="1" si="10"/>
        <v>Orange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64</v>
      </c>
      <c r="C26" s="21">
        <f ca="1">RAND()</f>
        <v>0.6797303180415164</v>
      </c>
      <c r="F26" s="21">
        <f ca="1">RAND()</f>
        <v>0.35420425317340387</v>
      </c>
      <c r="G26" s="19" t="s">
        <v>68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>Blue</v>
      </c>
      <c r="M26" s="20" t="str">
        <f t="shared" ca="1" si="11"/>
        <v>Orange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FFA3289B-F794-0349-98E9-1227D53F05ED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2:28" x14ac:dyDescent="0.25">
      <c r="B3" s="8" t="s">
        <v>59</v>
      </c>
      <c r="C3" s="21">
        <f t="shared" ref="C3:C22" ca="1" si="0">RAND()</f>
        <v>0.32855980926767492</v>
      </c>
      <c r="D3" s="21">
        <f t="shared" ref="D3:D12" ca="1" si="1">C3+RAND()*(1-C3)</f>
        <v>0.55056550778213786</v>
      </c>
      <c r="E3" s="21"/>
      <c r="H3" s="21">
        <f t="shared" ref="H3:H12" ca="1" si="2">SUMSQ($C3-$C$24,$D3-$F$24)</f>
        <v>5.1910444360659933E-2</v>
      </c>
      <c r="I3" s="21">
        <f t="shared" ref="I3:I12" ca="1" si="3">SUMSQ($C3-$C$25,$D3-$F$25)</f>
        <v>9.3493041191500398E-2</v>
      </c>
      <c r="J3" s="21">
        <f t="shared" ref="J3:J12" ca="1" si="4">SUMSQ($C3-$C$26,$D3-$F$26)</f>
        <v>9.7698247383746356E-2</v>
      </c>
      <c r="AB3" s="22" t="s">
        <v>71</v>
      </c>
    </row>
    <row r="4" spans="2:28" x14ac:dyDescent="0.25">
      <c r="B4" s="8" t="s">
        <v>59</v>
      </c>
      <c r="C4" s="21">
        <f t="shared" ca="1" si="0"/>
        <v>0.55000685392707993</v>
      </c>
      <c r="D4" s="21">
        <f t="shared" ca="1" si="1"/>
        <v>0.72178701048888949</v>
      </c>
      <c r="E4" s="21"/>
      <c r="H4" s="21">
        <f t="shared" ca="1" si="2"/>
        <v>0.1605456696344463</v>
      </c>
      <c r="I4" s="21">
        <f t="shared" ca="1" si="3"/>
        <v>2.3051110422712885E-2</v>
      </c>
      <c r="J4" s="21">
        <f t="shared" ca="1" si="4"/>
        <v>0.18781975707917647</v>
      </c>
      <c r="AB4" s="26">
        <v>4</v>
      </c>
    </row>
    <row r="5" spans="2:28" x14ac:dyDescent="0.25">
      <c r="B5" s="8" t="s">
        <v>59</v>
      </c>
      <c r="C5" s="21">
        <f t="shared" ca="1" si="0"/>
        <v>0.25472332110944529</v>
      </c>
      <c r="D5" s="21">
        <f t="shared" ca="1" si="1"/>
        <v>0.38643743557965848</v>
      </c>
      <c r="E5" s="21"/>
      <c r="H5" s="21">
        <f t="shared" ca="1" si="2"/>
        <v>0.10460500269106762</v>
      </c>
      <c r="I5" s="21">
        <f t="shared" ca="1" si="3"/>
        <v>0.18469840663056622</v>
      </c>
      <c r="J5" s="21">
        <f t="shared" ca="1" si="4"/>
        <v>7.0597312137259977E-2</v>
      </c>
    </row>
    <row r="6" spans="2:28" x14ac:dyDescent="0.25">
      <c r="B6" s="8" t="s">
        <v>59</v>
      </c>
      <c r="C6" s="21">
        <f t="shared" ca="1" si="0"/>
        <v>0.40660681942973809</v>
      </c>
      <c r="D6" s="21">
        <f t="shared" ca="1" si="1"/>
        <v>0.8385340692957578</v>
      </c>
      <c r="E6" s="21"/>
      <c r="H6" s="21">
        <f t="shared" ca="1" si="2"/>
        <v>8.6950398524543643E-2</v>
      </c>
      <c r="I6" s="21">
        <f t="shared" ca="1" si="3"/>
        <v>0.11049855543342113</v>
      </c>
      <c r="J6" s="21">
        <f t="shared" ca="1" si="4"/>
        <v>0.3090303553951706</v>
      </c>
    </row>
    <row r="7" spans="2:28" x14ac:dyDescent="0.25">
      <c r="B7" s="8" t="s">
        <v>59</v>
      </c>
      <c r="C7" s="21">
        <f t="shared" ca="1" si="0"/>
        <v>0.82215439210908292</v>
      </c>
      <c r="D7" s="21">
        <f t="shared" ca="1" si="1"/>
        <v>0.9387740402692879</v>
      </c>
      <c r="E7" s="21"/>
      <c r="H7" s="21">
        <f t="shared" ca="1" si="2"/>
        <v>0.5118793707284377</v>
      </c>
      <c r="I7" s="21">
        <f t="shared" ca="1" si="3"/>
        <v>0.1556077968312751</v>
      </c>
      <c r="J7" s="21">
        <f t="shared" ca="1" si="4"/>
        <v>0.52167310854553239</v>
      </c>
    </row>
    <row r="8" spans="2:28" x14ac:dyDescent="0.25">
      <c r="B8" s="8" t="s">
        <v>59</v>
      </c>
      <c r="C8" s="21">
        <f t="shared" ca="1" si="0"/>
        <v>3.8223303161393996E-2</v>
      </c>
      <c r="D8" s="21">
        <f t="shared" ca="1" si="1"/>
        <v>0.58525470028509208</v>
      </c>
      <c r="E8" s="21"/>
      <c r="H8" s="21">
        <f t="shared" ca="1" si="2"/>
        <v>2.4099282837063422E-2</v>
      </c>
      <c r="I8" s="21">
        <f t="shared" ca="1" si="3"/>
        <v>0.35179625784158847</v>
      </c>
      <c r="J8" s="21">
        <f t="shared" ca="1" si="4"/>
        <v>0.30231897079708447</v>
      </c>
    </row>
    <row r="9" spans="2:28" x14ac:dyDescent="0.25">
      <c r="B9" s="8" t="s">
        <v>59</v>
      </c>
      <c r="C9" s="21">
        <f t="shared" ca="1" si="0"/>
        <v>9.6734105379478685E-2</v>
      </c>
      <c r="D9" s="21">
        <f t="shared" ca="1" si="1"/>
        <v>0.33473611567274808</v>
      </c>
      <c r="E9" s="21"/>
      <c r="H9" s="21">
        <f t="shared" ca="1" si="2"/>
        <v>0.13092744993699368</v>
      </c>
      <c r="I9" s="21">
        <f t="shared" ca="1" si="3"/>
        <v>0.35273496722883085</v>
      </c>
      <c r="J9" s="21">
        <f t="shared" ca="1" si="4"/>
        <v>0.16671461653121242</v>
      </c>
    </row>
    <row r="10" spans="2:28" x14ac:dyDescent="0.25">
      <c r="B10" s="8" t="s">
        <v>59</v>
      </c>
      <c r="C10" s="21">
        <f t="shared" ca="1" si="0"/>
        <v>0.15922269320482296</v>
      </c>
      <c r="D10" s="21">
        <f t="shared" ca="1" si="1"/>
        <v>0.47332342209507372</v>
      </c>
      <c r="E10" s="21"/>
      <c r="H10" s="21">
        <f t="shared" ca="1" si="2"/>
        <v>4.8149026492728737E-2</v>
      </c>
      <c r="I10" s="21">
        <f t="shared" ca="1" si="3"/>
        <v>0.23730186727358904</v>
      </c>
      <c r="J10" s="21">
        <f t="shared" ca="1" si="4"/>
        <v>0.15121416109615446</v>
      </c>
    </row>
    <row r="11" spans="2:28" x14ac:dyDescent="0.25">
      <c r="B11" s="8" t="s">
        <v>59</v>
      </c>
      <c r="C11" s="21">
        <f t="shared" ca="1" si="0"/>
        <v>0.67953991655000112</v>
      </c>
      <c r="D11" s="21">
        <f t="shared" ca="1" si="1"/>
        <v>0.92298617535091632</v>
      </c>
      <c r="E11" s="21"/>
      <c r="H11" s="21">
        <f t="shared" ca="1" si="2"/>
        <v>0.33308740805437842</v>
      </c>
      <c r="I11" s="21">
        <f t="shared" ca="1" si="3"/>
        <v>0.11085508292876585</v>
      </c>
      <c r="J11" s="21">
        <f t="shared" ca="1" si="4"/>
        <v>0.43068711959030986</v>
      </c>
    </row>
    <row r="12" spans="2:28" x14ac:dyDescent="0.25">
      <c r="B12" s="8" t="s">
        <v>59</v>
      </c>
      <c r="C12" s="21">
        <f t="shared" ca="1" si="0"/>
        <v>0.75905789035125049</v>
      </c>
      <c r="D12" s="21">
        <f t="shared" ca="1" si="1"/>
        <v>0.95917166075405769</v>
      </c>
      <c r="E12" s="21"/>
      <c r="H12" s="21">
        <f t="shared" ca="1" si="2"/>
        <v>0.44154861514157534</v>
      </c>
      <c r="I12" s="21">
        <f t="shared" ca="1" si="3"/>
        <v>0.15000262606395515</v>
      </c>
      <c r="J12" s="21">
        <f t="shared" ca="1" si="4"/>
        <v>0.51218262511295076</v>
      </c>
    </row>
    <row r="13" spans="2:28" x14ac:dyDescent="0.25">
      <c r="B13" s="8" t="s">
        <v>58</v>
      </c>
      <c r="C13" s="21">
        <f t="shared" ca="1" si="0"/>
        <v>0.53850020541243449</v>
      </c>
      <c r="D13" s="21"/>
      <c r="E13" s="21">
        <f t="shared" ref="E13:E22" ca="1" si="5">RAND()*C13</f>
        <v>0.21982822384928513</v>
      </c>
      <c r="H13" s="21">
        <f t="shared" ref="H13:H22" ca="1" si="6">SUMSQ(C13-$C$24,E13-$F$24)</f>
        <v>0.37411729016108319</v>
      </c>
      <c r="I13" s="21">
        <f t="shared" ref="I13:I22" ca="1" si="7">SUMSQ($C13-$C$25,$E13-$F$25)</f>
        <v>0.14827918934433421</v>
      </c>
      <c r="J13" s="21">
        <f t="shared" ref="J13:J22" ca="1" si="8">SUMSQ($C13-$C$26,$E13-$F$26)</f>
        <v>6.3470959358024638E-3</v>
      </c>
    </row>
    <row r="14" spans="2:28" x14ac:dyDescent="0.25">
      <c r="B14" s="8" t="s">
        <v>58</v>
      </c>
      <c r="C14" s="21">
        <f t="shared" ca="1" si="0"/>
        <v>0.88561580079849556</v>
      </c>
      <c r="D14" s="21"/>
      <c r="E14" s="21">
        <f t="shared" ca="1" si="5"/>
        <v>0.28284708941274511</v>
      </c>
      <c r="H14" s="21">
        <f t="shared" ca="1" si="6"/>
        <v>0.70843108921121534</v>
      </c>
      <c r="I14" s="21">
        <f t="shared" ca="1" si="7"/>
        <v>0.16121936025422018</v>
      </c>
      <c r="J14" s="21">
        <f t="shared" ca="1" si="8"/>
        <v>0.14669742223287438</v>
      </c>
    </row>
    <row r="15" spans="2:28" x14ac:dyDescent="0.25">
      <c r="B15" s="8" t="s">
        <v>58</v>
      </c>
      <c r="C15" s="21">
        <f t="shared" ca="1" si="0"/>
        <v>0.74948417912161602</v>
      </c>
      <c r="D15" s="21"/>
      <c r="E15" s="21">
        <f t="shared" ca="1" si="5"/>
        <v>9.4938022589882376E-2</v>
      </c>
      <c r="H15" s="21">
        <f t="shared" ca="1" si="6"/>
        <v>0.71608121155586191</v>
      </c>
      <c r="I15" s="21">
        <f t="shared" ca="1" si="7"/>
        <v>0.26258575455397898</v>
      </c>
      <c r="J15" s="21">
        <f t="shared" ca="1" si="8"/>
        <v>9.934530225042755E-2</v>
      </c>
    </row>
    <row r="16" spans="2:28" x14ac:dyDescent="0.25">
      <c r="B16" s="8" t="s">
        <v>58</v>
      </c>
      <c r="C16" s="21">
        <f t="shared" ca="1" si="0"/>
        <v>0.21955037959445722</v>
      </c>
      <c r="D16" s="21"/>
      <c r="E16" s="21">
        <f t="shared" ca="1" si="5"/>
        <v>0.21311134553174729</v>
      </c>
      <c r="H16" s="21">
        <f t="shared" ca="1" si="6"/>
        <v>0.23466785366366644</v>
      </c>
      <c r="I16" s="21">
        <f t="shared" ca="1" si="7"/>
        <v>0.3142640150684004</v>
      </c>
      <c r="J16" s="21">
        <f t="shared" ca="1" si="8"/>
        <v>8.6234892114014569E-2</v>
      </c>
    </row>
    <row r="17" spans="2:28" x14ac:dyDescent="0.25">
      <c r="B17" s="8" t="s">
        <v>58</v>
      </c>
      <c r="C17" s="21">
        <f t="shared" ca="1" si="0"/>
        <v>0.60394281784933945</v>
      </c>
      <c r="D17" s="21"/>
      <c r="E17" s="21">
        <f t="shared" ca="1" si="5"/>
        <v>0.17899424609795433</v>
      </c>
      <c r="H17" s="21">
        <f t="shared" ca="1" si="6"/>
        <v>0.4694733356841041</v>
      </c>
      <c r="I17" s="21">
        <f t="shared" ca="1" si="7"/>
        <v>0.17260584659773334</v>
      </c>
      <c r="J17" s="21">
        <f t="shared" ca="1" si="8"/>
        <v>2.2796191021761968E-2</v>
      </c>
    </row>
    <row r="18" spans="2:28" x14ac:dyDescent="0.25">
      <c r="B18" s="8" t="s">
        <v>58</v>
      </c>
      <c r="C18" s="21">
        <f t="shared" ca="1" si="0"/>
        <v>0.15274052530940141</v>
      </c>
      <c r="D18" s="21"/>
      <c r="E18" s="21">
        <f t="shared" ca="1" si="5"/>
        <v>6.4959874753878405E-2</v>
      </c>
      <c r="H18" s="21">
        <f t="shared" ca="1" si="6"/>
        <v>0.39390564718157745</v>
      </c>
      <c r="I18" s="21">
        <f t="shared" ca="1" si="7"/>
        <v>0.50841852183800673</v>
      </c>
      <c r="J18" s="21">
        <f t="shared" ca="1" si="8"/>
        <v>0.17355795215615777</v>
      </c>
    </row>
    <row r="19" spans="2:28" x14ac:dyDescent="0.25">
      <c r="B19" s="8" t="s">
        <v>58</v>
      </c>
      <c r="C19" s="21">
        <f t="shared" ca="1" si="0"/>
        <v>0.70358333103552195</v>
      </c>
      <c r="D19" s="21"/>
      <c r="E19" s="21">
        <f t="shared" ca="1" si="5"/>
        <v>0.60004926851791274</v>
      </c>
      <c r="H19" s="21">
        <f t="shared" ca="1" si="6"/>
        <v>0.31458193992672606</v>
      </c>
      <c r="I19" s="21">
        <f t="shared" ca="1" si="7"/>
        <v>5.2686264406759361E-3</v>
      </c>
      <c r="J19" s="21">
        <f t="shared" ca="1" si="8"/>
        <v>0.13587153622248563</v>
      </c>
    </row>
    <row r="20" spans="2:28" x14ac:dyDescent="0.25">
      <c r="B20" s="8" t="s">
        <v>58</v>
      </c>
      <c r="C20" s="21">
        <f t="shared" ca="1" si="0"/>
        <v>0.24349611025437412</v>
      </c>
      <c r="D20" s="21"/>
      <c r="E20" s="21">
        <f t="shared" ca="1" si="5"/>
        <v>1.7103471196239863E-2</v>
      </c>
      <c r="H20" s="21">
        <f t="shared" ca="1" si="6"/>
        <v>0.46492956167285043</v>
      </c>
      <c r="I20" s="21">
        <f t="shared" ca="1" si="7"/>
        <v>0.48267638639938415</v>
      </c>
      <c r="J20" s="21">
        <f t="shared" ca="1" si="8"/>
        <v>0.14219929156420469</v>
      </c>
    </row>
    <row r="21" spans="2:28" x14ac:dyDescent="0.25">
      <c r="B21" s="8" t="s">
        <v>58</v>
      </c>
      <c r="C21" s="21">
        <f t="shared" ca="1" si="0"/>
        <v>0.3100154590516998</v>
      </c>
      <c r="D21" s="21"/>
      <c r="E21" s="21">
        <f t="shared" ca="1" si="5"/>
        <v>0.11839403840266505</v>
      </c>
      <c r="H21" s="21">
        <f t="shared" ca="1" si="6"/>
        <v>0.35516296936548142</v>
      </c>
      <c r="I21" s="21">
        <f t="shared" ca="1" si="7"/>
        <v>0.3289919054530871</v>
      </c>
      <c r="J21" s="21">
        <f t="shared" ca="1" si="8"/>
        <v>6.6915446142309126E-2</v>
      </c>
    </row>
    <row r="22" spans="2:28" x14ac:dyDescent="0.25">
      <c r="B22" s="8" t="s">
        <v>58</v>
      </c>
      <c r="C22" s="21">
        <f t="shared" ca="1" si="0"/>
        <v>0.30145677652277658</v>
      </c>
      <c r="D22" s="21"/>
      <c r="E22" s="21">
        <f t="shared" ca="1" si="5"/>
        <v>0.23268818061931951</v>
      </c>
      <c r="H22" s="21">
        <f t="shared" ca="1" si="6"/>
        <v>0.2343161037021898</v>
      </c>
      <c r="I22" s="21">
        <f t="shared" ca="1" si="7"/>
        <v>0.23901216119919222</v>
      </c>
      <c r="J22" s="21">
        <f t="shared" ca="1" si="8"/>
        <v>4.3895199737859443E-2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66</v>
      </c>
      <c r="C24" s="21">
        <f ca="1">RAND()</f>
        <v>0.15039166473399057</v>
      </c>
      <c r="F24" s="21">
        <f ca="1">RAND()</f>
        <v>0.69257450972949364</v>
      </c>
      <c r="G24" s="23" t="s">
        <v>70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65</v>
      </c>
      <c r="C25" s="21">
        <f ca="1">RAND()</f>
        <v>0.63128941674796779</v>
      </c>
      <c r="F25" s="21">
        <f ca="1">RAND()</f>
        <v>0.59355185382746023</v>
      </c>
      <c r="G25" s="22" t="s">
        <v>69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64</v>
      </c>
      <c r="C26" s="21">
        <f ca="1">RAND()</f>
        <v>0.50269150050768463</v>
      </c>
      <c r="F26" s="21">
        <f ca="1">RAND()</f>
        <v>0.29099586107890663</v>
      </c>
      <c r="G26" s="19" t="s">
        <v>68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253</v>
      </c>
    </row>
  </sheetData>
  <hyperlinks>
    <hyperlink ref="A1" r:id="rId1" xr:uid="{CB879A62-BF7A-644C-B6E1-3558C4DF123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53</v>
      </c>
    </row>
    <row r="2" spans="1:1" x14ac:dyDescent="0.3">
      <c r="A2" s="1" t="s">
        <v>54</v>
      </c>
    </row>
    <row r="3" spans="1:1" x14ac:dyDescent="0.3">
      <c r="A3" s="1" t="s">
        <v>55</v>
      </c>
    </row>
    <row r="4" spans="1:1" x14ac:dyDescent="0.3">
      <c r="A4" s="1" t="s">
        <v>56</v>
      </c>
    </row>
    <row r="5" spans="1:1" x14ac:dyDescent="0.3">
      <c r="A5" s="1" t="s">
        <v>57</v>
      </c>
    </row>
    <row r="6" spans="1:1" x14ac:dyDescent="0.3">
      <c r="A6" s="1" t="s">
        <v>44</v>
      </c>
    </row>
    <row r="7" spans="1:1" x14ac:dyDescent="0.3">
      <c r="A7" s="1" t="s">
        <v>42</v>
      </c>
    </row>
    <row r="8" spans="1:1" x14ac:dyDescent="0.3">
      <c r="A8" s="1" t="s">
        <v>40</v>
      </c>
    </row>
    <row r="9" spans="1:1" x14ac:dyDescent="0.3">
      <c r="A9" s="1" t="s">
        <v>38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16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48</v>
      </c>
      <c r="C2" s="14" t="s">
        <v>47</v>
      </c>
    </row>
    <row r="3" spans="2:3" x14ac:dyDescent="0.3">
      <c r="B3" s="10" t="s">
        <v>46</v>
      </c>
      <c r="C3" s="14" t="s">
        <v>45</v>
      </c>
    </row>
    <row r="4" spans="2:3" x14ac:dyDescent="0.3">
      <c r="B4" s="10" t="s">
        <v>44</v>
      </c>
      <c r="C4" s="14" t="s">
        <v>43</v>
      </c>
    </row>
    <row r="5" spans="2:3" x14ac:dyDescent="0.3">
      <c r="B5" s="10" t="s">
        <v>42</v>
      </c>
      <c r="C5" s="14" t="s">
        <v>41</v>
      </c>
    </row>
    <row r="6" spans="2:3" x14ac:dyDescent="0.3">
      <c r="B6" s="10" t="s">
        <v>40</v>
      </c>
      <c r="C6" s="14" t="s">
        <v>39</v>
      </c>
    </row>
    <row r="7" spans="2:3" x14ac:dyDescent="0.3">
      <c r="B7" s="10" t="s">
        <v>38</v>
      </c>
      <c r="C7" s="14" t="s">
        <v>37</v>
      </c>
    </row>
    <row r="8" spans="2:3" x14ac:dyDescent="0.3">
      <c r="B8" s="10" t="s">
        <v>36</v>
      </c>
      <c r="C8" s="14" t="s">
        <v>35</v>
      </c>
    </row>
    <row r="9" spans="2:3" x14ac:dyDescent="0.3">
      <c r="B9" s="10" t="s">
        <v>34</v>
      </c>
      <c r="C9" s="14" t="s">
        <v>33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179</v>
      </c>
    </row>
    <row r="2" spans="1:1" x14ac:dyDescent="0.3">
      <c r="A2" s="1" t="s">
        <v>180</v>
      </c>
    </row>
    <row r="3" spans="1:1" x14ac:dyDescent="0.3">
      <c r="A3" s="1" t="s">
        <v>181</v>
      </c>
    </row>
    <row r="4" spans="1:1" x14ac:dyDescent="0.3">
      <c r="A4" s="1" t="s">
        <v>182</v>
      </c>
    </row>
  </sheetData>
  <phoneticPr fontId="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78</v>
      </c>
      <c r="B1" s="27" t="s">
        <v>79</v>
      </c>
      <c r="C1" s="27" t="s">
        <v>80</v>
      </c>
      <c r="D1" s="27" t="s">
        <v>81</v>
      </c>
      <c r="E1" s="27" t="s">
        <v>82</v>
      </c>
      <c r="F1" s="27" t="s">
        <v>83</v>
      </c>
      <c r="G1" s="27" t="s">
        <v>84</v>
      </c>
      <c r="H1" s="27" t="s">
        <v>85</v>
      </c>
      <c r="I1" s="27" t="s">
        <v>86</v>
      </c>
      <c r="J1" s="27" t="s">
        <v>87</v>
      </c>
      <c r="K1" s="27" t="s">
        <v>88</v>
      </c>
    </row>
    <row r="2" spans="1:11" x14ac:dyDescent="0.2">
      <c r="A2" s="27" t="s">
        <v>89</v>
      </c>
      <c r="B2" s="27" t="s">
        <v>90</v>
      </c>
      <c r="C2" s="27">
        <v>1.8</v>
      </c>
      <c r="D2" s="27">
        <v>1999</v>
      </c>
      <c r="E2" s="27">
        <v>4</v>
      </c>
      <c r="F2" s="27" t="s">
        <v>91</v>
      </c>
      <c r="G2" s="27" t="s">
        <v>92</v>
      </c>
      <c r="H2" s="27">
        <v>18</v>
      </c>
      <c r="I2" s="27">
        <v>29</v>
      </c>
      <c r="J2" s="27" t="s">
        <v>6</v>
      </c>
      <c r="K2" s="27" t="s">
        <v>93</v>
      </c>
    </row>
    <row r="3" spans="1:11" x14ac:dyDescent="0.2">
      <c r="A3" s="27" t="s">
        <v>89</v>
      </c>
      <c r="B3" s="27" t="s">
        <v>90</v>
      </c>
      <c r="C3" s="27">
        <v>1.8</v>
      </c>
      <c r="D3" s="27">
        <v>1999</v>
      </c>
      <c r="E3" s="27">
        <v>4</v>
      </c>
      <c r="F3" s="27" t="s">
        <v>94</v>
      </c>
      <c r="G3" s="27" t="s">
        <v>92</v>
      </c>
      <c r="H3" s="27">
        <v>21</v>
      </c>
      <c r="I3" s="27">
        <v>29</v>
      </c>
      <c r="J3" s="27" t="s">
        <v>6</v>
      </c>
      <c r="K3" s="27" t="s">
        <v>93</v>
      </c>
    </row>
    <row r="4" spans="1:11" x14ac:dyDescent="0.2">
      <c r="A4" s="27" t="s">
        <v>89</v>
      </c>
      <c r="B4" s="27" t="s">
        <v>90</v>
      </c>
      <c r="C4" s="27">
        <v>2</v>
      </c>
      <c r="D4" s="27">
        <v>2008</v>
      </c>
      <c r="E4" s="27">
        <v>4</v>
      </c>
      <c r="F4" s="27" t="s">
        <v>95</v>
      </c>
      <c r="G4" s="27" t="s">
        <v>92</v>
      </c>
      <c r="H4" s="27">
        <v>20</v>
      </c>
      <c r="I4" s="27">
        <v>31</v>
      </c>
      <c r="J4" s="27" t="s">
        <v>6</v>
      </c>
      <c r="K4" s="27" t="s">
        <v>93</v>
      </c>
    </row>
    <row r="5" spans="1:11" x14ac:dyDescent="0.2">
      <c r="A5" s="27" t="s">
        <v>89</v>
      </c>
      <c r="B5" s="27" t="s">
        <v>90</v>
      </c>
      <c r="C5" s="27">
        <v>2</v>
      </c>
      <c r="D5" s="27">
        <v>2008</v>
      </c>
      <c r="E5" s="27">
        <v>4</v>
      </c>
      <c r="F5" s="27" t="s">
        <v>96</v>
      </c>
      <c r="G5" s="27" t="s">
        <v>92</v>
      </c>
      <c r="H5" s="27">
        <v>21</v>
      </c>
      <c r="I5" s="27">
        <v>30</v>
      </c>
      <c r="J5" s="27" t="s">
        <v>6</v>
      </c>
      <c r="K5" s="27" t="s">
        <v>93</v>
      </c>
    </row>
    <row r="6" spans="1:11" x14ac:dyDescent="0.2">
      <c r="A6" s="27" t="s">
        <v>89</v>
      </c>
      <c r="B6" s="27" t="s">
        <v>90</v>
      </c>
      <c r="C6" s="27">
        <v>2.8</v>
      </c>
      <c r="D6" s="27">
        <v>1999</v>
      </c>
      <c r="E6" s="27">
        <v>6</v>
      </c>
      <c r="F6" s="27" t="s">
        <v>91</v>
      </c>
      <c r="G6" s="27" t="s">
        <v>92</v>
      </c>
      <c r="H6" s="27">
        <v>16</v>
      </c>
      <c r="I6" s="27">
        <v>26</v>
      </c>
      <c r="J6" s="27" t="s">
        <v>6</v>
      </c>
      <c r="K6" s="27" t="s">
        <v>93</v>
      </c>
    </row>
    <row r="7" spans="1:11" x14ac:dyDescent="0.2">
      <c r="A7" s="27" t="s">
        <v>89</v>
      </c>
      <c r="B7" s="27" t="s">
        <v>90</v>
      </c>
      <c r="C7" s="27">
        <v>2.8</v>
      </c>
      <c r="D7" s="27">
        <v>1999</v>
      </c>
      <c r="E7" s="27">
        <v>6</v>
      </c>
      <c r="F7" s="27" t="s">
        <v>94</v>
      </c>
      <c r="G7" s="27" t="s">
        <v>92</v>
      </c>
      <c r="H7" s="27">
        <v>18</v>
      </c>
      <c r="I7" s="27">
        <v>26</v>
      </c>
      <c r="J7" s="27" t="s">
        <v>6</v>
      </c>
      <c r="K7" s="27" t="s">
        <v>93</v>
      </c>
    </row>
    <row r="8" spans="1:11" x14ac:dyDescent="0.2">
      <c r="A8" s="27" t="s">
        <v>89</v>
      </c>
      <c r="B8" s="27" t="s">
        <v>90</v>
      </c>
      <c r="C8" s="27">
        <v>3.1</v>
      </c>
      <c r="D8" s="27">
        <v>2008</v>
      </c>
      <c r="E8" s="27">
        <v>6</v>
      </c>
      <c r="F8" s="27" t="s">
        <v>96</v>
      </c>
      <c r="G8" s="27" t="s">
        <v>92</v>
      </c>
      <c r="H8" s="27">
        <v>18</v>
      </c>
      <c r="I8" s="27">
        <v>27</v>
      </c>
      <c r="J8" s="27" t="s">
        <v>6</v>
      </c>
      <c r="K8" s="27" t="s">
        <v>93</v>
      </c>
    </row>
    <row r="9" spans="1:11" x14ac:dyDescent="0.2">
      <c r="A9" s="27" t="s">
        <v>89</v>
      </c>
      <c r="B9" s="27" t="s">
        <v>97</v>
      </c>
      <c r="C9" s="27">
        <v>1.8</v>
      </c>
      <c r="D9" s="27">
        <v>1999</v>
      </c>
      <c r="E9" s="27">
        <v>4</v>
      </c>
      <c r="F9" s="27" t="s">
        <v>94</v>
      </c>
      <c r="G9" s="27">
        <v>4</v>
      </c>
      <c r="H9" s="27">
        <v>18</v>
      </c>
      <c r="I9" s="27">
        <v>26</v>
      </c>
      <c r="J9" s="27" t="s">
        <v>6</v>
      </c>
      <c r="K9" s="27" t="s">
        <v>93</v>
      </c>
    </row>
    <row r="10" spans="1:11" x14ac:dyDescent="0.2">
      <c r="A10" s="27" t="s">
        <v>89</v>
      </c>
      <c r="B10" s="27" t="s">
        <v>97</v>
      </c>
      <c r="C10" s="27">
        <v>1.8</v>
      </c>
      <c r="D10" s="27">
        <v>1999</v>
      </c>
      <c r="E10" s="27">
        <v>4</v>
      </c>
      <c r="F10" s="27" t="s">
        <v>91</v>
      </c>
      <c r="G10" s="27">
        <v>4</v>
      </c>
      <c r="H10" s="27">
        <v>16</v>
      </c>
      <c r="I10" s="27">
        <v>25</v>
      </c>
      <c r="J10" s="27" t="s">
        <v>6</v>
      </c>
      <c r="K10" s="27" t="s">
        <v>93</v>
      </c>
    </row>
    <row r="11" spans="1:11" x14ac:dyDescent="0.2">
      <c r="A11" s="27" t="s">
        <v>89</v>
      </c>
      <c r="B11" s="27" t="s">
        <v>97</v>
      </c>
      <c r="C11" s="27">
        <v>2</v>
      </c>
      <c r="D11" s="27">
        <v>2008</v>
      </c>
      <c r="E11" s="27">
        <v>4</v>
      </c>
      <c r="F11" s="27" t="s">
        <v>95</v>
      </c>
      <c r="G11" s="27">
        <v>4</v>
      </c>
      <c r="H11" s="27">
        <v>20</v>
      </c>
      <c r="I11" s="27">
        <v>28</v>
      </c>
      <c r="J11" s="27" t="s">
        <v>6</v>
      </c>
      <c r="K11" s="27" t="s">
        <v>93</v>
      </c>
    </row>
    <row r="12" spans="1:11" x14ac:dyDescent="0.2">
      <c r="A12" s="27" t="s">
        <v>89</v>
      </c>
      <c r="B12" s="27" t="s">
        <v>97</v>
      </c>
      <c r="C12" s="27">
        <v>2</v>
      </c>
      <c r="D12" s="27">
        <v>2008</v>
      </c>
      <c r="E12" s="27">
        <v>4</v>
      </c>
      <c r="F12" s="27" t="s">
        <v>98</v>
      </c>
      <c r="G12" s="27">
        <v>4</v>
      </c>
      <c r="H12" s="27">
        <v>19</v>
      </c>
      <c r="I12" s="27">
        <v>27</v>
      </c>
      <c r="J12" s="27" t="s">
        <v>6</v>
      </c>
      <c r="K12" s="27" t="s">
        <v>93</v>
      </c>
    </row>
    <row r="13" spans="1:11" x14ac:dyDescent="0.2">
      <c r="A13" s="27" t="s">
        <v>89</v>
      </c>
      <c r="B13" s="27" t="s">
        <v>97</v>
      </c>
      <c r="C13" s="27">
        <v>2.8</v>
      </c>
      <c r="D13" s="27">
        <v>1999</v>
      </c>
      <c r="E13" s="27">
        <v>6</v>
      </c>
      <c r="F13" s="27" t="s">
        <v>91</v>
      </c>
      <c r="G13" s="27">
        <v>4</v>
      </c>
      <c r="H13" s="27">
        <v>15</v>
      </c>
      <c r="I13" s="27">
        <v>25</v>
      </c>
      <c r="J13" s="27" t="s">
        <v>6</v>
      </c>
      <c r="K13" s="27" t="s">
        <v>93</v>
      </c>
    </row>
    <row r="14" spans="1:11" x14ac:dyDescent="0.2">
      <c r="A14" s="27" t="s">
        <v>89</v>
      </c>
      <c r="B14" s="27" t="s">
        <v>97</v>
      </c>
      <c r="C14" s="27">
        <v>2.8</v>
      </c>
      <c r="D14" s="27">
        <v>1999</v>
      </c>
      <c r="E14" s="27">
        <v>6</v>
      </c>
      <c r="F14" s="27" t="s">
        <v>94</v>
      </c>
      <c r="G14" s="27">
        <v>4</v>
      </c>
      <c r="H14" s="27">
        <v>17</v>
      </c>
      <c r="I14" s="27">
        <v>25</v>
      </c>
      <c r="J14" s="27" t="s">
        <v>6</v>
      </c>
      <c r="K14" s="27" t="s">
        <v>93</v>
      </c>
    </row>
    <row r="15" spans="1:11" x14ac:dyDescent="0.2">
      <c r="A15" s="27" t="s">
        <v>89</v>
      </c>
      <c r="B15" s="27" t="s">
        <v>97</v>
      </c>
      <c r="C15" s="27">
        <v>3.1</v>
      </c>
      <c r="D15" s="27">
        <v>2008</v>
      </c>
      <c r="E15" s="27">
        <v>6</v>
      </c>
      <c r="F15" s="27" t="s">
        <v>98</v>
      </c>
      <c r="G15" s="27">
        <v>4</v>
      </c>
      <c r="H15" s="27">
        <v>17</v>
      </c>
      <c r="I15" s="27">
        <v>25</v>
      </c>
      <c r="J15" s="27" t="s">
        <v>6</v>
      </c>
      <c r="K15" s="27" t="s">
        <v>93</v>
      </c>
    </row>
    <row r="16" spans="1:11" x14ac:dyDescent="0.2">
      <c r="A16" s="27" t="s">
        <v>89</v>
      </c>
      <c r="B16" s="27" t="s">
        <v>97</v>
      </c>
      <c r="C16" s="27">
        <v>3.1</v>
      </c>
      <c r="D16" s="27">
        <v>2008</v>
      </c>
      <c r="E16" s="27">
        <v>6</v>
      </c>
      <c r="F16" s="27" t="s">
        <v>95</v>
      </c>
      <c r="G16" s="27">
        <v>4</v>
      </c>
      <c r="H16" s="27">
        <v>15</v>
      </c>
      <c r="I16" s="27">
        <v>25</v>
      </c>
      <c r="J16" s="27" t="s">
        <v>6</v>
      </c>
      <c r="K16" s="27" t="s">
        <v>93</v>
      </c>
    </row>
    <row r="17" spans="1:11" x14ac:dyDescent="0.2">
      <c r="A17" s="27" t="s">
        <v>89</v>
      </c>
      <c r="B17" s="27" t="s">
        <v>99</v>
      </c>
      <c r="C17" s="27">
        <v>2.8</v>
      </c>
      <c r="D17" s="27">
        <v>1999</v>
      </c>
      <c r="E17" s="27">
        <v>6</v>
      </c>
      <c r="F17" s="27" t="s">
        <v>91</v>
      </c>
      <c r="G17" s="27">
        <v>4</v>
      </c>
      <c r="H17" s="27">
        <v>15</v>
      </c>
      <c r="I17" s="27">
        <v>24</v>
      </c>
      <c r="J17" s="27" t="s">
        <v>6</v>
      </c>
      <c r="K17" s="27" t="s">
        <v>100</v>
      </c>
    </row>
    <row r="18" spans="1:11" x14ac:dyDescent="0.2">
      <c r="A18" s="27" t="s">
        <v>89</v>
      </c>
      <c r="B18" s="27" t="s">
        <v>99</v>
      </c>
      <c r="C18" s="27">
        <v>3.1</v>
      </c>
      <c r="D18" s="27">
        <v>2008</v>
      </c>
      <c r="E18" s="27">
        <v>6</v>
      </c>
      <c r="F18" s="27" t="s">
        <v>98</v>
      </c>
      <c r="G18" s="27">
        <v>4</v>
      </c>
      <c r="H18" s="27">
        <v>17</v>
      </c>
      <c r="I18" s="27">
        <v>25</v>
      </c>
      <c r="J18" s="27" t="s">
        <v>6</v>
      </c>
      <c r="K18" s="27" t="s">
        <v>100</v>
      </c>
    </row>
    <row r="19" spans="1:11" x14ac:dyDescent="0.2">
      <c r="A19" s="27" t="s">
        <v>89</v>
      </c>
      <c r="B19" s="27" t="s">
        <v>99</v>
      </c>
      <c r="C19" s="27">
        <v>4.2</v>
      </c>
      <c r="D19" s="27">
        <v>2008</v>
      </c>
      <c r="E19" s="27">
        <v>8</v>
      </c>
      <c r="F19" s="27" t="s">
        <v>98</v>
      </c>
      <c r="G19" s="27">
        <v>4</v>
      </c>
      <c r="H19" s="27">
        <v>16</v>
      </c>
      <c r="I19" s="27">
        <v>23</v>
      </c>
      <c r="J19" s="27" t="s">
        <v>6</v>
      </c>
      <c r="K19" s="27" t="s">
        <v>100</v>
      </c>
    </row>
    <row r="20" spans="1:11" x14ac:dyDescent="0.2">
      <c r="A20" s="27" t="s">
        <v>101</v>
      </c>
      <c r="B20" s="27" t="s">
        <v>102</v>
      </c>
      <c r="C20" s="27">
        <v>5.3</v>
      </c>
      <c r="D20" s="27">
        <v>2008</v>
      </c>
      <c r="E20" s="27">
        <v>8</v>
      </c>
      <c r="F20" s="27" t="s">
        <v>103</v>
      </c>
      <c r="G20" s="27" t="s">
        <v>104</v>
      </c>
      <c r="H20" s="27">
        <v>14</v>
      </c>
      <c r="I20" s="27">
        <v>20</v>
      </c>
      <c r="J20" s="27" t="s">
        <v>104</v>
      </c>
      <c r="K20" s="27" t="s">
        <v>105</v>
      </c>
    </row>
    <row r="21" spans="1:11" x14ac:dyDescent="0.2">
      <c r="A21" s="27" t="s">
        <v>101</v>
      </c>
      <c r="B21" s="27" t="s">
        <v>102</v>
      </c>
      <c r="C21" s="27">
        <v>5.3</v>
      </c>
      <c r="D21" s="27">
        <v>2008</v>
      </c>
      <c r="E21" s="27">
        <v>8</v>
      </c>
      <c r="F21" s="27" t="s">
        <v>103</v>
      </c>
      <c r="G21" s="27" t="s">
        <v>104</v>
      </c>
      <c r="H21" s="27">
        <v>11</v>
      </c>
      <c r="I21" s="27">
        <v>15</v>
      </c>
      <c r="J21" s="27" t="s">
        <v>106</v>
      </c>
      <c r="K21" s="27" t="s">
        <v>105</v>
      </c>
    </row>
    <row r="22" spans="1:11" x14ac:dyDescent="0.2">
      <c r="A22" s="27" t="s">
        <v>101</v>
      </c>
      <c r="B22" s="27" t="s">
        <v>102</v>
      </c>
      <c r="C22" s="27">
        <v>5.3</v>
      </c>
      <c r="D22" s="27">
        <v>2008</v>
      </c>
      <c r="E22" s="27">
        <v>8</v>
      </c>
      <c r="F22" s="27" t="s">
        <v>103</v>
      </c>
      <c r="G22" s="27" t="s">
        <v>104</v>
      </c>
      <c r="H22" s="27">
        <v>14</v>
      </c>
      <c r="I22" s="27">
        <v>20</v>
      </c>
      <c r="J22" s="27" t="s">
        <v>104</v>
      </c>
      <c r="K22" s="27" t="s">
        <v>105</v>
      </c>
    </row>
    <row r="23" spans="1:11" x14ac:dyDescent="0.2">
      <c r="A23" s="27" t="s">
        <v>101</v>
      </c>
      <c r="B23" s="27" t="s">
        <v>102</v>
      </c>
      <c r="C23" s="27">
        <v>5.7</v>
      </c>
      <c r="D23" s="27">
        <v>1999</v>
      </c>
      <c r="E23" s="27">
        <v>8</v>
      </c>
      <c r="F23" s="27" t="s">
        <v>103</v>
      </c>
      <c r="G23" s="27" t="s">
        <v>104</v>
      </c>
      <c r="H23" s="27">
        <v>13</v>
      </c>
      <c r="I23" s="27">
        <v>17</v>
      </c>
      <c r="J23" s="27" t="s">
        <v>104</v>
      </c>
      <c r="K23" s="27" t="s">
        <v>105</v>
      </c>
    </row>
    <row r="24" spans="1:11" x14ac:dyDescent="0.2">
      <c r="A24" s="27" t="s">
        <v>101</v>
      </c>
      <c r="B24" s="27" t="s">
        <v>102</v>
      </c>
      <c r="C24" s="27">
        <v>6</v>
      </c>
      <c r="D24" s="27">
        <v>2008</v>
      </c>
      <c r="E24" s="27">
        <v>8</v>
      </c>
      <c r="F24" s="27" t="s">
        <v>103</v>
      </c>
      <c r="G24" s="27" t="s">
        <v>104</v>
      </c>
      <c r="H24" s="27">
        <v>12</v>
      </c>
      <c r="I24" s="27">
        <v>17</v>
      </c>
      <c r="J24" s="27" t="s">
        <v>104</v>
      </c>
      <c r="K24" s="27" t="s">
        <v>105</v>
      </c>
    </row>
    <row r="25" spans="1:11" x14ac:dyDescent="0.2">
      <c r="A25" s="27" t="s">
        <v>101</v>
      </c>
      <c r="B25" s="27" t="s">
        <v>107</v>
      </c>
      <c r="C25" s="27">
        <v>5.7</v>
      </c>
      <c r="D25" s="27">
        <v>1999</v>
      </c>
      <c r="E25" s="27">
        <v>8</v>
      </c>
      <c r="F25" s="27" t="s">
        <v>95</v>
      </c>
      <c r="G25" s="27" t="s">
        <v>104</v>
      </c>
      <c r="H25" s="27">
        <v>16</v>
      </c>
      <c r="I25" s="27">
        <v>26</v>
      </c>
      <c r="J25" s="27" t="s">
        <v>6</v>
      </c>
      <c r="K25" s="27" t="s">
        <v>108</v>
      </c>
    </row>
    <row r="26" spans="1:11" x14ac:dyDescent="0.2">
      <c r="A26" s="27" t="s">
        <v>101</v>
      </c>
      <c r="B26" s="27" t="s">
        <v>107</v>
      </c>
      <c r="C26" s="27">
        <v>5.7</v>
      </c>
      <c r="D26" s="27">
        <v>1999</v>
      </c>
      <c r="E26" s="27">
        <v>8</v>
      </c>
      <c r="F26" s="27" t="s">
        <v>103</v>
      </c>
      <c r="G26" s="27" t="s">
        <v>104</v>
      </c>
      <c r="H26" s="27">
        <v>15</v>
      </c>
      <c r="I26" s="27">
        <v>23</v>
      </c>
      <c r="J26" s="27" t="s">
        <v>6</v>
      </c>
      <c r="K26" s="27" t="s">
        <v>108</v>
      </c>
    </row>
    <row r="27" spans="1:11" x14ac:dyDescent="0.2">
      <c r="A27" s="27" t="s">
        <v>101</v>
      </c>
      <c r="B27" s="27" t="s">
        <v>107</v>
      </c>
      <c r="C27" s="27">
        <v>6.2</v>
      </c>
      <c r="D27" s="27">
        <v>2008</v>
      </c>
      <c r="E27" s="27">
        <v>8</v>
      </c>
      <c r="F27" s="27" t="s">
        <v>95</v>
      </c>
      <c r="G27" s="27" t="s">
        <v>104</v>
      </c>
      <c r="H27" s="27">
        <v>16</v>
      </c>
      <c r="I27" s="27">
        <v>26</v>
      </c>
      <c r="J27" s="27" t="s">
        <v>6</v>
      </c>
      <c r="K27" s="27" t="s">
        <v>108</v>
      </c>
    </row>
    <row r="28" spans="1:11" x14ac:dyDescent="0.2">
      <c r="A28" s="27" t="s">
        <v>101</v>
      </c>
      <c r="B28" s="27" t="s">
        <v>107</v>
      </c>
      <c r="C28" s="27">
        <v>6.2</v>
      </c>
      <c r="D28" s="27">
        <v>2008</v>
      </c>
      <c r="E28" s="27">
        <v>8</v>
      </c>
      <c r="F28" s="27" t="s">
        <v>98</v>
      </c>
      <c r="G28" s="27" t="s">
        <v>104</v>
      </c>
      <c r="H28" s="27">
        <v>15</v>
      </c>
      <c r="I28" s="27">
        <v>25</v>
      </c>
      <c r="J28" s="27" t="s">
        <v>6</v>
      </c>
      <c r="K28" s="27" t="s">
        <v>108</v>
      </c>
    </row>
    <row r="29" spans="1:11" x14ac:dyDescent="0.2">
      <c r="A29" s="27" t="s">
        <v>101</v>
      </c>
      <c r="B29" s="27" t="s">
        <v>107</v>
      </c>
      <c r="C29" s="27">
        <v>7</v>
      </c>
      <c r="D29" s="27">
        <v>2008</v>
      </c>
      <c r="E29" s="27">
        <v>8</v>
      </c>
      <c r="F29" s="27" t="s">
        <v>95</v>
      </c>
      <c r="G29" s="27" t="s">
        <v>104</v>
      </c>
      <c r="H29" s="27">
        <v>15</v>
      </c>
      <c r="I29" s="27">
        <v>24</v>
      </c>
      <c r="J29" s="27" t="s">
        <v>6</v>
      </c>
      <c r="K29" s="27" t="s">
        <v>108</v>
      </c>
    </row>
    <row r="30" spans="1:11" x14ac:dyDescent="0.2">
      <c r="A30" s="27" t="s">
        <v>101</v>
      </c>
      <c r="B30" s="27" t="s">
        <v>109</v>
      </c>
      <c r="C30" s="27">
        <v>5.3</v>
      </c>
      <c r="D30" s="27">
        <v>2008</v>
      </c>
      <c r="E30" s="27">
        <v>8</v>
      </c>
      <c r="F30" s="27" t="s">
        <v>103</v>
      </c>
      <c r="G30" s="27">
        <v>4</v>
      </c>
      <c r="H30" s="27">
        <v>14</v>
      </c>
      <c r="I30" s="27">
        <v>19</v>
      </c>
      <c r="J30" s="27" t="s">
        <v>104</v>
      </c>
      <c r="K30" s="27" t="s">
        <v>105</v>
      </c>
    </row>
    <row r="31" spans="1:11" x14ac:dyDescent="0.2">
      <c r="A31" s="27" t="s">
        <v>101</v>
      </c>
      <c r="B31" s="27" t="s">
        <v>109</v>
      </c>
      <c r="C31" s="27">
        <v>5.3</v>
      </c>
      <c r="D31" s="27">
        <v>2008</v>
      </c>
      <c r="E31" s="27">
        <v>8</v>
      </c>
      <c r="F31" s="27" t="s">
        <v>103</v>
      </c>
      <c r="G31" s="27">
        <v>4</v>
      </c>
      <c r="H31" s="27">
        <v>11</v>
      </c>
      <c r="I31" s="27">
        <v>14</v>
      </c>
      <c r="J31" s="27" t="s">
        <v>106</v>
      </c>
      <c r="K31" s="27" t="s">
        <v>105</v>
      </c>
    </row>
    <row r="32" spans="1:11" x14ac:dyDescent="0.2">
      <c r="A32" s="27" t="s">
        <v>101</v>
      </c>
      <c r="B32" s="27" t="s">
        <v>109</v>
      </c>
      <c r="C32" s="27">
        <v>5.7</v>
      </c>
      <c r="D32" s="27">
        <v>1999</v>
      </c>
      <c r="E32" s="27">
        <v>8</v>
      </c>
      <c r="F32" s="27" t="s">
        <v>103</v>
      </c>
      <c r="G32" s="27">
        <v>4</v>
      </c>
      <c r="H32" s="27">
        <v>11</v>
      </c>
      <c r="I32" s="27">
        <v>15</v>
      </c>
      <c r="J32" s="27" t="s">
        <v>104</v>
      </c>
      <c r="K32" s="27" t="s">
        <v>105</v>
      </c>
    </row>
    <row r="33" spans="1:11" x14ac:dyDescent="0.2">
      <c r="A33" s="27" t="s">
        <v>101</v>
      </c>
      <c r="B33" s="27" t="s">
        <v>109</v>
      </c>
      <c r="C33" s="27">
        <v>6.5</v>
      </c>
      <c r="D33" s="27">
        <v>1999</v>
      </c>
      <c r="E33" s="27">
        <v>8</v>
      </c>
      <c r="F33" s="27" t="s">
        <v>103</v>
      </c>
      <c r="G33" s="27">
        <v>4</v>
      </c>
      <c r="H33" s="27">
        <v>14</v>
      </c>
      <c r="I33" s="27">
        <v>17</v>
      </c>
      <c r="J33" s="27" t="s">
        <v>110</v>
      </c>
      <c r="K33" s="27" t="s">
        <v>105</v>
      </c>
    </row>
    <row r="34" spans="1:11" x14ac:dyDescent="0.2">
      <c r="A34" s="27" t="s">
        <v>101</v>
      </c>
      <c r="B34" s="27" t="s">
        <v>111</v>
      </c>
      <c r="C34" s="27">
        <v>2.4</v>
      </c>
      <c r="D34" s="27">
        <v>1999</v>
      </c>
      <c r="E34" s="27">
        <v>4</v>
      </c>
      <c r="F34" s="27" t="s">
        <v>103</v>
      </c>
      <c r="G34" s="27" t="s">
        <v>92</v>
      </c>
      <c r="H34" s="27">
        <v>19</v>
      </c>
      <c r="I34" s="27">
        <v>27</v>
      </c>
      <c r="J34" s="27" t="s">
        <v>104</v>
      </c>
      <c r="K34" s="27" t="s">
        <v>100</v>
      </c>
    </row>
    <row r="35" spans="1:11" x14ac:dyDescent="0.2">
      <c r="A35" s="27" t="s">
        <v>101</v>
      </c>
      <c r="B35" s="27" t="s">
        <v>111</v>
      </c>
      <c r="C35" s="27">
        <v>2.4</v>
      </c>
      <c r="D35" s="27">
        <v>2008</v>
      </c>
      <c r="E35" s="27">
        <v>4</v>
      </c>
      <c r="F35" s="27" t="s">
        <v>103</v>
      </c>
      <c r="G35" s="27" t="s">
        <v>92</v>
      </c>
      <c r="H35" s="27">
        <v>22</v>
      </c>
      <c r="I35" s="27">
        <v>30</v>
      </c>
      <c r="J35" s="27" t="s">
        <v>104</v>
      </c>
      <c r="K35" s="27" t="s">
        <v>100</v>
      </c>
    </row>
    <row r="36" spans="1:11" x14ac:dyDescent="0.2">
      <c r="A36" s="27" t="s">
        <v>101</v>
      </c>
      <c r="B36" s="27" t="s">
        <v>111</v>
      </c>
      <c r="C36" s="27">
        <v>3.1</v>
      </c>
      <c r="D36" s="27">
        <v>1999</v>
      </c>
      <c r="E36" s="27">
        <v>6</v>
      </c>
      <c r="F36" s="27" t="s">
        <v>103</v>
      </c>
      <c r="G36" s="27" t="s">
        <v>92</v>
      </c>
      <c r="H36" s="27">
        <v>18</v>
      </c>
      <c r="I36" s="27">
        <v>26</v>
      </c>
      <c r="J36" s="27" t="s">
        <v>104</v>
      </c>
      <c r="K36" s="27" t="s">
        <v>100</v>
      </c>
    </row>
    <row r="37" spans="1:11" x14ac:dyDescent="0.2">
      <c r="A37" s="27" t="s">
        <v>101</v>
      </c>
      <c r="B37" s="27" t="s">
        <v>111</v>
      </c>
      <c r="C37" s="27">
        <v>3.5</v>
      </c>
      <c r="D37" s="27">
        <v>2008</v>
      </c>
      <c r="E37" s="27">
        <v>6</v>
      </c>
      <c r="F37" s="27" t="s">
        <v>103</v>
      </c>
      <c r="G37" s="27" t="s">
        <v>92</v>
      </c>
      <c r="H37" s="27">
        <v>18</v>
      </c>
      <c r="I37" s="27">
        <v>29</v>
      </c>
      <c r="J37" s="27" t="s">
        <v>104</v>
      </c>
      <c r="K37" s="27" t="s">
        <v>100</v>
      </c>
    </row>
    <row r="38" spans="1:11" x14ac:dyDescent="0.2">
      <c r="A38" s="27" t="s">
        <v>101</v>
      </c>
      <c r="B38" s="27" t="s">
        <v>111</v>
      </c>
      <c r="C38" s="27">
        <v>3.6</v>
      </c>
      <c r="D38" s="27">
        <v>2008</v>
      </c>
      <c r="E38" s="27">
        <v>6</v>
      </c>
      <c r="F38" s="27" t="s">
        <v>98</v>
      </c>
      <c r="G38" s="27" t="s">
        <v>92</v>
      </c>
      <c r="H38" s="27">
        <v>17</v>
      </c>
      <c r="I38" s="27">
        <v>26</v>
      </c>
      <c r="J38" s="27" t="s">
        <v>104</v>
      </c>
      <c r="K38" s="27" t="s">
        <v>100</v>
      </c>
    </row>
    <row r="39" spans="1:11" x14ac:dyDescent="0.2">
      <c r="A39" s="27" t="s">
        <v>112</v>
      </c>
      <c r="B39" s="27" t="s">
        <v>113</v>
      </c>
      <c r="C39" s="27">
        <v>2.4</v>
      </c>
      <c r="D39" s="27">
        <v>1999</v>
      </c>
      <c r="E39" s="27">
        <v>4</v>
      </c>
      <c r="F39" s="27" t="s">
        <v>114</v>
      </c>
      <c r="G39" s="27" t="s">
        <v>92</v>
      </c>
      <c r="H39" s="27">
        <v>18</v>
      </c>
      <c r="I39" s="27">
        <v>24</v>
      </c>
      <c r="J39" s="27" t="s">
        <v>104</v>
      </c>
      <c r="K39" s="27" t="s">
        <v>115</v>
      </c>
    </row>
    <row r="40" spans="1:11" x14ac:dyDescent="0.2">
      <c r="A40" s="27" t="s">
        <v>112</v>
      </c>
      <c r="B40" s="27" t="s">
        <v>113</v>
      </c>
      <c r="C40" s="27">
        <v>3</v>
      </c>
      <c r="D40" s="27">
        <v>1999</v>
      </c>
      <c r="E40" s="27">
        <v>6</v>
      </c>
      <c r="F40" s="27" t="s">
        <v>103</v>
      </c>
      <c r="G40" s="27" t="s">
        <v>92</v>
      </c>
      <c r="H40" s="27">
        <v>17</v>
      </c>
      <c r="I40" s="27">
        <v>24</v>
      </c>
      <c r="J40" s="27" t="s">
        <v>104</v>
      </c>
      <c r="K40" s="27" t="s">
        <v>115</v>
      </c>
    </row>
    <row r="41" spans="1:11" x14ac:dyDescent="0.2">
      <c r="A41" s="27" t="s">
        <v>112</v>
      </c>
      <c r="B41" s="27" t="s">
        <v>113</v>
      </c>
      <c r="C41" s="27">
        <v>3.3</v>
      </c>
      <c r="D41" s="27">
        <v>1999</v>
      </c>
      <c r="E41" s="27">
        <v>6</v>
      </c>
      <c r="F41" s="27" t="s">
        <v>103</v>
      </c>
      <c r="G41" s="27" t="s">
        <v>92</v>
      </c>
      <c r="H41" s="27">
        <v>16</v>
      </c>
      <c r="I41" s="27">
        <v>22</v>
      </c>
      <c r="J41" s="27" t="s">
        <v>104</v>
      </c>
      <c r="K41" s="27" t="s">
        <v>115</v>
      </c>
    </row>
    <row r="42" spans="1:11" x14ac:dyDescent="0.2">
      <c r="A42" s="27" t="s">
        <v>112</v>
      </c>
      <c r="B42" s="27" t="s">
        <v>113</v>
      </c>
      <c r="C42" s="27">
        <v>3.3</v>
      </c>
      <c r="D42" s="27">
        <v>1999</v>
      </c>
      <c r="E42" s="27">
        <v>6</v>
      </c>
      <c r="F42" s="27" t="s">
        <v>103</v>
      </c>
      <c r="G42" s="27" t="s">
        <v>92</v>
      </c>
      <c r="H42" s="27">
        <v>16</v>
      </c>
      <c r="I42" s="27">
        <v>22</v>
      </c>
      <c r="J42" s="27" t="s">
        <v>104</v>
      </c>
      <c r="K42" s="27" t="s">
        <v>115</v>
      </c>
    </row>
    <row r="43" spans="1:11" x14ac:dyDescent="0.2">
      <c r="A43" s="27" t="s">
        <v>112</v>
      </c>
      <c r="B43" s="27" t="s">
        <v>113</v>
      </c>
      <c r="C43" s="27">
        <v>3.3</v>
      </c>
      <c r="D43" s="27">
        <v>2008</v>
      </c>
      <c r="E43" s="27">
        <v>6</v>
      </c>
      <c r="F43" s="27" t="s">
        <v>103</v>
      </c>
      <c r="G43" s="27" t="s">
        <v>92</v>
      </c>
      <c r="H43" s="27">
        <v>17</v>
      </c>
      <c r="I43" s="27">
        <v>24</v>
      </c>
      <c r="J43" s="27" t="s">
        <v>104</v>
      </c>
      <c r="K43" s="27" t="s">
        <v>115</v>
      </c>
    </row>
    <row r="44" spans="1:11" x14ac:dyDescent="0.2">
      <c r="A44" s="27" t="s">
        <v>112</v>
      </c>
      <c r="B44" s="27" t="s">
        <v>113</v>
      </c>
      <c r="C44" s="27">
        <v>3.3</v>
      </c>
      <c r="D44" s="27">
        <v>2008</v>
      </c>
      <c r="E44" s="27">
        <v>6</v>
      </c>
      <c r="F44" s="27" t="s">
        <v>103</v>
      </c>
      <c r="G44" s="27" t="s">
        <v>92</v>
      </c>
      <c r="H44" s="27">
        <v>17</v>
      </c>
      <c r="I44" s="27">
        <v>24</v>
      </c>
      <c r="J44" s="27" t="s">
        <v>104</v>
      </c>
      <c r="K44" s="27" t="s">
        <v>115</v>
      </c>
    </row>
    <row r="45" spans="1:11" x14ac:dyDescent="0.2">
      <c r="A45" s="27" t="s">
        <v>112</v>
      </c>
      <c r="B45" s="27" t="s">
        <v>113</v>
      </c>
      <c r="C45" s="27">
        <v>3.3</v>
      </c>
      <c r="D45" s="27">
        <v>2008</v>
      </c>
      <c r="E45" s="27">
        <v>6</v>
      </c>
      <c r="F45" s="27" t="s">
        <v>103</v>
      </c>
      <c r="G45" s="27" t="s">
        <v>92</v>
      </c>
      <c r="H45" s="27">
        <v>11</v>
      </c>
      <c r="I45" s="27">
        <v>17</v>
      </c>
      <c r="J45" s="27" t="s">
        <v>106</v>
      </c>
      <c r="K45" s="27" t="s">
        <v>115</v>
      </c>
    </row>
    <row r="46" spans="1:11" x14ac:dyDescent="0.2">
      <c r="A46" s="27" t="s">
        <v>112</v>
      </c>
      <c r="B46" s="27" t="s">
        <v>113</v>
      </c>
      <c r="C46" s="27">
        <v>3.8</v>
      </c>
      <c r="D46" s="27">
        <v>1999</v>
      </c>
      <c r="E46" s="27">
        <v>6</v>
      </c>
      <c r="F46" s="27" t="s">
        <v>103</v>
      </c>
      <c r="G46" s="27" t="s">
        <v>92</v>
      </c>
      <c r="H46" s="27">
        <v>15</v>
      </c>
      <c r="I46" s="27">
        <v>22</v>
      </c>
      <c r="J46" s="27" t="s">
        <v>104</v>
      </c>
      <c r="K46" s="27" t="s">
        <v>115</v>
      </c>
    </row>
    <row r="47" spans="1:11" x14ac:dyDescent="0.2">
      <c r="A47" s="27" t="s">
        <v>112</v>
      </c>
      <c r="B47" s="27" t="s">
        <v>113</v>
      </c>
      <c r="C47" s="27">
        <v>3.8</v>
      </c>
      <c r="D47" s="27">
        <v>1999</v>
      </c>
      <c r="E47" s="27">
        <v>6</v>
      </c>
      <c r="F47" s="27" t="s">
        <v>103</v>
      </c>
      <c r="G47" s="27" t="s">
        <v>92</v>
      </c>
      <c r="H47" s="27">
        <v>15</v>
      </c>
      <c r="I47" s="27">
        <v>21</v>
      </c>
      <c r="J47" s="27" t="s">
        <v>104</v>
      </c>
      <c r="K47" s="27" t="s">
        <v>115</v>
      </c>
    </row>
    <row r="48" spans="1:11" x14ac:dyDescent="0.2">
      <c r="A48" s="27" t="s">
        <v>112</v>
      </c>
      <c r="B48" s="27" t="s">
        <v>113</v>
      </c>
      <c r="C48" s="27">
        <v>3.8</v>
      </c>
      <c r="D48" s="27">
        <v>2008</v>
      </c>
      <c r="E48" s="27">
        <v>6</v>
      </c>
      <c r="F48" s="27" t="s">
        <v>116</v>
      </c>
      <c r="G48" s="27" t="s">
        <v>92</v>
      </c>
      <c r="H48" s="27">
        <v>16</v>
      </c>
      <c r="I48" s="27">
        <v>23</v>
      </c>
      <c r="J48" s="27" t="s">
        <v>104</v>
      </c>
      <c r="K48" s="27" t="s">
        <v>115</v>
      </c>
    </row>
    <row r="49" spans="1:11" x14ac:dyDescent="0.2">
      <c r="A49" s="27" t="s">
        <v>112</v>
      </c>
      <c r="B49" s="27" t="s">
        <v>113</v>
      </c>
      <c r="C49" s="27">
        <v>4</v>
      </c>
      <c r="D49" s="27">
        <v>2008</v>
      </c>
      <c r="E49" s="27">
        <v>6</v>
      </c>
      <c r="F49" s="27" t="s">
        <v>116</v>
      </c>
      <c r="G49" s="27" t="s">
        <v>92</v>
      </c>
      <c r="H49" s="27">
        <v>16</v>
      </c>
      <c r="I49" s="27">
        <v>23</v>
      </c>
      <c r="J49" s="27" t="s">
        <v>104</v>
      </c>
      <c r="K49" s="27" t="s">
        <v>115</v>
      </c>
    </row>
    <row r="50" spans="1:11" x14ac:dyDescent="0.2">
      <c r="A50" s="27" t="s">
        <v>112</v>
      </c>
      <c r="B50" s="27" t="s">
        <v>117</v>
      </c>
      <c r="C50" s="27">
        <v>3.7</v>
      </c>
      <c r="D50" s="27">
        <v>2008</v>
      </c>
      <c r="E50" s="27">
        <v>6</v>
      </c>
      <c r="F50" s="27" t="s">
        <v>95</v>
      </c>
      <c r="G50" s="27">
        <v>4</v>
      </c>
      <c r="H50" s="27">
        <v>15</v>
      </c>
      <c r="I50" s="27">
        <v>19</v>
      </c>
      <c r="J50" s="27" t="s">
        <v>104</v>
      </c>
      <c r="K50" s="27" t="s">
        <v>118</v>
      </c>
    </row>
    <row r="51" spans="1:11" x14ac:dyDescent="0.2">
      <c r="A51" s="27" t="s">
        <v>112</v>
      </c>
      <c r="B51" s="27" t="s">
        <v>117</v>
      </c>
      <c r="C51" s="27">
        <v>3.7</v>
      </c>
      <c r="D51" s="27">
        <v>2008</v>
      </c>
      <c r="E51" s="27">
        <v>6</v>
      </c>
      <c r="F51" s="27" t="s">
        <v>103</v>
      </c>
      <c r="G51" s="27">
        <v>4</v>
      </c>
      <c r="H51" s="27">
        <v>14</v>
      </c>
      <c r="I51" s="27">
        <v>18</v>
      </c>
      <c r="J51" s="27" t="s">
        <v>104</v>
      </c>
      <c r="K51" s="27" t="s">
        <v>118</v>
      </c>
    </row>
    <row r="52" spans="1:11" x14ac:dyDescent="0.2">
      <c r="A52" s="27" t="s">
        <v>112</v>
      </c>
      <c r="B52" s="27" t="s">
        <v>117</v>
      </c>
      <c r="C52" s="27">
        <v>3.9</v>
      </c>
      <c r="D52" s="27">
        <v>1999</v>
      </c>
      <c r="E52" s="27">
        <v>6</v>
      </c>
      <c r="F52" s="27" t="s">
        <v>103</v>
      </c>
      <c r="G52" s="27">
        <v>4</v>
      </c>
      <c r="H52" s="27">
        <v>13</v>
      </c>
      <c r="I52" s="27">
        <v>17</v>
      </c>
      <c r="J52" s="27" t="s">
        <v>104</v>
      </c>
      <c r="K52" s="27" t="s">
        <v>118</v>
      </c>
    </row>
    <row r="53" spans="1:11" x14ac:dyDescent="0.2">
      <c r="A53" s="27" t="s">
        <v>112</v>
      </c>
      <c r="B53" s="27" t="s">
        <v>117</v>
      </c>
      <c r="C53" s="27">
        <v>3.9</v>
      </c>
      <c r="D53" s="27">
        <v>1999</v>
      </c>
      <c r="E53" s="27">
        <v>6</v>
      </c>
      <c r="F53" s="27" t="s">
        <v>94</v>
      </c>
      <c r="G53" s="27">
        <v>4</v>
      </c>
      <c r="H53" s="27">
        <v>14</v>
      </c>
      <c r="I53" s="27">
        <v>17</v>
      </c>
      <c r="J53" s="27" t="s">
        <v>104</v>
      </c>
      <c r="K53" s="27" t="s">
        <v>118</v>
      </c>
    </row>
    <row r="54" spans="1:11" x14ac:dyDescent="0.2">
      <c r="A54" s="27" t="s">
        <v>112</v>
      </c>
      <c r="B54" s="27" t="s">
        <v>117</v>
      </c>
      <c r="C54" s="27">
        <v>4.7</v>
      </c>
      <c r="D54" s="27">
        <v>2008</v>
      </c>
      <c r="E54" s="27">
        <v>8</v>
      </c>
      <c r="F54" s="27" t="s">
        <v>91</v>
      </c>
      <c r="G54" s="27">
        <v>4</v>
      </c>
      <c r="H54" s="27">
        <v>14</v>
      </c>
      <c r="I54" s="27">
        <v>19</v>
      </c>
      <c r="J54" s="27" t="s">
        <v>104</v>
      </c>
      <c r="K54" s="27" t="s">
        <v>118</v>
      </c>
    </row>
    <row r="55" spans="1:11" x14ac:dyDescent="0.2">
      <c r="A55" s="27" t="s">
        <v>112</v>
      </c>
      <c r="B55" s="27" t="s">
        <v>117</v>
      </c>
      <c r="C55" s="27">
        <v>4.7</v>
      </c>
      <c r="D55" s="27">
        <v>2008</v>
      </c>
      <c r="E55" s="27">
        <v>8</v>
      </c>
      <c r="F55" s="27" t="s">
        <v>91</v>
      </c>
      <c r="G55" s="27">
        <v>4</v>
      </c>
      <c r="H55" s="27">
        <v>14</v>
      </c>
      <c r="I55" s="27">
        <v>19</v>
      </c>
      <c r="J55" s="27" t="s">
        <v>104</v>
      </c>
      <c r="K55" s="27" t="s">
        <v>118</v>
      </c>
    </row>
    <row r="56" spans="1:11" x14ac:dyDescent="0.2">
      <c r="A56" s="27" t="s">
        <v>112</v>
      </c>
      <c r="B56" s="27" t="s">
        <v>117</v>
      </c>
      <c r="C56" s="27">
        <v>4.7</v>
      </c>
      <c r="D56" s="27">
        <v>2008</v>
      </c>
      <c r="E56" s="27">
        <v>8</v>
      </c>
      <c r="F56" s="27" t="s">
        <v>91</v>
      </c>
      <c r="G56" s="27">
        <v>4</v>
      </c>
      <c r="H56" s="27">
        <v>9</v>
      </c>
      <c r="I56" s="27">
        <v>12</v>
      </c>
      <c r="J56" s="27" t="s">
        <v>106</v>
      </c>
      <c r="K56" s="27" t="s">
        <v>118</v>
      </c>
    </row>
    <row r="57" spans="1:11" x14ac:dyDescent="0.2">
      <c r="A57" s="27" t="s">
        <v>112</v>
      </c>
      <c r="B57" s="27" t="s">
        <v>117</v>
      </c>
      <c r="C57" s="27">
        <v>5.2</v>
      </c>
      <c r="D57" s="27">
        <v>1999</v>
      </c>
      <c r="E57" s="27">
        <v>8</v>
      </c>
      <c r="F57" s="27" t="s">
        <v>94</v>
      </c>
      <c r="G57" s="27">
        <v>4</v>
      </c>
      <c r="H57" s="27">
        <v>11</v>
      </c>
      <c r="I57" s="27">
        <v>17</v>
      </c>
      <c r="J57" s="27" t="s">
        <v>104</v>
      </c>
      <c r="K57" s="27" t="s">
        <v>118</v>
      </c>
    </row>
    <row r="58" spans="1:11" x14ac:dyDescent="0.2">
      <c r="A58" s="27" t="s">
        <v>112</v>
      </c>
      <c r="B58" s="27" t="s">
        <v>117</v>
      </c>
      <c r="C58" s="27">
        <v>5.2</v>
      </c>
      <c r="D58" s="27">
        <v>1999</v>
      </c>
      <c r="E58" s="27">
        <v>8</v>
      </c>
      <c r="F58" s="27" t="s">
        <v>103</v>
      </c>
      <c r="G58" s="27">
        <v>4</v>
      </c>
      <c r="H58" s="27">
        <v>11</v>
      </c>
      <c r="I58" s="27">
        <v>15</v>
      </c>
      <c r="J58" s="27" t="s">
        <v>104</v>
      </c>
      <c r="K58" s="27" t="s">
        <v>118</v>
      </c>
    </row>
    <row r="59" spans="1:11" x14ac:dyDescent="0.2">
      <c r="A59" s="27" t="s">
        <v>112</v>
      </c>
      <c r="B59" s="27" t="s">
        <v>119</v>
      </c>
      <c r="C59" s="27">
        <v>3.9</v>
      </c>
      <c r="D59" s="27">
        <v>1999</v>
      </c>
      <c r="E59" s="27">
        <v>6</v>
      </c>
      <c r="F59" s="27" t="s">
        <v>103</v>
      </c>
      <c r="G59" s="27">
        <v>4</v>
      </c>
      <c r="H59" s="27">
        <v>13</v>
      </c>
      <c r="I59" s="27">
        <v>17</v>
      </c>
      <c r="J59" s="27" t="s">
        <v>104</v>
      </c>
      <c r="K59" s="27" t="s">
        <v>105</v>
      </c>
    </row>
    <row r="60" spans="1:11" x14ac:dyDescent="0.2">
      <c r="A60" s="27" t="s">
        <v>112</v>
      </c>
      <c r="B60" s="27" t="s">
        <v>119</v>
      </c>
      <c r="C60" s="27">
        <v>4.7</v>
      </c>
      <c r="D60" s="27">
        <v>2008</v>
      </c>
      <c r="E60" s="27">
        <v>8</v>
      </c>
      <c r="F60" s="27" t="s">
        <v>91</v>
      </c>
      <c r="G60" s="27">
        <v>4</v>
      </c>
      <c r="H60" s="27">
        <v>13</v>
      </c>
      <c r="I60" s="27">
        <v>17</v>
      </c>
      <c r="J60" s="27" t="s">
        <v>104</v>
      </c>
      <c r="K60" s="27" t="s">
        <v>105</v>
      </c>
    </row>
    <row r="61" spans="1:11" x14ac:dyDescent="0.2">
      <c r="A61" s="27" t="s">
        <v>112</v>
      </c>
      <c r="B61" s="27" t="s">
        <v>119</v>
      </c>
      <c r="C61" s="27">
        <v>4.7</v>
      </c>
      <c r="D61" s="27">
        <v>2008</v>
      </c>
      <c r="E61" s="27">
        <v>8</v>
      </c>
      <c r="F61" s="27" t="s">
        <v>91</v>
      </c>
      <c r="G61" s="27">
        <v>4</v>
      </c>
      <c r="H61" s="27">
        <v>9</v>
      </c>
      <c r="I61" s="27">
        <v>12</v>
      </c>
      <c r="J61" s="27" t="s">
        <v>106</v>
      </c>
      <c r="K61" s="27" t="s">
        <v>105</v>
      </c>
    </row>
    <row r="62" spans="1:11" x14ac:dyDescent="0.2">
      <c r="A62" s="27" t="s">
        <v>112</v>
      </c>
      <c r="B62" s="27" t="s">
        <v>119</v>
      </c>
      <c r="C62" s="27">
        <v>4.7</v>
      </c>
      <c r="D62" s="27">
        <v>2008</v>
      </c>
      <c r="E62" s="27">
        <v>8</v>
      </c>
      <c r="F62" s="27" t="s">
        <v>91</v>
      </c>
      <c r="G62" s="27">
        <v>4</v>
      </c>
      <c r="H62" s="27">
        <v>13</v>
      </c>
      <c r="I62" s="27">
        <v>17</v>
      </c>
      <c r="J62" s="27" t="s">
        <v>104</v>
      </c>
      <c r="K62" s="27" t="s">
        <v>105</v>
      </c>
    </row>
    <row r="63" spans="1:11" x14ac:dyDescent="0.2">
      <c r="A63" s="27" t="s">
        <v>112</v>
      </c>
      <c r="B63" s="27" t="s">
        <v>119</v>
      </c>
      <c r="C63" s="27">
        <v>5.2</v>
      </c>
      <c r="D63" s="27">
        <v>1999</v>
      </c>
      <c r="E63" s="27">
        <v>8</v>
      </c>
      <c r="F63" s="27" t="s">
        <v>103</v>
      </c>
      <c r="G63" s="27">
        <v>4</v>
      </c>
      <c r="H63" s="27">
        <v>11</v>
      </c>
      <c r="I63" s="27">
        <v>16</v>
      </c>
      <c r="J63" s="27" t="s">
        <v>104</v>
      </c>
      <c r="K63" s="27" t="s">
        <v>105</v>
      </c>
    </row>
    <row r="64" spans="1:11" x14ac:dyDescent="0.2">
      <c r="A64" s="27" t="s">
        <v>112</v>
      </c>
      <c r="B64" s="27" t="s">
        <v>119</v>
      </c>
      <c r="C64" s="27">
        <v>5.7</v>
      </c>
      <c r="D64" s="27">
        <v>2008</v>
      </c>
      <c r="E64" s="27">
        <v>8</v>
      </c>
      <c r="F64" s="27" t="s">
        <v>91</v>
      </c>
      <c r="G64" s="27">
        <v>4</v>
      </c>
      <c r="H64" s="27">
        <v>13</v>
      </c>
      <c r="I64" s="27">
        <v>18</v>
      </c>
      <c r="J64" s="27" t="s">
        <v>104</v>
      </c>
      <c r="K64" s="27" t="s">
        <v>105</v>
      </c>
    </row>
    <row r="65" spans="1:11" x14ac:dyDescent="0.2">
      <c r="A65" s="27" t="s">
        <v>112</v>
      </c>
      <c r="B65" s="27" t="s">
        <v>119</v>
      </c>
      <c r="C65" s="27">
        <v>5.9</v>
      </c>
      <c r="D65" s="27">
        <v>1999</v>
      </c>
      <c r="E65" s="27">
        <v>8</v>
      </c>
      <c r="F65" s="27" t="s">
        <v>103</v>
      </c>
      <c r="G65" s="27">
        <v>4</v>
      </c>
      <c r="H65" s="27">
        <v>11</v>
      </c>
      <c r="I65" s="27">
        <v>15</v>
      </c>
      <c r="J65" s="27" t="s">
        <v>104</v>
      </c>
      <c r="K65" s="27" t="s">
        <v>105</v>
      </c>
    </row>
    <row r="66" spans="1:11" x14ac:dyDescent="0.2">
      <c r="A66" s="27" t="s">
        <v>112</v>
      </c>
      <c r="B66" s="27" t="s">
        <v>120</v>
      </c>
      <c r="C66" s="27">
        <v>4.7</v>
      </c>
      <c r="D66" s="27">
        <v>2008</v>
      </c>
      <c r="E66" s="27">
        <v>8</v>
      </c>
      <c r="F66" s="27" t="s">
        <v>95</v>
      </c>
      <c r="G66" s="27">
        <v>4</v>
      </c>
      <c r="H66" s="27">
        <v>12</v>
      </c>
      <c r="I66" s="27">
        <v>16</v>
      </c>
      <c r="J66" s="27" t="s">
        <v>104</v>
      </c>
      <c r="K66" s="27" t="s">
        <v>118</v>
      </c>
    </row>
    <row r="67" spans="1:11" x14ac:dyDescent="0.2">
      <c r="A67" s="27" t="s">
        <v>112</v>
      </c>
      <c r="B67" s="27" t="s">
        <v>120</v>
      </c>
      <c r="C67" s="27">
        <v>4.7</v>
      </c>
      <c r="D67" s="27">
        <v>2008</v>
      </c>
      <c r="E67" s="27">
        <v>8</v>
      </c>
      <c r="F67" s="27" t="s">
        <v>91</v>
      </c>
      <c r="G67" s="27">
        <v>4</v>
      </c>
      <c r="H67" s="27">
        <v>9</v>
      </c>
      <c r="I67" s="27">
        <v>12</v>
      </c>
      <c r="J67" s="27" t="s">
        <v>106</v>
      </c>
      <c r="K67" s="27" t="s">
        <v>118</v>
      </c>
    </row>
    <row r="68" spans="1:11" x14ac:dyDescent="0.2">
      <c r="A68" s="27" t="s">
        <v>112</v>
      </c>
      <c r="B68" s="27" t="s">
        <v>120</v>
      </c>
      <c r="C68" s="27">
        <v>4.7</v>
      </c>
      <c r="D68" s="27">
        <v>2008</v>
      </c>
      <c r="E68" s="27">
        <v>8</v>
      </c>
      <c r="F68" s="27" t="s">
        <v>91</v>
      </c>
      <c r="G68" s="27">
        <v>4</v>
      </c>
      <c r="H68" s="27">
        <v>13</v>
      </c>
      <c r="I68" s="27">
        <v>17</v>
      </c>
      <c r="J68" s="27" t="s">
        <v>104</v>
      </c>
      <c r="K68" s="27" t="s">
        <v>118</v>
      </c>
    </row>
    <row r="69" spans="1:11" x14ac:dyDescent="0.2">
      <c r="A69" s="27" t="s">
        <v>112</v>
      </c>
      <c r="B69" s="27" t="s">
        <v>120</v>
      </c>
      <c r="C69" s="27">
        <v>4.7</v>
      </c>
      <c r="D69" s="27">
        <v>2008</v>
      </c>
      <c r="E69" s="27">
        <v>8</v>
      </c>
      <c r="F69" s="27" t="s">
        <v>91</v>
      </c>
      <c r="G69" s="27">
        <v>4</v>
      </c>
      <c r="H69" s="27">
        <v>13</v>
      </c>
      <c r="I69" s="27">
        <v>17</v>
      </c>
      <c r="J69" s="27" t="s">
        <v>104</v>
      </c>
      <c r="K69" s="27" t="s">
        <v>118</v>
      </c>
    </row>
    <row r="70" spans="1:11" x14ac:dyDescent="0.2">
      <c r="A70" s="27" t="s">
        <v>112</v>
      </c>
      <c r="B70" s="27" t="s">
        <v>120</v>
      </c>
      <c r="C70" s="27">
        <v>4.7</v>
      </c>
      <c r="D70" s="27">
        <v>2008</v>
      </c>
      <c r="E70" s="27">
        <v>8</v>
      </c>
      <c r="F70" s="27" t="s">
        <v>95</v>
      </c>
      <c r="G70" s="27">
        <v>4</v>
      </c>
      <c r="H70" s="27">
        <v>12</v>
      </c>
      <c r="I70" s="27">
        <v>16</v>
      </c>
      <c r="J70" s="27" t="s">
        <v>104</v>
      </c>
      <c r="K70" s="27" t="s">
        <v>118</v>
      </c>
    </row>
    <row r="71" spans="1:11" x14ac:dyDescent="0.2">
      <c r="A71" s="27" t="s">
        <v>112</v>
      </c>
      <c r="B71" s="27" t="s">
        <v>120</v>
      </c>
      <c r="C71" s="27">
        <v>4.7</v>
      </c>
      <c r="D71" s="27">
        <v>2008</v>
      </c>
      <c r="E71" s="27">
        <v>8</v>
      </c>
      <c r="F71" s="27" t="s">
        <v>95</v>
      </c>
      <c r="G71" s="27">
        <v>4</v>
      </c>
      <c r="H71" s="27">
        <v>9</v>
      </c>
      <c r="I71" s="27">
        <v>12</v>
      </c>
      <c r="J71" s="27" t="s">
        <v>106</v>
      </c>
      <c r="K71" s="27" t="s">
        <v>118</v>
      </c>
    </row>
    <row r="72" spans="1:11" x14ac:dyDescent="0.2">
      <c r="A72" s="27" t="s">
        <v>112</v>
      </c>
      <c r="B72" s="27" t="s">
        <v>120</v>
      </c>
      <c r="C72" s="27">
        <v>5.2</v>
      </c>
      <c r="D72" s="27">
        <v>1999</v>
      </c>
      <c r="E72" s="27">
        <v>8</v>
      </c>
      <c r="F72" s="27" t="s">
        <v>103</v>
      </c>
      <c r="G72" s="27">
        <v>4</v>
      </c>
      <c r="H72" s="27">
        <v>11</v>
      </c>
      <c r="I72" s="27">
        <v>15</v>
      </c>
      <c r="J72" s="27" t="s">
        <v>104</v>
      </c>
      <c r="K72" s="27" t="s">
        <v>118</v>
      </c>
    </row>
    <row r="73" spans="1:11" x14ac:dyDescent="0.2">
      <c r="A73" s="27" t="s">
        <v>112</v>
      </c>
      <c r="B73" s="27" t="s">
        <v>120</v>
      </c>
      <c r="C73" s="27">
        <v>5.2</v>
      </c>
      <c r="D73" s="27">
        <v>1999</v>
      </c>
      <c r="E73" s="27">
        <v>8</v>
      </c>
      <c r="F73" s="27" t="s">
        <v>94</v>
      </c>
      <c r="G73" s="27">
        <v>4</v>
      </c>
      <c r="H73" s="27">
        <v>11</v>
      </c>
      <c r="I73" s="27">
        <v>16</v>
      </c>
      <c r="J73" s="27" t="s">
        <v>104</v>
      </c>
      <c r="K73" s="27" t="s">
        <v>118</v>
      </c>
    </row>
    <row r="74" spans="1:11" x14ac:dyDescent="0.2">
      <c r="A74" s="27" t="s">
        <v>112</v>
      </c>
      <c r="B74" s="27" t="s">
        <v>120</v>
      </c>
      <c r="C74" s="27">
        <v>5.7</v>
      </c>
      <c r="D74" s="27">
        <v>2008</v>
      </c>
      <c r="E74" s="27">
        <v>8</v>
      </c>
      <c r="F74" s="27" t="s">
        <v>91</v>
      </c>
      <c r="G74" s="27">
        <v>4</v>
      </c>
      <c r="H74" s="27">
        <v>13</v>
      </c>
      <c r="I74" s="27">
        <v>17</v>
      </c>
      <c r="J74" s="27" t="s">
        <v>104</v>
      </c>
      <c r="K74" s="27" t="s">
        <v>118</v>
      </c>
    </row>
    <row r="75" spans="1:11" x14ac:dyDescent="0.2">
      <c r="A75" s="27" t="s">
        <v>112</v>
      </c>
      <c r="B75" s="27" t="s">
        <v>120</v>
      </c>
      <c r="C75" s="27">
        <v>5.9</v>
      </c>
      <c r="D75" s="27">
        <v>1999</v>
      </c>
      <c r="E75" s="27">
        <v>8</v>
      </c>
      <c r="F75" s="27" t="s">
        <v>103</v>
      </c>
      <c r="G75" s="27">
        <v>4</v>
      </c>
      <c r="H75" s="27">
        <v>11</v>
      </c>
      <c r="I75" s="27">
        <v>15</v>
      </c>
      <c r="J75" s="27" t="s">
        <v>104</v>
      </c>
      <c r="K75" s="27" t="s">
        <v>118</v>
      </c>
    </row>
    <row r="76" spans="1:11" x14ac:dyDescent="0.2">
      <c r="A76" s="27" t="s">
        <v>121</v>
      </c>
      <c r="B76" s="27" t="s">
        <v>122</v>
      </c>
      <c r="C76" s="27">
        <v>4.5999999999999996</v>
      </c>
      <c r="D76" s="27">
        <v>1999</v>
      </c>
      <c r="E76" s="27">
        <v>8</v>
      </c>
      <c r="F76" s="27" t="s">
        <v>103</v>
      </c>
      <c r="G76" s="27" t="s">
        <v>104</v>
      </c>
      <c r="H76" s="27">
        <v>11</v>
      </c>
      <c r="I76" s="27">
        <v>17</v>
      </c>
      <c r="J76" s="27" t="s">
        <v>104</v>
      </c>
      <c r="K76" s="27" t="s">
        <v>105</v>
      </c>
    </row>
    <row r="77" spans="1:11" x14ac:dyDescent="0.2">
      <c r="A77" s="27" t="s">
        <v>121</v>
      </c>
      <c r="B77" s="27" t="s">
        <v>122</v>
      </c>
      <c r="C77" s="27">
        <v>5.4</v>
      </c>
      <c r="D77" s="27">
        <v>1999</v>
      </c>
      <c r="E77" s="27">
        <v>8</v>
      </c>
      <c r="F77" s="27" t="s">
        <v>103</v>
      </c>
      <c r="G77" s="27" t="s">
        <v>104</v>
      </c>
      <c r="H77" s="27">
        <v>11</v>
      </c>
      <c r="I77" s="27">
        <v>17</v>
      </c>
      <c r="J77" s="27" t="s">
        <v>104</v>
      </c>
      <c r="K77" s="27" t="s">
        <v>105</v>
      </c>
    </row>
    <row r="78" spans="1:11" x14ac:dyDescent="0.2">
      <c r="A78" s="27" t="s">
        <v>121</v>
      </c>
      <c r="B78" s="27" t="s">
        <v>122</v>
      </c>
      <c r="C78" s="27">
        <v>5.4</v>
      </c>
      <c r="D78" s="27">
        <v>2008</v>
      </c>
      <c r="E78" s="27">
        <v>8</v>
      </c>
      <c r="F78" s="27" t="s">
        <v>116</v>
      </c>
      <c r="G78" s="27" t="s">
        <v>104</v>
      </c>
      <c r="H78" s="27">
        <v>12</v>
      </c>
      <c r="I78" s="27">
        <v>18</v>
      </c>
      <c r="J78" s="27" t="s">
        <v>104</v>
      </c>
      <c r="K78" s="27" t="s">
        <v>105</v>
      </c>
    </row>
    <row r="79" spans="1:11" x14ac:dyDescent="0.2">
      <c r="A79" s="27" t="s">
        <v>121</v>
      </c>
      <c r="B79" s="27" t="s">
        <v>123</v>
      </c>
      <c r="C79" s="27">
        <v>4</v>
      </c>
      <c r="D79" s="27">
        <v>1999</v>
      </c>
      <c r="E79" s="27">
        <v>6</v>
      </c>
      <c r="F79" s="27" t="s">
        <v>91</v>
      </c>
      <c r="G79" s="27">
        <v>4</v>
      </c>
      <c r="H79" s="27">
        <v>14</v>
      </c>
      <c r="I79" s="27">
        <v>17</v>
      </c>
      <c r="J79" s="27" t="s">
        <v>104</v>
      </c>
      <c r="K79" s="27" t="s">
        <v>105</v>
      </c>
    </row>
    <row r="80" spans="1:11" x14ac:dyDescent="0.2">
      <c r="A80" s="27" t="s">
        <v>121</v>
      </c>
      <c r="B80" s="27" t="s">
        <v>123</v>
      </c>
      <c r="C80" s="27">
        <v>4</v>
      </c>
      <c r="D80" s="27">
        <v>1999</v>
      </c>
      <c r="E80" s="27">
        <v>6</v>
      </c>
      <c r="F80" s="27" t="s">
        <v>94</v>
      </c>
      <c r="G80" s="27">
        <v>4</v>
      </c>
      <c r="H80" s="27">
        <v>15</v>
      </c>
      <c r="I80" s="27">
        <v>19</v>
      </c>
      <c r="J80" s="27" t="s">
        <v>104</v>
      </c>
      <c r="K80" s="27" t="s">
        <v>105</v>
      </c>
    </row>
    <row r="81" spans="1:11" x14ac:dyDescent="0.2">
      <c r="A81" s="27" t="s">
        <v>121</v>
      </c>
      <c r="B81" s="27" t="s">
        <v>123</v>
      </c>
      <c r="C81" s="27">
        <v>4</v>
      </c>
      <c r="D81" s="27">
        <v>1999</v>
      </c>
      <c r="E81" s="27">
        <v>6</v>
      </c>
      <c r="F81" s="27" t="s">
        <v>91</v>
      </c>
      <c r="G81" s="27">
        <v>4</v>
      </c>
      <c r="H81" s="27">
        <v>14</v>
      </c>
      <c r="I81" s="27">
        <v>17</v>
      </c>
      <c r="J81" s="27" t="s">
        <v>104</v>
      </c>
      <c r="K81" s="27" t="s">
        <v>105</v>
      </c>
    </row>
    <row r="82" spans="1:11" x14ac:dyDescent="0.2">
      <c r="A82" s="27" t="s">
        <v>121</v>
      </c>
      <c r="B82" s="27" t="s">
        <v>123</v>
      </c>
      <c r="C82" s="27">
        <v>4</v>
      </c>
      <c r="D82" s="27">
        <v>2008</v>
      </c>
      <c r="E82" s="27">
        <v>6</v>
      </c>
      <c r="F82" s="27" t="s">
        <v>91</v>
      </c>
      <c r="G82" s="27">
        <v>4</v>
      </c>
      <c r="H82" s="27">
        <v>13</v>
      </c>
      <c r="I82" s="27">
        <v>19</v>
      </c>
      <c r="J82" s="27" t="s">
        <v>104</v>
      </c>
      <c r="K82" s="27" t="s">
        <v>105</v>
      </c>
    </row>
    <row r="83" spans="1:11" x14ac:dyDescent="0.2">
      <c r="A83" s="27" t="s">
        <v>121</v>
      </c>
      <c r="B83" s="27" t="s">
        <v>123</v>
      </c>
      <c r="C83" s="27">
        <v>4.5999999999999996</v>
      </c>
      <c r="D83" s="27">
        <v>2008</v>
      </c>
      <c r="E83" s="27">
        <v>8</v>
      </c>
      <c r="F83" s="27" t="s">
        <v>116</v>
      </c>
      <c r="G83" s="27">
        <v>4</v>
      </c>
      <c r="H83" s="27">
        <v>13</v>
      </c>
      <c r="I83" s="27">
        <v>19</v>
      </c>
      <c r="J83" s="27" t="s">
        <v>104</v>
      </c>
      <c r="K83" s="27" t="s">
        <v>105</v>
      </c>
    </row>
    <row r="84" spans="1:11" x14ac:dyDescent="0.2">
      <c r="A84" s="27" t="s">
        <v>121</v>
      </c>
      <c r="B84" s="27" t="s">
        <v>123</v>
      </c>
      <c r="C84" s="27">
        <v>5</v>
      </c>
      <c r="D84" s="27">
        <v>1999</v>
      </c>
      <c r="E84" s="27">
        <v>8</v>
      </c>
      <c r="F84" s="27" t="s">
        <v>103</v>
      </c>
      <c r="G84" s="27">
        <v>4</v>
      </c>
      <c r="H84" s="27">
        <v>13</v>
      </c>
      <c r="I84" s="27">
        <v>17</v>
      </c>
      <c r="J84" s="27" t="s">
        <v>104</v>
      </c>
      <c r="K84" s="27" t="s">
        <v>105</v>
      </c>
    </row>
    <row r="85" spans="1:11" x14ac:dyDescent="0.2">
      <c r="A85" s="27" t="s">
        <v>121</v>
      </c>
      <c r="B85" s="27" t="s">
        <v>124</v>
      </c>
      <c r="C85" s="27">
        <v>4.2</v>
      </c>
      <c r="D85" s="27">
        <v>1999</v>
      </c>
      <c r="E85" s="27">
        <v>6</v>
      </c>
      <c r="F85" s="27" t="s">
        <v>103</v>
      </c>
      <c r="G85" s="27">
        <v>4</v>
      </c>
      <c r="H85" s="27">
        <v>14</v>
      </c>
      <c r="I85" s="27">
        <v>17</v>
      </c>
      <c r="J85" s="27" t="s">
        <v>104</v>
      </c>
      <c r="K85" s="27" t="s">
        <v>118</v>
      </c>
    </row>
    <row r="86" spans="1:11" x14ac:dyDescent="0.2">
      <c r="A86" s="27" t="s">
        <v>121</v>
      </c>
      <c r="B86" s="27" t="s">
        <v>124</v>
      </c>
      <c r="C86" s="27">
        <v>4.2</v>
      </c>
      <c r="D86" s="27">
        <v>1999</v>
      </c>
      <c r="E86" s="27">
        <v>6</v>
      </c>
      <c r="F86" s="27" t="s">
        <v>94</v>
      </c>
      <c r="G86" s="27">
        <v>4</v>
      </c>
      <c r="H86" s="27">
        <v>14</v>
      </c>
      <c r="I86" s="27">
        <v>17</v>
      </c>
      <c r="J86" s="27" t="s">
        <v>104</v>
      </c>
      <c r="K86" s="27" t="s">
        <v>118</v>
      </c>
    </row>
    <row r="87" spans="1:11" x14ac:dyDescent="0.2">
      <c r="A87" s="27" t="s">
        <v>121</v>
      </c>
      <c r="B87" s="27" t="s">
        <v>124</v>
      </c>
      <c r="C87" s="27">
        <v>4.5999999999999996</v>
      </c>
      <c r="D87" s="27">
        <v>1999</v>
      </c>
      <c r="E87" s="27">
        <v>8</v>
      </c>
      <c r="F87" s="27" t="s">
        <v>94</v>
      </c>
      <c r="G87" s="27">
        <v>4</v>
      </c>
      <c r="H87" s="27">
        <v>13</v>
      </c>
      <c r="I87" s="27">
        <v>16</v>
      </c>
      <c r="J87" s="27" t="s">
        <v>104</v>
      </c>
      <c r="K87" s="27" t="s">
        <v>118</v>
      </c>
    </row>
    <row r="88" spans="1:11" x14ac:dyDescent="0.2">
      <c r="A88" s="27" t="s">
        <v>121</v>
      </c>
      <c r="B88" s="27" t="s">
        <v>124</v>
      </c>
      <c r="C88" s="27">
        <v>4.5999999999999996</v>
      </c>
      <c r="D88" s="27">
        <v>1999</v>
      </c>
      <c r="E88" s="27">
        <v>8</v>
      </c>
      <c r="F88" s="27" t="s">
        <v>103</v>
      </c>
      <c r="G88" s="27">
        <v>4</v>
      </c>
      <c r="H88" s="27">
        <v>13</v>
      </c>
      <c r="I88" s="27">
        <v>16</v>
      </c>
      <c r="J88" s="27" t="s">
        <v>104</v>
      </c>
      <c r="K88" s="27" t="s">
        <v>118</v>
      </c>
    </row>
    <row r="89" spans="1:11" x14ac:dyDescent="0.2">
      <c r="A89" s="27" t="s">
        <v>121</v>
      </c>
      <c r="B89" s="27" t="s">
        <v>124</v>
      </c>
      <c r="C89" s="27">
        <v>4.5999999999999996</v>
      </c>
      <c r="D89" s="27">
        <v>2008</v>
      </c>
      <c r="E89" s="27">
        <v>8</v>
      </c>
      <c r="F89" s="27" t="s">
        <v>103</v>
      </c>
      <c r="G89" s="27">
        <v>4</v>
      </c>
      <c r="H89" s="27">
        <v>13</v>
      </c>
      <c r="I89" s="27">
        <v>17</v>
      </c>
      <c r="J89" s="27" t="s">
        <v>104</v>
      </c>
      <c r="K89" s="27" t="s">
        <v>118</v>
      </c>
    </row>
    <row r="90" spans="1:11" x14ac:dyDescent="0.2">
      <c r="A90" s="27" t="s">
        <v>121</v>
      </c>
      <c r="B90" s="27" t="s">
        <v>124</v>
      </c>
      <c r="C90" s="27">
        <v>5.4</v>
      </c>
      <c r="D90" s="27">
        <v>1999</v>
      </c>
      <c r="E90" s="27">
        <v>8</v>
      </c>
      <c r="F90" s="27" t="s">
        <v>103</v>
      </c>
      <c r="G90" s="27">
        <v>4</v>
      </c>
      <c r="H90" s="27">
        <v>11</v>
      </c>
      <c r="I90" s="27">
        <v>15</v>
      </c>
      <c r="J90" s="27" t="s">
        <v>104</v>
      </c>
      <c r="K90" s="27" t="s">
        <v>118</v>
      </c>
    </row>
    <row r="91" spans="1:11" x14ac:dyDescent="0.2">
      <c r="A91" s="27" t="s">
        <v>121</v>
      </c>
      <c r="B91" s="27" t="s">
        <v>124</v>
      </c>
      <c r="C91" s="27">
        <v>5.4</v>
      </c>
      <c r="D91" s="27">
        <v>2008</v>
      </c>
      <c r="E91" s="27">
        <v>8</v>
      </c>
      <c r="F91" s="27" t="s">
        <v>103</v>
      </c>
      <c r="G91" s="27">
        <v>4</v>
      </c>
      <c r="H91" s="27">
        <v>13</v>
      </c>
      <c r="I91" s="27">
        <v>17</v>
      </c>
      <c r="J91" s="27" t="s">
        <v>104</v>
      </c>
      <c r="K91" s="27" t="s">
        <v>118</v>
      </c>
    </row>
    <row r="92" spans="1:11" x14ac:dyDescent="0.2">
      <c r="A92" s="27" t="s">
        <v>121</v>
      </c>
      <c r="B92" s="27" t="s">
        <v>125</v>
      </c>
      <c r="C92" s="27">
        <v>3.8</v>
      </c>
      <c r="D92" s="27">
        <v>1999</v>
      </c>
      <c r="E92" s="27">
        <v>6</v>
      </c>
      <c r="F92" s="27" t="s">
        <v>94</v>
      </c>
      <c r="G92" s="27" t="s">
        <v>104</v>
      </c>
      <c r="H92" s="27">
        <v>18</v>
      </c>
      <c r="I92" s="27">
        <v>26</v>
      </c>
      <c r="J92" s="27" t="s">
        <v>104</v>
      </c>
      <c r="K92" s="27" t="s">
        <v>126</v>
      </c>
    </row>
    <row r="93" spans="1:11" x14ac:dyDescent="0.2">
      <c r="A93" s="27" t="s">
        <v>121</v>
      </c>
      <c r="B93" s="27" t="s">
        <v>125</v>
      </c>
      <c r="C93" s="27">
        <v>3.8</v>
      </c>
      <c r="D93" s="27">
        <v>1999</v>
      </c>
      <c r="E93" s="27">
        <v>6</v>
      </c>
      <c r="F93" s="27" t="s">
        <v>103</v>
      </c>
      <c r="G93" s="27" t="s">
        <v>104</v>
      </c>
      <c r="H93" s="27">
        <v>18</v>
      </c>
      <c r="I93" s="27">
        <v>25</v>
      </c>
      <c r="J93" s="27" t="s">
        <v>104</v>
      </c>
      <c r="K93" s="27" t="s">
        <v>126</v>
      </c>
    </row>
    <row r="94" spans="1:11" x14ac:dyDescent="0.2">
      <c r="A94" s="27" t="s">
        <v>121</v>
      </c>
      <c r="B94" s="27" t="s">
        <v>125</v>
      </c>
      <c r="C94" s="27">
        <v>4</v>
      </c>
      <c r="D94" s="27">
        <v>2008</v>
      </c>
      <c r="E94" s="27">
        <v>6</v>
      </c>
      <c r="F94" s="27" t="s">
        <v>94</v>
      </c>
      <c r="G94" s="27" t="s">
        <v>104</v>
      </c>
      <c r="H94" s="27">
        <v>17</v>
      </c>
      <c r="I94" s="27">
        <v>26</v>
      </c>
      <c r="J94" s="27" t="s">
        <v>104</v>
      </c>
      <c r="K94" s="27" t="s">
        <v>126</v>
      </c>
    </row>
    <row r="95" spans="1:11" x14ac:dyDescent="0.2">
      <c r="A95" s="27" t="s">
        <v>121</v>
      </c>
      <c r="B95" s="27" t="s">
        <v>125</v>
      </c>
      <c r="C95" s="27">
        <v>4</v>
      </c>
      <c r="D95" s="27">
        <v>2008</v>
      </c>
      <c r="E95" s="27">
        <v>6</v>
      </c>
      <c r="F95" s="27" t="s">
        <v>91</v>
      </c>
      <c r="G95" s="27" t="s">
        <v>104</v>
      </c>
      <c r="H95" s="27">
        <v>16</v>
      </c>
      <c r="I95" s="27">
        <v>24</v>
      </c>
      <c r="J95" s="27" t="s">
        <v>104</v>
      </c>
      <c r="K95" s="27" t="s">
        <v>126</v>
      </c>
    </row>
    <row r="96" spans="1:11" x14ac:dyDescent="0.2">
      <c r="A96" s="27" t="s">
        <v>121</v>
      </c>
      <c r="B96" s="27" t="s">
        <v>125</v>
      </c>
      <c r="C96" s="27">
        <v>4.5999999999999996</v>
      </c>
      <c r="D96" s="27">
        <v>1999</v>
      </c>
      <c r="E96" s="27">
        <v>8</v>
      </c>
      <c r="F96" s="27" t="s">
        <v>103</v>
      </c>
      <c r="G96" s="27" t="s">
        <v>104</v>
      </c>
      <c r="H96" s="27">
        <v>15</v>
      </c>
      <c r="I96" s="27">
        <v>21</v>
      </c>
      <c r="J96" s="27" t="s">
        <v>104</v>
      </c>
      <c r="K96" s="27" t="s">
        <v>126</v>
      </c>
    </row>
    <row r="97" spans="1:11" x14ac:dyDescent="0.2">
      <c r="A97" s="27" t="s">
        <v>121</v>
      </c>
      <c r="B97" s="27" t="s">
        <v>125</v>
      </c>
      <c r="C97" s="27">
        <v>4.5999999999999996</v>
      </c>
      <c r="D97" s="27">
        <v>1999</v>
      </c>
      <c r="E97" s="27">
        <v>8</v>
      </c>
      <c r="F97" s="27" t="s">
        <v>94</v>
      </c>
      <c r="G97" s="27" t="s">
        <v>104</v>
      </c>
      <c r="H97" s="27">
        <v>15</v>
      </c>
      <c r="I97" s="27">
        <v>22</v>
      </c>
      <c r="J97" s="27" t="s">
        <v>104</v>
      </c>
      <c r="K97" s="27" t="s">
        <v>126</v>
      </c>
    </row>
    <row r="98" spans="1:11" x14ac:dyDescent="0.2">
      <c r="A98" s="27" t="s">
        <v>121</v>
      </c>
      <c r="B98" s="27" t="s">
        <v>125</v>
      </c>
      <c r="C98" s="27">
        <v>4.5999999999999996</v>
      </c>
      <c r="D98" s="27">
        <v>2008</v>
      </c>
      <c r="E98" s="27">
        <v>8</v>
      </c>
      <c r="F98" s="27" t="s">
        <v>94</v>
      </c>
      <c r="G98" s="27" t="s">
        <v>104</v>
      </c>
      <c r="H98" s="27">
        <v>15</v>
      </c>
      <c r="I98" s="27">
        <v>23</v>
      </c>
      <c r="J98" s="27" t="s">
        <v>104</v>
      </c>
      <c r="K98" s="27" t="s">
        <v>126</v>
      </c>
    </row>
    <row r="99" spans="1:11" x14ac:dyDescent="0.2">
      <c r="A99" s="27" t="s">
        <v>121</v>
      </c>
      <c r="B99" s="27" t="s">
        <v>125</v>
      </c>
      <c r="C99" s="27">
        <v>4.5999999999999996</v>
      </c>
      <c r="D99" s="27">
        <v>2008</v>
      </c>
      <c r="E99" s="27">
        <v>8</v>
      </c>
      <c r="F99" s="27" t="s">
        <v>91</v>
      </c>
      <c r="G99" s="27" t="s">
        <v>104</v>
      </c>
      <c r="H99" s="27">
        <v>15</v>
      </c>
      <c r="I99" s="27">
        <v>22</v>
      </c>
      <c r="J99" s="27" t="s">
        <v>104</v>
      </c>
      <c r="K99" s="27" t="s">
        <v>126</v>
      </c>
    </row>
    <row r="100" spans="1:11" x14ac:dyDescent="0.2">
      <c r="A100" s="27" t="s">
        <v>121</v>
      </c>
      <c r="B100" s="27" t="s">
        <v>125</v>
      </c>
      <c r="C100" s="27">
        <v>5.4</v>
      </c>
      <c r="D100" s="27">
        <v>2008</v>
      </c>
      <c r="E100" s="27">
        <v>8</v>
      </c>
      <c r="F100" s="27" t="s">
        <v>95</v>
      </c>
      <c r="G100" s="27" t="s">
        <v>104</v>
      </c>
      <c r="H100" s="27">
        <v>14</v>
      </c>
      <c r="I100" s="27">
        <v>20</v>
      </c>
      <c r="J100" s="27" t="s">
        <v>6</v>
      </c>
      <c r="K100" s="27" t="s">
        <v>126</v>
      </c>
    </row>
    <row r="101" spans="1:11" x14ac:dyDescent="0.2">
      <c r="A101" s="27" t="s">
        <v>127</v>
      </c>
      <c r="B101" s="27" t="s">
        <v>128</v>
      </c>
      <c r="C101" s="27">
        <v>1.6</v>
      </c>
      <c r="D101" s="27">
        <v>1999</v>
      </c>
      <c r="E101" s="27">
        <v>4</v>
      </c>
      <c r="F101" s="27" t="s">
        <v>94</v>
      </c>
      <c r="G101" s="27" t="s">
        <v>92</v>
      </c>
      <c r="H101" s="27">
        <v>28</v>
      </c>
      <c r="I101" s="27">
        <v>33</v>
      </c>
      <c r="J101" s="27" t="s">
        <v>104</v>
      </c>
      <c r="K101" s="27" t="s">
        <v>126</v>
      </c>
    </row>
    <row r="102" spans="1:11" x14ac:dyDescent="0.2">
      <c r="A102" s="27" t="s">
        <v>127</v>
      </c>
      <c r="B102" s="27" t="s">
        <v>128</v>
      </c>
      <c r="C102" s="27">
        <v>1.6</v>
      </c>
      <c r="D102" s="27">
        <v>1999</v>
      </c>
      <c r="E102" s="27">
        <v>4</v>
      </c>
      <c r="F102" s="27" t="s">
        <v>103</v>
      </c>
      <c r="G102" s="27" t="s">
        <v>92</v>
      </c>
      <c r="H102" s="27">
        <v>24</v>
      </c>
      <c r="I102" s="27">
        <v>32</v>
      </c>
      <c r="J102" s="27" t="s">
        <v>104</v>
      </c>
      <c r="K102" s="27" t="s">
        <v>126</v>
      </c>
    </row>
    <row r="103" spans="1:11" x14ac:dyDescent="0.2">
      <c r="A103" s="27" t="s">
        <v>127</v>
      </c>
      <c r="B103" s="27" t="s">
        <v>128</v>
      </c>
      <c r="C103" s="27">
        <v>1.6</v>
      </c>
      <c r="D103" s="27">
        <v>1999</v>
      </c>
      <c r="E103" s="27">
        <v>4</v>
      </c>
      <c r="F103" s="27" t="s">
        <v>94</v>
      </c>
      <c r="G103" s="27" t="s">
        <v>92</v>
      </c>
      <c r="H103" s="27">
        <v>25</v>
      </c>
      <c r="I103" s="27">
        <v>32</v>
      </c>
      <c r="J103" s="27" t="s">
        <v>104</v>
      </c>
      <c r="K103" s="27" t="s">
        <v>126</v>
      </c>
    </row>
    <row r="104" spans="1:11" x14ac:dyDescent="0.2">
      <c r="A104" s="27" t="s">
        <v>127</v>
      </c>
      <c r="B104" s="27" t="s">
        <v>128</v>
      </c>
      <c r="C104" s="27">
        <v>1.6</v>
      </c>
      <c r="D104" s="27">
        <v>1999</v>
      </c>
      <c r="E104" s="27">
        <v>4</v>
      </c>
      <c r="F104" s="27" t="s">
        <v>94</v>
      </c>
      <c r="G104" s="27" t="s">
        <v>92</v>
      </c>
      <c r="H104" s="27">
        <v>23</v>
      </c>
      <c r="I104" s="27">
        <v>29</v>
      </c>
      <c r="J104" s="27" t="s">
        <v>6</v>
      </c>
      <c r="K104" s="27" t="s">
        <v>126</v>
      </c>
    </row>
    <row r="105" spans="1:11" x14ac:dyDescent="0.2">
      <c r="A105" s="27" t="s">
        <v>127</v>
      </c>
      <c r="B105" s="27" t="s">
        <v>128</v>
      </c>
      <c r="C105" s="27">
        <v>1.6</v>
      </c>
      <c r="D105" s="27">
        <v>1999</v>
      </c>
      <c r="E105" s="27">
        <v>4</v>
      </c>
      <c r="F105" s="27" t="s">
        <v>103</v>
      </c>
      <c r="G105" s="27" t="s">
        <v>92</v>
      </c>
      <c r="H105" s="27">
        <v>24</v>
      </c>
      <c r="I105" s="27">
        <v>32</v>
      </c>
      <c r="J105" s="27" t="s">
        <v>104</v>
      </c>
      <c r="K105" s="27" t="s">
        <v>126</v>
      </c>
    </row>
    <row r="106" spans="1:11" x14ac:dyDescent="0.2">
      <c r="A106" s="27" t="s">
        <v>127</v>
      </c>
      <c r="B106" s="27" t="s">
        <v>128</v>
      </c>
      <c r="C106" s="27">
        <v>1.8</v>
      </c>
      <c r="D106" s="27">
        <v>2008</v>
      </c>
      <c r="E106" s="27">
        <v>4</v>
      </c>
      <c r="F106" s="27" t="s">
        <v>94</v>
      </c>
      <c r="G106" s="27" t="s">
        <v>92</v>
      </c>
      <c r="H106" s="27">
        <v>26</v>
      </c>
      <c r="I106" s="27">
        <v>34</v>
      </c>
      <c r="J106" s="27" t="s">
        <v>104</v>
      </c>
      <c r="K106" s="27" t="s">
        <v>126</v>
      </c>
    </row>
    <row r="107" spans="1:11" x14ac:dyDescent="0.2">
      <c r="A107" s="27" t="s">
        <v>127</v>
      </c>
      <c r="B107" s="27" t="s">
        <v>128</v>
      </c>
      <c r="C107" s="27">
        <v>1.8</v>
      </c>
      <c r="D107" s="27">
        <v>2008</v>
      </c>
      <c r="E107" s="27">
        <v>4</v>
      </c>
      <c r="F107" s="27" t="s">
        <v>91</v>
      </c>
      <c r="G107" s="27" t="s">
        <v>92</v>
      </c>
      <c r="H107" s="27">
        <v>25</v>
      </c>
      <c r="I107" s="27">
        <v>36</v>
      </c>
      <c r="J107" s="27" t="s">
        <v>104</v>
      </c>
      <c r="K107" s="27" t="s">
        <v>126</v>
      </c>
    </row>
    <row r="108" spans="1:11" x14ac:dyDescent="0.2">
      <c r="A108" s="27" t="s">
        <v>127</v>
      </c>
      <c r="B108" s="27" t="s">
        <v>128</v>
      </c>
      <c r="C108" s="27">
        <v>1.8</v>
      </c>
      <c r="D108" s="27">
        <v>2008</v>
      </c>
      <c r="E108" s="27">
        <v>4</v>
      </c>
      <c r="F108" s="27" t="s">
        <v>91</v>
      </c>
      <c r="G108" s="27" t="s">
        <v>92</v>
      </c>
      <c r="H108" s="27">
        <v>24</v>
      </c>
      <c r="I108" s="27">
        <v>36</v>
      </c>
      <c r="J108" s="27" t="s">
        <v>129</v>
      </c>
      <c r="K108" s="27" t="s">
        <v>126</v>
      </c>
    </row>
    <row r="109" spans="1:11" x14ac:dyDescent="0.2">
      <c r="A109" s="27" t="s">
        <v>127</v>
      </c>
      <c r="B109" s="27" t="s">
        <v>128</v>
      </c>
      <c r="C109" s="27">
        <v>2</v>
      </c>
      <c r="D109" s="27">
        <v>2008</v>
      </c>
      <c r="E109" s="27">
        <v>4</v>
      </c>
      <c r="F109" s="27" t="s">
        <v>95</v>
      </c>
      <c r="G109" s="27" t="s">
        <v>92</v>
      </c>
      <c r="H109" s="27">
        <v>21</v>
      </c>
      <c r="I109" s="27">
        <v>29</v>
      </c>
      <c r="J109" s="27" t="s">
        <v>6</v>
      </c>
      <c r="K109" s="27" t="s">
        <v>126</v>
      </c>
    </row>
    <row r="110" spans="1:11" x14ac:dyDescent="0.2">
      <c r="A110" s="27" t="s">
        <v>130</v>
      </c>
      <c r="B110" s="27" t="s">
        <v>131</v>
      </c>
      <c r="C110" s="27">
        <v>2.4</v>
      </c>
      <c r="D110" s="27">
        <v>1999</v>
      </c>
      <c r="E110" s="27">
        <v>4</v>
      </c>
      <c r="F110" s="27" t="s">
        <v>103</v>
      </c>
      <c r="G110" s="27" t="s">
        <v>92</v>
      </c>
      <c r="H110" s="27">
        <v>18</v>
      </c>
      <c r="I110" s="27">
        <v>26</v>
      </c>
      <c r="J110" s="27" t="s">
        <v>104</v>
      </c>
      <c r="K110" s="27" t="s">
        <v>100</v>
      </c>
    </row>
    <row r="111" spans="1:11" x14ac:dyDescent="0.2">
      <c r="A111" s="27" t="s">
        <v>130</v>
      </c>
      <c r="B111" s="27" t="s">
        <v>131</v>
      </c>
      <c r="C111" s="27">
        <v>2.4</v>
      </c>
      <c r="D111" s="27">
        <v>1999</v>
      </c>
      <c r="E111" s="27">
        <v>4</v>
      </c>
      <c r="F111" s="27" t="s">
        <v>94</v>
      </c>
      <c r="G111" s="27" t="s">
        <v>92</v>
      </c>
      <c r="H111" s="27">
        <v>18</v>
      </c>
      <c r="I111" s="27">
        <v>27</v>
      </c>
      <c r="J111" s="27" t="s">
        <v>104</v>
      </c>
      <c r="K111" s="27" t="s">
        <v>100</v>
      </c>
    </row>
    <row r="112" spans="1:11" x14ac:dyDescent="0.2">
      <c r="A112" s="27" t="s">
        <v>130</v>
      </c>
      <c r="B112" s="27" t="s">
        <v>131</v>
      </c>
      <c r="C112" s="27">
        <v>2.4</v>
      </c>
      <c r="D112" s="27">
        <v>2008</v>
      </c>
      <c r="E112" s="27">
        <v>4</v>
      </c>
      <c r="F112" s="27" t="s">
        <v>103</v>
      </c>
      <c r="G112" s="27" t="s">
        <v>92</v>
      </c>
      <c r="H112" s="27">
        <v>21</v>
      </c>
      <c r="I112" s="27">
        <v>30</v>
      </c>
      <c r="J112" s="27" t="s">
        <v>104</v>
      </c>
      <c r="K112" s="27" t="s">
        <v>100</v>
      </c>
    </row>
    <row r="113" spans="1:11" x14ac:dyDescent="0.2">
      <c r="A113" s="27" t="s">
        <v>130</v>
      </c>
      <c r="B113" s="27" t="s">
        <v>131</v>
      </c>
      <c r="C113" s="27">
        <v>2.4</v>
      </c>
      <c r="D113" s="27">
        <v>2008</v>
      </c>
      <c r="E113" s="27">
        <v>4</v>
      </c>
      <c r="F113" s="27" t="s">
        <v>94</v>
      </c>
      <c r="G113" s="27" t="s">
        <v>92</v>
      </c>
      <c r="H113" s="27">
        <v>21</v>
      </c>
      <c r="I113" s="27">
        <v>31</v>
      </c>
      <c r="J113" s="27" t="s">
        <v>104</v>
      </c>
      <c r="K113" s="27" t="s">
        <v>100</v>
      </c>
    </row>
    <row r="114" spans="1:11" x14ac:dyDescent="0.2">
      <c r="A114" s="27" t="s">
        <v>130</v>
      </c>
      <c r="B114" s="27" t="s">
        <v>131</v>
      </c>
      <c r="C114" s="27">
        <v>2.5</v>
      </c>
      <c r="D114" s="27">
        <v>1999</v>
      </c>
      <c r="E114" s="27">
        <v>6</v>
      </c>
      <c r="F114" s="27" t="s">
        <v>103</v>
      </c>
      <c r="G114" s="27" t="s">
        <v>92</v>
      </c>
      <c r="H114" s="27">
        <v>18</v>
      </c>
      <c r="I114" s="27">
        <v>26</v>
      </c>
      <c r="J114" s="27" t="s">
        <v>104</v>
      </c>
      <c r="K114" s="27" t="s">
        <v>100</v>
      </c>
    </row>
    <row r="115" spans="1:11" x14ac:dyDescent="0.2">
      <c r="A115" s="27" t="s">
        <v>130</v>
      </c>
      <c r="B115" s="27" t="s">
        <v>131</v>
      </c>
      <c r="C115" s="27">
        <v>2.5</v>
      </c>
      <c r="D115" s="27">
        <v>1999</v>
      </c>
      <c r="E115" s="27">
        <v>6</v>
      </c>
      <c r="F115" s="27" t="s">
        <v>94</v>
      </c>
      <c r="G115" s="27" t="s">
        <v>92</v>
      </c>
      <c r="H115" s="27">
        <v>18</v>
      </c>
      <c r="I115" s="27">
        <v>26</v>
      </c>
      <c r="J115" s="27" t="s">
        <v>104</v>
      </c>
      <c r="K115" s="27" t="s">
        <v>100</v>
      </c>
    </row>
    <row r="116" spans="1:11" x14ac:dyDescent="0.2">
      <c r="A116" s="27" t="s">
        <v>130</v>
      </c>
      <c r="B116" s="27" t="s">
        <v>131</v>
      </c>
      <c r="C116" s="27">
        <v>3.3</v>
      </c>
      <c r="D116" s="27">
        <v>2008</v>
      </c>
      <c r="E116" s="27">
        <v>6</v>
      </c>
      <c r="F116" s="27" t="s">
        <v>91</v>
      </c>
      <c r="G116" s="27" t="s">
        <v>92</v>
      </c>
      <c r="H116" s="27">
        <v>19</v>
      </c>
      <c r="I116" s="27">
        <v>28</v>
      </c>
      <c r="J116" s="27" t="s">
        <v>104</v>
      </c>
      <c r="K116" s="27" t="s">
        <v>100</v>
      </c>
    </row>
    <row r="117" spans="1:11" x14ac:dyDescent="0.2">
      <c r="A117" s="27" t="s">
        <v>130</v>
      </c>
      <c r="B117" s="27" t="s">
        <v>132</v>
      </c>
      <c r="C117" s="27">
        <v>2</v>
      </c>
      <c r="D117" s="27">
        <v>1999</v>
      </c>
      <c r="E117" s="27">
        <v>4</v>
      </c>
      <c r="F117" s="27" t="s">
        <v>103</v>
      </c>
      <c r="G117" s="27" t="s">
        <v>92</v>
      </c>
      <c r="H117" s="27">
        <v>19</v>
      </c>
      <c r="I117" s="27">
        <v>26</v>
      </c>
      <c r="J117" s="27" t="s">
        <v>104</v>
      </c>
      <c r="K117" s="27" t="s">
        <v>126</v>
      </c>
    </row>
    <row r="118" spans="1:11" x14ac:dyDescent="0.2">
      <c r="A118" s="27" t="s">
        <v>130</v>
      </c>
      <c r="B118" s="27" t="s">
        <v>132</v>
      </c>
      <c r="C118" s="27">
        <v>2</v>
      </c>
      <c r="D118" s="27">
        <v>1999</v>
      </c>
      <c r="E118" s="27">
        <v>4</v>
      </c>
      <c r="F118" s="27" t="s">
        <v>94</v>
      </c>
      <c r="G118" s="27" t="s">
        <v>92</v>
      </c>
      <c r="H118" s="27">
        <v>19</v>
      </c>
      <c r="I118" s="27">
        <v>29</v>
      </c>
      <c r="J118" s="27" t="s">
        <v>104</v>
      </c>
      <c r="K118" s="27" t="s">
        <v>126</v>
      </c>
    </row>
    <row r="119" spans="1:11" x14ac:dyDescent="0.2">
      <c r="A119" s="27" t="s">
        <v>130</v>
      </c>
      <c r="B119" s="27" t="s">
        <v>132</v>
      </c>
      <c r="C119" s="27">
        <v>2</v>
      </c>
      <c r="D119" s="27">
        <v>2008</v>
      </c>
      <c r="E119" s="27">
        <v>4</v>
      </c>
      <c r="F119" s="27" t="s">
        <v>94</v>
      </c>
      <c r="G119" s="27" t="s">
        <v>92</v>
      </c>
      <c r="H119" s="27">
        <v>20</v>
      </c>
      <c r="I119" s="27">
        <v>28</v>
      </c>
      <c r="J119" s="27" t="s">
        <v>104</v>
      </c>
      <c r="K119" s="27" t="s">
        <v>126</v>
      </c>
    </row>
    <row r="120" spans="1:11" x14ac:dyDescent="0.2">
      <c r="A120" s="27" t="s">
        <v>130</v>
      </c>
      <c r="B120" s="27" t="s">
        <v>132</v>
      </c>
      <c r="C120" s="27">
        <v>2</v>
      </c>
      <c r="D120" s="27">
        <v>2008</v>
      </c>
      <c r="E120" s="27">
        <v>4</v>
      </c>
      <c r="F120" s="27" t="s">
        <v>103</v>
      </c>
      <c r="G120" s="27" t="s">
        <v>92</v>
      </c>
      <c r="H120" s="27">
        <v>20</v>
      </c>
      <c r="I120" s="27">
        <v>27</v>
      </c>
      <c r="J120" s="27" t="s">
        <v>104</v>
      </c>
      <c r="K120" s="27" t="s">
        <v>126</v>
      </c>
    </row>
    <row r="121" spans="1:11" x14ac:dyDescent="0.2">
      <c r="A121" s="27" t="s">
        <v>130</v>
      </c>
      <c r="B121" s="27" t="s">
        <v>132</v>
      </c>
      <c r="C121" s="27">
        <v>2.7</v>
      </c>
      <c r="D121" s="27">
        <v>2008</v>
      </c>
      <c r="E121" s="27">
        <v>6</v>
      </c>
      <c r="F121" s="27" t="s">
        <v>103</v>
      </c>
      <c r="G121" s="27" t="s">
        <v>92</v>
      </c>
      <c r="H121" s="27">
        <v>17</v>
      </c>
      <c r="I121" s="27">
        <v>24</v>
      </c>
      <c r="J121" s="27" t="s">
        <v>104</v>
      </c>
      <c r="K121" s="27" t="s">
        <v>126</v>
      </c>
    </row>
    <row r="122" spans="1:11" x14ac:dyDescent="0.2">
      <c r="A122" s="27" t="s">
        <v>130</v>
      </c>
      <c r="B122" s="27" t="s">
        <v>132</v>
      </c>
      <c r="C122" s="27">
        <v>2.7</v>
      </c>
      <c r="D122" s="27">
        <v>2008</v>
      </c>
      <c r="E122" s="27">
        <v>6</v>
      </c>
      <c r="F122" s="27" t="s">
        <v>95</v>
      </c>
      <c r="G122" s="27" t="s">
        <v>92</v>
      </c>
      <c r="H122" s="27">
        <v>16</v>
      </c>
      <c r="I122" s="27">
        <v>24</v>
      </c>
      <c r="J122" s="27" t="s">
        <v>104</v>
      </c>
      <c r="K122" s="27" t="s">
        <v>126</v>
      </c>
    </row>
    <row r="123" spans="1:11" x14ac:dyDescent="0.2">
      <c r="A123" s="27" t="s">
        <v>130</v>
      </c>
      <c r="B123" s="27" t="s">
        <v>132</v>
      </c>
      <c r="C123" s="27">
        <v>2.7</v>
      </c>
      <c r="D123" s="27">
        <v>2008</v>
      </c>
      <c r="E123" s="27">
        <v>6</v>
      </c>
      <c r="F123" s="27" t="s">
        <v>94</v>
      </c>
      <c r="G123" s="27" t="s">
        <v>92</v>
      </c>
      <c r="H123" s="27">
        <v>17</v>
      </c>
      <c r="I123" s="27">
        <v>24</v>
      </c>
      <c r="J123" s="27" t="s">
        <v>104</v>
      </c>
      <c r="K123" s="27" t="s">
        <v>126</v>
      </c>
    </row>
    <row r="124" spans="1:11" x14ac:dyDescent="0.2">
      <c r="A124" s="27" t="s">
        <v>133</v>
      </c>
      <c r="B124" s="27" t="s">
        <v>134</v>
      </c>
      <c r="C124" s="27">
        <v>3</v>
      </c>
      <c r="D124" s="27">
        <v>2008</v>
      </c>
      <c r="E124" s="27">
        <v>6</v>
      </c>
      <c r="F124" s="27" t="s">
        <v>91</v>
      </c>
      <c r="G124" s="27">
        <v>4</v>
      </c>
      <c r="H124" s="27">
        <v>17</v>
      </c>
      <c r="I124" s="27">
        <v>22</v>
      </c>
      <c r="J124" s="27" t="s">
        <v>110</v>
      </c>
      <c r="K124" s="27" t="s">
        <v>105</v>
      </c>
    </row>
    <row r="125" spans="1:11" x14ac:dyDescent="0.2">
      <c r="A125" s="27" t="s">
        <v>133</v>
      </c>
      <c r="B125" s="27" t="s">
        <v>134</v>
      </c>
      <c r="C125" s="27">
        <v>3.7</v>
      </c>
      <c r="D125" s="27">
        <v>2008</v>
      </c>
      <c r="E125" s="27">
        <v>6</v>
      </c>
      <c r="F125" s="27" t="s">
        <v>91</v>
      </c>
      <c r="G125" s="27">
        <v>4</v>
      </c>
      <c r="H125" s="27">
        <v>15</v>
      </c>
      <c r="I125" s="27">
        <v>19</v>
      </c>
      <c r="J125" s="27" t="s">
        <v>104</v>
      </c>
      <c r="K125" s="27" t="s">
        <v>105</v>
      </c>
    </row>
    <row r="126" spans="1:11" x14ac:dyDescent="0.2">
      <c r="A126" s="27" t="s">
        <v>133</v>
      </c>
      <c r="B126" s="27" t="s">
        <v>134</v>
      </c>
      <c r="C126" s="27">
        <v>4</v>
      </c>
      <c r="D126" s="27">
        <v>1999</v>
      </c>
      <c r="E126" s="27">
        <v>6</v>
      </c>
      <c r="F126" s="27" t="s">
        <v>103</v>
      </c>
      <c r="G126" s="27">
        <v>4</v>
      </c>
      <c r="H126" s="27">
        <v>15</v>
      </c>
      <c r="I126" s="27">
        <v>20</v>
      </c>
      <c r="J126" s="27" t="s">
        <v>104</v>
      </c>
      <c r="K126" s="27" t="s">
        <v>105</v>
      </c>
    </row>
    <row r="127" spans="1:11" x14ac:dyDescent="0.2">
      <c r="A127" s="27" t="s">
        <v>133</v>
      </c>
      <c r="B127" s="27" t="s">
        <v>134</v>
      </c>
      <c r="C127" s="27">
        <v>4.7</v>
      </c>
      <c r="D127" s="27">
        <v>1999</v>
      </c>
      <c r="E127" s="27">
        <v>8</v>
      </c>
      <c r="F127" s="27" t="s">
        <v>103</v>
      </c>
      <c r="G127" s="27">
        <v>4</v>
      </c>
      <c r="H127" s="27">
        <v>14</v>
      </c>
      <c r="I127" s="27">
        <v>17</v>
      </c>
      <c r="J127" s="27" t="s">
        <v>104</v>
      </c>
      <c r="K127" s="27" t="s">
        <v>105</v>
      </c>
    </row>
    <row r="128" spans="1:11" x14ac:dyDescent="0.2">
      <c r="A128" s="27" t="s">
        <v>133</v>
      </c>
      <c r="B128" s="27" t="s">
        <v>134</v>
      </c>
      <c r="C128" s="27">
        <v>4.7</v>
      </c>
      <c r="D128" s="27">
        <v>2008</v>
      </c>
      <c r="E128" s="27">
        <v>8</v>
      </c>
      <c r="F128" s="27" t="s">
        <v>91</v>
      </c>
      <c r="G128" s="27">
        <v>4</v>
      </c>
      <c r="H128" s="27">
        <v>9</v>
      </c>
      <c r="I128" s="27">
        <v>12</v>
      </c>
      <c r="J128" s="27" t="s">
        <v>106</v>
      </c>
      <c r="K128" s="27" t="s">
        <v>105</v>
      </c>
    </row>
    <row r="129" spans="1:11" x14ac:dyDescent="0.2">
      <c r="A129" s="27" t="s">
        <v>133</v>
      </c>
      <c r="B129" s="27" t="s">
        <v>134</v>
      </c>
      <c r="C129" s="27">
        <v>4.7</v>
      </c>
      <c r="D129" s="27">
        <v>2008</v>
      </c>
      <c r="E129" s="27">
        <v>8</v>
      </c>
      <c r="F129" s="27" t="s">
        <v>91</v>
      </c>
      <c r="G129" s="27">
        <v>4</v>
      </c>
      <c r="H129" s="27">
        <v>14</v>
      </c>
      <c r="I129" s="27">
        <v>19</v>
      </c>
      <c r="J129" s="27" t="s">
        <v>104</v>
      </c>
      <c r="K129" s="27" t="s">
        <v>105</v>
      </c>
    </row>
    <row r="130" spans="1:11" x14ac:dyDescent="0.2">
      <c r="A130" s="27" t="s">
        <v>133</v>
      </c>
      <c r="B130" s="27" t="s">
        <v>134</v>
      </c>
      <c r="C130" s="27">
        <v>5.7</v>
      </c>
      <c r="D130" s="27">
        <v>2008</v>
      </c>
      <c r="E130" s="27">
        <v>8</v>
      </c>
      <c r="F130" s="27" t="s">
        <v>91</v>
      </c>
      <c r="G130" s="27">
        <v>4</v>
      </c>
      <c r="H130" s="27">
        <v>13</v>
      </c>
      <c r="I130" s="27">
        <v>18</v>
      </c>
      <c r="J130" s="27" t="s">
        <v>104</v>
      </c>
      <c r="K130" s="27" t="s">
        <v>105</v>
      </c>
    </row>
    <row r="131" spans="1:11" x14ac:dyDescent="0.2">
      <c r="A131" s="27" t="s">
        <v>133</v>
      </c>
      <c r="B131" s="27" t="s">
        <v>134</v>
      </c>
      <c r="C131" s="27">
        <v>6.1</v>
      </c>
      <c r="D131" s="27">
        <v>2008</v>
      </c>
      <c r="E131" s="27">
        <v>8</v>
      </c>
      <c r="F131" s="27" t="s">
        <v>91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105</v>
      </c>
    </row>
    <row r="132" spans="1:11" x14ac:dyDescent="0.2">
      <c r="A132" s="27" t="s">
        <v>135</v>
      </c>
      <c r="B132" s="27" t="s">
        <v>136</v>
      </c>
      <c r="C132" s="27">
        <v>4</v>
      </c>
      <c r="D132" s="27">
        <v>1999</v>
      </c>
      <c r="E132" s="27">
        <v>8</v>
      </c>
      <c r="F132" s="27" t="s">
        <v>103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105</v>
      </c>
    </row>
    <row r="133" spans="1:11" x14ac:dyDescent="0.2">
      <c r="A133" s="27" t="s">
        <v>135</v>
      </c>
      <c r="B133" s="27" t="s">
        <v>136</v>
      </c>
      <c r="C133" s="27">
        <v>4.2</v>
      </c>
      <c r="D133" s="27">
        <v>2008</v>
      </c>
      <c r="E133" s="27">
        <v>8</v>
      </c>
      <c r="F133" s="27" t="s">
        <v>98</v>
      </c>
      <c r="G133" s="27">
        <v>4</v>
      </c>
      <c r="H133" s="27">
        <v>12</v>
      </c>
      <c r="I133" s="27">
        <v>18</v>
      </c>
      <c r="J133" s="27" t="s">
        <v>104</v>
      </c>
      <c r="K133" s="27" t="s">
        <v>105</v>
      </c>
    </row>
    <row r="134" spans="1:11" x14ac:dyDescent="0.2">
      <c r="A134" s="27" t="s">
        <v>135</v>
      </c>
      <c r="B134" s="27" t="s">
        <v>136</v>
      </c>
      <c r="C134" s="27">
        <v>4.4000000000000004</v>
      </c>
      <c r="D134" s="27">
        <v>2008</v>
      </c>
      <c r="E134" s="27">
        <v>8</v>
      </c>
      <c r="F134" s="27" t="s">
        <v>98</v>
      </c>
      <c r="G134" s="27">
        <v>4</v>
      </c>
      <c r="H134" s="27">
        <v>12</v>
      </c>
      <c r="I134" s="27">
        <v>18</v>
      </c>
      <c r="J134" s="27" t="s">
        <v>104</v>
      </c>
      <c r="K134" s="27" t="s">
        <v>105</v>
      </c>
    </row>
    <row r="135" spans="1:11" x14ac:dyDescent="0.2">
      <c r="A135" s="27" t="s">
        <v>135</v>
      </c>
      <c r="B135" s="27" t="s">
        <v>136</v>
      </c>
      <c r="C135" s="27">
        <v>4.5999999999999996</v>
      </c>
      <c r="D135" s="27">
        <v>1999</v>
      </c>
      <c r="E135" s="27">
        <v>8</v>
      </c>
      <c r="F135" s="27" t="s">
        <v>103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105</v>
      </c>
    </row>
    <row r="136" spans="1:11" x14ac:dyDescent="0.2">
      <c r="A136" s="27" t="s">
        <v>137</v>
      </c>
      <c r="B136" s="27" t="s">
        <v>138</v>
      </c>
      <c r="C136" s="27">
        <v>5.4</v>
      </c>
      <c r="D136" s="27">
        <v>1999</v>
      </c>
      <c r="E136" s="27">
        <v>8</v>
      </c>
      <c r="F136" s="27" t="s">
        <v>103</v>
      </c>
      <c r="G136" s="27" t="s">
        <v>104</v>
      </c>
      <c r="H136" s="27">
        <v>11</v>
      </c>
      <c r="I136" s="27">
        <v>17</v>
      </c>
      <c r="J136" s="27" t="s">
        <v>104</v>
      </c>
      <c r="K136" s="27" t="s">
        <v>105</v>
      </c>
    </row>
    <row r="137" spans="1:11" x14ac:dyDescent="0.2">
      <c r="A137" s="27" t="s">
        <v>137</v>
      </c>
      <c r="B137" s="27" t="s">
        <v>138</v>
      </c>
      <c r="C137" s="27">
        <v>5.4</v>
      </c>
      <c r="D137" s="27">
        <v>1999</v>
      </c>
      <c r="E137" s="27">
        <v>8</v>
      </c>
      <c r="F137" s="27" t="s">
        <v>103</v>
      </c>
      <c r="G137" s="27" t="s">
        <v>104</v>
      </c>
      <c r="H137" s="27">
        <v>11</v>
      </c>
      <c r="I137" s="27">
        <v>16</v>
      </c>
      <c r="J137" s="27" t="s">
        <v>6</v>
      </c>
      <c r="K137" s="27" t="s">
        <v>105</v>
      </c>
    </row>
    <row r="138" spans="1:11" x14ac:dyDescent="0.2">
      <c r="A138" s="27" t="s">
        <v>137</v>
      </c>
      <c r="B138" s="27" t="s">
        <v>138</v>
      </c>
      <c r="C138" s="27">
        <v>5.4</v>
      </c>
      <c r="D138" s="27">
        <v>2008</v>
      </c>
      <c r="E138" s="27">
        <v>8</v>
      </c>
      <c r="F138" s="27" t="s">
        <v>116</v>
      </c>
      <c r="G138" s="27" t="s">
        <v>104</v>
      </c>
      <c r="H138" s="27">
        <v>12</v>
      </c>
      <c r="I138" s="27">
        <v>18</v>
      </c>
      <c r="J138" s="27" t="s">
        <v>104</v>
      </c>
      <c r="K138" s="27" t="s">
        <v>105</v>
      </c>
    </row>
    <row r="139" spans="1:11" x14ac:dyDescent="0.2">
      <c r="A139" s="27" t="s">
        <v>139</v>
      </c>
      <c r="B139" s="27" t="s">
        <v>140</v>
      </c>
      <c r="C139" s="27">
        <v>4</v>
      </c>
      <c r="D139" s="27">
        <v>1999</v>
      </c>
      <c r="E139" s="27">
        <v>6</v>
      </c>
      <c r="F139" s="27" t="s">
        <v>91</v>
      </c>
      <c r="G139" s="27">
        <v>4</v>
      </c>
      <c r="H139" s="27">
        <v>14</v>
      </c>
      <c r="I139" s="27">
        <v>17</v>
      </c>
      <c r="J139" s="27" t="s">
        <v>104</v>
      </c>
      <c r="K139" s="27" t="s">
        <v>105</v>
      </c>
    </row>
    <row r="140" spans="1:11" x14ac:dyDescent="0.2">
      <c r="A140" s="27" t="s">
        <v>139</v>
      </c>
      <c r="B140" s="27" t="s">
        <v>140</v>
      </c>
      <c r="C140" s="27">
        <v>4</v>
      </c>
      <c r="D140" s="27">
        <v>2008</v>
      </c>
      <c r="E140" s="27">
        <v>6</v>
      </c>
      <c r="F140" s="27" t="s">
        <v>91</v>
      </c>
      <c r="G140" s="27">
        <v>4</v>
      </c>
      <c r="H140" s="27">
        <v>13</v>
      </c>
      <c r="I140" s="27">
        <v>19</v>
      </c>
      <c r="J140" s="27" t="s">
        <v>104</v>
      </c>
      <c r="K140" s="27" t="s">
        <v>105</v>
      </c>
    </row>
    <row r="141" spans="1:11" x14ac:dyDescent="0.2">
      <c r="A141" s="27" t="s">
        <v>139</v>
      </c>
      <c r="B141" s="27" t="s">
        <v>140</v>
      </c>
      <c r="C141" s="27">
        <v>4.5999999999999996</v>
      </c>
      <c r="D141" s="27">
        <v>2008</v>
      </c>
      <c r="E141" s="27">
        <v>8</v>
      </c>
      <c r="F141" s="27" t="s">
        <v>116</v>
      </c>
      <c r="G141" s="27">
        <v>4</v>
      </c>
      <c r="H141" s="27">
        <v>13</v>
      </c>
      <c r="I141" s="27">
        <v>19</v>
      </c>
      <c r="J141" s="27" t="s">
        <v>104</v>
      </c>
      <c r="K141" s="27" t="s">
        <v>105</v>
      </c>
    </row>
    <row r="142" spans="1:11" x14ac:dyDescent="0.2">
      <c r="A142" s="27" t="s">
        <v>139</v>
      </c>
      <c r="B142" s="27" t="s">
        <v>140</v>
      </c>
      <c r="C142" s="27">
        <v>5</v>
      </c>
      <c r="D142" s="27">
        <v>1999</v>
      </c>
      <c r="E142" s="27">
        <v>8</v>
      </c>
      <c r="F142" s="27" t="s">
        <v>103</v>
      </c>
      <c r="G142" s="27">
        <v>4</v>
      </c>
      <c r="H142" s="27">
        <v>13</v>
      </c>
      <c r="I142" s="27">
        <v>17</v>
      </c>
      <c r="J142" s="27" t="s">
        <v>104</v>
      </c>
      <c r="K142" s="27" t="s">
        <v>105</v>
      </c>
    </row>
    <row r="143" spans="1:11" x14ac:dyDescent="0.2">
      <c r="A143" s="27" t="s">
        <v>141</v>
      </c>
      <c r="B143" s="27" t="s">
        <v>142</v>
      </c>
      <c r="C143" s="27">
        <v>2.4</v>
      </c>
      <c r="D143" s="27">
        <v>1999</v>
      </c>
      <c r="E143" s="27">
        <v>4</v>
      </c>
      <c r="F143" s="27" t="s">
        <v>94</v>
      </c>
      <c r="G143" s="27" t="s">
        <v>92</v>
      </c>
      <c r="H143" s="27">
        <v>21</v>
      </c>
      <c r="I143" s="27">
        <v>29</v>
      </c>
      <c r="J143" s="27" t="s">
        <v>104</v>
      </c>
      <c r="K143" s="27" t="s">
        <v>93</v>
      </c>
    </row>
    <row r="144" spans="1:11" x14ac:dyDescent="0.2">
      <c r="A144" s="27" t="s">
        <v>141</v>
      </c>
      <c r="B144" s="27" t="s">
        <v>142</v>
      </c>
      <c r="C144" s="27">
        <v>2.4</v>
      </c>
      <c r="D144" s="27">
        <v>1999</v>
      </c>
      <c r="E144" s="27">
        <v>4</v>
      </c>
      <c r="F144" s="27" t="s">
        <v>103</v>
      </c>
      <c r="G144" s="27" t="s">
        <v>92</v>
      </c>
      <c r="H144" s="27">
        <v>19</v>
      </c>
      <c r="I144" s="27">
        <v>27</v>
      </c>
      <c r="J144" s="27" t="s">
        <v>104</v>
      </c>
      <c r="K144" s="27" t="s">
        <v>93</v>
      </c>
    </row>
    <row r="145" spans="1:11" x14ac:dyDescent="0.2">
      <c r="A145" s="27" t="s">
        <v>141</v>
      </c>
      <c r="B145" s="27" t="s">
        <v>142</v>
      </c>
      <c r="C145" s="27">
        <v>2.5</v>
      </c>
      <c r="D145" s="27">
        <v>2008</v>
      </c>
      <c r="E145" s="27">
        <v>4</v>
      </c>
      <c r="F145" s="27" t="s">
        <v>96</v>
      </c>
      <c r="G145" s="27" t="s">
        <v>92</v>
      </c>
      <c r="H145" s="27">
        <v>23</v>
      </c>
      <c r="I145" s="27">
        <v>31</v>
      </c>
      <c r="J145" s="27" t="s">
        <v>104</v>
      </c>
      <c r="K145" s="27" t="s">
        <v>100</v>
      </c>
    </row>
    <row r="146" spans="1:11" x14ac:dyDescent="0.2">
      <c r="A146" s="27" t="s">
        <v>141</v>
      </c>
      <c r="B146" s="27" t="s">
        <v>142</v>
      </c>
      <c r="C146" s="27">
        <v>2.5</v>
      </c>
      <c r="D146" s="27">
        <v>2008</v>
      </c>
      <c r="E146" s="27">
        <v>4</v>
      </c>
      <c r="F146" s="27" t="s">
        <v>95</v>
      </c>
      <c r="G146" s="27" t="s">
        <v>92</v>
      </c>
      <c r="H146" s="27">
        <v>23</v>
      </c>
      <c r="I146" s="27">
        <v>32</v>
      </c>
      <c r="J146" s="27" t="s">
        <v>104</v>
      </c>
      <c r="K146" s="27" t="s">
        <v>100</v>
      </c>
    </row>
    <row r="147" spans="1:11" x14ac:dyDescent="0.2">
      <c r="A147" s="27" t="s">
        <v>141</v>
      </c>
      <c r="B147" s="27" t="s">
        <v>142</v>
      </c>
      <c r="C147" s="27">
        <v>3.5</v>
      </c>
      <c r="D147" s="27">
        <v>2008</v>
      </c>
      <c r="E147" s="27">
        <v>6</v>
      </c>
      <c r="F147" s="27" t="s">
        <v>95</v>
      </c>
      <c r="G147" s="27" t="s">
        <v>92</v>
      </c>
      <c r="H147" s="27">
        <v>19</v>
      </c>
      <c r="I147" s="27">
        <v>27</v>
      </c>
      <c r="J147" s="27" t="s">
        <v>6</v>
      </c>
      <c r="K147" s="27" t="s">
        <v>100</v>
      </c>
    </row>
    <row r="148" spans="1:11" x14ac:dyDescent="0.2">
      <c r="A148" s="27" t="s">
        <v>141</v>
      </c>
      <c r="B148" s="27" t="s">
        <v>142</v>
      </c>
      <c r="C148" s="27">
        <v>3.5</v>
      </c>
      <c r="D148" s="27">
        <v>2008</v>
      </c>
      <c r="E148" s="27">
        <v>6</v>
      </c>
      <c r="F148" s="27" t="s">
        <v>96</v>
      </c>
      <c r="G148" s="27" t="s">
        <v>92</v>
      </c>
      <c r="H148" s="27">
        <v>19</v>
      </c>
      <c r="I148" s="27">
        <v>26</v>
      </c>
      <c r="J148" s="27" t="s">
        <v>6</v>
      </c>
      <c r="K148" s="27" t="s">
        <v>100</v>
      </c>
    </row>
    <row r="149" spans="1:11" x14ac:dyDescent="0.2">
      <c r="A149" s="27" t="s">
        <v>141</v>
      </c>
      <c r="B149" s="27" t="s">
        <v>143</v>
      </c>
      <c r="C149" s="27">
        <v>3</v>
      </c>
      <c r="D149" s="27">
        <v>1999</v>
      </c>
      <c r="E149" s="27">
        <v>6</v>
      </c>
      <c r="F149" s="27" t="s">
        <v>103</v>
      </c>
      <c r="G149" s="27" t="s">
        <v>92</v>
      </c>
      <c r="H149" s="27">
        <v>18</v>
      </c>
      <c r="I149" s="27">
        <v>26</v>
      </c>
      <c r="J149" s="27" t="s">
        <v>104</v>
      </c>
      <c r="K149" s="27" t="s">
        <v>100</v>
      </c>
    </row>
    <row r="150" spans="1:11" x14ac:dyDescent="0.2">
      <c r="A150" s="27" t="s">
        <v>141</v>
      </c>
      <c r="B150" s="27" t="s">
        <v>143</v>
      </c>
      <c r="C150" s="27">
        <v>3</v>
      </c>
      <c r="D150" s="27">
        <v>1999</v>
      </c>
      <c r="E150" s="27">
        <v>6</v>
      </c>
      <c r="F150" s="27" t="s">
        <v>94</v>
      </c>
      <c r="G150" s="27" t="s">
        <v>92</v>
      </c>
      <c r="H150" s="27">
        <v>19</v>
      </c>
      <c r="I150" s="27">
        <v>25</v>
      </c>
      <c r="J150" s="27" t="s">
        <v>104</v>
      </c>
      <c r="K150" s="27" t="s">
        <v>100</v>
      </c>
    </row>
    <row r="151" spans="1:11" x14ac:dyDescent="0.2">
      <c r="A151" s="27" t="s">
        <v>141</v>
      </c>
      <c r="B151" s="27" t="s">
        <v>143</v>
      </c>
      <c r="C151" s="27">
        <v>3.5</v>
      </c>
      <c r="D151" s="27">
        <v>2008</v>
      </c>
      <c r="E151" s="27">
        <v>6</v>
      </c>
      <c r="F151" s="27" t="s">
        <v>96</v>
      </c>
      <c r="G151" s="27" t="s">
        <v>92</v>
      </c>
      <c r="H151" s="27">
        <v>19</v>
      </c>
      <c r="I151" s="27">
        <v>25</v>
      </c>
      <c r="J151" s="27" t="s">
        <v>6</v>
      </c>
      <c r="K151" s="27" t="s">
        <v>100</v>
      </c>
    </row>
    <row r="152" spans="1:11" x14ac:dyDescent="0.2">
      <c r="A152" s="27" t="s">
        <v>141</v>
      </c>
      <c r="B152" s="27" t="s">
        <v>144</v>
      </c>
      <c r="C152" s="27">
        <v>3.3</v>
      </c>
      <c r="D152" s="27">
        <v>1999</v>
      </c>
      <c r="E152" s="27">
        <v>6</v>
      </c>
      <c r="F152" s="27" t="s">
        <v>103</v>
      </c>
      <c r="G152" s="27">
        <v>4</v>
      </c>
      <c r="H152" s="27">
        <v>14</v>
      </c>
      <c r="I152" s="27">
        <v>17</v>
      </c>
      <c r="J152" s="27" t="s">
        <v>104</v>
      </c>
      <c r="K152" s="27" t="s">
        <v>105</v>
      </c>
    </row>
    <row r="153" spans="1:11" x14ac:dyDescent="0.2">
      <c r="A153" s="27" t="s">
        <v>141</v>
      </c>
      <c r="B153" s="27" t="s">
        <v>144</v>
      </c>
      <c r="C153" s="27">
        <v>3.3</v>
      </c>
      <c r="D153" s="27">
        <v>1999</v>
      </c>
      <c r="E153" s="27">
        <v>6</v>
      </c>
      <c r="F153" s="27" t="s">
        <v>94</v>
      </c>
      <c r="G153" s="27">
        <v>4</v>
      </c>
      <c r="H153" s="27">
        <v>15</v>
      </c>
      <c r="I153" s="27">
        <v>17</v>
      </c>
      <c r="J153" s="27" t="s">
        <v>104</v>
      </c>
      <c r="K153" s="27" t="s">
        <v>105</v>
      </c>
    </row>
    <row r="154" spans="1:11" x14ac:dyDescent="0.2">
      <c r="A154" s="27" t="s">
        <v>141</v>
      </c>
      <c r="B154" s="27" t="s">
        <v>144</v>
      </c>
      <c r="C154" s="27">
        <v>4</v>
      </c>
      <c r="D154" s="27">
        <v>2008</v>
      </c>
      <c r="E154" s="27">
        <v>6</v>
      </c>
      <c r="F154" s="27" t="s">
        <v>91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105</v>
      </c>
    </row>
    <row r="155" spans="1:11" x14ac:dyDescent="0.2">
      <c r="A155" s="27" t="s">
        <v>141</v>
      </c>
      <c r="B155" s="27" t="s">
        <v>144</v>
      </c>
      <c r="C155" s="27">
        <v>5.6</v>
      </c>
      <c r="D155" s="27">
        <v>2008</v>
      </c>
      <c r="E155" s="27">
        <v>8</v>
      </c>
      <c r="F155" s="27" t="s">
        <v>145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105</v>
      </c>
    </row>
    <row r="156" spans="1:11" x14ac:dyDescent="0.2">
      <c r="A156" s="27" t="s">
        <v>146</v>
      </c>
      <c r="B156" s="27" t="s">
        <v>147</v>
      </c>
      <c r="C156" s="27">
        <v>3.1</v>
      </c>
      <c r="D156" s="27">
        <v>1999</v>
      </c>
      <c r="E156" s="27">
        <v>6</v>
      </c>
      <c r="F156" s="27" t="s">
        <v>103</v>
      </c>
      <c r="G156" s="27" t="s">
        <v>92</v>
      </c>
      <c r="H156" s="27">
        <v>18</v>
      </c>
      <c r="I156" s="27">
        <v>26</v>
      </c>
      <c r="J156" s="27" t="s">
        <v>104</v>
      </c>
      <c r="K156" s="27" t="s">
        <v>100</v>
      </c>
    </row>
    <row r="157" spans="1:11" x14ac:dyDescent="0.2">
      <c r="A157" s="27" t="s">
        <v>146</v>
      </c>
      <c r="B157" s="27" t="s">
        <v>147</v>
      </c>
      <c r="C157" s="27">
        <v>3.8</v>
      </c>
      <c r="D157" s="27">
        <v>1999</v>
      </c>
      <c r="E157" s="27">
        <v>6</v>
      </c>
      <c r="F157" s="27" t="s">
        <v>103</v>
      </c>
      <c r="G157" s="27" t="s">
        <v>92</v>
      </c>
      <c r="H157" s="27">
        <v>16</v>
      </c>
      <c r="I157" s="27">
        <v>26</v>
      </c>
      <c r="J157" s="27" t="s">
        <v>6</v>
      </c>
      <c r="K157" s="27" t="s">
        <v>100</v>
      </c>
    </row>
    <row r="158" spans="1:11" x14ac:dyDescent="0.2">
      <c r="A158" s="27" t="s">
        <v>146</v>
      </c>
      <c r="B158" s="27" t="s">
        <v>147</v>
      </c>
      <c r="C158" s="27">
        <v>3.8</v>
      </c>
      <c r="D158" s="27">
        <v>1999</v>
      </c>
      <c r="E158" s="27">
        <v>6</v>
      </c>
      <c r="F158" s="27" t="s">
        <v>103</v>
      </c>
      <c r="G158" s="27" t="s">
        <v>92</v>
      </c>
      <c r="H158" s="27">
        <v>17</v>
      </c>
      <c r="I158" s="27">
        <v>27</v>
      </c>
      <c r="J158" s="27" t="s">
        <v>104</v>
      </c>
      <c r="K158" s="27" t="s">
        <v>100</v>
      </c>
    </row>
    <row r="159" spans="1:11" x14ac:dyDescent="0.2">
      <c r="A159" s="27" t="s">
        <v>146</v>
      </c>
      <c r="B159" s="27" t="s">
        <v>147</v>
      </c>
      <c r="C159" s="27">
        <v>3.8</v>
      </c>
      <c r="D159" s="27">
        <v>2008</v>
      </c>
      <c r="E159" s="27">
        <v>6</v>
      </c>
      <c r="F159" s="27" t="s">
        <v>103</v>
      </c>
      <c r="G159" s="27" t="s">
        <v>92</v>
      </c>
      <c r="H159" s="27">
        <v>18</v>
      </c>
      <c r="I159" s="27">
        <v>28</v>
      </c>
      <c r="J159" s="27" t="s">
        <v>104</v>
      </c>
      <c r="K159" s="27" t="s">
        <v>100</v>
      </c>
    </row>
    <row r="160" spans="1:11" x14ac:dyDescent="0.2">
      <c r="A160" s="27" t="s">
        <v>146</v>
      </c>
      <c r="B160" s="27" t="s">
        <v>147</v>
      </c>
      <c r="C160" s="27">
        <v>5.3</v>
      </c>
      <c r="D160" s="27">
        <v>2008</v>
      </c>
      <c r="E160" s="27">
        <v>8</v>
      </c>
      <c r="F160" s="27" t="s">
        <v>148</v>
      </c>
      <c r="G160" s="27" t="s">
        <v>92</v>
      </c>
      <c r="H160" s="27">
        <v>16</v>
      </c>
      <c r="I160" s="27">
        <v>25</v>
      </c>
      <c r="J160" s="27" t="s">
        <v>6</v>
      </c>
      <c r="K160" s="27" t="s">
        <v>100</v>
      </c>
    </row>
    <row r="161" spans="1:11" x14ac:dyDescent="0.2">
      <c r="A161" s="27" t="s">
        <v>149</v>
      </c>
      <c r="B161" s="27" t="s">
        <v>150</v>
      </c>
      <c r="C161" s="27">
        <v>2.5</v>
      </c>
      <c r="D161" s="27">
        <v>1999</v>
      </c>
      <c r="E161" s="27">
        <v>4</v>
      </c>
      <c r="F161" s="27" t="s">
        <v>94</v>
      </c>
      <c r="G161" s="27">
        <v>4</v>
      </c>
      <c r="H161" s="27">
        <v>18</v>
      </c>
      <c r="I161" s="27">
        <v>25</v>
      </c>
      <c r="J161" s="27" t="s">
        <v>104</v>
      </c>
      <c r="K161" s="27" t="s">
        <v>105</v>
      </c>
    </row>
    <row r="162" spans="1:11" x14ac:dyDescent="0.2">
      <c r="A162" s="27" t="s">
        <v>149</v>
      </c>
      <c r="B162" s="27" t="s">
        <v>150</v>
      </c>
      <c r="C162" s="27">
        <v>2.5</v>
      </c>
      <c r="D162" s="27">
        <v>1999</v>
      </c>
      <c r="E162" s="27">
        <v>4</v>
      </c>
      <c r="F162" s="27" t="s">
        <v>103</v>
      </c>
      <c r="G162" s="27">
        <v>4</v>
      </c>
      <c r="H162" s="27">
        <v>18</v>
      </c>
      <c r="I162" s="27">
        <v>24</v>
      </c>
      <c r="J162" s="27" t="s">
        <v>104</v>
      </c>
      <c r="K162" s="27" t="s">
        <v>105</v>
      </c>
    </row>
    <row r="163" spans="1:11" x14ac:dyDescent="0.2">
      <c r="A163" s="27" t="s">
        <v>149</v>
      </c>
      <c r="B163" s="27" t="s">
        <v>150</v>
      </c>
      <c r="C163" s="27">
        <v>2.5</v>
      </c>
      <c r="D163" s="27">
        <v>2008</v>
      </c>
      <c r="E163" s="27">
        <v>4</v>
      </c>
      <c r="F163" s="27" t="s">
        <v>94</v>
      </c>
      <c r="G163" s="27">
        <v>4</v>
      </c>
      <c r="H163" s="27">
        <v>20</v>
      </c>
      <c r="I163" s="27">
        <v>27</v>
      </c>
      <c r="J163" s="27" t="s">
        <v>104</v>
      </c>
      <c r="K163" s="27" t="s">
        <v>105</v>
      </c>
    </row>
    <row r="164" spans="1:11" x14ac:dyDescent="0.2">
      <c r="A164" s="27" t="s">
        <v>149</v>
      </c>
      <c r="B164" s="27" t="s">
        <v>150</v>
      </c>
      <c r="C164" s="27">
        <v>2.5</v>
      </c>
      <c r="D164" s="27">
        <v>2008</v>
      </c>
      <c r="E164" s="27">
        <v>4</v>
      </c>
      <c r="F164" s="27" t="s">
        <v>94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105</v>
      </c>
    </row>
    <row r="165" spans="1:11" x14ac:dyDescent="0.2">
      <c r="A165" s="27" t="s">
        <v>149</v>
      </c>
      <c r="B165" s="27" t="s">
        <v>150</v>
      </c>
      <c r="C165" s="27">
        <v>2.5</v>
      </c>
      <c r="D165" s="27">
        <v>2008</v>
      </c>
      <c r="E165" s="27">
        <v>4</v>
      </c>
      <c r="F165" s="27" t="s">
        <v>103</v>
      </c>
      <c r="G165" s="27">
        <v>4</v>
      </c>
      <c r="H165" s="27">
        <v>20</v>
      </c>
      <c r="I165" s="27">
        <v>26</v>
      </c>
      <c r="J165" s="27" t="s">
        <v>104</v>
      </c>
      <c r="K165" s="27" t="s">
        <v>105</v>
      </c>
    </row>
    <row r="166" spans="1:11" x14ac:dyDescent="0.2">
      <c r="A166" s="27" t="s">
        <v>149</v>
      </c>
      <c r="B166" s="27" t="s">
        <v>150</v>
      </c>
      <c r="C166" s="27">
        <v>2.5</v>
      </c>
      <c r="D166" s="27">
        <v>2008</v>
      </c>
      <c r="E166" s="27">
        <v>4</v>
      </c>
      <c r="F166" s="27" t="s">
        <v>103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105</v>
      </c>
    </row>
    <row r="167" spans="1:11" x14ac:dyDescent="0.2">
      <c r="A167" s="27" t="s">
        <v>149</v>
      </c>
      <c r="B167" s="27" t="s">
        <v>151</v>
      </c>
      <c r="C167" s="27">
        <v>2.2000000000000002</v>
      </c>
      <c r="D167" s="27">
        <v>1999</v>
      </c>
      <c r="E167" s="27">
        <v>4</v>
      </c>
      <c r="F167" s="27" t="s">
        <v>103</v>
      </c>
      <c r="G167" s="27">
        <v>4</v>
      </c>
      <c r="H167" s="27">
        <v>21</v>
      </c>
      <c r="I167" s="27">
        <v>26</v>
      </c>
      <c r="J167" s="27" t="s">
        <v>104</v>
      </c>
      <c r="K167" s="27" t="s">
        <v>126</v>
      </c>
    </row>
    <row r="168" spans="1:11" x14ac:dyDescent="0.2">
      <c r="A168" s="27" t="s">
        <v>149</v>
      </c>
      <c r="B168" s="27" t="s">
        <v>151</v>
      </c>
      <c r="C168" s="27">
        <v>2.2000000000000002</v>
      </c>
      <c r="D168" s="27">
        <v>1999</v>
      </c>
      <c r="E168" s="27">
        <v>4</v>
      </c>
      <c r="F168" s="27" t="s">
        <v>94</v>
      </c>
      <c r="G168" s="27">
        <v>4</v>
      </c>
      <c r="H168" s="27">
        <v>19</v>
      </c>
      <c r="I168" s="27">
        <v>26</v>
      </c>
      <c r="J168" s="27" t="s">
        <v>104</v>
      </c>
      <c r="K168" s="27" t="s">
        <v>126</v>
      </c>
    </row>
    <row r="169" spans="1:11" x14ac:dyDescent="0.2">
      <c r="A169" s="27" t="s">
        <v>149</v>
      </c>
      <c r="B169" s="27" t="s">
        <v>151</v>
      </c>
      <c r="C169" s="27">
        <v>2.5</v>
      </c>
      <c r="D169" s="27">
        <v>1999</v>
      </c>
      <c r="E169" s="27">
        <v>4</v>
      </c>
      <c r="F169" s="27" t="s">
        <v>94</v>
      </c>
      <c r="G169" s="27">
        <v>4</v>
      </c>
      <c r="H169" s="27">
        <v>19</v>
      </c>
      <c r="I169" s="27">
        <v>26</v>
      </c>
      <c r="J169" s="27" t="s">
        <v>104</v>
      </c>
      <c r="K169" s="27" t="s">
        <v>126</v>
      </c>
    </row>
    <row r="170" spans="1:11" x14ac:dyDescent="0.2">
      <c r="A170" s="27" t="s">
        <v>149</v>
      </c>
      <c r="B170" s="27" t="s">
        <v>151</v>
      </c>
      <c r="C170" s="27">
        <v>2.5</v>
      </c>
      <c r="D170" s="27">
        <v>1999</v>
      </c>
      <c r="E170" s="27">
        <v>4</v>
      </c>
      <c r="F170" s="27" t="s">
        <v>103</v>
      </c>
      <c r="G170" s="27">
        <v>4</v>
      </c>
      <c r="H170" s="27">
        <v>19</v>
      </c>
      <c r="I170" s="27">
        <v>26</v>
      </c>
      <c r="J170" s="27" t="s">
        <v>104</v>
      </c>
      <c r="K170" s="27" t="s">
        <v>126</v>
      </c>
    </row>
    <row r="171" spans="1:11" x14ac:dyDescent="0.2">
      <c r="A171" s="27" t="s">
        <v>149</v>
      </c>
      <c r="B171" s="27" t="s">
        <v>151</v>
      </c>
      <c r="C171" s="27">
        <v>2.5</v>
      </c>
      <c r="D171" s="27">
        <v>2008</v>
      </c>
      <c r="E171" s="27">
        <v>4</v>
      </c>
      <c r="F171" s="27" t="s">
        <v>148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93</v>
      </c>
    </row>
    <row r="172" spans="1:11" x14ac:dyDescent="0.2">
      <c r="A172" s="27" t="s">
        <v>149</v>
      </c>
      <c r="B172" s="27" t="s">
        <v>151</v>
      </c>
      <c r="C172" s="27">
        <v>2.5</v>
      </c>
      <c r="D172" s="27">
        <v>2008</v>
      </c>
      <c r="E172" s="27">
        <v>4</v>
      </c>
      <c r="F172" s="27" t="s">
        <v>148</v>
      </c>
      <c r="G172" s="27">
        <v>4</v>
      </c>
      <c r="H172" s="27">
        <v>20</v>
      </c>
      <c r="I172" s="27">
        <v>27</v>
      </c>
      <c r="J172" s="27" t="s">
        <v>104</v>
      </c>
      <c r="K172" s="27" t="s">
        <v>93</v>
      </c>
    </row>
    <row r="173" spans="1:11" x14ac:dyDescent="0.2">
      <c r="A173" s="27" t="s">
        <v>149</v>
      </c>
      <c r="B173" s="27" t="s">
        <v>151</v>
      </c>
      <c r="C173" s="27">
        <v>2.5</v>
      </c>
      <c r="D173" s="27">
        <v>2008</v>
      </c>
      <c r="E173" s="27">
        <v>4</v>
      </c>
      <c r="F173" s="27" t="s">
        <v>94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93</v>
      </c>
    </row>
    <row r="174" spans="1:11" x14ac:dyDescent="0.2">
      <c r="A174" s="27" t="s">
        <v>149</v>
      </c>
      <c r="B174" s="27" t="s">
        <v>151</v>
      </c>
      <c r="C174" s="27">
        <v>2.5</v>
      </c>
      <c r="D174" s="27">
        <v>2008</v>
      </c>
      <c r="E174" s="27">
        <v>4</v>
      </c>
      <c r="F174" s="27" t="s">
        <v>94</v>
      </c>
      <c r="G174" s="27">
        <v>4</v>
      </c>
      <c r="H174" s="27">
        <v>20</v>
      </c>
      <c r="I174" s="27">
        <v>27</v>
      </c>
      <c r="J174" s="27" t="s">
        <v>104</v>
      </c>
      <c r="K174" s="27" t="s">
        <v>93</v>
      </c>
    </row>
    <row r="175" spans="1:11" x14ac:dyDescent="0.2">
      <c r="A175" s="27" t="s">
        <v>152</v>
      </c>
      <c r="B175" s="27" t="s">
        <v>153</v>
      </c>
      <c r="C175" s="27">
        <v>2.7</v>
      </c>
      <c r="D175" s="27">
        <v>1999</v>
      </c>
      <c r="E175" s="27">
        <v>4</v>
      </c>
      <c r="F175" s="27" t="s">
        <v>94</v>
      </c>
      <c r="G175" s="27">
        <v>4</v>
      </c>
      <c r="H175" s="27">
        <v>15</v>
      </c>
      <c r="I175" s="27">
        <v>20</v>
      </c>
      <c r="J175" s="27" t="s">
        <v>104</v>
      </c>
      <c r="K175" s="27" t="s">
        <v>105</v>
      </c>
    </row>
    <row r="176" spans="1:11" x14ac:dyDescent="0.2">
      <c r="A176" s="27" t="s">
        <v>152</v>
      </c>
      <c r="B176" s="27" t="s">
        <v>153</v>
      </c>
      <c r="C176" s="27">
        <v>2.7</v>
      </c>
      <c r="D176" s="27">
        <v>1999</v>
      </c>
      <c r="E176" s="27">
        <v>4</v>
      </c>
      <c r="F176" s="27" t="s">
        <v>103</v>
      </c>
      <c r="G176" s="27">
        <v>4</v>
      </c>
      <c r="H176" s="27">
        <v>16</v>
      </c>
      <c r="I176" s="27">
        <v>20</v>
      </c>
      <c r="J176" s="27" t="s">
        <v>104</v>
      </c>
      <c r="K176" s="27" t="s">
        <v>105</v>
      </c>
    </row>
    <row r="177" spans="1:11" x14ac:dyDescent="0.2">
      <c r="A177" s="27" t="s">
        <v>152</v>
      </c>
      <c r="B177" s="27" t="s">
        <v>153</v>
      </c>
      <c r="C177" s="27">
        <v>3.4</v>
      </c>
      <c r="D177" s="27">
        <v>1999</v>
      </c>
      <c r="E177" s="27">
        <v>6</v>
      </c>
      <c r="F177" s="27" t="s">
        <v>103</v>
      </c>
      <c r="G177" s="27">
        <v>4</v>
      </c>
      <c r="H177" s="27">
        <v>15</v>
      </c>
      <c r="I177" s="27">
        <v>19</v>
      </c>
      <c r="J177" s="27" t="s">
        <v>104</v>
      </c>
      <c r="K177" s="27" t="s">
        <v>105</v>
      </c>
    </row>
    <row r="178" spans="1:11" x14ac:dyDescent="0.2">
      <c r="A178" s="27" t="s">
        <v>152</v>
      </c>
      <c r="B178" s="27" t="s">
        <v>153</v>
      </c>
      <c r="C178" s="27">
        <v>3.4</v>
      </c>
      <c r="D178" s="27">
        <v>1999</v>
      </c>
      <c r="E178" s="27">
        <v>6</v>
      </c>
      <c r="F178" s="27" t="s">
        <v>94</v>
      </c>
      <c r="G178" s="27">
        <v>4</v>
      </c>
      <c r="H178" s="27">
        <v>15</v>
      </c>
      <c r="I178" s="27">
        <v>17</v>
      </c>
      <c r="J178" s="27" t="s">
        <v>104</v>
      </c>
      <c r="K178" s="27" t="s">
        <v>105</v>
      </c>
    </row>
    <row r="179" spans="1:11" x14ac:dyDescent="0.2">
      <c r="A179" s="27" t="s">
        <v>152</v>
      </c>
      <c r="B179" s="27" t="s">
        <v>153</v>
      </c>
      <c r="C179" s="27">
        <v>4</v>
      </c>
      <c r="D179" s="27">
        <v>2008</v>
      </c>
      <c r="E179" s="27">
        <v>6</v>
      </c>
      <c r="F179" s="27" t="s">
        <v>91</v>
      </c>
      <c r="G179" s="27">
        <v>4</v>
      </c>
      <c r="H179" s="27">
        <v>16</v>
      </c>
      <c r="I179" s="27">
        <v>20</v>
      </c>
      <c r="J179" s="27" t="s">
        <v>104</v>
      </c>
      <c r="K179" s="27" t="s">
        <v>105</v>
      </c>
    </row>
    <row r="180" spans="1:11" x14ac:dyDescent="0.2">
      <c r="A180" s="27" t="s">
        <v>152</v>
      </c>
      <c r="B180" s="27" t="s">
        <v>153</v>
      </c>
      <c r="C180" s="27">
        <v>4.7</v>
      </c>
      <c r="D180" s="27">
        <v>2008</v>
      </c>
      <c r="E180" s="27">
        <v>8</v>
      </c>
      <c r="F180" s="27" t="s">
        <v>91</v>
      </c>
      <c r="G180" s="27">
        <v>4</v>
      </c>
      <c r="H180" s="27">
        <v>14</v>
      </c>
      <c r="I180" s="27">
        <v>17</v>
      </c>
      <c r="J180" s="27" t="s">
        <v>104</v>
      </c>
      <c r="K180" s="27" t="s">
        <v>105</v>
      </c>
    </row>
    <row r="181" spans="1:11" x14ac:dyDescent="0.2">
      <c r="A181" s="27" t="s">
        <v>152</v>
      </c>
      <c r="B181" s="27" t="s">
        <v>154</v>
      </c>
      <c r="C181" s="27">
        <v>2.2000000000000002</v>
      </c>
      <c r="D181" s="27">
        <v>1999</v>
      </c>
      <c r="E181" s="27">
        <v>4</v>
      </c>
      <c r="F181" s="27" t="s">
        <v>94</v>
      </c>
      <c r="G181" s="27" t="s">
        <v>92</v>
      </c>
      <c r="H181" s="27">
        <v>21</v>
      </c>
      <c r="I181" s="27">
        <v>29</v>
      </c>
      <c r="J181" s="27" t="s">
        <v>104</v>
      </c>
      <c r="K181" s="27" t="s">
        <v>100</v>
      </c>
    </row>
    <row r="182" spans="1:11" x14ac:dyDescent="0.2">
      <c r="A182" s="27" t="s">
        <v>152</v>
      </c>
      <c r="B182" s="27" t="s">
        <v>154</v>
      </c>
      <c r="C182" s="27">
        <v>2.2000000000000002</v>
      </c>
      <c r="D182" s="27">
        <v>1999</v>
      </c>
      <c r="E182" s="27">
        <v>4</v>
      </c>
      <c r="F182" s="27" t="s">
        <v>103</v>
      </c>
      <c r="G182" s="27" t="s">
        <v>92</v>
      </c>
      <c r="H182" s="27">
        <v>21</v>
      </c>
      <c r="I182" s="27">
        <v>27</v>
      </c>
      <c r="J182" s="27" t="s">
        <v>104</v>
      </c>
      <c r="K182" s="27" t="s">
        <v>100</v>
      </c>
    </row>
    <row r="183" spans="1:11" x14ac:dyDescent="0.2">
      <c r="A183" s="27" t="s">
        <v>152</v>
      </c>
      <c r="B183" s="27" t="s">
        <v>154</v>
      </c>
      <c r="C183" s="27">
        <v>2.4</v>
      </c>
      <c r="D183" s="27">
        <v>2008</v>
      </c>
      <c r="E183" s="27">
        <v>4</v>
      </c>
      <c r="F183" s="27" t="s">
        <v>94</v>
      </c>
      <c r="G183" s="27" t="s">
        <v>92</v>
      </c>
      <c r="H183" s="27">
        <v>21</v>
      </c>
      <c r="I183" s="27">
        <v>31</v>
      </c>
      <c r="J183" s="27" t="s">
        <v>104</v>
      </c>
      <c r="K183" s="27" t="s">
        <v>100</v>
      </c>
    </row>
    <row r="184" spans="1:11" x14ac:dyDescent="0.2">
      <c r="A184" s="27" t="s">
        <v>152</v>
      </c>
      <c r="B184" s="27" t="s">
        <v>154</v>
      </c>
      <c r="C184" s="27">
        <v>2.4</v>
      </c>
      <c r="D184" s="27">
        <v>2008</v>
      </c>
      <c r="E184" s="27">
        <v>4</v>
      </c>
      <c r="F184" s="27" t="s">
        <v>91</v>
      </c>
      <c r="G184" s="27" t="s">
        <v>92</v>
      </c>
      <c r="H184" s="27">
        <v>21</v>
      </c>
      <c r="I184" s="27">
        <v>31</v>
      </c>
      <c r="J184" s="27" t="s">
        <v>104</v>
      </c>
      <c r="K184" s="27" t="s">
        <v>100</v>
      </c>
    </row>
    <row r="185" spans="1:11" x14ac:dyDescent="0.2">
      <c r="A185" s="27" t="s">
        <v>152</v>
      </c>
      <c r="B185" s="27" t="s">
        <v>154</v>
      </c>
      <c r="C185" s="27">
        <v>3</v>
      </c>
      <c r="D185" s="27">
        <v>1999</v>
      </c>
      <c r="E185" s="27">
        <v>6</v>
      </c>
      <c r="F185" s="27" t="s">
        <v>103</v>
      </c>
      <c r="G185" s="27" t="s">
        <v>92</v>
      </c>
      <c r="H185" s="27">
        <v>18</v>
      </c>
      <c r="I185" s="27">
        <v>26</v>
      </c>
      <c r="J185" s="27" t="s">
        <v>104</v>
      </c>
      <c r="K185" s="27" t="s">
        <v>100</v>
      </c>
    </row>
    <row r="186" spans="1:11" x14ac:dyDescent="0.2">
      <c r="A186" s="27" t="s">
        <v>152</v>
      </c>
      <c r="B186" s="27" t="s">
        <v>154</v>
      </c>
      <c r="C186" s="27">
        <v>3</v>
      </c>
      <c r="D186" s="27">
        <v>1999</v>
      </c>
      <c r="E186" s="27">
        <v>6</v>
      </c>
      <c r="F186" s="27" t="s">
        <v>94</v>
      </c>
      <c r="G186" s="27" t="s">
        <v>92</v>
      </c>
      <c r="H186" s="27">
        <v>18</v>
      </c>
      <c r="I186" s="27">
        <v>26</v>
      </c>
      <c r="J186" s="27" t="s">
        <v>104</v>
      </c>
      <c r="K186" s="27" t="s">
        <v>100</v>
      </c>
    </row>
    <row r="187" spans="1:11" x14ac:dyDescent="0.2">
      <c r="A187" s="27" t="s">
        <v>152</v>
      </c>
      <c r="B187" s="27" t="s">
        <v>154</v>
      </c>
      <c r="C187" s="27">
        <v>3.5</v>
      </c>
      <c r="D187" s="27">
        <v>2008</v>
      </c>
      <c r="E187" s="27">
        <v>6</v>
      </c>
      <c r="F187" s="27" t="s">
        <v>98</v>
      </c>
      <c r="G187" s="27" t="s">
        <v>92</v>
      </c>
      <c r="H187" s="27">
        <v>19</v>
      </c>
      <c r="I187" s="27">
        <v>28</v>
      </c>
      <c r="J187" s="27" t="s">
        <v>104</v>
      </c>
      <c r="K187" s="27" t="s">
        <v>100</v>
      </c>
    </row>
    <row r="188" spans="1:11" x14ac:dyDescent="0.2">
      <c r="A188" s="27" t="s">
        <v>152</v>
      </c>
      <c r="B188" s="27" t="s">
        <v>155</v>
      </c>
      <c r="C188" s="27">
        <v>2.2000000000000002</v>
      </c>
      <c r="D188" s="27">
        <v>1999</v>
      </c>
      <c r="E188" s="27">
        <v>4</v>
      </c>
      <c r="F188" s="27" t="s">
        <v>103</v>
      </c>
      <c r="G188" s="27" t="s">
        <v>92</v>
      </c>
      <c r="H188" s="27">
        <v>21</v>
      </c>
      <c r="I188" s="27">
        <v>27</v>
      </c>
      <c r="J188" s="27" t="s">
        <v>104</v>
      </c>
      <c r="K188" s="27" t="s">
        <v>93</v>
      </c>
    </row>
    <row r="189" spans="1:11" x14ac:dyDescent="0.2">
      <c r="A189" s="27" t="s">
        <v>152</v>
      </c>
      <c r="B189" s="27" t="s">
        <v>155</v>
      </c>
      <c r="C189" s="27">
        <v>2.2000000000000002</v>
      </c>
      <c r="D189" s="27">
        <v>1999</v>
      </c>
      <c r="E189" s="27">
        <v>4</v>
      </c>
      <c r="F189" s="27" t="s">
        <v>94</v>
      </c>
      <c r="G189" s="27" t="s">
        <v>92</v>
      </c>
      <c r="H189" s="27">
        <v>21</v>
      </c>
      <c r="I189" s="27">
        <v>29</v>
      </c>
      <c r="J189" s="27" t="s">
        <v>104</v>
      </c>
      <c r="K189" s="27" t="s">
        <v>93</v>
      </c>
    </row>
    <row r="190" spans="1:11" x14ac:dyDescent="0.2">
      <c r="A190" s="27" t="s">
        <v>152</v>
      </c>
      <c r="B190" s="27" t="s">
        <v>155</v>
      </c>
      <c r="C190" s="27">
        <v>2.4</v>
      </c>
      <c r="D190" s="27">
        <v>2008</v>
      </c>
      <c r="E190" s="27">
        <v>4</v>
      </c>
      <c r="F190" s="27" t="s">
        <v>94</v>
      </c>
      <c r="G190" s="27" t="s">
        <v>92</v>
      </c>
      <c r="H190" s="27">
        <v>21</v>
      </c>
      <c r="I190" s="27">
        <v>31</v>
      </c>
      <c r="J190" s="27" t="s">
        <v>104</v>
      </c>
      <c r="K190" s="27" t="s">
        <v>93</v>
      </c>
    </row>
    <row r="191" spans="1:11" x14ac:dyDescent="0.2">
      <c r="A191" s="27" t="s">
        <v>152</v>
      </c>
      <c r="B191" s="27" t="s">
        <v>155</v>
      </c>
      <c r="C191" s="27">
        <v>2.4</v>
      </c>
      <c r="D191" s="27">
        <v>2008</v>
      </c>
      <c r="E191" s="27">
        <v>4</v>
      </c>
      <c r="F191" s="27" t="s">
        <v>145</v>
      </c>
      <c r="G191" s="27" t="s">
        <v>92</v>
      </c>
      <c r="H191" s="27">
        <v>22</v>
      </c>
      <c r="I191" s="27">
        <v>31</v>
      </c>
      <c r="J191" s="27" t="s">
        <v>104</v>
      </c>
      <c r="K191" s="27" t="s">
        <v>93</v>
      </c>
    </row>
    <row r="192" spans="1:11" x14ac:dyDescent="0.2">
      <c r="A192" s="27" t="s">
        <v>152</v>
      </c>
      <c r="B192" s="27" t="s">
        <v>155</v>
      </c>
      <c r="C192" s="27">
        <v>3</v>
      </c>
      <c r="D192" s="27">
        <v>1999</v>
      </c>
      <c r="E192" s="27">
        <v>6</v>
      </c>
      <c r="F192" s="27" t="s">
        <v>103</v>
      </c>
      <c r="G192" s="27" t="s">
        <v>92</v>
      </c>
      <c r="H192" s="27">
        <v>18</v>
      </c>
      <c r="I192" s="27">
        <v>26</v>
      </c>
      <c r="J192" s="27" t="s">
        <v>104</v>
      </c>
      <c r="K192" s="27" t="s">
        <v>93</v>
      </c>
    </row>
    <row r="193" spans="1:11" x14ac:dyDescent="0.2">
      <c r="A193" s="27" t="s">
        <v>152</v>
      </c>
      <c r="B193" s="27" t="s">
        <v>155</v>
      </c>
      <c r="C193" s="27">
        <v>3</v>
      </c>
      <c r="D193" s="27">
        <v>1999</v>
      </c>
      <c r="E193" s="27">
        <v>6</v>
      </c>
      <c r="F193" s="27" t="s">
        <v>94</v>
      </c>
      <c r="G193" s="27" t="s">
        <v>92</v>
      </c>
      <c r="H193" s="27">
        <v>18</v>
      </c>
      <c r="I193" s="27">
        <v>26</v>
      </c>
      <c r="J193" s="27" t="s">
        <v>104</v>
      </c>
      <c r="K193" s="27" t="s">
        <v>93</v>
      </c>
    </row>
    <row r="194" spans="1:11" x14ac:dyDescent="0.2">
      <c r="A194" s="27" t="s">
        <v>152</v>
      </c>
      <c r="B194" s="27" t="s">
        <v>155</v>
      </c>
      <c r="C194" s="27">
        <v>3.3</v>
      </c>
      <c r="D194" s="27">
        <v>2008</v>
      </c>
      <c r="E194" s="27">
        <v>6</v>
      </c>
      <c r="F194" s="27" t="s">
        <v>145</v>
      </c>
      <c r="G194" s="27" t="s">
        <v>92</v>
      </c>
      <c r="H194" s="27">
        <v>18</v>
      </c>
      <c r="I194" s="27">
        <v>27</v>
      </c>
      <c r="J194" s="27" t="s">
        <v>104</v>
      </c>
      <c r="K194" s="27" t="s">
        <v>93</v>
      </c>
    </row>
    <row r="195" spans="1:11" x14ac:dyDescent="0.2">
      <c r="A195" s="27" t="s">
        <v>152</v>
      </c>
      <c r="B195" s="27" t="s">
        <v>156</v>
      </c>
      <c r="C195" s="27">
        <v>1.8</v>
      </c>
      <c r="D195" s="27">
        <v>1999</v>
      </c>
      <c r="E195" s="27">
        <v>4</v>
      </c>
      <c r="F195" s="27" t="s">
        <v>114</v>
      </c>
      <c r="G195" s="27" t="s">
        <v>92</v>
      </c>
      <c r="H195" s="27">
        <v>24</v>
      </c>
      <c r="I195" s="27">
        <v>30</v>
      </c>
      <c r="J195" s="27" t="s">
        <v>104</v>
      </c>
      <c r="K195" s="27" t="s">
        <v>93</v>
      </c>
    </row>
    <row r="196" spans="1:11" x14ac:dyDescent="0.2">
      <c r="A196" s="27" t="s">
        <v>152</v>
      </c>
      <c r="B196" s="27" t="s">
        <v>156</v>
      </c>
      <c r="C196" s="27">
        <v>1.8</v>
      </c>
      <c r="D196" s="27">
        <v>1999</v>
      </c>
      <c r="E196" s="27">
        <v>4</v>
      </c>
      <c r="F196" s="27" t="s">
        <v>103</v>
      </c>
      <c r="G196" s="27" t="s">
        <v>92</v>
      </c>
      <c r="H196" s="27">
        <v>24</v>
      </c>
      <c r="I196" s="27">
        <v>33</v>
      </c>
      <c r="J196" s="27" t="s">
        <v>104</v>
      </c>
      <c r="K196" s="27" t="s">
        <v>93</v>
      </c>
    </row>
    <row r="197" spans="1:11" x14ac:dyDescent="0.2">
      <c r="A197" s="27" t="s">
        <v>152</v>
      </c>
      <c r="B197" s="27" t="s">
        <v>156</v>
      </c>
      <c r="C197" s="27">
        <v>1.8</v>
      </c>
      <c r="D197" s="27">
        <v>1999</v>
      </c>
      <c r="E197" s="27">
        <v>4</v>
      </c>
      <c r="F197" s="27" t="s">
        <v>94</v>
      </c>
      <c r="G197" s="27" t="s">
        <v>92</v>
      </c>
      <c r="H197" s="27">
        <v>26</v>
      </c>
      <c r="I197" s="27">
        <v>35</v>
      </c>
      <c r="J197" s="27" t="s">
        <v>104</v>
      </c>
      <c r="K197" s="27" t="s">
        <v>93</v>
      </c>
    </row>
    <row r="198" spans="1:11" x14ac:dyDescent="0.2">
      <c r="A198" s="27" t="s">
        <v>152</v>
      </c>
      <c r="B198" s="27" t="s">
        <v>156</v>
      </c>
      <c r="C198" s="27">
        <v>1.8</v>
      </c>
      <c r="D198" s="27">
        <v>2008</v>
      </c>
      <c r="E198" s="27">
        <v>4</v>
      </c>
      <c r="F198" s="27" t="s">
        <v>94</v>
      </c>
      <c r="G198" s="27" t="s">
        <v>92</v>
      </c>
      <c r="H198" s="27">
        <v>28</v>
      </c>
      <c r="I198" s="27">
        <v>37</v>
      </c>
      <c r="J198" s="27" t="s">
        <v>104</v>
      </c>
      <c r="K198" s="27" t="s">
        <v>93</v>
      </c>
    </row>
    <row r="199" spans="1:11" x14ac:dyDescent="0.2">
      <c r="A199" s="27" t="s">
        <v>152</v>
      </c>
      <c r="B199" s="27" t="s">
        <v>156</v>
      </c>
      <c r="C199" s="27">
        <v>1.8</v>
      </c>
      <c r="D199" s="27">
        <v>2008</v>
      </c>
      <c r="E199" s="27">
        <v>4</v>
      </c>
      <c r="F199" s="27" t="s">
        <v>103</v>
      </c>
      <c r="G199" s="27" t="s">
        <v>92</v>
      </c>
      <c r="H199" s="27">
        <v>26</v>
      </c>
      <c r="I199" s="27">
        <v>35</v>
      </c>
      <c r="J199" s="27" t="s">
        <v>104</v>
      </c>
      <c r="K199" s="27" t="s">
        <v>93</v>
      </c>
    </row>
    <row r="200" spans="1:11" x14ac:dyDescent="0.2">
      <c r="A200" s="27" t="s">
        <v>152</v>
      </c>
      <c r="B200" s="27" t="s">
        <v>157</v>
      </c>
      <c r="C200" s="27">
        <v>4.7</v>
      </c>
      <c r="D200" s="27">
        <v>1999</v>
      </c>
      <c r="E200" s="27">
        <v>8</v>
      </c>
      <c r="F200" s="27" t="s">
        <v>103</v>
      </c>
      <c r="G200" s="27">
        <v>4</v>
      </c>
      <c r="H200" s="27">
        <v>11</v>
      </c>
      <c r="I200" s="27">
        <v>15</v>
      </c>
      <c r="J200" s="27" t="s">
        <v>104</v>
      </c>
      <c r="K200" s="27" t="s">
        <v>105</v>
      </c>
    </row>
    <row r="201" spans="1:11" x14ac:dyDescent="0.2">
      <c r="A201" s="27" t="s">
        <v>152</v>
      </c>
      <c r="B201" s="27" t="s">
        <v>157</v>
      </c>
      <c r="C201" s="27">
        <v>5.7</v>
      </c>
      <c r="D201" s="27">
        <v>2008</v>
      </c>
      <c r="E201" s="27">
        <v>8</v>
      </c>
      <c r="F201" s="27" t="s">
        <v>98</v>
      </c>
      <c r="G201" s="27">
        <v>4</v>
      </c>
      <c r="H201" s="27">
        <v>13</v>
      </c>
      <c r="I201" s="27">
        <v>18</v>
      </c>
      <c r="J201" s="27" t="s">
        <v>104</v>
      </c>
      <c r="K201" s="27" t="s">
        <v>105</v>
      </c>
    </row>
    <row r="202" spans="1:11" x14ac:dyDescent="0.2">
      <c r="A202" s="27" t="s">
        <v>152</v>
      </c>
      <c r="B202" s="27" t="s">
        <v>158</v>
      </c>
      <c r="C202" s="27">
        <v>2.7</v>
      </c>
      <c r="D202" s="27">
        <v>1999</v>
      </c>
      <c r="E202" s="27">
        <v>4</v>
      </c>
      <c r="F202" s="27" t="s">
        <v>94</v>
      </c>
      <c r="G202" s="27">
        <v>4</v>
      </c>
      <c r="H202" s="27">
        <v>15</v>
      </c>
      <c r="I202" s="27">
        <v>20</v>
      </c>
      <c r="J202" s="27" t="s">
        <v>104</v>
      </c>
      <c r="K202" s="27" t="s">
        <v>118</v>
      </c>
    </row>
    <row r="203" spans="1:11" x14ac:dyDescent="0.2">
      <c r="A203" s="27" t="s">
        <v>152</v>
      </c>
      <c r="B203" s="27" t="s">
        <v>158</v>
      </c>
      <c r="C203" s="27">
        <v>2.7</v>
      </c>
      <c r="D203" s="27">
        <v>1999</v>
      </c>
      <c r="E203" s="27">
        <v>4</v>
      </c>
      <c r="F203" s="27" t="s">
        <v>103</v>
      </c>
      <c r="G203" s="27">
        <v>4</v>
      </c>
      <c r="H203" s="27">
        <v>16</v>
      </c>
      <c r="I203" s="27">
        <v>20</v>
      </c>
      <c r="J203" s="27" t="s">
        <v>104</v>
      </c>
      <c r="K203" s="27" t="s">
        <v>118</v>
      </c>
    </row>
    <row r="204" spans="1:11" x14ac:dyDescent="0.2">
      <c r="A204" s="27" t="s">
        <v>152</v>
      </c>
      <c r="B204" s="27" t="s">
        <v>158</v>
      </c>
      <c r="C204" s="27">
        <v>2.7</v>
      </c>
      <c r="D204" s="27">
        <v>2008</v>
      </c>
      <c r="E204" s="27">
        <v>4</v>
      </c>
      <c r="F204" s="27" t="s">
        <v>94</v>
      </c>
      <c r="G204" s="27">
        <v>4</v>
      </c>
      <c r="H204" s="27">
        <v>17</v>
      </c>
      <c r="I204" s="27">
        <v>22</v>
      </c>
      <c r="J204" s="27" t="s">
        <v>104</v>
      </c>
      <c r="K204" s="27" t="s">
        <v>118</v>
      </c>
    </row>
    <row r="205" spans="1:11" x14ac:dyDescent="0.2">
      <c r="A205" s="27" t="s">
        <v>152</v>
      </c>
      <c r="B205" s="27" t="s">
        <v>158</v>
      </c>
      <c r="C205" s="27">
        <v>3.4</v>
      </c>
      <c r="D205" s="27">
        <v>1999</v>
      </c>
      <c r="E205" s="27">
        <v>6</v>
      </c>
      <c r="F205" s="27" t="s">
        <v>94</v>
      </c>
      <c r="G205" s="27">
        <v>4</v>
      </c>
      <c r="H205" s="27">
        <v>15</v>
      </c>
      <c r="I205" s="27">
        <v>17</v>
      </c>
      <c r="J205" s="27" t="s">
        <v>104</v>
      </c>
      <c r="K205" s="27" t="s">
        <v>118</v>
      </c>
    </row>
    <row r="206" spans="1:11" x14ac:dyDescent="0.2">
      <c r="A206" s="27" t="s">
        <v>152</v>
      </c>
      <c r="B206" s="27" t="s">
        <v>158</v>
      </c>
      <c r="C206" s="27">
        <v>3.4</v>
      </c>
      <c r="D206" s="27">
        <v>1999</v>
      </c>
      <c r="E206" s="27">
        <v>6</v>
      </c>
      <c r="F206" s="27" t="s">
        <v>103</v>
      </c>
      <c r="G206" s="27">
        <v>4</v>
      </c>
      <c r="H206" s="27">
        <v>15</v>
      </c>
      <c r="I206" s="27">
        <v>19</v>
      </c>
      <c r="J206" s="27" t="s">
        <v>104</v>
      </c>
      <c r="K206" s="27" t="s">
        <v>118</v>
      </c>
    </row>
    <row r="207" spans="1:11" x14ac:dyDescent="0.2">
      <c r="A207" s="27" t="s">
        <v>152</v>
      </c>
      <c r="B207" s="27" t="s">
        <v>158</v>
      </c>
      <c r="C207" s="27">
        <v>4</v>
      </c>
      <c r="D207" s="27">
        <v>2008</v>
      </c>
      <c r="E207" s="27">
        <v>6</v>
      </c>
      <c r="F207" s="27" t="s">
        <v>95</v>
      </c>
      <c r="G207" s="27">
        <v>4</v>
      </c>
      <c r="H207" s="27">
        <v>15</v>
      </c>
      <c r="I207" s="27">
        <v>18</v>
      </c>
      <c r="J207" s="27" t="s">
        <v>104</v>
      </c>
      <c r="K207" s="27" t="s">
        <v>118</v>
      </c>
    </row>
    <row r="208" spans="1:11" x14ac:dyDescent="0.2">
      <c r="A208" s="27" t="s">
        <v>152</v>
      </c>
      <c r="B208" s="27" t="s">
        <v>158</v>
      </c>
      <c r="C208" s="27">
        <v>4</v>
      </c>
      <c r="D208" s="27">
        <v>2008</v>
      </c>
      <c r="E208" s="27">
        <v>6</v>
      </c>
      <c r="F208" s="27" t="s">
        <v>91</v>
      </c>
      <c r="G208" s="27">
        <v>4</v>
      </c>
      <c r="H208" s="27">
        <v>16</v>
      </c>
      <c r="I208" s="27">
        <v>20</v>
      </c>
      <c r="J208" s="27" t="s">
        <v>104</v>
      </c>
      <c r="K208" s="27" t="s">
        <v>118</v>
      </c>
    </row>
    <row r="209" spans="1:11" x14ac:dyDescent="0.2">
      <c r="A209" s="27" t="s">
        <v>159</v>
      </c>
      <c r="B209" s="27" t="s">
        <v>160</v>
      </c>
      <c r="C209" s="27">
        <v>2</v>
      </c>
      <c r="D209" s="27">
        <v>1999</v>
      </c>
      <c r="E209" s="27">
        <v>4</v>
      </c>
      <c r="F209" s="27" t="s">
        <v>94</v>
      </c>
      <c r="G209" s="27" t="s">
        <v>92</v>
      </c>
      <c r="H209" s="27">
        <v>21</v>
      </c>
      <c r="I209" s="27">
        <v>29</v>
      </c>
      <c r="J209" s="27" t="s">
        <v>104</v>
      </c>
      <c r="K209" s="27" t="s">
        <v>93</v>
      </c>
    </row>
    <row r="210" spans="1:11" x14ac:dyDescent="0.2">
      <c r="A210" s="27" t="s">
        <v>159</v>
      </c>
      <c r="B210" s="27" t="s">
        <v>160</v>
      </c>
      <c r="C210" s="27">
        <v>2</v>
      </c>
      <c r="D210" s="27">
        <v>1999</v>
      </c>
      <c r="E210" s="27">
        <v>4</v>
      </c>
      <c r="F210" s="27" t="s">
        <v>103</v>
      </c>
      <c r="G210" s="27" t="s">
        <v>92</v>
      </c>
      <c r="H210" s="27">
        <v>19</v>
      </c>
      <c r="I210" s="27">
        <v>26</v>
      </c>
      <c r="J210" s="27" t="s">
        <v>104</v>
      </c>
      <c r="K210" s="27" t="s">
        <v>93</v>
      </c>
    </row>
    <row r="211" spans="1:11" x14ac:dyDescent="0.2">
      <c r="A211" s="27" t="s">
        <v>159</v>
      </c>
      <c r="B211" s="27" t="s">
        <v>160</v>
      </c>
      <c r="C211" s="27">
        <v>2</v>
      </c>
      <c r="D211" s="27">
        <v>2008</v>
      </c>
      <c r="E211" s="27">
        <v>4</v>
      </c>
      <c r="F211" s="27" t="s">
        <v>95</v>
      </c>
      <c r="G211" s="27" t="s">
        <v>92</v>
      </c>
      <c r="H211" s="27">
        <v>21</v>
      </c>
      <c r="I211" s="27">
        <v>29</v>
      </c>
      <c r="J211" s="27" t="s">
        <v>6</v>
      </c>
      <c r="K211" s="27" t="s">
        <v>93</v>
      </c>
    </row>
    <row r="212" spans="1:11" x14ac:dyDescent="0.2">
      <c r="A212" s="27" t="s">
        <v>159</v>
      </c>
      <c r="B212" s="27" t="s">
        <v>160</v>
      </c>
      <c r="C212" s="27">
        <v>2</v>
      </c>
      <c r="D212" s="27">
        <v>2008</v>
      </c>
      <c r="E212" s="27">
        <v>4</v>
      </c>
      <c r="F212" s="27" t="s">
        <v>98</v>
      </c>
      <c r="G212" s="27" t="s">
        <v>92</v>
      </c>
      <c r="H212" s="27">
        <v>22</v>
      </c>
      <c r="I212" s="27">
        <v>29</v>
      </c>
      <c r="J212" s="27" t="s">
        <v>6</v>
      </c>
      <c r="K212" s="27" t="s">
        <v>93</v>
      </c>
    </row>
    <row r="213" spans="1:11" x14ac:dyDescent="0.2">
      <c r="A213" s="27" t="s">
        <v>159</v>
      </c>
      <c r="B213" s="27" t="s">
        <v>160</v>
      </c>
      <c r="C213" s="27">
        <v>2.8</v>
      </c>
      <c r="D213" s="27">
        <v>1999</v>
      </c>
      <c r="E213" s="27">
        <v>6</v>
      </c>
      <c r="F213" s="27" t="s">
        <v>94</v>
      </c>
      <c r="G213" s="27" t="s">
        <v>92</v>
      </c>
      <c r="H213" s="27">
        <v>17</v>
      </c>
      <c r="I213" s="27">
        <v>24</v>
      </c>
      <c r="J213" s="27" t="s">
        <v>104</v>
      </c>
      <c r="K213" s="27" t="s">
        <v>93</v>
      </c>
    </row>
    <row r="214" spans="1:11" x14ac:dyDescent="0.2">
      <c r="A214" s="27" t="s">
        <v>159</v>
      </c>
      <c r="B214" s="27" t="s">
        <v>161</v>
      </c>
      <c r="C214" s="27">
        <v>1.9</v>
      </c>
      <c r="D214" s="27">
        <v>1999</v>
      </c>
      <c r="E214" s="27">
        <v>4</v>
      </c>
      <c r="F214" s="27" t="s">
        <v>94</v>
      </c>
      <c r="G214" s="27" t="s">
        <v>92</v>
      </c>
      <c r="H214" s="27">
        <v>33</v>
      </c>
      <c r="I214" s="27">
        <v>44</v>
      </c>
      <c r="J214" s="27" t="s">
        <v>110</v>
      </c>
      <c r="K214" s="27" t="s">
        <v>93</v>
      </c>
    </row>
    <row r="215" spans="1:11" x14ac:dyDescent="0.2">
      <c r="A215" s="27" t="s">
        <v>159</v>
      </c>
      <c r="B215" s="27" t="s">
        <v>161</v>
      </c>
      <c r="C215" s="27">
        <v>2</v>
      </c>
      <c r="D215" s="27">
        <v>1999</v>
      </c>
      <c r="E215" s="27">
        <v>4</v>
      </c>
      <c r="F215" s="27" t="s">
        <v>94</v>
      </c>
      <c r="G215" s="27" t="s">
        <v>92</v>
      </c>
      <c r="H215" s="27">
        <v>21</v>
      </c>
      <c r="I215" s="27">
        <v>29</v>
      </c>
      <c r="J215" s="27" t="s">
        <v>104</v>
      </c>
      <c r="K215" s="27" t="s">
        <v>93</v>
      </c>
    </row>
    <row r="216" spans="1:11" x14ac:dyDescent="0.2">
      <c r="A216" s="27" t="s">
        <v>159</v>
      </c>
      <c r="B216" s="27" t="s">
        <v>161</v>
      </c>
      <c r="C216" s="27">
        <v>2</v>
      </c>
      <c r="D216" s="27">
        <v>1999</v>
      </c>
      <c r="E216" s="27">
        <v>4</v>
      </c>
      <c r="F216" s="27" t="s">
        <v>103</v>
      </c>
      <c r="G216" s="27" t="s">
        <v>92</v>
      </c>
      <c r="H216" s="27">
        <v>19</v>
      </c>
      <c r="I216" s="27">
        <v>26</v>
      </c>
      <c r="J216" s="27" t="s">
        <v>104</v>
      </c>
      <c r="K216" s="27" t="s">
        <v>93</v>
      </c>
    </row>
    <row r="217" spans="1:11" x14ac:dyDescent="0.2">
      <c r="A217" s="27" t="s">
        <v>159</v>
      </c>
      <c r="B217" s="27" t="s">
        <v>161</v>
      </c>
      <c r="C217" s="27">
        <v>2</v>
      </c>
      <c r="D217" s="27">
        <v>2008</v>
      </c>
      <c r="E217" s="27">
        <v>4</v>
      </c>
      <c r="F217" s="27" t="s">
        <v>98</v>
      </c>
      <c r="G217" s="27" t="s">
        <v>92</v>
      </c>
      <c r="H217" s="27">
        <v>22</v>
      </c>
      <c r="I217" s="27">
        <v>29</v>
      </c>
      <c r="J217" s="27" t="s">
        <v>6</v>
      </c>
      <c r="K217" s="27" t="s">
        <v>93</v>
      </c>
    </row>
    <row r="218" spans="1:11" x14ac:dyDescent="0.2">
      <c r="A218" s="27" t="s">
        <v>159</v>
      </c>
      <c r="B218" s="27" t="s">
        <v>161</v>
      </c>
      <c r="C218" s="27">
        <v>2</v>
      </c>
      <c r="D218" s="27">
        <v>2008</v>
      </c>
      <c r="E218" s="27">
        <v>4</v>
      </c>
      <c r="F218" s="27" t="s">
        <v>95</v>
      </c>
      <c r="G218" s="27" t="s">
        <v>92</v>
      </c>
      <c r="H218" s="27">
        <v>21</v>
      </c>
      <c r="I218" s="27">
        <v>29</v>
      </c>
      <c r="J218" s="27" t="s">
        <v>6</v>
      </c>
      <c r="K218" s="27" t="s">
        <v>93</v>
      </c>
    </row>
    <row r="219" spans="1:11" x14ac:dyDescent="0.2">
      <c r="A219" s="27" t="s">
        <v>159</v>
      </c>
      <c r="B219" s="27" t="s">
        <v>161</v>
      </c>
      <c r="C219" s="27">
        <v>2.5</v>
      </c>
      <c r="D219" s="27">
        <v>2008</v>
      </c>
      <c r="E219" s="27">
        <v>5</v>
      </c>
      <c r="F219" s="27" t="s">
        <v>98</v>
      </c>
      <c r="G219" s="27" t="s">
        <v>92</v>
      </c>
      <c r="H219" s="27">
        <v>21</v>
      </c>
      <c r="I219" s="27">
        <v>29</v>
      </c>
      <c r="J219" s="27" t="s">
        <v>104</v>
      </c>
      <c r="K219" s="27" t="s">
        <v>93</v>
      </c>
    </row>
    <row r="220" spans="1:11" x14ac:dyDescent="0.2">
      <c r="A220" s="27" t="s">
        <v>159</v>
      </c>
      <c r="B220" s="27" t="s">
        <v>161</v>
      </c>
      <c r="C220" s="27">
        <v>2.5</v>
      </c>
      <c r="D220" s="27">
        <v>2008</v>
      </c>
      <c r="E220" s="27">
        <v>5</v>
      </c>
      <c r="F220" s="27" t="s">
        <v>94</v>
      </c>
      <c r="G220" s="27" t="s">
        <v>92</v>
      </c>
      <c r="H220" s="27">
        <v>21</v>
      </c>
      <c r="I220" s="27">
        <v>29</v>
      </c>
      <c r="J220" s="27" t="s">
        <v>104</v>
      </c>
      <c r="K220" s="27" t="s">
        <v>93</v>
      </c>
    </row>
    <row r="221" spans="1:11" x14ac:dyDescent="0.2">
      <c r="A221" s="27" t="s">
        <v>159</v>
      </c>
      <c r="B221" s="27" t="s">
        <v>161</v>
      </c>
      <c r="C221" s="27">
        <v>2.8</v>
      </c>
      <c r="D221" s="27">
        <v>1999</v>
      </c>
      <c r="E221" s="27">
        <v>6</v>
      </c>
      <c r="F221" s="27" t="s">
        <v>103</v>
      </c>
      <c r="G221" s="27" t="s">
        <v>92</v>
      </c>
      <c r="H221" s="27">
        <v>16</v>
      </c>
      <c r="I221" s="27">
        <v>23</v>
      </c>
      <c r="J221" s="27" t="s">
        <v>104</v>
      </c>
      <c r="K221" s="27" t="s">
        <v>93</v>
      </c>
    </row>
    <row r="222" spans="1:11" x14ac:dyDescent="0.2">
      <c r="A222" s="27" t="s">
        <v>159</v>
      </c>
      <c r="B222" s="27" t="s">
        <v>161</v>
      </c>
      <c r="C222" s="27">
        <v>2.8</v>
      </c>
      <c r="D222" s="27">
        <v>1999</v>
      </c>
      <c r="E222" s="27">
        <v>6</v>
      </c>
      <c r="F222" s="27" t="s">
        <v>94</v>
      </c>
      <c r="G222" s="27" t="s">
        <v>92</v>
      </c>
      <c r="H222" s="27">
        <v>17</v>
      </c>
      <c r="I222" s="27">
        <v>24</v>
      </c>
      <c r="J222" s="27" t="s">
        <v>104</v>
      </c>
      <c r="K222" s="27" t="s">
        <v>93</v>
      </c>
    </row>
    <row r="223" spans="1:11" x14ac:dyDescent="0.2">
      <c r="A223" s="27" t="s">
        <v>159</v>
      </c>
      <c r="B223" s="27" t="s">
        <v>162</v>
      </c>
      <c r="C223" s="27">
        <v>1.9</v>
      </c>
      <c r="D223" s="27">
        <v>1999</v>
      </c>
      <c r="E223" s="27">
        <v>4</v>
      </c>
      <c r="F223" s="27" t="s">
        <v>94</v>
      </c>
      <c r="G223" s="27" t="s">
        <v>92</v>
      </c>
      <c r="H223" s="27">
        <v>35</v>
      </c>
      <c r="I223" s="27">
        <v>44</v>
      </c>
      <c r="J223" s="27" t="s">
        <v>110</v>
      </c>
      <c r="K223" s="27" t="s">
        <v>126</v>
      </c>
    </row>
    <row r="224" spans="1:11" x14ac:dyDescent="0.2">
      <c r="A224" s="27" t="s">
        <v>159</v>
      </c>
      <c r="B224" s="27" t="s">
        <v>162</v>
      </c>
      <c r="C224" s="27">
        <v>1.9</v>
      </c>
      <c r="D224" s="27">
        <v>1999</v>
      </c>
      <c r="E224" s="27">
        <v>4</v>
      </c>
      <c r="F224" s="27" t="s">
        <v>103</v>
      </c>
      <c r="G224" s="27" t="s">
        <v>92</v>
      </c>
      <c r="H224" s="27">
        <v>29</v>
      </c>
      <c r="I224" s="27">
        <v>41</v>
      </c>
      <c r="J224" s="27" t="s">
        <v>110</v>
      </c>
      <c r="K224" s="27" t="s">
        <v>126</v>
      </c>
    </row>
    <row r="225" spans="1:11" x14ac:dyDescent="0.2">
      <c r="A225" s="27" t="s">
        <v>159</v>
      </c>
      <c r="B225" s="27" t="s">
        <v>162</v>
      </c>
      <c r="C225" s="27">
        <v>2</v>
      </c>
      <c r="D225" s="27">
        <v>1999</v>
      </c>
      <c r="E225" s="27">
        <v>4</v>
      </c>
      <c r="F225" s="27" t="s">
        <v>94</v>
      </c>
      <c r="G225" s="27" t="s">
        <v>92</v>
      </c>
      <c r="H225" s="27">
        <v>21</v>
      </c>
      <c r="I225" s="27">
        <v>29</v>
      </c>
      <c r="J225" s="27" t="s">
        <v>104</v>
      </c>
      <c r="K225" s="27" t="s">
        <v>126</v>
      </c>
    </row>
    <row r="226" spans="1:11" x14ac:dyDescent="0.2">
      <c r="A226" s="27" t="s">
        <v>159</v>
      </c>
      <c r="B226" s="27" t="s">
        <v>162</v>
      </c>
      <c r="C226" s="27">
        <v>2</v>
      </c>
      <c r="D226" s="27">
        <v>1999</v>
      </c>
      <c r="E226" s="27">
        <v>4</v>
      </c>
      <c r="F226" s="27" t="s">
        <v>103</v>
      </c>
      <c r="G226" s="27" t="s">
        <v>92</v>
      </c>
      <c r="H226" s="27">
        <v>19</v>
      </c>
      <c r="I226" s="27">
        <v>26</v>
      </c>
      <c r="J226" s="27" t="s">
        <v>104</v>
      </c>
      <c r="K226" s="27" t="s">
        <v>126</v>
      </c>
    </row>
    <row r="227" spans="1:11" x14ac:dyDescent="0.2">
      <c r="A227" s="27" t="s">
        <v>159</v>
      </c>
      <c r="B227" s="27" t="s">
        <v>162</v>
      </c>
      <c r="C227" s="27">
        <v>2.5</v>
      </c>
      <c r="D227" s="27">
        <v>2008</v>
      </c>
      <c r="E227" s="27">
        <v>5</v>
      </c>
      <c r="F227" s="27" t="s">
        <v>94</v>
      </c>
      <c r="G227" s="27" t="s">
        <v>92</v>
      </c>
      <c r="H227" s="27">
        <v>20</v>
      </c>
      <c r="I227" s="27">
        <v>28</v>
      </c>
      <c r="J227" s="27" t="s">
        <v>104</v>
      </c>
      <c r="K227" s="27" t="s">
        <v>126</v>
      </c>
    </row>
    <row r="228" spans="1:11" x14ac:dyDescent="0.2">
      <c r="A228" s="27" t="s">
        <v>159</v>
      </c>
      <c r="B228" s="27" t="s">
        <v>162</v>
      </c>
      <c r="C228" s="27">
        <v>2.5</v>
      </c>
      <c r="D228" s="27">
        <v>2008</v>
      </c>
      <c r="E228" s="27">
        <v>5</v>
      </c>
      <c r="F228" s="27" t="s">
        <v>98</v>
      </c>
      <c r="G228" s="27" t="s">
        <v>92</v>
      </c>
      <c r="H228" s="27">
        <v>20</v>
      </c>
      <c r="I228" s="27">
        <v>29</v>
      </c>
      <c r="J228" s="27" t="s">
        <v>104</v>
      </c>
      <c r="K228" s="27" t="s">
        <v>126</v>
      </c>
    </row>
    <row r="229" spans="1:11" x14ac:dyDescent="0.2">
      <c r="A229" s="27" t="s">
        <v>159</v>
      </c>
      <c r="B229" s="27" t="s">
        <v>163</v>
      </c>
      <c r="C229" s="27">
        <v>1.8</v>
      </c>
      <c r="D229" s="27">
        <v>1999</v>
      </c>
      <c r="E229" s="27">
        <v>4</v>
      </c>
      <c r="F229" s="27" t="s">
        <v>94</v>
      </c>
      <c r="G229" s="27" t="s">
        <v>92</v>
      </c>
      <c r="H229" s="27">
        <v>21</v>
      </c>
      <c r="I229" s="27">
        <v>29</v>
      </c>
      <c r="J229" s="27" t="s">
        <v>6</v>
      </c>
      <c r="K229" s="27" t="s">
        <v>100</v>
      </c>
    </row>
    <row r="230" spans="1:11" x14ac:dyDescent="0.2">
      <c r="A230" s="27" t="s">
        <v>159</v>
      </c>
      <c r="B230" s="27" t="s">
        <v>163</v>
      </c>
      <c r="C230" s="27">
        <v>1.8</v>
      </c>
      <c r="D230" s="27">
        <v>1999</v>
      </c>
      <c r="E230" s="27">
        <v>4</v>
      </c>
      <c r="F230" s="27" t="s">
        <v>91</v>
      </c>
      <c r="G230" s="27" t="s">
        <v>92</v>
      </c>
      <c r="H230" s="27">
        <v>18</v>
      </c>
      <c r="I230" s="27">
        <v>29</v>
      </c>
      <c r="J230" s="27" t="s">
        <v>6</v>
      </c>
      <c r="K230" s="27" t="s">
        <v>100</v>
      </c>
    </row>
    <row r="231" spans="1:11" x14ac:dyDescent="0.2">
      <c r="A231" s="27" t="s">
        <v>159</v>
      </c>
      <c r="B231" s="27" t="s">
        <v>163</v>
      </c>
      <c r="C231" s="27">
        <v>2</v>
      </c>
      <c r="D231" s="27">
        <v>2008</v>
      </c>
      <c r="E231" s="27">
        <v>4</v>
      </c>
      <c r="F231" s="27" t="s">
        <v>98</v>
      </c>
      <c r="G231" s="27" t="s">
        <v>92</v>
      </c>
      <c r="H231" s="27">
        <v>19</v>
      </c>
      <c r="I231" s="27">
        <v>28</v>
      </c>
      <c r="J231" s="27" t="s">
        <v>6</v>
      </c>
      <c r="K231" s="27" t="s">
        <v>100</v>
      </c>
    </row>
    <row r="232" spans="1:11" x14ac:dyDescent="0.2">
      <c r="A232" s="27" t="s">
        <v>159</v>
      </c>
      <c r="B232" s="27" t="s">
        <v>163</v>
      </c>
      <c r="C232" s="27">
        <v>2</v>
      </c>
      <c r="D232" s="27">
        <v>2008</v>
      </c>
      <c r="E232" s="27">
        <v>4</v>
      </c>
      <c r="F232" s="27" t="s">
        <v>95</v>
      </c>
      <c r="G232" s="27" t="s">
        <v>92</v>
      </c>
      <c r="H232" s="27">
        <v>21</v>
      </c>
      <c r="I232" s="27">
        <v>29</v>
      </c>
      <c r="J232" s="27" t="s">
        <v>6</v>
      </c>
      <c r="K232" s="27" t="s">
        <v>100</v>
      </c>
    </row>
    <row r="233" spans="1:11" x14ac:dyDescent="0.2">
      <c r="A233" s="27" t="s">
        <v>159</v>
      </c>
      <c r="B233" s="27" t="s">
        <v>163</v>
      </c>
      <c r="C233" s="27">
        <v>2.8</v>
      </c>
      <c r="D233" s="27">
        <v>1999</v>
      </c>
      <c r="E233" s="27">
        <v>6</v>
      </c>
      <c r="F233" s="27" t="s">
        <v>91</v>
      </c>
      <c r="G233" s="27" t="s">
        <v>92</v>
      </c>
      <c r="H233" s="27">
        <v>16</v>
      </c>
      <c r="I233" s="27">
        <v>26</v>
      </c>
      <c r="J233" s="27" t="s">
        <v>6</v>
      </c>
      <c r="K233" s="27" t="s">
        <v>100</v>
      </c>
    </row>
    <row r="234" spans="1:11" x14ac:dyDescent="0.2">
      <c r="A234" s="27" t="s">
        <v>159</v>
      </c>
      <c r="B234" s="27" t="s">
        <v>163</v>
      </c>
      <c r="C234" s="27">
        <v>2.8</v>
      </c>
      <c r="D234" s="27">
        <v>1999</v>
      </c>
      <c r="E234" s="27">
        <v>6</v>
      </c>
      <c r="F234" s="27" t="s">
        <v>94</v>
      </c>
      <c r="G234" s="27" t="s">
        <v>92</v>
      </c>
      <c r="H234" s="27">
        <v>18</v>
      </c>
      <c r="I234" s="27">
        <v>26</v>
      </c>
      <c r="J234" s="27" t="s">
        <v>6</v>
      </c>
      <c r="K234" s="27" t="s">
        <v>100</v>
      </c>
    </row>
    <row r="235" spans="1:11" x14ac:dyDescent="0.2">
      <c r="A235" s="27" t="s">
        <v>159</v>
      </c>
      <c r="B235" s="27" t="s">
        <v>163</v>
      </c>
      <c r="C235" s="27">
        <v>3.6</v>
      </c>
      <c r="D235" s="27">
        <v>2008</v>
      </c>
      <c r="E235" s="27">
        <v>6</v>
      </c>
      <c r="F235" s="27" t="s">
        <v>98</v>
      </c>
      <c r="G235" s="27" t="s">
        <v>92</v>
      </c>
      <c r="H235" s="27">
        <v>17</v>
      </c>
      <c r="I235" s="27">
        <v>26</v>
      </c>
      <c r="J235" s="27" t="s">
        <v>6</v>
      </c>
      <c r="K235" s="27" t="s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H14" sqref="H14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2" x14ac:dyDescent="0.2">
      <c r="A1" s="27" t="s">
        <v>85</v>
      </c>
      <c r="B1" s="27" t="s">
        <v>164</v>
      </c>
      <c r="C1" s="27"/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</row>
    <row r="2" spans="1:12" x14ac:dyDescent="0.2">
      <c r="A2" s="27">
        <v>18</v>
      </c>
      <c r="B2" s="27">
        <v>1</v>
      </c>
      <c r="C2" s="27"/>
      <c r="D2" s="28" cm="1">
        <f t="array" ref="D2:D235">TREND(A2:A235,B2:B235,B2:B235,FALSE)</f>
        <v>16.858974358974358</v>
      </c>
      <c r="E2" s="28">
        <f>D2-A2</f>
        <v>-1.1410256410256423</v>
      </c>
      <c r="F2" s="28">
        <f>STDEV(E2:E235)</f>
        <v>4.2559456788893932</v>
      </c>
      <c r="G2" s="28">
        <f>_xlfn.NORM.DIST(E2,0,$F$2,FALSE)</f>
        <v>9.0428595220514676E-2</v>
      </c>
      <c r="H2" s="28" cm="1">
        <f t="array" ref="H2">SUM(LN(G2:G235))</f>
        <v>-670.43779208802937</v>
      </c>
      <c r="I2" s="28">
        <f>COUNT(A2:A235)</f>
        <v>234</v>
      </c>
      <c r="J2" s="28">
        <v>1</v>
      </c>
      <c r="K2" s="28">
        <f>-2*H2+2*J2</f>
        <v>1342.8755841760587</v>
      </c>
      <c r="L2" s="28"/>
    </row>
    <row r="3" spans="1:12" x14ac:dyDescent="0.2">
      <c r="A3" s="27">
        <v>21</v>
      </c>
      <c r="B3" s="27">
        <v>1</v>
      </c>
      <c r="C3" s="27"/>
      <c r="D3" s="28">
        <v>16.858974358974358</v>
      </c>
      <c r="E3" s="28">
        <f t="shared" ref="E3:E66" si="0">D3-A3</f>
        <v>-4.1410256410256423</v>
      </c>
      <c r="G3" s="28">
        <f t="shared" ref="G3:G66" si="1">_xlfn.NORM.DIST(E3,0,$F$2,FALSE)</f>
        <v>5.8389578885814829E-2</v>
      </c>
      <c r="L3" s="28"/>
    </row>
    <row r="4" spans="1:12" x14ac:dyDescent="0.2">
      <c r="A4" s="27">
        <v>20</v>
      </c>
      <c r="B4" s="27">
        <v>1</v>
      </c>
      <c r="C4" s="27"/>
      <c r="D4" s="28">
        <v>16.858974358974358</v>
      </c>
      <c r="E4" s="28">
        <f t="shared" si="0"/>
        <v>-3.1410256410256423</v>
      </c>
      <c r="G4" s="28">
        <f t="shared" si="1"/>
        <v>7.138971945227178E-2</v>
      </c>
      <c r="H4" s="28" t="s">
        <v>172</v>
      </c>
      <c r="I4" s="28" t="s">
        <v>173</v>
      </c>
      <c r="L4" s="28"/>
    </row>
    <row r="5" spans="1:12" x14ac:dyDescent="0.2">
      <c r="A5" s="27">
        <v>21</v>
      </c>
      <c r="B5" s="27">
        <v>1</v>
      </c>
      <c r="C5" s="27"/>
      <c r="D5" s="28">
        <v>16.858974358974358</v>
      </c>
      <c r="E5" s="28">
        <f t="shared" si="0"/>
        <v>-4.1410256410256423</v>
      </c>
      <c r="G5" s="28">
        <f t="shared" si="1"/>
        <v>5.8389578885814829E-2</v>
      </c>
      <c r="H5" s="28">
        <f>SUMSQ(E2:E235)</f>
        <v>4220.3461538461506</v>
      </c>
      <c r="I5" s="28">
        <f>H5/I2</f>
        <v>18.035667324128848</v>
      </c>
      <c r="L5" s="28"/>
    </row>
    <row r="6" spans="1:12" x14ac:dyDescent="0.2">
      <c r="A6" s="27">
        <v>16</v>
      </c>
      <c r="B6" s="27">
        <v>1</v>
      </c>
      <c r="C6" s="27"/>
      <c r="D6" s="28">
        <v>16.858974358974358</v>
      </c>
      <c r="E6" s="28">
        <f t="shared" si="0"/>
        <v>0.8589743589743577</v>
      </c>
      <c r="G6" s="28">
        <f t="shared" si="1"/>
        <v>9.1847742433773194E-2</v>
      </c>
      <c r="L6" s="28"/>
    </row>
    <row r="7" spans="1:12" x14ac:dyDescent="0.2">
      <c r="A7" s="27">
        <v>18</v>
      </c>
      <c r="B7" s="27">
        <v>1</v>
      </c>
      <c r="C7" s="27"/>
      <c r="D7" s="28">
        <v>16.858974358974358</v>
      </c>
      <c r="E7" s="28">
        <f t="shared" si="0"/>
        <v>-1.1410256410256423</v>
      </c>
      <c r="G7" s="28">
        <f t="shared" si="1"/>
        <v>9.0428595220514676E-2</v>
      </c>
      <c r="H7" s="28" t="s">
        <v>175</v>
      </c>
      <c r="K7" s="28" t="s">
        <v>177</v>
      </c>
      <c r="L7" s="28"/>
    </row>
    <row r="8" spans="1:12" x14ac:dyDescent="0.2">
      <c r="A8" s="27">
        <v>18</v>
      </c>
      <c r="B8" s="27">
        <v>1</v>
      </c>
      <c r="C8" s="27"/>
      <c r="D8" s="28">
        <v>16.858974358974358</v>
      </c>
      <c r="E8" s="28">
        <f t="shared" si="0"/>
        <v>-1.1410256410256423</v>
      </c>
      <c r="G8" s="28">
        <f t="shared" si="1"/>
        <v>9.0428595220514676E-2</v>
      </c>
      <c r="H8" s="28">
        <f>I2*LN(I5)</f>
        <v>676.81020777694471</v>
      </c>
      <c r="K8" s="28">
        <f>H8+2*J2</f>
        <v>678.81020777694471</v>
      </c>
      <c r="L8" s="28"/>
    </row>
    <row r="9" spans="1:12" x14ac:dyDescent="0.2">
      <c r="A9" s="27">
        <v>18</v>
      </c>
      <c r="B9" s="27">
        <v>1</v>
      </c>
      <c r="C9" s="27"/>
      <c r="D9" s="28">
        <v>16.858974358974358</v>
      </c>
      <c r="E9" s="28">
        <f t="shared" si="0"/>
        <v>-1.1410256410256423</v>
      </c>
      <c r="G9" s="28">
        <f t="shared" si="1"/>
        <v>9.0428595220514676E-2</v>
      </c>
      <c r="L9" s="28"/>
    </row>
    <row r="10" spans="1:12" x14ac:dyDescent="0.2">
      <c r="A10" s="27">
        <v>16</v>
      </c>
      <c r="B10" s="27">
        <v>1</v>
      </c>
      <c r="C10" s="27"/>
      <c r="D10" s="28">
        <v>16.858974358974358</v>
      </c>
      <c r="E10" s="28">
        <f t="shared" si="0"/>
        <v>0.8589743589743577</v>
      </c>
      <c r="G10" s="28">
        <f t="shared" si="1"/>
        <v>9.1847742433773194E-2</v>
      </c>
      <c r="H10" s="28" t="s">
        <v>176</v>
      </c>
      <c r="L10" s="28"/>
    </row>
    <row r="11" spans="1:12" x14ac:dyDescent="0.2">
      <c r="A11" s="27">
        <v>20</v>
      </c>
      <c r="B11" s="27">
        <v>1</v>
      </c>
      <c r="C11" s="27"/>
      <c r="D11" s="28">
        <v>16.858974358974358</v>
      </c>
      <c r="E11" s="28">
        <f t="shared" si="0"/>
        <v>-3.1410256410256423</v>
      </c>
      <c r="G11" s="28">
        <f t="shared" si="1"/>
        <v>7.138971945227178E-2</v>
      </c>
      <c r="H11" s="28">
        <f>I2*LN(2*PI())</f>
        <v>430.06323353978684</v>
      </c>
      <c r="L11" s="28"/>
    </row>
    <row r="12" spans="1:12" x14ac:dyDescent="0.2">
      <c r="A12" s="27">
        <v>19</v>
      </c>
      <c r="B12" s="27">
        <v>1</v>
      </c>
      <c r="C12" s="27"/>
      <c r="D12" s="28">
        <v>16.858974358974358</v>
      </c>
      <c r="E12" s="28">
        <f t="shared" si="0"/>
        <v>-2.1410256410256423</v>
      </c>
      <c r="G12" s="28">
        <f t="shared" si="1"/>
        <v>8.2596026638649928E-2</v>
      </c>
      <c r="L12" s="28"/>
    </row>
    <row r="13" spans="1:12" x14ac:dyDescent="0.2">
      <c r="A13" s="27">
        <v>15</v>
      </c>
      <c r="B13" s="27">
        <v>1</v>
      </c>
      <c r="C13" s="27"/>
      <c r="D13" s="28">
        <v>16.858974358974358</v>
      </c>
      <c r="E13" s="28">
        <f t="shared" si="0"/>
        <v>1.8589743589743577</v>
      </c>
      <c r="G13" s="28">
        <f t="shared" si="1"/>
        <v>8.5208821600122359E-2</v>
      </c>
      <c r="H13" s="28" t="s">
        <v>174</v>
      </c>
      <c r="K13" s="28" t="s">
        <v>170</v>
      </c>
      <c r="L13" s="28"/>
    </row>
    <row r="14" spans="1:12" x14ac:dyDescent="0.2">
      <c r="A14" s="27">
        <v>17</v>
      </c>
      <c r="B14" s="27">
        <v>1</v>
      </c>
      <c r="C14" s="27"/>
      <c r="D14" s="28">
        <v>16.858974358974358</v>
      </c>
      <c r="E14" s="28">
        <f t="shared" si="0"/>
        <v>-0.1410256410256423</v>
      </c>
      <c r="G14" s="28">
        <f t="shared" si="1"/>
        <v>9.3686186441259228E-2</v>
      </c>
      <c r="H14" s="28">
        <f>H8+H11+I2</f>
        <v>1340.8734413167315</v>
      </c>
      <c r="K14" s="28">
        <f>H14+2*J2</f>
        <v>1342.8734413167315</v>
      </c>
      <c r="L14" s="28"/>
    </row>
    <row r="15" spans="1:12" x14ac:dyDescent="0.2">
      <c r="A15" s="27">
        <v>17</v>
      </c>
      <c r="B15" s="27">
        <v>1</v>
      </c>
      <c r="C15" s="27"/>
      <c r="D15" s="28">
        <v>16.858974358974358</v>
      </c>
      <c r="E15" s="28">
        <f t="shared" si="0"/>
        <v>-0.1410256410256423</v>
      </c>
      <c r="G15" s="28">
        <f t="shared" si="1"/>
        <v>9.3686186441259228E-2</v>
      </c>
      <c r="L15" s="28"/>
    </row>
    <row r="16" spans="1:12" x14ac:dyDescent="0.2">
      <c r="A16" s="27">
        <v>15</v>
      </c>
      <c r="B16" s="27">
        <v>1</v>
      </c>
      <c r="C16" s="27"/>
      <c r="D16" s="28">
        <v>16.858974358974358</v>
      </c>
      <c r="E16" s="28">
        <f t="shared" si="0"/>
        <v>1.8589743589743577</v>
      </c>
      <c r="G16" s="28">
        <f t="shared" si="1"/>
        <v>8.5208821600122359E-2</v>
      </c>
      <c r="L16" s="28"/>
    </row>
    <row r="17" spans="1:12" x14ac:dyDescent="0.2">
      <c r="A17" s="27">
        <v>15</v>
      </c>
      <c r="B17" s="27">
        <v>1</v>
      </c>
      <c r="C17" s="27"/>
      <c r="D17" s="28">
        <v>16.858974358974358</v>
      </c>
      <c r="E17" s="28">
        <f t="shared" si="0"/>
        <v>1.8589743589743577</v>
      </c>
      <c r="G17" s="28">
        <f t="shared" si="1"/>
        <v>8.5208821600122359E-2</v>
      </c>
      <c r="L17" s="28"/>
    </row>
    <row r="18" spans="1:12" x14ac:dyDescent="0.2">
      <c r="A18" s="27">
        <v>17</v>
      </c>
      <c r="B18" s="27">
        <v>1</v>
      </c>
      <c r="C18" s="27"/>
      <c r="D18" s="28">
        <v>16.858974358974358</v>
      </c>
      <c r="E18" s="28">
        <f t="shared" si="0"/>
        <v>-0.1410256410256423</v>
      </c>
      <c r="G18" s="28">
        <f t="shared" si="1"/>
        <v>9.3686186441259228E-2</v>
      </c>
      <c r="L18" s="28"/>
    </row>
    <row r="19" spans="1:12" x14ac:dyDescent="0.2">
      <c r="A19" s="27">
        <v>16</v>
      </c>
      <c r="B19" s="27">
        <v>1</v>
      </c>
      <c r="C19" s="27"/>
      <c r="D19" s="28">
        <v>16.858974358974358</v>
      </c>
      <c r="E19" s="28">
        <f t="shared" si="0"/>
        <v>0.8589743589743577</v>
      </c>
      <c r="G19" s="28">
        <f t="shared" si="1"/>
        <v>9.1847742433773194E-2</v>
      </c>
      <c r="L19" s="28"/>
    </row>
    <row r="20" spans="1:12" x14ac:dyDescent="0.2">
      <c r="A20" s="27">
        <v>14</v>
      </c>
      <c r="B20" s="27">
        <v>1</v>
      </c>
      <c r="C20" s="27"/>
      <c r="D20" s="28">
        <v>16.858974358974358</v>
      </c>
      <c r="E20" s="28">
        <f t="shared" si="0"/>
        <v>2.8589743589743577</v>
      </c>
      <c r="G20" s="28">
        <f t="shared" si="1"/>
        <v>7.4803820711623142E-2</v>
      </c>
      <c r="L20" s="28"/>
    </row>
    <row r="21" spans="1:12" x14ac:dyDescent="0.2">
      <c r="A21" s="27">
        <v>11</v>
      </c>
      <c r="B21" s="27">
        <v>1</v>
      </c>
      <c r="C21" s="27"/>
      <c r="D21" s="28">
        <v>16.858974358974358</v>
      </c>
      <c r="E21" s="28">
        <f t="shared" si="0"/>
        <v>5.8589743589743577</v>
      </c>
      <c r="G21" s="28">
        <f t="shared" si="1"/>
        <v>3.6339616015446226E-2</v>
      </c>
      <c r="L21" s="28"/>
    </row>
    <row r="22" spans="1:12" x14ac:dyDescent="0.2">
      <c r="A22" s="27">
        <v>14</v>
      </c>
      <c r="B22" s="27">
        <v>1</v>
      </c>
      <c r="C22" s="27"/>
      <c r="D22" s="28">
        <v>16.858974358974358</v>
      </c>
      <c r="E22" s="28">
        <f t="shared" si="0"/>
        <v>2.8589743589743577</v>
      </c>
      <c r="G22" s="28">
        <f t="shared" si="1"/>
        <v>7.4803820711623142E-2</v>
      </c>
      <c r="L22" s="28"/>
    </row>
    <row r="23" spans="1:12" x14ac:dyDescent="0.2">
      <c r="A23" s="27">
        <v>13</v>
      </c>
      <c r="B23" s="27">
        <v>1</v>
      </c>
      <c r="C23" s="27"/>
      <c r="D23" s="28">
        <v>16.858974358974358</v>
      </c>
      <c r="E23" s="28">
        <f t="shared" si="0"/>
        <v>3.8589743589743577</v>
      </c>
      <c r="G23" s="28">
        <f t="shared" si="1"/>
        <v>6.2142132155231941E-2</v>
      </c>
      <c r="L23" s="28"/>
    </row>
    <row r="24" spans="1:12" x14ac:dyDescent="0.2">
      <c r="A24" s="27">
        <v>12</v>
      </c>
      <c r="B24" s="27">
        <v>1</v>
      </c>
      <c r="C24" s="27"/>
      <c r="D24" s="28">
        <v>16.858974358974358</v>
      </c>
      <c r="E24" s="28">
        <f t="shared" si="0"/>
        <v>4.8589743589743577</v>
      </c>
      <c r="G24" s="28">
        <f t="shared" si="1"/>
        <v>4.8850798619149906E-2</v>
      </c>
      <c r="L24" s="28"/>
    </row>
    <row r="25" spans="1:12" x14ac:dyDescent="0.2">
      <c r="A25" s="27">
        <v>16</v>
      </c>
      <c r="B25" s="27">
        <v>1</v>
      </c>
      <c r="C25" s="27"/>
      <c r="D25" s="28">
        <v>16.858974358974358</v>
      </c>
      <c r="E25" s="28">
        <f t="shared" si="0"/>
        <v>0.8589743589743577</v>
      </c>
      <c r="G25" s="28">
        <f t="shared" si="1"/>
        <v>9.1847742433773194E-2</v>
      </c>
      <c r="L25" s="28"/>
    </row>
    <row r="26" spans="1:12" x14ac:dyDescent="0.2">
      <c r="A26" s="27">
        <v>15</v>
      </c>
      <c r="B26" s="27">
        <v>1</v>
      </c>
      <c r="C26" s="27"/>
      <c r="D26" s="28">
        <v>16.858974358974358</v>
      </c>
      <c r="E26" s="28">
        <f t="shared" si="0"/>
        <v>1.8589743589743577</v>
      </c>
      <c r="G26" s="28">
        <f t="shared" si="1"/>
        <v>8.5208821600122359E-2</v>
      </c>
      <c r="L26" s="28"/>
    </row>
    <row r="27" spans="1:12" x14ac:dyDescent="0.2">
      <c r="A27" s="27">
        <v>16</v>
      </c>
      <c r="B27" s="27">
        <v>1</v>
      </c>
      <c r="C27" s="27"/>
      <c r="D27" s="28">
        <v>16.858974358974358</v>
      </c>
      <c r="E27" s="28">
        <f t="shared" si="0"/>
        <v>0.8589743589743577</v>
      </c>
      <c r="G27" s="28">
        <f t="shared" si="1"/>
        <v>9.1847742433773194E-2</v>
      </c>
      <c r="L27" s="28"/>
    </row>
    <row r="28" spans="1:12" x14ac:dyDescent="0.2">
      <c r="A28" s="27">
        <v>15</v>
      </c>
      <c r="B28" s="27">
        <v>1</v>
      </c>
      <c r="C28" s="27"/>
      <c r="D28" s="28">
        <v>16.858974358974358</v>
      </c>
      <c r="E28" s="28">
        <f t="shared" si="0"/>
        <v>1.8589743589743577</v>
      </c>
      <c r="G28" s="28">
        <f t="shared" si="1"/>
        <v>8.5208821600122359E-2</v>
      </c>
      <c r="L28" s="28"/>
    </row>
    <row r="29" spans="1:12" x14ac:dyDescent="0.2">
      <c r="A29" s="27">
        <v>15</v>
      </c>
      <c r="B29" s="27">
        <v>1</v>
      </c>
      <c r="C29" s="27"/>
      <c r="D29" s="28">
        <v>16.858974358974358</v>
      </c>
      <c r="E29" s="28">
        <f t="shared" si="0"/>
        <v>1.8589743589743577</v>
      </c>
      <c r="G29" s="28">
        <f t="shared" si="1"/>
        <v>8.5208821600122359E-2</v>
      </c>
      <c r="L29" s="28"/>
    </row>
    <row r="30" spans="1:12" x14ac:dyDescent="0.2">
      <c r="A30" s="27">
        <v>14</v>
      </c>
      <c r="B30" s="27">
        <v>1</v>
      </c>
      <c r="C30" s="27"/>
      <c r="D30" s="28">
        <v>16.858974358974358</v>
      </c>
      <c r="E30" s="28">
        <f t="shared" si="0"/>
        <v>2.8589743589743577</v>
      </c>
      <c r="G30" s="28">
        <f t="shared" si="1"/>
        <v>7.4803820711623142E-2</v>
      </c>
      <c r="L30" s="28"/>
    </row>
    <row r="31" spans="1:12" x14ac:dyDescent="0.2">
      <c r="A31" s="27">
        <v>11</v>
      </c>
      <c r="B31" s="27">
        <v>1</v>
      </c>
      <c r="C31" s="27"/>
      <c r="D31" s="28">
        <v>16.858974358974358</v>
      </c>
      <c r="E31" s="28">
        <f t="shared" si="0"/>
        <v>5.8589743589743577</v>
      </c>
      <c r="G31" s="28">
        <f t="shared" si="1"/>
        <v>3.6339616015446226E-2</v>
      </c>
      <c r="L31" s="28"/>
    </row>
    <row r="32" spans="1:12" x14ac:dyDescent="0.2">
      <c r="A32" s="27">
        <v>11</v>
      </c>
      <c r="B32" s="27">
        <v>1</v>
      </c>
      <c r="C32" s="27"/>
      <c r="D32" s="28">
        <v>16.858974358974358</v>
      </c>
      <c r="E32" s="28">
        <f t="shared" si="0"/>
        <v>5.8589743589743577</v>
      </c>
      <c r="G32" s="28">
        <f t="shared" si="1"/>
        <v>3.6339616015446226E-2</v>
      </c>
      <c r="L32" s="28"/>
    </row>
    <row r="33" spans="1:12" x14ac:dyDescent="0.2">
      <c r="A33" s="27">
        <v>14</v>
      </c>
      <c r="B33" s="27">
        <v>1</v>
      </c>
      <c r="C33" s="27"/>
      <c r="D33" s="28">
        <v>16.858974358974358</v>
      </c>
      <c r="E33" s="28">
        <f t="shared" si="0"/>
        <v>2.8589743589743577</v>
      </c>
      <c r="G33" s="28">
        <f t="shared" si="1"/>
        <v>7.4803820711623142E-2</v>
      </c>
      <c r="L33" s="28"/>
    </row>
    <row r="34" spans="1:12" x14ac:dyDescent="0.2">
      <c r="A34" s="27">
        <v>19</v>
      </c>
      <c r="B34" s="27">
        <v>1</v>
      </c>
      <c r="C34" s="27"/>
      <c r="D34" s="28">
        <v>16.858974358974358</v>
      </c>
      <c r="E34" s="28">
        <f t="shared" si="0"/>
        <v>-2.1410256410256423</v>
      </c>
      <c r="G34" s="28">
        <f t="shared" si="1"/>
        <v>8.2596026638649928E-2</v>
      </c>
      <c r="L34" s="28"/>
    </row>
    <row r="35" spans="1:12" x14ac:dyDescent="0.2">
      <c r="A35" s="27">
        <v>22</v>
      </c>
      <c r="B35" s="27">
        <v>1</v>
      </c>
      <c r="C35" s="27"/>
      <c r="D35" s="28">
        <v>16.858974358974358</v>
      </c>
      <c r="E35" s="28">
        <f t="shared" si="0"/>
        <v>-5.1410256410256423</v>
      </c>
      <c r="G35" s="28">
        <f t="shared" si="1"/>
        <v>4.5191645925457373E-2</v>
      </c>
      <c r="L35" s="28"/>
    </row>
    <row r="36" spans="1:12" x14ac:dyDescent="0.2">
      <c r="A36" s="27">
        <v>18</v>
      </c>
      <c r="B36" s="27">
        <v>1</v>
      </c>
      <c r="C36" s="27"/>
      <c r="D36" s="28">
        <v>16.858974358974358</v>
      </c>
      <c r="E36" s="28">
        <f t="shared" si="0"/>
        <v>-1.1410256410256423</v>
      </c>
      <c r="G36" s="28">
        <f t="shared" si="1"/>
        <v>9.0428595220514676E-2</v>
      </c>
      <c r="L36" s="28"/>
    </row>
    <row r="37" spans="1:12" x14ac:dyDescent="0.2">
      <c r="A37" s="27">
        <v>18</v>
      </c>
      <c r="B37" s="27">
        <v>1</v>
      </c>
      <c r="C37" s="27"/>
      <c r="D37" s="28">
        <v>16.858974358974358</v>
      </c>
      <c r="E37" s="28">
        <f t="shared" si="0"/>
        <v>-1.1410256410256423</v>
      </c>
      <c r="G37" s="28">
        <f t="shared" si="1"/>
        <v>9.0428595220514676E-2</v>
      </c>
      <c r="L37" s="28"/>
    </row>
    <row r="38" spans="1:12" x14ac:dyDescent="0.2">
      <c r="A38" s="27">
        <v>17</v>
      </c>
      <c r="B38" s="27">
        <v>1</v>
      </c>
      <c r="C38" s="27"/>
      <c r="D38" s="28">
        <v>16.858974358974358</v>
      </c>
      <c r="E38" s="28">
        <f t="shared" si="0"/>
        <v>-0.1410256410256423</v>
      </c>
      <c r="G38" s="28">
        <f t="shared" si="1"/>
        <v>9.3686186441259228E-2</v>
      </c>
      <c r="L38" s="28"/>
    </row>
    <row r="39" spans="1:12" x14ac:dyDescent="0.2">
      <c r="A39" s="27">
        <v>18</v>
      </c>
      <c r="B39" s="27">
        <v>1</v>
      </c>
      <c r="C39" s="27"/>
      <c r="D39" s="28">
        <v>16.858974358974358</v>
      </c>
      <c r="E39" s="28">
        <f t="shared" si="0"/>
        <v>-1.1410256410256423</v>
      </c>
      <c r="G39" s="28">
        <f t="shared" si="1"/>
        <v>9.0428595220514676E-2</v>
      </c>
      <c r="L39" s="28"/>
    </row>
    <row r="40" spans="1:12" x14ac:dyDescent="0.2">
      <c r="A40" s="27">
        <v>17</v>
      </c>
      <c r="B40" s="27">
        <v>1</v>
      </c>
      <c r="C40" s="27"/>
      <c r="D40" s="28">
        <v>16.858974358974358</v>
      </c>
      <c r="E40" s="28">
        <f t="shared" si="0"/>
        <v>-0.1410256410256423</v>
      </c>
      <c r="G40" s="28">
        <f t="shared" si="1"/>
        <v>9.3686186441259228E-2</v>
      </c>
      <c r="L40" s="28"/>
    </row>
    <row r="41" spans="1:12" x14ac:dyDescent="0.2">
      <c r="A41" s="27">
        <v>16</v>
      </c>
      <c r="B41" s="27">
        <v>1</v>
      </c>
      <c r="C41" s="27"/>
      <c r="D41" s="28">
        <v>16.858974358974358</v>
      </c>
      <c r="E41" s="28">
        <f t="shared" si="0"/>
        <v>0.8589743589743577</v>
      </c>
      <c r="G41" s="28">
        <f t="shared" si="1"/>
        <v>9.1847742433773194E-2</v>
      </c>
      <c r="L41" s="28"/>
    </row>
    <row r="42" spans="1:12" x14ac:dyDescent="0.2">
      <c r="A42" s="27">
        <v>16</v>
      </c>
      <c r="B42" s="27">
        <v>1</v>
      </c>
      <c r="C42" s="27"/>
      <c r="D42" s="28">
        <v>16.858974358974358</v>
      </c>
      <c r="E42" s="28">
        <f t="shared" si="0"/>
        <v>0.8589743589743577</v>
      </c>
      <c r="G42" s="28">
        <f t="shared" si="1"/>
        <v>9.1847742433773194E-2</v>
      </c>
      <c r="L42" s="28"/>
    </row>
    <row r="43" spans="1:12" x14ac:dyDescent="0.2">
      <c r="A43" s="27">
        <v>17</v>
      </c>
      <c r="B43" s="27">
        <v>1</v>
      </c>
      <c r="C43" s="27"/>
      <c r="D43" s="28">
        <v>16.858974358974358</v>
      </c>
      <c r="E43" s="28">
        <f t="shared" si="0"/>
        <v>-0.1410256410256423</v>
      </c>
      <c r="G43" s="28">
        <f t="shared" si="1"/>
        <v>9.3686186441259228E-2</v>
      </c>
      <c r="L43" s="28"/>
    </row>
    <row r="44" spans="1:12" x14ac:dyDescent="0.2">
      <c r="A44" s="27">
        <v>17</v>
      </c>
      <c r="B44" s="27">
        <v>1</v>
      </c>
      <c r="C44" s="27"/>
      <c r="D44" s="28">
        <v>16.858974358974358</v>
      </c>
      <c r="E44" s="28">
        <f t="shared" si="0"/>
        <v>-0.1410256410256423</v>
      </c>
      <c r="G44" s="28">
        <f t="shared" si="1"/>
        <v>9.3686186441259228E-2</v>
      </c>
      <c r="L44" s="28"/>
    </row>
    <row r="45" spans="1:12" x14ac:dyDescent="0.2">
      <c r="A45" s="27">
        <v>11</v>
      </c>
      <c r="B45" s="27">
        <v>1</v>
      </c>
      <c r="C45" s="27"/>
      <c r="D45" s="28">
        <v>16.858974358974358</v>
      </c>
      <c r="E45" s="28">
        <f t="shared" si="0"/>
        <v>5.8589743589743577</v>
      </c>
      <c r="G45" s="28">
        <f t="shared" si="1"/>
        <v>3.6339616015446226E-2</v>
      </c>
      <c r="L45" s="28"/>
    </row>
    <row r="46" spans="1:12" x14ac:dyDescent="0.2">
      <c r="A46" s="27">
        <v>15</v>
      </c>
      <c r="B46" s="27">
        <v>1</v>
      </c>
      <c r="C46" s="27"/>
      <c r="D46" s="28">
        <v>16.858974358974358</v>
      </c>
      <c r="E46" s="28">
        <f t="shared" si="0"/>
        <v>1.8589743589743577</v>
      </c>
      <c r="G46" s="28">
        <f t="shared" si="1"/>
        <v>8.5208821600122359E-2</v>
      </c>
      <c r="L46" s="28"/>
    </row>
    <row r="47" spans="1:12" x14ac:dyDescent="0.2">
      <c r="A47" s="27">
        <v>15</v>
      </c>
      <c r="B47" s="27">
        <v>1</v>
      </c>
      <c r="C47" s="27"/>
      <c r="D47" s="28">
        <v>16.858974358974358</v>
      </c>
      <c r="E47" s="28">
        <f t="shared" si="0"/>
        <v>1.8589743589743577</v>
      </c>
      <c r="G47" s="28">
        <f t="shared" si="1"/>
        <v>8.5208821600122359E-2</v>
      </c>
      <c r="L47" s="28"/>
    </row>
    <row r="48" spans="1:12" x14ac:dyDescent="0.2">
      <c r="A48" s="27">
        <v>16</v>
      </c>
      <c r="B48" s="27">
        <v>1</v>
      </c>
      <c r="C48" s="27"/>
      <c r="D48" s="28">
        <v>16.858974358974358</v>
      </c>
      <c r="E48" s="28">
        <f t="shared" si="0"/>
        <v>0.8589743589743577</v>
      </c>
      <c r="G48" s="28">
        <f t="shared" si="1"/>
        <v>9.1847742433773194E-2</v>
      </c>
      <c r="L48" s="28"/>
    </row>
    <row r="49" spans="1:12" x14ac:dyDescent="0.2">
      <c r="A49" s="27">
        <v>16</v>
      </c>
      <c r="B49" s="27">
        <v>1</v>
      </c>
      <c r="C49" s="27"/>
      <c r="D49" s="28">
        <v>16.858974358974358</v>
      </c>
      <c r="E49" s="28">
        <f t="shared" si="0"/>
        <v>0.8589743589743577</v>
      </c>
      <c r="G49" s="28">
        <f t="shared" si="1"/>
        <v>9.1847742433773194E-2</v>
      </c>
      <c r="L49" s="28"/>
    </row>
    <row r="50" spans="1:12" x14ac:dyDescent="0.2">
      <c r="A50" s="27">
        <v>15</v>
      </c>
      <c r="B50" s="27">
        <v>1</v>
      </c>
      <c r="C50" s="27"/>
      <c r="D50" s="28">
        <v>16.858974358974358</v>
      </c>
      <c r="E50" s="28">
        <f t="shared" si="0"/>
        <v>1.8589743589743577</v>
      </c>
      <c r="G50" s="28">
        <f t="shared" si="1"/>
        <v>8.5208821600122359E-2</v>
      </c>
      <c r="L50" s="28"/>
    </row>
    <row r="51" spans="1:12" x14ac:dyDescent="0.2">
      <c r="A51" s="27">
        <v>14</v>
      </c>
      <c r="B51" s="27">
        <v>1</v>
      </c>
      <c r="C51" s="27"/>
      <c r="D51" s="28">
        <v>16.858974358974358</v>
      </c>
      <c r="E51" s="28">
        <f t="shared" si="0"/>
        <v>2.8589743589743577</v>
      </c>
      <c r="G51" s="28">
        <f t="shared" si="1"/>
        <v>7.4803820711623142E-2</v>
      </c>
      <c r="L51" s="28"/>
    </row>
    <row r="52" spans="1:12" x14ac:dyDescent="0.2">
      <c r="A52" s="27">
        <v>13</v>
      </c>
      <c r="B52" s="27">
        <v>1</v>
      </c>
      <c r="C52" s="27"/>
      <c r="D52" s="28">
        <v>16.858974358974358</v>
      </c>
      <c r="E52" s="28">
        <f t="shared" si="0"/>
        <v>3.8589743589743577</v>
      </c>
      <c r="G52" s="28">
        <f t="shared" si="1"/>
        <v>6.2142132155231941E-2</v>
      </c>
      <c r="L52" s="28"/>
    </row>
    <row r="53" spans="1:12" x14ac:dyDescent="0.2">
      <c r="A53" s="27">
        <v>14</v>
      </c>
      <c r="B53" s="27">
        <v>1</v>
      </c>
      <c r="C53" s="27"/>
      <c r="D53" s="28">
        <v>16.858974358974358</v>
      </c>
      <c r="E53" s="28">
        <f t="shared" si="0"/>
        <v>2.8589743589743577</v>
      </c>
      <c r="G53" s="28">
        <f t="shared" si="1"/>
        <v>7.4803820711623142E-2</v>
      </c>
      <c r="L53" s="28"/>
    </row>
    <row r="54" spans="1:12" x14ac:dyDescent="0.2">
      <c r="A54" s="27">
        <v>14</v>
      </c>
      <c r="B54" s="27">
        <v>1</v>
      </c>
      <c r="C54" s="27"/>
      <c r="D54" s="28">
        <v>16.858974358974358</v>
      </c>
      <c r="E54" s="28">
        <f t="shared" si="0"/>
        <v>2.8589743589743577</v>
      </c>
      <c r="G54" s="28">
        <f t="shared" si="1"/>
        <v>7.4803820711623142E-2</v>
      </c>
      <c r="L54" s="28"/>
    </row>
    <row r="55" spans="1:12" x14ac:dyDescent="0.2">
      <c r="A55" s="27">
        <v>14</v>
      </c>
      <c r="B55" s="27">
        <v>1</v>
      </c>
      <c r="C55" s="27"/>
      <c r="D55" s="28">
        <v>16.858974358974358</v>
      </c>
      <c r="E55" s="28">
        <f t="shared" si="0"/>
        <v>2.8589743589743577</v>
      </c>
      <c r="G55" s="28">
        <f t="shared" si="1"/>
        <v>7.4803820711623142E-2</v>
      </c>
      <c r="L55" s="28"/>
    </row>
    <row r="56" spans="1:12" x14ac:dyDescent="0.2">
      <c r="A56" s="27">
        <v>9</v>
      </c>
      <c r="B56" s="27">
        <v>1</v>
      </c>
      <c r="C56" s="27"/>
      <c r="D56" s="28">
        <v>16.858974358974358</v>
      </c>
      <c r="E56" s="28">
        <f t="shared" si="0"/>
        <v>7.8589743589743577</v>
      </c>
      <c r="G56" s="28">
        <f t="shared" si="1"/>
        <v>1.7039902700084295E-2</v>
      </c>
      <c r="L56" s="28"/>
    </row>
    <row r="57" spans="1:12" x14ac:dyDescent="0.2">
      <c r="A57" s="27">
        <v>11</v>
      </c>
      <c r="B57" s="27">
        <v>1</v>
      </c>
      <c r="C57" s="27"/>
      <c r="D57" s="28">
        <v>16.858974358974358</v>
      </c>
      <c r="E57" s="28">
        <f t="shared" si="0"/>
        <v>5.8589743589743577</v>
      </c>
      <c r="G57" s="28">
        <f t="shared" si="1"/>
        <v>3.6339616015446226E-2</v>
      </c>
      <c r="L57" s="28"/>
    </row>
    <row r="58" spans="1:12" x14ac:dyDescent="0.2">
      <c r="A58" s="27">
        <v>11</v>
      </c>
      <c r="B58" s="27">
        <v>1</v>
      </c>
      <c r="C58" s="27"/>
      <c r="D58" s="28">
        <v>16.858974358974358</v>
      </c>
      <c r="E58" s="28">
        <f t="shared" si="0"/>
        <v>5.8589743589743577</v>
      </c>
      <c r="G58" s="28">
        <f t="shared" si="1"/>
        <v>3.6339616015446226E-2</v>
      </c>
      <c r="L58" s="28"/>
    </row>
    <row r="59" spans="1:12" x14ac:dyDescent="0.2">
      <c r="A59" s="27">
        <v>13</v>
      </c>
      <c r="B59" s="27">
        <v>1</v>
      </c>
      <c r="C59" s="27"/>
      <c r="D59" s="28">
        <v>16.858974358974358</v>
      </c>
      <c r="E59" s="28">
        <f t="shared" si="0"/>
        <v>3.8589743589743577</v>
      </c>
      <c r="G59" s="28">
        <f t="shared" si="1"/>
        <v>6.2142132155231941E-2</v>
      </c>
      <c r="L59" s="28"/>
    </row>
    <row r="60" spans="1:12" x14ac:dyDescent="0.2">
      <c r="A60" s="27">
        <v>13</v>
      </c>
      <c r="B60" s="27">
        <v>1</v>
      </c>
      <c r="C60" s="27"/>
      <c r="D60" s="28">
        <v>16.858974358974358</v>
      </c>
      <c r="E60" s="28">
        <f t="shared" si="0"/>
        <v>3.8589743589743577</v>
      </c>
      <c r="G60" s="28">
        <f t="shared" si="1"/>
        <v>6.2142132155231941E-2</v>
      </c>
      <c r="L60" s="28"/>
    </row>
    <row r="61" spans="1:12" x14ac:dyDescent="0.2">
      <c r="A61" s="27">
        <v>9</v>
      </c>
      <c r="B61" s="27">
        <v>1</v>
      </c>
      <c r="C61" s="27"/>
      <c r="D61" s="28">
        <v>16.858974358974358</v>
      </c>
      <c r="E61" s="28">
        <f t="shared" si="0"/>
        <v>7.8589743589743577</v>
      </c>
      <c r="G61" s="28">
        <f t="shared" si="1"/>
        <v>1.7039902700084295E-2</v>
      </c>
      <c r="L61" s="28"/>
    </row>
    <row r="62" spans="1:12" x14ac:dyDescent="0.2">
      <c r="A62" s="27">
        <v>13</v>
      </c>
      <c r="B62" s="27">
        <v>1</v>
      </c>
      <c r="C62" s="27"/>
      <c r="D62" s="28">
        <v>16.858974358974358</v>
      </c>
      <c r="E62" s="28">
        <f t="shared" si="0"/>
        <v>3.8589743589743577</v>
      </c>
      <c r="G62" s="28">
        <f t="shared" si="1"/>
        <v>6.2142132155231941E-2</v>
      </c>
      <c r="L62" s="28"/>
    </row>
    <row r="63" spans="1:12" x14ac:dyDescent="0.2">
      <c r="A63" s="27">
        <v>11</v>
      </c>
      <c r="B63" s="27">
        <v>1</v>
      </c>
      <c r="C63" s="27"/>
      <c r="D63" s="28">
        <v>16.858974358974358</v>
      </c>
      <c r="E63" s="28">
        <f t="shared" si="0"/>
        <v>5.8589743589743577</v>
      </c>
      <c r="G63" s="28">
        <f t="shared" si="1"/>
        <v>3.6339616015446226E-2</v>
      </c>
      <c r="L63" s="28"/>
    </row>
    <row r="64" spans="1:12" x14ac:dyDescent="0.2">
      <c r="A64" s="27">
        <v>13</v>
      </c>
      <c r="B64" s="27">
        <v>1</v>
      </c>
      <c r="C64" s="27"/>
      <c r="D64" s="28">
        <v>16.858974358974358</v>
      </c>
      <c r="E64" s="28">
        <f t="shared" si="0"/>
        <v>3.8589743589743577</v>
      </c>
      <c r="G64" s="28">
        <f t="shared" si="1"/>
        <v>6.2142132155231941E-2</v>
      </c>
      <c r="L64" s="28"/>
    </row>
    <row r="65" spans="1:12" x14ac:dyDescent="0.2">
      <c r="A65" s="27">
        <v>11</v>
      </c>
      <c r="B65" s="27">
        <v>1</v>
      </c>
      <c r="C65" s="27"/>
      <c r="D65" s="28">
        <v>16.858974358974358</v>
      </c>
      <c r="E65" s="28">
        <f t="shared" si="0"/>
        <v>5.8589743589743577</v>
      </c>
      <c r="G65" s="28">
        <f t="shared" si="1"/>
        <v>3.6339616015446226E-2</v>
      </c>
      <c r="L65" s="28"/>
    </row>
    <row r="66" spans="1:12" x14ac:dyDescent="0.2">
      <c r="A66" s="27">
        <v>12</v>
      </c>
      <c r="B66" s="27">
        <v>1</v>
      </c>
      <c r="C66" s="27"/>
      <c r="D66" s="28">
        <v>16.858974358974358</v>
      </c>
      <c r="E66" s="28">
        <f t="shared" si="0"/>
        <v>4.8589743589743577</v>
      </c>
      <c r="G66" s="28">
        <f t="shared" si="1"/>
        <v>4.8850798619149906E-2</v>
      </c>
      <c r="L66" s="28"/>
    </row>
    <row r="67" spans="1:12" x14ac:dyDescent="0.2">
      <c r="A67" s="27">
        <v>9</v>
      </c>
      <c r="B67" s="27">
        <v>1</v>
      </c>
      <c r="C67" s="27"/>
      <c r="D67" s="28">
        <v>16.858974358974358</v>
      </c>
      <c r="E67" s="28">
        <f t="shared" ref="E67:E130" si="2">D67-A67</f>
        <v>7.8589743589743577</v>
      </c>
      <c r="G67" s="28">
        <f t="shared" ref="G67:G130" si="3">_xlfn.NORM.DIST(E67,0,$F$2,FALSE)</f>
        <v>1.7039902700084295E-2</v>
      </c>
      <c r="L67" s="28"/>
    </row>
    <row r="68" spans="1:12" x14ac:dyDescent="0.2">
      <c r="A68" s="27">
        <v>13</v>
      </c>
      <c r="B68" s="27">
        <v>1</v>
      </c>
      <c r="C68" s="27"/>
      <c r="D68" s="28">
        <v>16.858974358974358</v>
      </c>
      <c r="E68" s="28">
        <f t="shared" si="2"/>
        <v>3.8589743589743577</v>
      </c>
      <c r="G68" s="28">
        <f t="shared" si="3"/>
        <v>6.2142132155231941E-2</v>
      </c>
      <c r="L68" s="28"/>
    </row>
    <row r="69" spans="1:12" x14ac:dyDescent="0.2">
      <c r="A69" s="27">
        <v>13</v>
      </c>
      <c r="B69" s="27">
        <v>1</v>
      </c>
      <c r="C69" s="27"/>
      <c r="D69" s="28">
        <v>16.858974358974358</v>
      </c>
      <c r="E69" s="28">
        <f t="shared" si="2"/>
        <v>3.8589743589743577</v>
      </c>
      <c r="G69" s="28">
        <f t="shared" si="3"/>
        <v>6.2142132155231941E-2</v>
      </c>
      <c r="L69" s="28"/>
    </row>
    <row r="70" spans="1:12" x14ac:dyDescent="0.2">
      <c r="A70" s="27">
        <v>12</v>
      </c>
      <c r="B70" s="27">
        <v>1</v>
      </c>
      <c r="C70" s="27"/>
      <c r="D70" s="28">
        <v>16.858974358974358</v>
      </c>
      <c r="E70" s="28">
        <f t="shared" si="2"/>
        <v>4.8589743589743577</v>
      </c>
      <c r="G70" s="28">
        <f t="shared" si="3"/>
        <v>4.8850798619149906E-2</v>
      </c>
      <c r="L70" s="28"/>
    </row>
    <row r="71" spans="1:12" x14ac:dyDescent="0.2">
      <c r="A71" s="27">
        <v>9</v>
      </c>
      <c r="B71" s="27">
        <v>1</v>
      </c>
      <c r="C71" s="27"/>
      <c r="D71" s="28">
        <v>16.858974358974358</v>
      </c>
      <c r="E71" s="28">
        <f t="shared" si="2"/>
        <v>7.8589743589743577</v>
      </c>
      <c r="G71" s="28">
        <f t="shared" si="3"/>
        <v>1.7039902700084295E-2</v>
      </c>
      <c r="L71" s="28"/>
    </row>
    <row r="72" spans="1:12" x14ac:dyDescent="0.2">
      <c r="A72" s="27">
        <v>11</v>
      </c>
      <c r="B72" s="27">
        <v>1</v>
      </c>
      <c r="C72" s="27"/>
      <c r="D72" s="28">
        <v>16.858974358974358</v>
      </c>
      <c r="E72" s="28">
        <f t="shared" si="2"/>
        <v>5.8589743589743577</v>
      </c>
      <c r="G72" s="28">
        <f t="shared" si="3"/>
        <v>3.6339616015446226E-2</v>
      </c>
      <c r="L72" s="28"/>
    </row>
    <row r="73" spans="1:12" x14ac:dyDescent="0.2">
      <c r="A73" s="27">
        <v>11</v>
      </c>
      <c r="B73" s="27">
        <v>1</v>
      </c>
      <c r="C73" s="27"/>
      <c r="D73" s="28">
        <v>16.858974358974358</v>
      </c>
      <c r="E73" s="28">
        <f t="shared" si="2"/>
        <v>5.8589743589743577</v>
      </c>
      <c r="G73" s="28">
        <f t="shared" si="3"/>
        <v>3.6339616015446226E-2</v>
      </c>
      <c r="L73" s="28"/>
    </row>
    <row r="74" spans="1:12" x14ac:dyDescent="0.2">
      <c r="A74" s="27">
        <v>13</v>
      </c>
      <c r="B74" s="27">
        <v>1</v>
      </c>
      <c r="C74" s="27"/>
      <c r="D74" s="28">
        <v>16.858974358974358</v>
      </c>
      <c r="E74" s="28">
        <f t="shared" si="2"/>
        <v>3.8589743589743577</v>
      </c>
      <c r="G74" s="28">
        <f t="shared" si="3"/>
        <v>6.2142132155231941E-2</v>
      </c>
      <c r="L74" s="28"/>
    </row>
    <row r="75" spans="1:12" x14ac:dyDescent="0.2">
      <c r="A75" s="27">
        <v>11</v>
      </c>
      <c r="B75" s="27">
        <v>1</v>
      </c>
      <c r="C75" s="27"/>
      <c r="D75" s="28">
        <v>16.858974358974358</v>
      </c>
      <c r="E75" s="28">
        <f t="shared" si="2"/>
        <v>5.8589743589743577</v>
      </c>
      <c r="G75" s="28">
        <f t="shared" si="3"/>
        <v>3.6339616015446226E-2</v>
      </c>
      <c r="L75" s="28"/>
    </row>
    <row r="76" spans="1:12" x14ac:dyDescent="0.2">
      <c r="A76" s="27">
        <v>11</v>
      </c>
      <c r="B76" s="27">
        <v>1</v>
      </c>
      <c r="C76" s="27"/>
      <c r="D76" s="28">
        <v>16.858974358974358</v>
      </c>
      <c r="E76" s="28">
        <f t="shared" si="2"/>
        <v>5.8589743589743577</v>
      </c>
      <c r="G76" s="28">
        <f t="shared" si="3"/>
        <v>3.6339616015446226E-2</v>
      </c>
      <c r="L76" s="28"/>
    </row>
    <row r="77" spans="1:12" x14ac:dyDescent="0.2">
      <c r="A77" s="27">
        <v>11</v>
      </c>
      <c r="B77" s="27">
        <v>1</v>
      </c>
      <c r="C77" s="27"/>
      <c r="D77" s="28">
        <v>16.858974358974358</v>
      </c>
      <c r="E77" s="28">
        <f t="shared" si="2"/>
        <v>5.8589743589743577</v>
      </c>
      <c r="G77" s="28">
        <f t="shared" si="3"/>
        <v>3.6339616015446226E-2</v>
      </c>
      <c r="L77" s="28"/>
    </row>
    <row r="78" spans="1:12" x14ac:dyDescent="0.2">
      <c r="A78" s="27">
        <v>12</v>
      </c>
      <c r="B78" s="27">
        <v>1</v>
      </c>
      <c r="C78" s="27"/>
      <c r="D78" s="28">
        <v>16.858974358974358</v>
      </c>
      <c r="E78" s="28">
        <f t="shared" si="2"/>
        <v>4.8589743589743577</v>
      </c>
      <c r="G78" s="28">
        <f t="shared" si="3"/>
        <v>4.8850798619149906E-2</v>
      </c>
      <c r="L78" s="28"/>
    </row>
    <row r="79" spans="1:12" x14ac:dyDescent="0.2">
      <c r="A79" s="27">
        <v>14</v>
      </c>
      <c r="B79" s="27">
        <v>1</v>
      </c>
      <c r="C79" s="27"/>
      <c r="D79" s="28">
        <v>16.858974358974358</v>
      </c>
      <c r="E79" s="28">
        <f t="shared" si="2"/>
        <v>2.8589743589743577</v>
      </c>
      <c r="G79" s="28">
        <f t="shared" si="3"/>
        <v>7.4803820711623142E-2</v>
      </c>
      <c r="L79" s="28"/>
    </row>
    <row r="80" spans="1:12" x14ac:dyDescent="0.2">
      <c r="A80" s="27">
        <v>15</v>
      </c>
      <c r="B80" s="27">
        <v>1</v>
      </c>
      <c r="C80" s="27"/>
      <c r="D80" s="28">
        <v>16.858974358974358</v>
      </c>
      <c r="E80" s="28">
        <f t="shared" si="2"/>
        <v>1.8589743589743577</v>
      </c>
      <c r="G80" s="28">
        <f t="shared" si="3"/>
        <v>8.5208821600122359E-2</v>
      </c>
      <c r="L80" s="28"/>
    </row>
    <row r="81" spans="1:12" x14ac:dyDescent="0.2">
      <c r="A81" s="27">
        <v>14</v>
      </c>
      <c r="B81" s="27">
        <v>1</v>
      </c>
      <c r="C81" s="27"/>
      <c r="D81" s="28">
        <v>16.858974358974358</v>
      </c>
      <c r="E81" s="28">
        <f t="shared" si="2"/>
        <v>2.8589743589743577</v>
      </c>
      <c r="G81" s="28">
        <f t="shared" si="3"/>
        <v>7.4803820711623142E-2</v>
      </c>
      <c r="L81" s="28"/>
    </row>
    <row r="82" spans="1:12" x14ac:dyDescent="0.2">
      <c r="A82" s="27">
        <v>13</v>
      </c>
      <c r="B82" s="27">
        <v>1</v>
      </c>
      <c r="C82" s="27"/>
      <c r="D82" s="28">
        <v>16.858974358974358</v>
      </c>
      <c r="E82" s="28">
        <f t="shared" si="2"/>
        <v>3.8589743589743577</v>
      </c>
      <c r="G82" s="28">
        <f t="shared" si="3"/>
        <v>6.2142132155231941E-2</v>
      </c>
      <c r="L82" s="28"/>
    </row>
    <row r="83" spans="1:12" x14ac:dyDescent="0.2">
      <c r="A83" s="27">
        <v>13</v>
      </c>
      <c r="B83" s="27">
        <v>1</v>
      </c>
      <c r="C83" s="27"/>
      <c r="D83" s="28">
        <v>16.858974358974358</v>
      </c>
      <c r="E83" s="28">
        <f t="shared" si="2"/>
        <v>3.8589743589743577</v>
      </c>
      <c r="G83" s="28">
        <f t="shared" si="3"/>
        <v>6.2142132155231941E-2</v>
      </c>
      <c r="L83" s="28"/>
    </row>
    <row r="84" spans="1:12" x14ac:dyDescent="0.2">
      <c r="A84" s="27">
        <v>13</v>
      </c>
      <c r="B84" s="27">
        <v>1</v>
      </c>
      <c r="C84" s="27"/>
      <c r="D84" s="28">
        <v>16.858974358974358</v>
      </c>
      <c r="E84" s="28">
        <f t="shared" si="2"/>
        <v>3.8589743589743577</v>
      </c>
      <c r="G84" s="28">
        <f t="shared" si="3"/>
        <v>6.2142132155231941E-2</v>
      </c>
      <c r="L84" s="28"/>
    </row>
    <row r="85" spans="1:12" x14ac:dyDescent="0.2">
      <c r="A85" s="27">
        <v>14</v>
      </c>
      <c r="B85" s="27">
        <v>1</v>
      </c>
      <c r="C85" s="27"/>
      <c r="D85" s="28">
        <v>16.858974358974358</v>
      </c>
      <c r="E85" s="28">
        <f t="shared" si="2"/>
        <v>2.8589743589743577</v>
      </c>
      <c r="G85" s="28">
        <f t="shared" si="3"/>
        <v>7.4803820711623142E-2</v>
      </c>
      <c r="L85" s="28"/>
    </row>
    <row r="86" spans="1:12" x14ac:dyDescent="0.2">
      <c r="A86" s="27">
        <v>14</v>
      </c>
      <c r="B86" s="27">
        <v>1</v>
      </c>
      <c r="C86" s="27"/>
      <c r="D86" s="28">
        <v>16.858974358974358</v>
      </c>
      <c r="E86" s="28">
        <f t="shared" si="2"/>
        <v>2.8589743589743577</v>
      </c>
      <c r="G86" s="28">
        <f t="shared" si="3"/>
        <v>7.4803820711623142E-2</v>
      </c>
      <c r="L86" s="28"/>
    </row>
    <row r="87" spans="1:12" x14ac:dyDescent="0.2">
      <c r="A87" s="27">
        <v>13</v>
      </c>
      <c r="B87" s="27">
        <v>1</v>
      </c>
      <c r="C87" s="27"/>
      <c r="D87" s="28">
        <v>16.858974358974358</v>
      </c>
      <c r="E87" s="28">
        <f t="shared" si="2"/>
        <v>3.8589743589743577</v>
      </c>
      <c r="G87" s="28">
        <f t="shared" si="3"/>
        <v>6.2142132155231941E-2</v>
      </c>
      <c r="L87" s="28"/>
    </row>
    <row r="88" spans="1:12" x14ac:dyDescent="0.2">
      <c r="A88" s="27">
        <v>13</v>
      </c>
      <c r="B88" s="27">
        <v>1</v>
      </c>
      <c r="C88" s="27"/>
      <c r="D88" s="28">
        <v>16.858974358974358</v>
      </c>
      <c r="E88" s="28">
        <f t="shared" si="2"/>
        <v>3.8589743589743577</v>
      </c>
      <c r="G88" s="28">
        <f t="shared" si="3"/>
        <v>6.2142132155231941E-2</v>
      </c>
      <c r="L88" s="28"/>
    </row>
    <row r="89" spans="1:12" x14ac:dyDescent="0.2">
      <c r="A89" s="27">
        <v>13</v>
      </c>
      <c r="B89" s="27">
        <v>1</v>
      </c>
      <c r="C89" s="27"/>
      <c r="D89" s="28">
        <v>16.858974358974358</v>
      </c>
      <c r="E89" s="28">
        <f t="shared" si="2"/>
        <v>3.8589743589743577</v>
      </c>
      <c r="G89" s="28">
        <f t="shared" si="3"/>
        <v>6.2142132155231941E-2</v>
      </c>
      <c r="L89" s="28"/>
    </row>
    <row r="90" spans="1:12" x14ac:dyDescent="0.2">
      <c r="A90" s="27">
        <v>11</v>
      </c>
      <c r="B90" s="27">
        <v>1</v>
      </c>
      <c r="C90" s="27"/>
      <c r="D90" s="28">
        <v>16.858974358974358</v>
      </c>
      <c r="E90" s="28">
        <f t="shared" si="2"/>
        <v>5.8589743589743577</v>
      </c>
      <c r="G90" s="28">
        <f t="shared" si="3"/>
        <v>3.6339616015446226E-2</v>
      </c>
      <c r="L90" s="28"/>
    </row>
    <row r="91" spans="1:12" x14ac:dyDescent="0.2">
      <c r="A91" s="27">
        <v>13</v>
      </c>
      <c r="B91" s="27">
        <v>1</v>
      </c>
      <c r="C91" s="27"/>
      <c r="D91" s="28">
        <v>16.858974358974358</v>
      </c>
      <c r="E91" s="28">
        <f t="shared" si="2"/>
        <v>3.8589743589743577</v>
      </c>
      <c r="G91" s="28">
        <f t="shared" si="3"/>
        <v>6.2142132155231941E-2</v>
      </c>
      <c r="L91" s="28"/>
    </row>
    <row r="92" spans="1:12" x14ac:dyDescent="0.2">
      <c r="A92" s="27">
        <v>18</v>
      </c>
      <c r="B92" s="27">
        <v>1</v>
      </c>
      <c r="C92" s="27"/>
      <c r="D92" s="28">
        <v>16.858974358974358</v>
      </c>
      <c r="E92" s="28">
        <f t="shared" si="2"/>
        <v>-1.1410256410256423</v>
      </c>
      <c r="G92" s="28">
        <f t="shared" si="3"/>
        <v>9.0428595220514676E-2</v>
      </c>
      <c r="L92" s="28"/>
    </row>
    <row r="93" spans="1:12" x14ac:dyDescent="0.2">
      <c r="A93" s="27">
        <v>18</v>
      </c>
      <c r="B93" s="27">
        <v>1</v>
      </c>
      <c r="C93" s="27"/>
      <c r="D93" s="28">
        <v>16.858974358974358</v>
      </c>
      <c r="E93" s="28">
        <f t="shared" si="2"/>
        <v>-1.1410256410256423</v>
      </c>
      <c r="G93" s="28">
        <f t="shared" si="3"/>
        <v>9.0428595220514676E-2</v>
      </c>
      <c r="L93" s="28"/>
    </row>
    <row r="94" spans="1:12" x14ac:dyDescent="0.2">
      <c r="A94" s="27">
        <v>17</v>
      </c>
      <c r="B94" s="27">
        <v>1</v>
      </c>
      <c r="C94" s="27"/>
      <c r="D94" s="28">
        <v>16.858974358974358</v>
      </c>
      <c r="E94" s="28">
        <f t="shared" si="2"/>
        <v>-0.1410256410256423</v>
      </c>
      <c r="G94" s="28">
        <f t="shared" si="3"/>
        <v>9.3686186441259228E-2</v>
      </c>
      <c r="L94" s="28"/>
    </row>
    <row r="95" spans="1:12" x14ac:dyDescent="0.2">
      <c r="A95" s="27">
        <v>16</v>
      </c>
      <c r="B95" s="27">
        <v>1</v>
      </c>
      <c r="C95" s="27"/>
      <c r="D95" s="28">
        <v>16.858974358974358</v>
      </c>
      <c r="E95" s="28">
        <f t="shared" si="2"/>
        <v>0.8589743589743577</v>
      </c>
      <c r="G95" s="28">
        <f t="shared" si="3"/>
        <v>9.1847742433773194E-2</v>
      </c>
      <c r="L95" s="28"/>
    </row>
    <row r="96" spans="1:12" x14ac:dyDescent="0.2">
      <c r="A96" s="27">
        <v>15</v>
      </c>
      <c r="B96" s="27">
        <v>1</v>
      </c>
      <c r="C96" s="27"/>
      <c r="D96" s="28">
        <v>16.858974358974358</v>
      </c>
      <c r="E96" s="28">
        <f t="shared" si="2"/>
        <v>1.8589743589743577</v>
      </c>
      <c r="G96" s="28">
        <f t="shared" si="3"/>
        <v>8.5208821600122359E-2</v>
      </c>
      <c r="L96" s="28"/>
    </row>
    <row r="97" spans="1:12" x14ac:dyDescent="0.2">
      <c r="A97" s="27">
        <v>15</v>
      </c>
      <c r="B97" s="27">
        <v>1</v>
      </c>
      <c r="C97" s="27"/>
      <c r="D97" s="28">
        <v>16.858974358974358</v>
      </c>
      <c r="E97" s="28">
        <f t="shared" si="2"/>
        <v>1.8589743589743577</v>
      </c>
      <c r="G97" s="28">
        <f t="shared" si="3"/>
        <v>8.5208821600122359E-2</v>
      </c>
      <c r="L97" s="28"/>
    </row>
    <row r="98" spans="1:12" x14ac:dyDescent="0.2">
      <c r="A98" s="27">
        <v>15</v>
      </c>
      <c r="B98" s="27">
        <v>1</v>
      </c>
      <c r="C98" s="27"/>
      <c r="D98" s="28">
        <v>16.858974358974358</v>
      </c>
      <c r="E98" s="28">
        <f t="shared" si="2"/>
        <v>1.8589743589743577</v>
      </c>
      <c r="G98" s="28">
        <f t="shared" si="3"/>
        <v>8.5208821600122359E-2</v>
      </c>
      <c r="L98" s="28"/>
    </row>
    <row r="99" spans="1:12" x14ac:dyDescent="0.2">
      <c r="A99" s="27">
        <v>15</v>
      </c>
      <c r="B99" s="27">
        <v>1</v>
      </c>
      <c r="C99" s="27"/>
      <c r="D99" s="28">
        <v>16.858974358974358</v>
      </c>
      <c r="E99" s="28">
        <f t="shared" si="2"/>
        <v>1.8589743589743577</v>
      </c>
      <c r="G99" s="28">
        <f t="shared" si="3"/>
        <v>8.5208821600122359E-2</v>
      </c>
      <c r="L99" s="28"/>
    </row>
    <row r="100" spans="1:12" x14ac:dyDescent="0.2">
      <c r="A100" s="27">
        <v>14</v>
      </c>
      <c r="B100" s="27">
        <v>1</v>
      </c>
      <c r="C100" s="27"/>
      <c r="D100" s="28">
        <v>16.858974358974358</v>
      </c>
      <c r="E100" s="28">
        <f t="shared" si="2"/>
        <v>2.8589743589743577</v>
      </c>
      <c r="G100" s="28">
        <f t="shared" si="3"/>
        <v>7.4803820711623142E-2</v>
      </c>
      <c r="L100" s="28"/>
    </row>
    <row r="101" spans="1:12" x14ac:dyDescent="0.2">
      <c r="A101" s="27">
        <v>28</v>
      </c>
      <c r="B101" s="27">
        <v>1</v>
      </c>
      <c r="C101" s="27"/>
      <c r="D101" s="28">
        <v>16.858974358974358</v>
      </c>
      <c r="E101" s="28">
        <f t="shared" si="2"/>
        <v>-11.141025641025642</v>
      </c>
      <c r="G101" s="28">
        <f t="shared" si="3"/>
        <v>3.0470611306731058E-3</v>
      </c>
      <c r="L101" s="28"/>
    </row>
    <row r="102" spans="1:12" x14ac:dyDescent="0.2">
      <c r="A102" s="27">
        <v>24</v>
      </c>
      <c r="B102" s="27">
        <v>1</v>
      </c>
      <c r="C102" s="27"/>
      <c r="D102" s="28">
        <v>16.858974358974358</v>
      </c>
      <c r="E102" s="28">
        <f t="shared" si="2"/>
        <v>-7.1410256410256423</v>
      </c>
      <c r="G102" s="28">
        <f t="shared" si="3"/>
        <v>2.293893420103504E-2</v>
      </c>
      <c r="L102" s="28"/>
    </row>
    <row r="103" spans="1:12" x14ac:dyDescent="0.2">
      <c r="A103" s="27">
        <v>25</v>
      </c>
      <c r="B103" s="27">
        <v>1</v>
      </c>
      <c r="C103" s="27"/>
      <c r="D103" s="28">
        <v>16.858974358974358</v>
      </c>
      <c r="E103" s="28">
        <f t="shared" si="2"/>
        <v>-8.1410256410256423</v>
      </c>
      <c r="G103" s="28">
        <f t="shared" si="3"/>
        <v>1.5044075220828471E-2</v>
      </c>
      <c r="L103" s="28"/>
    </row>
    <row r="104" spans="1:12" x14ac:dyDescent="0.2">
      <c r="A104" s="27">
        <v>23</v>
      </c>
      <c r="B104" s="27">
        <v>1</v>
      </c>
      <c r="C104" s="27"/>
      <c r="D104" s="28">
        <v>16.858974358974358</v>
      </c>
      <c r="E104" s="28">
        <f t="shared" si="2"/>
        <v>-6.1410256410256423</v>
      </c>
      <c r="G104" s="28">
        <f t="shared" si="3"/>
        <v>3.3098180744967454E-2</v>
      </c>
      <c r="L104" s="28"/>
    </row>
    <row r="105" spans="1:12" x14ac:dyDescent="0.2">
      <c r="A105" s="27">
        <v>24</v>
      </c>
      <c r="B105" s="27">
        <v>1</v>
      </c>
      <c r="C105" s="27"/>
      <c r="D105" s="28">
        <v>16.858974358974358</v>
      </c>
      <c r="E105" s="28">
        <f t="shared" si="2"/>
        <v>-7.1410256410256423</v>
      </c>
      <c r="G105" s="28">
        <f t="shared" si="3"/>
        <v>2.293893420103504E-2</v>
      </c>
      <c r="L105" s="28"/>
    </row>
    <row r="106" spans="1:12" x14ac:dyDescent="0.2">
      <c r="A106" s="27">
        <v>26</v>
      </c>
      <c r="B106" s="27">
        <v>1</v>
      </c>
      <c r="C106" s="27"/>
      <c r="D106" s="28">
        <v>16.858974358974358</v>
      </c>
      <c r="E106" s="28">
        <f t="shared" si="2"/>
        <v>-9.1410256410256423</v>
      </c>
      <c r="G106" s="28">
        <f t="shared" si="3"/>
        <v>9.3364312813032559E-3</v>
      </c>
      <c r="L106" s="28"/>
    </row>
    <row r="107" spans="1:12" x14ac:dyDescent="0.2">
      <c r="A107" s="27">
        <v>25</v>
      </c>
      <c r="B107" s="27">
        <v>1</v>
      </c>
      <c r="C107" s="27"/>
      <c r="D107" s="28">
        <v>16.858974358974358</v>
      </c>
      <c r="E107" s="28">
        <f t="shared" si="2"/>
        <v>-8.1410256410256423</v>
      </c>
      <c r="G107" s="28">
        <f t="shared" si="3"/>
        <v>1.5044075220828471E-2</v>
      </c>
      <c r="L107" s="28"/>
    </row>
    <row r="108" spans="1:12" x14ac:dyDescent="0.2">
      <c r="A108" s="27">
        <v>24</v>
      </c>
      <c r="B108" s="27">
        <v>1</v>
      </c>
      <c r="C108" s="27"/>
      <c r="D108" s="28">
        <v>16.858974358974358</v>
      </c>
      <c r="E108" s="28">
        <f t="shared" si="2"/>
        <v>-7.1410256410256423</v>
      </c>
      <c r="G108" s="28">
        <f t="shared" si="3"/>
        <v>2.293893420103504E-2</v>
      </c>
      <c r="L108" s="28"/>
    </row>
    <row r="109" spans="1:12" x14ac:dyDescent="0.2">
      <c r="A109" s="27">
        <v>21</v>
      </c>
      <c r="B109" s="27">
        <v>1</v>
      </c>
      <c r="C109" s="27"/>
      <c r="D109" s="28">
        <v>16.858974358974358</v>
      </c>
      <c r="E109" s="28">
        <f t="shared" si="2"/>
        <v>-4.1410256410256423</v>
      </c>
      <c r="G109" s="28">
        <f t="shared" si="3"/>
        <v>5.8389578885814829E-2</v>
      </c>
      <c r="L109" s="28"/>
    </row>
    <row r="110" spans="1:12" x14ac:dyDescent="0.2">
      <c r="A110" s="27">
        <v>18</v>
      </c>
      <c r="B110" s="27">
        <v>1</v>
      </c>
      <c r="C110" s="27"/>
      <c r="D110" s="28">
        <v>16.858974358974358</v>
      </c>
      <c r="E110" s="28">
        <f t="shared" si="2"/>
        <v>-1.1410256410256423</v>
      </c>
      <c r="G110" s="28">
        <f t="shared" si="3"/>
        <v>9.0428595220514676E-2</v>
      </c>
      <c r="L110" s="28"/>
    </row>
    <row r="111" spans="1:12" x14ac:dyDescent="0.2">
      <c r="A111" s="27">
        <v>18</v>
      </c>
      <c r="B111" s="27">
        <v>1</v>
      </c>
      <c r="C111" s="27"/>
      <c r="D111" s="28">
        <v>16.858974358974358</v>
      </c>
      <c r="E111" s="28">
        <f t="shared" si="2"/>
        <v>-1.1410256410256423</v>
      </c>
      <c r="G111" s="28">
        <f t="shared" si="3"/>
        <v>9.0428595220514676E-2</v>
      </c>
      <c r="L111" s="28"/>
    </row>
    <row r="112" spans="1:12" x14ac:dyDescent="0.2">
      <c r="A112" s="27">
        <v>21</v>
      </c>
      <c r="B112" s="27">
        <v>1</v>
      </c>
      <c r="C112" s="27"/>
      <c r="D112" s="28">
        <v>16.858974358974358</v>
      </c>
      <c r="E112" s="28">
        <f t="shared" si="2"/>
        <v>-4.1410256410256423</v>
      </c>
      <c r="G112" s="28">
        <f t="shared" si="3"/>
        <v>5.8389578885814829E-2</v>
      </c>
      <c r="L112" s="28"/>
    </row>
    <row r="113" spans="1:12" x14ac:dyDescent="0.2">
      <c r="A113" s="27">
        <v>21</v>
      </c>
      <c r="B113" s="27">
        <v>1</v>
      </c>
      <c r="C113" s="27"/>
      <c r="D113" s="28">
        <v>16.858974358974358</v>
      </c>
      <c r="E113" s="28">
        <f t="shared" si="2"/>
        <v>-4.1410256410256423</v>
      </c>
      <c r="G113" s="28">
        <f t="shared" si="3"/>
        <v>5.8389578885814829E-2</v>
      </c>
      <c r="L113" s="28"/>
    </row>
    <row r="114" spans="1:12" x14ac:dyDescent="0.2">
      <c r="A114" s="27">
        <v>18</v>
      </c>
      <c r="B114" s="27">
        <v>1</v>
      </c>
      <c r="C114" s="27"/>
      <c r="D114" s="28">
        <v>16.858974358974358</v>
      </c>
      <c r="E114" s="28">
        <f t="shared" si="2"/>
        <v>-1.1410256410256423</v>
      </c>
      <c r="G114" s="28">
        <f t="shared" si="3"/>
        <v>9.0428595220514676E-2</v>
      </c>
      <c r="L114" s="28"/>
    </row>
    <row r="115" spans="1:12" x14ac:dyDescent="0.2">
      <c r="A115" s="27">
        <v>18</v>
      </c>
      <c r="B115" s="27">
        <v>1</v>
      </c>
      <c r="C115" s="27"/>
      <c r="D115" s="28">
        <v>16.858974358974358</v>
      </c>
      <c r="E115" s="28">
        <f t="shared" si="2"/>
        <v>-1.1410256410256423</v>
      </c>
      <c r="G115" s="28">
        <f t="shared" si="3"/>
        <v>9.0428595220514676E-2</v>
      </c>
      <c r="L115" s="28"/>
    </row>
    <row r="116" spans="1:12" x14ac:dyDescent="0.2">
      <c r="A116" s="27">
        <v>19</v>
      </c>
      <c r="B116" s="27">
        <v>1</v>
      </c>
      <c r="C116" s="27"/>
      <c r="D116" s="28">
        <v>16.858974358974358</v>
      </c>
      <c r="E116" s="28">
        <f t="shared" si="2"/>
        <v>-2.1410256410256423</v>
      </c>
      <c r="G116" s="28">
        <f t="shared" si="3"/>
        <v>8.2596026638649928E-2</v>
      </c>
      <c r="L116" s="28"/>
    </row>
    <row r="117" spans="1:12" x14ac:dyDescent="0.2">
      <c r="A117" s="27">
        <v>19</v>
      </c>
      <c r="B117" s="27">
        <v>1</v>
      </c>
      <c r="C117" s="27"/>
      <c r="D117" s="28">
        <v>16.858974358974358</v>
      </c>
      <c r="E117" s="28">
        <f t="shared" si="2"/>
        <v>-2.1410256410256423</v>
      </c>
      <c r="G117" s="28">
        <f t="shared" si="3"/>
        <v>8.2596026638649928E-2</v>
      </c>
      <c r="L117" s="28"/>
    </row>
    <row r="118" spans="1:12" x14ac:dyDescent="0.2">
      <c r="A118" s="27">
        <v>19</v>
      </c>
      <c r="B118" s="27">
        <v>1</v>
      </c>
      <c r="C118" s="27"/>
      <c r="D118" s="28">
        <v>16.858974358974358</v>
      </c>
      <c r="E118" s="28">
        <f t="shared" si="2"/>
        <v>-2.1410256410256423</v>
      </c>
      <c r="G118" s="28">
        <f t="shared" si="3"/>
        <v>8.2596026638649928E-2</v>
      </c>
      <c r="L118" s="28"/>
    </row>
    <row r="119" spans="1:12" x14ac:dyDescent="0.2">
      <c r="A119" s="27">
        <v>20</v>
      </c>
      <c r="B119" s="27">
        <v>1</v>
      </c>
      <c r="C119" s="27"/>
      <c r="D119" s="28">
        <v>16.858974358974358</v>
      </c>
      <c r="E119" s="28">
        <f t="shared" si="2"/>
        <v>-3.1410256410256423</v>
      </c>
      <c r="G119" s="28">
        <f t="shared" si="3"/>
        <v>7.138971945227178E-2</v>
      </c>
      <c r="L119" s="28"/>
    </row>
    <row r="120" spans="1:12" x14ac:dyDescent="0.2">
      <c r="A120" s="27">
        <v>20</v>
      </c>
      <c r="B120" s="27">
        <v>1</v>
      </c>
      <c r="C120" s="27"/>
      <c r="D120" s="28">
        <v>16.858974358974358</v>
      </c>
      <c r="E120" s="28">
        <f t="shared" si="2"/>
        <v>-3.1410256410256423</v>
      </c>
      <c r="G120" s="28">
        <f t="shared" si="3"/>
        <v>7.138971945227178E-2</v>
      </c>
      <c r="L120" s="28"/>
    </row>
    <row r="121" spans="1:12" x14ac:dyDescent="0.2">
      <c r="A121" s="27">
        <v>17</v>
      </c>
      <c r="B121" s="27">
        <v>1</v>
      </c>
      <c r="C121" s="27"/>
      <c r="D121" s="28">
        <v>16.858974358974358</v>
      </c>
      <c r="E121" s="28">
        <f t="shared" si="2"/>
        <v>-0.1410256410256423</v>
      </c>
      <c r="G121" s="28">
        <f t="shared" si="3"/>
        <v>9.3686186441259228E-2</v>
      </c>
      <c r="L121" s="28"/>
    </row>
    <row r="122" spans="1:12" x14ac:dyDescent="0.2">
      <c r="A122" s="27">
        <v>16</v>
      </c>
      <c r="B122" s="27">
        <v>1</v>
      </c>
      <c r="C122" s="27"/>
      <c r="D122" s="28">
        <v>16.858974358974358</v>
      </c>
      <c r="E122" s="28">
        <f t="shared" si="2"/>
        <v>0.8589743589743577</v>
      </c>
      <c r="G122" s="28">
        <f t="shared" si="3"/>
        <v>9.1847742433773194E-2</v>
      </c>
      <c r="L122" s="28"/>
    </row>
    <row r="123" spans="1:12" x14ac:dyDescent="0.2">
      <c r="A123" s="27">
        <v>17</v>
      </c>
      <c r="B123" s="27">
        <v>1</v>
      </c>
      <c r="C123" s="27"/>
      <c r="D123" s="28">
        <v>16.858974358974358</v>
      </c>
      <c r="E123" s="28">
        <f t="shared" si="2"/>
        <v>-0.1410256410256423</v>
      </c>
      <c r="G123" s="28">
        <f t="shared" si="3"/>
        <v>9.3686186441259228E-2</v>
      </c>
      <c r="L123" s="28"/>
    </row>
    <row r="124" spans="1:12" x14ac:dyDescent="0.2">
      <c r="A124" s="27">
        <v>17</v>
      </c>
      <c r="B124" s="27">
        <v>1</v>
      </c>
      <c r="C124" s="27"/>
      <c r="D124" s="28">
        <v>16.858974358974358</v>
      </c>
      <c r="E124" s="28">
        <f t="shared" si="2"/>
        <v>-0.1410256410256423</v>
      </c>
      <c r="G124" s="28">
        <f t="shared" si="3"/>
        <v>9.3686186441259228E-2</v>
      </c>
      <c r="L124" s="28"/>
    </row>
    <row r="125" spans="1:12" x14ac:dyDescent="0.2">
      <c r="A125" s="27">
        <v>15</v>
      </c>
      <c r="B125" s="27">
        <v>1</v>
      </c>
      <c r="C125" s="27"/>
      <c r="D125" s="28">
        <v>16.858974358974358</v>
      </c>
      <c r="E125" s="28">
        <f t="shared" si="2"/>
        <v>1.8589743589743577</v>
      </c>
      <c r="G125" s="28">
        <f t="shared" si="3"/>
        <v>8.5208821600122359E-2</v>
      </c>
      <c r="L125" s="28"/>
    </row>
    <row r="126" spans="1:12" x14ac:dyDescent="0.2">
      <c r="A126" s="27">
        <v>15</v>
      </c>
      <c r="B126" s="27">
        <v>1</v>
      </c>
      <c r="C126" s="27"/>
      <c r="D126" s="28">
        <v>16.858974358974358</v>
      </c>
      <c r="E126" s="28">
        <f t="shared" si="2"/>
        <v>1.8589743589743577</v>
      </c>
      <c r="G126" s="28">
        <f t="shared" si="3"/>
        <v>8.5208821600122359E-2</v>
      </c>
      <c r="L126" s="28"/>
    </row>
    <row r="127" spans="1:12" x14ac:dyDescent="0.2">
      <c r="A127" s="27">
        <v>14</v>
      </c>
      <c r="B127" s="27">
        <v>1</v>
      </c>
      <c r="C127" s="27"/>
      <c r="D127" s="28">
        <v>16.858974358974358</v>
      </c>
      <c r="E127" s="28">
        <f t="shared" si="2"/>
        <v>2.8589743589743577</v>
      </c>
      <c r="G127" s="28">
        <f t="shared" si="3"/>
        <v>7.4803820711623142E-2</v>
      </c>
      <c r="L127" s="28"/>
    </row>
    <row r="128" spans="1:12" x14ac:dyDescent="0.2">
      <c r="A128" s="27">
        <v>9</v>
      </c>
      <c r="B128" s="27">
        <v>1</v>
      </c>
      <c r="C128" s="27"/>
      <c r="D128" s="28">
        <v>16.858974358974358</v>
      </c>
      <c r="E128" s="28">
        <f t="shared" si="2"/>
        <v>7.8589743589743577</v>
      </c>
      <c r="G128" s="28">
        <f t="shared" si="3"/>
        <v>1.7039902700084295E-2</v>
      </c>
      <c r="L128" s="28"/>
    </row>
    <row r="129" spans="1:12" x14ac:dyDescent="0.2">
      <c r="A129" s="27">
        <v>14</v>
      </c>
      <c r="B129" s="27">
        <v>1</v>
      </c>
      <c r="C129" s="27"/>
      <c r="D129" s="28">
        <v>16.858974358974358</v>
      </c>
      <c r="E129" s="28">
        <f t="shared" si="2"/>
        <v>2.8589743589743577</v>
      </c>
      <c r="G129" s="28">
        <f t="shared" si="3"/>
        <v>7.4803820711623142E-2</v>
      </c>
      <c r="L129" s="28"/>
    </row>
    <row r="130" spans="1:12" x14ac:dyDescent="0.2">
      <c r="A130" s="27">
        <v>13</v>
      </c>
      <c r="B130" s="27">
        <v>1</v>
      </c>
      <c r="C130" s="27"/>
      <c r="D130" s="28">
        <v>16.858974358974358</v>
      </c>
      <c r="E130" s="28">
        <f t="shared" si="2"/>
        <v>3.8589743589743577</v>
      </c>
      <c r="G130" s="28">
        <f t="shared" si="3"/>
        <v>6.2142132155231941E-2</v>
      </c>
      <c r="L130" s="28"/>
    </row>
    <row r="131" spans="1:12" x14ac:dyDescent="0.2">
      <c r="A131" s="27">
        <v>11</v>
      </c>
      <c r="B131" s="27">
        <v>1</v>
      </c>
      <c r="C131" s="27"/>
      <c r="D131" s="28">
        <v>16.858974358974358</v>
      </c>
      <c r="E131" s="28">
        <f t="shared" ref="E131:E194" si="4">D131-A131</f>
        <v>5.8589743589743577</v>
      </c>
      <c r="G131" s="28">
        <f t="shared" ref="G131:G194" si="5">_xlfn.NORM.DIST(E131,0,$F$2,FALSE)</f>
        <v>3.6339616015446226E-2</v>
      </c>
      <c r="L131" s="28"/>
    </row>
    <row r="132" spans="1:12" x14ac:dyDescent="0.2">
      <c r="A132" s="27">
        <v>11</v>
      </c>
      <c r="B132" s="27">
        <v>1</v>
      </c>
      <c r="C132" s="27"/>
      <c r="D132" s="28">
        <v>16.858974358974358</v>
      </c>
      <c r="E132" s="28">
        <f t="shared" si="4"/>
        <v>5.8589743589743577</v>
      </c>
      <c r="G132" s="28">
        <f t="shared" si="5"/>
        <v>3.6339616015446226E-2</v>
      </c>
      <c r="L132" s="28"/>
    </row>
    <row r="133" spans="1:12" x14ac:dyDescent="0.2">
      <c r="A133" s="27">
        <v>12</v>
      </c>
      <c r="B133" s="27">
        <v>1</v>
      </c>
      <c r="C133" s="27"/>
      <c r="D133" s="28">
        <v>16.858974358974358</v>
      </c>
      <c r="E133" s="28">
        <f t="shared" si="4"/>
        <v>4.8589743589743577</v>
      </c>
      <c r="G133" s="28">
        <f t="shared" si="5"/>
        <v>4.8850798619149906E-2</v>
      </c>
      <c r="L133" s="28"/>
    </row>
    <row r="134" spans="1:12" x14ac:dyDescent="0.2">
      <c r="A134" s="27">
        <v>12</v>
      </c>
      <c r="B134" s="27">
        <v>1</v>
      </c>
      <c r="C134" s="27"/>
      <c r="D134" s="28">
        <v>16.858974358974358</v>
      </c>
      <c r="E134" s="28">
        <f t="shared" si="4"/>
        <v>4.8589743589743577</v>
      </c>
      <c r="G134" s="28">
        <f t="shared" si="5"/>
        <v>4.8850798619149906E-2</v>
      </c>
      <c r="L134" s="28"/>
    </row>
    <row r="135" spans="1:12" x14ac:dyDescent="0.2">
      <c r="A135" s="27">
        <v>11</v>
      </c>
      <c r="B135" s="27">
        <v>1</v>
      </c>
      <c r="C135" s="27"/>
      <c r="D135" s="28">
        <v>16.858974358974358</v>
      </c>
      <c r="E135" s="28">
        <f t="shared" si="4"/>
        <v>5.8589743589743577</v>
      </c>
      <c r="G135" s="28">
        <f t="shared" si="5"/>
        <v>3.6339616015446226E-2</v>
      </c>
      <c r="L135" s="28"/>
    </row>
    <row r="136" spans="1:12" x14ac:dyDescent="0.2">
      <c r="A136" s="27">
        <v>11</v>
      </c>
      <c r="B136" s="27">
        <v>1</v>
      </c>
      <c r="C136" s="27"/>
      <c r="D136" s="28">
        <v>16.858974358974358</v>
      </c>
      <c r="E136" s="28">
        <f t="shared" si="4"/>
        <v>5.8589743589743577</v>
      </c>
      <c r="G136" s="28">
        <f t="shared" si="5"/>
        <v>3.6339616015446226E-2</v>
      </c>
      <c r="L136" s="28"/>
    </row>
    <row r="137" spans="1:12" x14ac:dyDescent="0.2">
      <c r="A137" s="27">
        <v>11</v>
      </c>
      <c r="B137" s="27">
        <v>1</v>
      </c>
      <c r="C137" s="27"/>
      <c r="D137" s="28">
        <v>16.858974358974358</v>
      </c>
      <c r="E137" s="28">
        <f t="shared" si="4"/>
        <v>5.8589743589743577</v>
      </c>
      <c r="G137" s="28">
        <f t="shared" si="5"/>
        <v>3.6339616015446226E-2</v>
      </c>
      <c r="L137" s="28"/>
    </row>
    <row r="138" spans="1:12" x14ac:dyDescent="0.2">
      <c r="A138" s="27">
        <v>12</v>
      </c>
      <c r="B138" s="27">
        <v>1</v>
      </c>
      <c r="C138" s="27"/>
      <c r="D138" s="28">
        <v>16.858974358974358</v>
      </c>
      <c r="E138" s="28">
        <f t="shared" si="4"/>
        <v>4.8589743589743577</v>
      </c>
      <c r="G138" s="28">
        <f t="shared" si="5"/>
        <v>4.8850798619149906E-2</v>
      </c>
      <c r="L138" s="28"/>
    </row>
    <row r="139" spans="1:12" x14ac:dyDescent="0.2">
      <c r="A139" s="27">
        <v>14</v>
      </c>
      <c r="B139" s="27">
        <v>1</v>
      </c>
      <c r="C139" s="27"/>
      <c r="D139" s="28">
        <v>16.858974358974358</v>
      </c>
      <c r="E139" s="28">
        <f t="shared" si="4"/>
        <v>2.8589743589743577</v>
      </c>
      <c r="G139" s="28">
        <f t="shared" si="5"/>
        <v>7.4803820711623142E-2</v>
      </c>
      <c r="L139" s="28"/>
    </row>
    <row r="140" spans="1:12" x14ac:dyDescent="0.2">
      <c r="A140" s="27">
        <v>13</v>
      </c>
      <c r="B140" s="27">
        <v>1</v>
      </c>
      <c r="C140" s="27"/>
      <c r="D140" s="28">
        <v>16.858974358974358</v>
      </c>
      <c r="E140" s="28">
        <f t="shared" si="4"/>
        <v>3.8589743589743577</v>
      </c>
      <c r="G140" s="28">
        <f t="shared" si="5"/>
        <v>6.2142132155231941E-2</v>
      </c>
      <c r="L140" s="28"/>
    </row>
    <row r="141" spans="1:12" x14ac:dyDescent="0.2">
      <c r="A141" s="27">
        <v>13</v>
      </c>
      <c r="B141" s="27">
        <v>1</v>
      </c>
      <c r="C141" s="27"/>
      <c r="D141" s="28">
        <v>16.858974358974358</v>
      </c>
      <c r="E141" s="28">
        <f t="shared" si="4"/>
        <v>3.8589743589743577</v>
      </c>
      <c r="G141" s="28">
        <f t="shared" si="5"/>
        <v>6.2142132155231941E-2</v>
      </c>
      <c r="L141" s="28"/>
    </row>
    <row r="142" spans="1:12" x14ac:dyDescent="0.2">
      <c r="A142" s="27">
        <v>13</v>
      </c>
      <c r="B142" s="27">
        <v>1</v>
      </c>
      <c r="C142" s="27"/>
      <c r="D142" s="28">
        <v>16.858974358974358</v>
      </c>
      <c r="E142" s="28">
        <f t="shared" si="4"/>
        <v>3.8589743589743577</v>
      </c>
      <c r="G142" s="28">
        <f t="shared" si="5"/>
        <v>6.2142132155231941E-2</v>
      </c>
      <c r="L142" s="28"/>
    </row>
    <row r="143" spans="1:12" x14ac:dyDescent="0.2">
      <c r="A143" s="27">
        <v>21</v>
      </c>
      <c r="B143" s="27">
        <v>1</v>
      </c>
      <c r="C143" s="27"/>
      <c r="D143" s="28">
        <v>16.858974358974358</v>
      </c>
      <c r="E143" s="28">
        <f t="shared" si="4"/>
        <v>-4.1410256410256423</v>
      </c>
      <c r="G143" s="28">
        <f t="shared" si="5"/>
        <v>5.8389578885814829E-2</v>
      </c>
      <c r="L143" s="28"/>
    </row>
    <row r="144" spans="1:12" x14ac:dyDescent="0.2">
      <c r="A144" s="27">
        <v>19</v>
      </c>
      <c r="B144" s="27">
        <v>1</v>
      </c>
      <c r="C144" s="27"/>
      <c r="D144" s="28">
        <v>16.858974358974358</v>
      </c>
      <c r="E144" s="28">
        <f t="shared" si="4"/>
        <v>-2.1410256410256423</v>
      </c>
      <c r="G144" s="28">
        <f t="shared" si="5"/>
        <v>8.2596026638649928E-2</v>
      </c>
      <c r="L144" s="28"/>
    </row>
    <row r="145" spans="1:12" x14ac:dyDescent="0.2">
      <c r="A145" s="27">
        <v>23</v>
      </c>
      <c r="B145" s="27">
        <v>1</v>
      </c>
      <c r="C145" s="27"/>
      <c r="D145" s="28">
        <v>16.858974358974358</v>
      </c>
      <c r="E145" s="28">
        <f t="shared" si="4"/>
        <v>-6.1410256410256423</v>
      </c>
      <c r="G145" s="28">
        <f t="shared" si="5"/>
        <v>3.3098180744967454E-2</v>
      </c>
      <c r="L145" s="28"/>
    </row>
    <row r="146" spans="1:12" x14ac:dyDescent="0.2">
      <c r="A146" s="27">
        <v>23</v>
      </c>
      <c r="B146" s="27">
        <v>1</v>
      </c>
      <c r="C146" s="27"/>
      <c r="D146" s="28">
        <v>16.858974358974358</v>
      </c>
      <c r="E146" s="28">
        <f t="shared" si="4"/>
        <v>-6.1410256410256423</v>
      </c>
      <c r="G146" s="28">
        <f t="shared" si="5"/>
        <v>3.3098180744967454E-2</v>
      </c>
      <c r="L146" s="28"/>
    </row>
    <row r="147" spans="1:12" x14ac:dyDescent="0.2">
      <c r="A147" s="27">
        <v>19</v>
      </c>
      <c r="B147" s="27">
        <v>1</v>
      </c>
      <c r="C147" s="27"/>
      <c r="D147" s="28">
        <v>16.858974358974358</v>
      </c>
      <c r="E147" s="28">
        <f t="shared" si="4"/>
        <v>-2.1410256410256423</v>
      </c>
      <c r="G147" s="28">
        <f t="shared" si="5"/>
        <v>8.2596026638649928E-2</v>
      </c>
      <c r="L147" s="28"/>
    </row>
    <row r="148" spans="1:12" x14ac:dyDescent="0.2">
      <c r="A148" s="27">
        <v>19</v>
      </c>
      <c r="B148" s="27">
        <v>1</v>
      </c>
      <c r="C148" s="27"/>
      <c r="D148" s="28">
        <v>16.858974358974358</v>
      </c>
      <c r="E148" s="28">
        <f t="shared" si="4"/>
        <v>-2.1410256410256423</v>
      </c>
      <c r="G148" s="28">
        <f t="shared" si="5"/>
        <v>8.2596026638649928E-2</v>
      </c>
      <c r="L148" s="28"/>
    </row>
    <row r="149" spans="1:12" x14ac:dyDescent="0.2">
      <c r="A149" s="27">
        <v>18</v>
      </c>
      <c r="B149" s="27">
        <v>1</v>
      </c>
      <c r="C149" s="27"/>
      <c r="D149" s="28">
        <v>16.858974358974358</v>
      </c>
      <c r="E149" s="28">
        <f t="shared" si="4"/>
        <v>-1.1410256410256423</v>
      </c>
      <c r="G149" s="28">
        <f t="shared" si="5"/>
        <v>9.0428595220514676E-2</v>
      </c>
      <c r="L149" s="28"/>
    </row>
    <row r="150" spans="1:12" x14ac:dyDescent="0.2">
      <c r="A150" s="27">
        <v>19</v>
      </c>
      <c r="B150" s="27">
        <v>1</v>
      </c>
      <c r="C150" s="27"/>
      <c r="D150" s="28">
        <v>16.858974358974358</v>
      </c>
      <c r="E150" s="28">
        <f t="shared" si="4"/>
        <v>-2.1410256410256423</v>
      </c>
      <c r="G150" s="28">
        <f t="shared" si="5"/>
        <v>8.2596026638649928E-2</v>
      </c>
      <c r="L150" s="28"/>
    </row>
    <row r="151" spans="1:12" x14ac:dyDescent="0.2">
      <c r="A151" s="27">
        <v>19</v>
      </c>
      <c r="B151" s="27">
        <v>1</v>
      </c>
      <c r="C151" s="27"/>
      <c r="D151" s="28">
        <v>16.858974358974358</v>
      </c>
      <c r="E151" s="28">
        <f t="shared" si="4"/>
        <v>-2.1410256410256423</v>
      </c>
      <c r="G151" s="28">
        <f t="shared" si="5"/>
        <v>8.2596026638649928E-2</v>
      </c>
      <c r="L151" s="28"/>
    </row>
    <row r="152" spans="1:12" x14ac:dyDescent="0.2">
      <c r="A152" s="27">
        <v>14</v>
      </c>
      <c r="B152" s="27">
        <v>1</v>
      </c>
      <c r="C152" s="27"/>
      <c r="D152" s="28">
        <v>16.858974358974358</v>
      </c>
      <c r="E152" s="28">
        <f t="shared" si="4"/>
        <v>2.8589743589743577</v>
      </c>
      <c r="G152" s="28">
        <f t="shared" si="5"/>
        <v>7.4803820711623142E-2</v>
      </c>
      <c r="L152" s="28"/>
    </row>
    <row r="153" spans="1:12" x14ac:dyDescent="0.2">
      <c r="A153" s="27">
        <v>15</v>
      </c>
      <c r="B153" s="27">
        <v>1</v>
      </c>
      <c r="C153" s="27"/>
      <c r="D153" s="28">
        <v>16.858974358974358</v>
      </c>
      <c r="E153" s="28">
        <f t="shared" si="4"/>
        <v>1.8589743589743577</v>
      </c>
      <c r="G153" s="28">
        <f t="shared" si="5"/>
        <v>8.5208821600122359E-2</v>
      </c>
      <c r="L153" s="28"/>
    </row>
    <row r="154" spans="1:12" x14ac:dyDescent="0.2">
      <c r="A154" s="27">
        <v>14</v>
      </c>
      <c r="B154" s="27">
        <v>1</v>
      </c>
      <c r="C154" s="27"/>
      <c r="D154" s="28">
        <v>16.858974358974358</v>
      </c>
      <c r="E154" s="28">
        <f t="shared" si="4"/>
        <v>2.8589743589743577</v>
      </c>
      <c r="G154" s="28">
        <f t="shared" si="5"/>
        <v>7.4803820711623142E-2</v>
      </c>
      <c r="L154" s="28"/>
    </row>
    <row r="155" spans="1:12" x14ac:dyDescent="0.2">
      <c r="A155" s="27">
        <v>12</v>
      </c>
      <c r="B155" s="27">
        <v>1</v>
      </c>
      <c r="C155" s="27"/>
      <c r="D155" s="28">
        <v>16.858974358974358</v>
      </c>
      <c r="E155" s="28">
        <f t="shared" si="4"/>
        <v>4.8589743589743577</v>
      </c>
      <c r="G155" s="28">
        <f t="shared" si="5"/>
        <v>4.8850798619149906E-2</v>
      </c>
      <c r="L155" s="28"/>
    </row>
    <row r="156" spans="1:12" x14ac:dyDescent="0.2">
      <c r="A156" s="27">
        <v>18</v>
      </c>
      <c r="B156" s="27">
        <v>1</v>
      </c>
      <c r="C156" s="27"/>
      <c r="D156" s="28">
        <v>16.858974358974358</v>
      </c>
      <c r="E156" s="28">
        <f t="shared" si="4"/>
        <v>-1.1410256410256423</v>
      </c>
      <c r="G156" s="28">
        <f t="shared" si="5"/>
        <v>9.0428595220514676E-2</v>
      </c>
      <c r="L156" s="28"/>
    </row>
    <row r="157" spans="1:12" x14ac:dyDescent="0.2">
      <c r="A157" s="27">
        <v>16</v>
      </c>
      <c r="B157" s="27">
        <v>1</v>
      </c>
      <c r="C157" s="27"/>
      <c r="D157" s="28">
        <v>16.858974358974358</v>
      </c>
      <c r="E157" s="28">
        <f t="shared" si="4"/>
        <v>0.8589743589743577</v>
      </c>
      <c r="G157" s="28">
        <f t="shared" si="5"/>
        <v>9.1847742433773194E-2</v>
      </c>
      <c r="L157" s="28"/>
    </row>
    <row r="158" spans="1:12" x14ac:dyDescent="0.2">
      <c r="A158" s="27">
        <v>17</v>
      </c>
      <c r="B158" s="27">
        <v>1</v>
      </c>
      <c r="C158" s="27"/>
      <c r="D158" s="28">
        <v>16.858974358974358</v>
      </c>
      <c r="E158" s="28">
        <f t="shared" si="4"/>
        <v>-0.1410256410256423</v>
      </c>
      <c r="G158" s="28">
        <f t="shared" si="5"/>
        <v>9.3686186441259228E-2</v>
      </c>
      <c r="L158" s="28"/>
    </row>
    <row r="159" spans="1:12" x14ac:dyDescent="0.2">
      <c r="A159" s="27">
        <v>18</v>
      </c>
      <c r="B159" s="27">
        <v>1</v>
      </c>
      <c r="C159" s="27"/>
      <c r="D159" s="28">
        <v>16.858974358974358</v>
      </c>
      <c r="E159" s="28">
        <f t="shared" si="4"/>
        <v>-1.1410256410256423</v>
      </c>
      <c r="G159" s="28">
        <f t="shared" si="5"/>
        <v>9.0428595220514676E-2</v>
      </c>
      <c r="L159" s="28"/>
    </row>
    <row r="160" spans="1:12" x14ac:dyDescent="0.2">
      <c r="A160" s="27">
        <v>16</v>
      </c>
      <c r="B160" s="27">
        <v>1</v>
      </c>
      <c r="C160" s="27"/>
      <c r="D160" s="28">
        <v>16.858974358974358</v>
      </c>
      <c r="E160" s="28">
        <f t="shared" si="4"/>
        <v>0.8589743589743577</v>
      </c>
      <c r="G160" s="28">
        <f t="shared" si="5"/>
        <v>9.1847742433773194E-2</v>
      </c>
      <c r="L160" s="28"/>
    </row>
    <row r="161" spans="1:12" x14ac:dyDescent="0.2">
      <c r="A161" s="27">
        <v>18</v>
      </c>
      <c r="B161" s="27">
        <v>1</v>
      </c>
      <c r="C161" s="27"/>
      <c r="D161" s="28">
        <v>16.858974358974358</v>
      </c>
      <c r="E161" s="28">
        <f t="shared" si="4"/>
        <v>-1.1410256410256423</v>
      </c>
      <c r="G161" s="28">
        <f t="shared" si="5"/>
        <v>9.0428595220514676E-2</v>
      </c>
      <c r="L161" s="28"/>
    </row>
    <row r="162" spans="1:12" x14ac:dyDescent="0.2">
      <c r="A162" s="27">
        <v>18</v>
      </c>
      <c r="B162" s="27">
        <v>1</v>
      </c>
      <c r="C162" s="27"/>
      <c r="D162" s="28">
        <v>16.858974358974358</v>
      </c>
      <c r="E162" s="28">
        <f t="shared" si="4"/>
        <v>-1.1410256410256423</v>
      </c>
      <c r="G162" s="28">
        <f t="shared" si="5"/>
        <v>9.0428595220514676E-2</v>
      </c>
      <c r="L162" s="28"/>
    </row>
    <row r="163" spans="1:12" x14ac:dyDescent="0.2">
      <c r="A163" s="27">
        <v>20</v>
      </c>
      <c r="B163" s="27">
        <v>1</v>
      </c>
      <c r="C163" s="27"/>
      <c r="D163" s="28">
        <v>16.858974358974358</v>
      </c>
      <c r="E163" s="28">
        <f t="shared" si="4"/>
        <v>-3.1410256410256423</v>
      </c>
      <c r="G163" s="28">
        <f t="shared" si="5"/>
        <v>7.138971945227178E-2</v>
      </c>
      <c r="L163" s="28"/>
    </row>
    <row r="164" spans="1:12" x14ac:dyDescent="0.2">
      <c r="A164" s="27">
        <v>19</v>
      </c>
      <c r="B164" s="27">
        <v>1</v>
      </c>
      <c r="C164" s="27"/>
      <c r="D164" s="28">
        <v>16.858974358974358</v>
      </c>
      <c r="E164" s="28">
        <f t="shared" si="4"/>
        <v>-2.1410256410256423</v>
      </c>
      <c r="G164" s="28">
        <f t="shared" si="5"/>
        <v>8.2596026638649928E-2</v>
      </c>
      <c r="L164" s="28"/>
    </row>
    <row r="165" spans="1:12" x14ac:dyDescent="0.2">
      <c r="A165" s="27">
        <v>20</v>
      </c>
      <c r="B165" s="27">
        <v>1</v>
      </c>
      <c r="C165" s="27"/>
      <c r="D165" s="28">
        <v>16.858974358974358</v>
      </c>
      <c r="E165" s="28">
        <f t="shared" si="4"/>
        <v>-3.1410256410256423</v>
      </c>
      <c r="G165" s="28">
        <f t="shared" si="5"/>
        <v>7.138971945227178E-2</v>
      </c>
      <c r="L165" s="28"/>
    </row>
    <row r="166" spans="1:12" x14ac:dyDescent="0.2">
      <c r="A166" s="27">
        <v>18</v>
      </c>
      <c r="B166" s="27">
        <v>1</v>
      </c>
      <c r="C166" s="27"/>
      <c r="D166" s="28">
        <v>16.858974358974358</v>
      </c>
      <c r="E166" s="28">
        <f t="shared" si="4"/>
        <v>-1.1410256410256423</v>
      </c>
      <c r="G166" s="28">
        <f t="shared" si="5"/>
        <v>9.0428595220514676E-2</v>
      </c>
      <c r="L166" s="28"/>
    </row>
    <row r="167" spans="1:12" x14ac:dyDescent="0.2">
      <c r="A167" s="27">
        <v>21</v>
      </c>
      <c r="B167" s="27">
        <v>1</v>
      </c>
      <c r="C167" s="27"/>
      <c r="D167" s="28">
        <v>16.858974358974358</v>
      </c>
      <c r="E167" s="28">
        <f t="shared" si="4"/>
        <v>-4.1410256410256423</v>
      </c>
      <c r="G167" s="28">
        <f t="shared" si="5"/>
        <v>5.8389578885814829E-2</v>
      </c>
      <c r="L167" s="28"/>
    </row>
    <row r="168" spans="1:12" x14ac:dyDescent="0.2">
      <c r="A168" s="27">
        <v>19</v>
      </c>
      <c r="B168" s="27">
        <v>1</v>
      </c>
      <c r="C168" s="27"/>
      <c r="D168" s="28">
        <v>16.858974358974358</v>
      </c>
      <c r="E168" s="28">
        <f t="shared" si="4"/>
        <v>-2.1410256410256423</v>
      </c>
      <c r="G168" s="28">
        <f t="shared" si="5"/>
        <v>8.2596026638649928E-2</v>
      </c>
      <c r="L168" s="28"/>
    </row>
    <row r="169" spans="1:12" x14ac:dyDescent="0.2">
      <c r="A169" s="27">
        <v>19</v>
      </c>
      <c r="B169" s="27">
        <v>1</v>
      </c>
      <c r="C169" s="27"/>
      <c r="D169" s="28">
        <v>16.858974358974358</v>
      </c>
      <c r="E169" s="28">
        <f t="shared" si="4"/>
        <v>-2.1410256410256423</v>
      </c>
      <c r="G169" s="28">
        <f t="shared" si="5"/>
        <v>8.2596026638649928E-2</v>
      </c>
      <c r="L169" s="28"/>
    </row>
    <row r="170" spans="1:12" x14ac:dyDescent="0.2">
      <c r="A170" s="27">
        <v>19</v>
      </c>
      <c r="B170" s="27">
        <v>1</v>
      </c>
      <c r="C170" s="27"/>
      <c r="D170" s="28">
        <v>16.858974358974358</v>
      </c>
      <c r="E170" s="28">
        <f t="shared" si="4"/>
        <v>-2.1410256410256423</v>
      </c>
      <c r="G170" s="28">
        <f t="shared" si="5"/>
        <v>8.2596026638649928E-2</v>
      </c>
      <c r="L170" s="28"/>
    </row>
    <row r="171" spans="1:12" x14ac:dyDescent="0.2">
      <c r="A171" s="27">
        <v>20</v>
      </c>
      <c r="B171" s="27">
        <v>1</v>
      </c>
      <c r="C171" s="27"/>
      <c r="D171" s="28">
        <v>16.858974358974358</v>
      </c>
      <c r="E171" s="28">
        <f t="shared" si="4"/>
        <v>-3.1410256410256423</v>
      </c>
      <c r="G171" s="28">
        <f t="shared" si="5"/>
        <v>7.138971945227178E-2</v>
      </c>
      <c r="L171" s="28"/>
    </row>
    <row r="172" spans="1:12" x14ac:dyDescent="0.2">
      <c r="A172" s="27">
        <v>20</v>
      </c>
      <c r="B172" s="27">
        <v>1</v>
      </c>
      <c r="C172" s="27"/>
      <c r="D172" s="28">
        <v>16.858974358974358</v>
      </c>
      <c r="E172" s="28">
        <f t="shared" si="4"/>
        <v>-3.1410256410256423</v>
      </c>
      <c r="G172" s="28">
        <f t="shared" si="5"/>
        <v>7.138971945227178E-2</v>
      </c>
      <c r="L172" s="28"/>
    </row>
    <row r="173" spans="1:12" x14ac:dyDescent="0.2">
      <c r="A173" s="27">
        <v>19</v>
      </c>
      <c r="B173" s="27">
        <v>1</v>
      </c>
      <c r="C173" s="27"/>
      <c r="D173" s="28">
        <v>16.858974358974358</v>
      </c>
      <c r="E173" s="28">
        <f t="shared" si="4"/>
        <v>-2.1410256410256423</v>
      </c>
      <c r="G173" s="28">
        <f t="shared" si="5"/>
        <v>8.2596026638649928E-2</v>
      </c>
      <c r="L173" s="28"/>
    </row>
    <row r="174" spans="1:12" x14ac:dyDescent="0.2">
      <c r="A174" s="27">
        <v>20</v>
      </c>
      <c r="B174" s="27">
        <v>1</v>
      </c>
      <c r="C174" s="27"/>
      <c r="D174" s="28">
        <v>16.858974358974358</v>
      </c>
      <c r="E174" s="28">
        <f t="shared" si="4"/>
        <v>-3.1410256410256423</v>
      </c>
      <c r="G174" s="28">
        <f t="shared" si="5"/>
        <v>7.138971945227178E-2</v>
      </c>
      <c r="L174" s="28"/>
    </row>
    <row r="175" spans="1:12" x14ac:dyDescent="0.2">
      <c r="A175" s="27">
        <v>15</v>
      </c>
      <c r="B175" s="27">
        <v>1</v>
      </c>
      <c r="C175" s="27"/>
      <c r="D175" s="28">
        <v>16.858974358974358</v>
      </c>
      <c r="E175" s="28">
        <f t="shared" si="4"/>
        <v>1.8589743589743577</v>
      </c>
      <c r="G175" s="28">
        <f t="shared" si="5"/>
        <v>8.5208821600122359E-2</v>
      </c>
      <c r="L175" s="28"/>
    </row>
    <row r="176" spans="1:12" x14ac:dyDescent="0.2">
      <c r="A176" s="27">
        <v>16</v>
      </c>
      <c r="B176" s="27">
        <v>1</v>
      </c>
      <c r="C176" s="27"/>
      <c r="D176" s="28">
        <v>16.858974358974358</v>
      </c>
      <c r="E176" s="28">
        <f t="shared" si="4"/>
        <v>0.8589743589743577</v>
      </c>
      <c r="G176" s="28">
        <f t="shared" si="5"/>
        <v>9.1847742433773194E-2</v>
      </c>
      <c r="L176" s="28"/>
    </row>
    <row r="177" spans="1:12" x14ac:dyDescent="0.2">
      <c r="A177" s="27">
        <v>15</v>
      </c>
      <c r="B177" s="27">
        <v>1</v>
      </c>
      <c r="C177" s="27"/>
      <c r="D177" s="28">
        <v>16.858974358974358</v>
      </c>
      <c r="E177" s="28">
        <f t="shared" si="4"/>
        <v>1.8589743589743577</v>
      </c>
      <c r="G177" s="28">
        <f t="shared" si="5"/>
        <v>8.5208821600122359E-2</v>
      </c>
      <c r="L177" s="28"/>
    </row>
    <row r="178" spans="1:12" x14ac:dyDescent="0.2">
      <c r="A178" s="27">
        <v>15</v>
      </c>
      <c r="B178" s="27">
        <v>1</v>
      </c>
      <c r="C178" s="27"/>
      <c r="D178" s="28">
        <v>16.858974358974358</v>
      </c>
      <c r="E178" s="28">
        <f t="shared" si="4"/>
        <v>1.8589743589743577</v>
      </c>
      <c r="G178" s="28">
        <f t="shared" si="5"/>
        <v>8.5208821600122359E-2</v>
      </c>
      <c r="L178" s="28"/>
    </row>
    <row r="179" spans="1:12" x14ac:dyDescent="0.2">
      <c r="A179" s="27">
        <v>16</v>
      </c>
      <c r="B179" s="27">
        <v>1</v>
      </c>
      <c r="C179" s="27"/>
      <c r="D179" s="28">
        <v>16.858974358974358</v>
      </c>
      <c r="E179" s="28">
        <f t="shared" si="4"/>
        <v>0.8589743589743577</v>
      </c>
      <c r="G179" s="28">
        <f t="shared" si="5"/>
        <v>9.1847742433773194E-2</v>
      </c>
      <c r="L179" s="28"/>
    </row>
    <row r="180" spans="1:12" x14ac:dyDescent="0.2">
      <c r="A180" s="27">
        <v>14</v>
      </c>
      <c r="B180" s="27">
        <v>1</v>
      </c>
      <c r="C180" s="27"/>
      <c r="D180" s="28">
        <v>16.858974358974358</v>
      </c>
      <c r="E180" s="28">
        <f t="shared" si="4"/>
        <v>2.8589743589743577</v>
      </c>
      <c r="G180" s="28">
        <f t="shared" si="5"/>
        <v>7.4803820711623142E-2</v>
      </c>
      <c r="L180" s="28"/>
    </row>
    <row r="181" spans="1:12" x14ac:dyDescent="0.2">
      <c r="A181" s="27">
        <v>21</v>
      </c>
      <c r="B181" s="27">
        <v>1</v>
      </c>
      <c r="C181" s="27"/>
      <c r="D181" s="28">
        <v>16.858974358974358</v>
      </c>
      <c r="E181" s="28">
        <f t="shared" si="4"/>
        <v>-4.1410256410256423</v>
      </c>
      <c r="G181" s="28">
        <f t="shared" si="5"/>
        <v>5.8389578885814829E-2</v>
      </c>
      <c r="L181" s="28"/>
    </row>
    <row r="182" spans="1:12" x14ac:dyDescent="0.2">
      <c r="A182" s="27">
        <v>21</v>
      </c>
      <c r="B182" s="27">
        <v>1</v>
      </c>
      <c r="C182" s="27"/>
      <c r="D182" s="28">
        <v>16.858974358974358</v>
      </c>
      <c r="E182" s="28">
        <f t="shared" si="4"/>
        <v>-4.1410256410256423</v>
      </c>
      <c r="G182" s="28">
        <f t="shared" si="5"/>
        <v>5.8389578885814829E-2</v>
      </c>
      <c r="L182" s="28"/>
    </row>
    <row r="183" spans="1:12" x14ac:dyDescent="0.2">
      <c r="A183" s="27">
        <v>21</v>
      </c>
      <c r="B183" s="27">
        <v>1</v>
      </c>
      <c r="C183" s="27"/>
      <c r="D183" s="28">
        <v>16.858974358974358</v>
      </c>
      <c r="E183" s="28">
        <f t="shared" si="4"/>
        <v>-4.1410256410256423</v>
      </c>
      <c r="G183" s="28">
        <f t="shared" si="5"/>
        <v>5.8389578885814829E-2</v>
      </c>
      <c r="L183" s="28"/>
    </row>
    <row r="184" spans="1:12" x14ac:dyDescent="0.2">
      <c r="A184" s="27">
        <v>21</v>
      </c>
      <c r="B184" s="27">
        <v>1</v>
      </c>
      <c r="C184" s="27"/>
      <c r="D184" s="28">
        <v>16.858974358974358</v>
      </c>
      <c r="E184" s="28">
        <f t="shared" si="4"/>
        <v>-4.1410256410256423</v>
      </c>
      <c r="G184" s="28">
        <f t="shared" si="5"/>
        <v>5.8389578885814829E-2</v>
      </c>
      <c r="L184" s="28"/>
    </row>
    <row r="185" spans="1:12" x14ac:dyDescent="0.2">
      <c r="A185" s="27">
        <v>18</v>
      </c>
      <c r="B185" s="27">
        <v>1</v>
      </c>
      <c r="C185" s="27"/>
      <c r="D185" s="28">
        <v>16.858974358974358</v>
      </c>
      <c r="E185" s="28">
        <f t="shared" si="4"/>
        <v>-1.1410256410256423</v>
      </c>
      <c r="G185" s="28">
        <f t="shared" si="5"/>
        <v>9.0428595220514676E-2</v>
      </c>
      <c r="L185" s="28"/>
    </row>
    <row r="186" spans="1:12" x14ac:dyDescent="0.2">
      <c r="A186" s="27">
        <v>18</v>
      </c>
      <c r="B186" s="27">
        <v>1</v>
      </c>
      <c r="C186" s="27"/>
      <c r="D186" s="28">
        <v>16.858974358974358</v>
      </c>
      <c r="E186" s="28">
        <f t="shared" si="4"/>
        <v>-1.1410256410256423</v>
      </c>
      <c r="G186" s="28">
        <f t="shared" si="5"/>
        <v>9.0428595220514676E-2</v>
      </c>
      <c r="L186" s="28"/>
    </row>
    <row r="187" spans="1:12" x14ac:dyDescent="0.2">
      <c r="A187" s="27">
        <v>19</v>
      </c>
      <c r="B187" s="27">
        <v>1</v>
      </c>
      <c r="C187" s="27"/>
      <c r="D187" s="28">
        <v>16.858974358974358</v>
      </c>
      <c r="E187" s="28">
        <f t="shared" si="4"/>
        <v>-2.1410256410256423</v>
      </c>
      <c r="G187" s="28">
        <f t="shared" si="5"/>
        <v>8.2596026638649928E-2</v>
      </c>
      <c r="L187" s="28"/>
    </row>
    <row r="188" spans="1:12" x14ac:dyDescent="0.2">
      <c r="A188" s="27">
        <v>21</v>
      </c>
      <c r="B188" s="27">
        <v>1</v>
      </c>
      <c r="C188" s="27"/>
      <c r="D188" s="28">
        <v>16.858974358974358</v>
      </c>
      <c r="E188" s="28">
        <f t="shared" si="4"/>
        <v>-4.1410256410256423</v>
      </c>
      <c r="G188" s="28">
        <f t="shared" si="5"/>
        <v>5.8389578885814829E-2</v>
      </c>
      <c r="L188" s="28"/>
    </row>
    <row r="189" spans="1:12" x14ac:dyDescent="0.2">
      <c r="A189" s="27">
        <v>21</v>
      </c>
      <c r="B189" s="27">
        <v>1</v>
      </c>
      <c r="C189" s="27"/>
      <c r="D189" s="28">
        <v>16.858974358974358</v>
      </c>
      <c r="E189" s="28">
        <f t="shared" si="4"/>
        <v>-4.1410256410256423</v>
      </c>
      <c r="G189" s="28">
        <f t="shared" si="5"/>
        <v>5.8389578885814829E-2</v>
      </c>
      <c r="L189" s="28"/>
    </row>
    <row r="190" spans="1:12" x14ac:dyDescent="0.2">
      <c r="A190" s="27">
        <v>21</v>
      </c>
      <c r="B190" s="27">
        <v>1</v>
      </c>
      <c r="C190" s="27"/>
      <c r="D190" s="28">
        <v>16.858974358974358</v>
      </c>
      <c r="E190" s="28">
        <f t="shared" si="4"/>
        <v>-4.1410256410256423</v>
      </c>
      <c r="G190" s="28">
        <f t="shared" si="5"/>
        <v>5.8389578885814829E-2</v>
      </c>
      <c r="L190" s="28"/>
    </row>
    <row r="191" spans="1:12" x14ac:dyDescent="0.2">
      <c r="A191" s="27">
        <v>22</v>
      </c>
      <c r="B191" s="27">
        <v>1</v>
      </c>
      <c r="C191" s="27"/>
      <c r="D191" s="28">
        <v>16.858974358974358</v>
      </c>
      <c r="E191" s="28">
        <f t="shared" si="4"/>
        <v>-5.1410256410256423</v>
      </c>
      <c r="G191" s="28">
        <f t="shared" si="5"/>
        <v>4.5191645925457373E-2</v>
      </c>
      <c r="L191" s="28"/>
    </row>
    <row r="192" spans="1:12" x14ac:dyDescent="0.2">
      <c r="A192" s="27">
        <v>18</v>
      </c>
      <c r="B192" s="27">
        <v>1</v>
      </c>
      <c r="C192" s="27"/>
      <c r="D192" s="28">
        <v>16.858974358974358</v>
      </c>
      <c r="E192" s="28">
        <f t="shared" si="4"/>
        <v>-1.1410256410256423</v>
      </c>
      <c r="G192" s="28">
        <f t="shared" si="5"/>
        <v>9.0428595220514676E-2</v>
      </c>
      <c r="L192" s="28"/>
    </row>
    <row r="193" spans="1:12" x14ac:dyDescent="0.2">
      <c r="A193" s="27">
        <v>18</v>
      </c>
      <c r="B193" s="27">
        <v>1</v>
      </c>
      <c r="C193" s="27"/>
      <c r="D193" s="28">
        <v>16.858974358974358</v>
      </c>
      <c r="E193" s="28">
        <f t="shared" si="4"/>
        <v>-1.1410256410256423</v>
      </c>
      <c r="G193" s="28">
        <f t="shared" si="5"/>
        <v>9.0428595220514676E-2</v>
      </c>
      <c r="L193" s="28"/>
    </row>
    <row r="194" spans="1:12" x14ac:dyDescent="0.2">
      <c r="A194" s="27">
        <v>18</v>
      </c>
      <c r="B194" s="27">
        <v>1</v>
      </c>
      <c r="C194" s="27"/>
      <c r="D194" s="28">
        <v>16.858974358974358</v>
      </c>
      <c r="E194" s="28">
        <f t="shared" si="4"/>
        <v>-1.1410256410256423</v>
      </c>
      <c r="G194" s="28">
        <f t="shared" si="5"/>
        <v>9.0428595220514676E-2</v>
      </c>
      <c r="L194" s="28"/>
    </row>
    <row r="195" spans="1:12" x14ac:dyDescent="0.2">
      <c r="A195" s="27">
        <v>24</v>
      </c>
      <c r="B195" s="27">
        <v>1</v>
      </c>
      <c r="C195" s="27"/>
      <c r="D195" s="28">
        <v>16.858974358974358</v>
      </c>
      <c r="E195" s="28">
        <f t="shared" ref="E195:E235" si="6">D195-A195</f>
        <v>-7.1410256410256423</v>
      </c>
      <c r="G195" s="28">
        <f t="shared" ref="G195:G235" si="7">_xlfn.NORM.DIST(E195,0,$F$2,FALSE)</f>
        <v>2.293893420103504E-2</v>
      </c>
      <c r="L195" s="28"/>
    </row>
    <row r="196" spans="1:12" x14ac:dyDescent="0.2">
      <c r="A196" s="27">
        <v>24</v>
      </c>
      <c r="B196" s="27">
        <v>1</v>
      </c>
      <c r="C196" s="27"/>
      <c r="D196" s="28">
        <v>16.858974358974358</v>
      </c>
      <c r="E196" s="28">
        <f t="shared" si="6"/>
        <v>-7.1410256410256423</v>
      </c>
      <c r="G196" s="28">
        <f t="shared" si="7"/>
        <v>2.293893420103504E-2</v>
      </c>
      <c r="L196" s="28"/>
    </row>
    <row r="197" spans="1:12" x14ac:dyDescent="0.2">
      <c r="A197" s="27">
        <v>26</v>
      </c>
      <c r="B197" s="27">
        <v>1</v>
      </c>
      <c r="C197" s="27"/>
      <c r="D197" s="28">
        <v>16.858974358974358</v>
      </c>
      <c r="E197" s="28">
        <f t="shared" si="6"/>
        <v>-9.1410256410256423</v>
      </c>
      <c r="G197" s="28">
        <f t="shared" si="7"/>
        <v>9.3364312813032559E-3</v>
      </c>
      <c r="L197" s="28"/>
    </row>
    <row r="198" spans="1:12" x14ac:dyDescent="0.2">
      <c r="A198" s="27">
        <v>28</v>
      </c>
      <c r="B198" s="27">
        <v>1</v>
      </c>
      <c r="C198" s="27"/>
      <c r="D198" s="28">
        <v>16.858974358974358</v>
      </c>
      <c r="E198" s="28">
        <f t="shared" si="6"/>
        <v>-11.141025641025642</v>
      </c>
      <c r="G198" s="28">
        <f t="shared" si="7"/>
        <v>3.0470611306731058E-3</v>
      </c>
      <c r="L198" s="28"/>
    </row>
    <row r="199" spans="1:12" x14ac:dyDescent="0.2">
      <c r="A199" s="27">
        <v>26</v>
      </c>
      <c r="B199" s="27">
        <v>1</v>
      </c>
      <c r="C199" s="27"/>
      <c r="D199" s="28">
        <v>16.858974358974358</v>
      </c>
      <c r="E199" s="28">
        <f t="shared" si="6"/>
        <v>-9.1410256410256423</v>
      </c>
      <c r="G199" s="28">
        <f t="shared" si="7"/>
        <v>9.3364312813032559E-3</v>
      </c>
      <c r="L199" s="28"/>
    </row>
    <row r="200" spans="1:12" x14ac:dyDescent="0.2">
      <c r="A200" s="27">
        <v>11</v>
      </c>
      <c r="B200" s="27">
        <v>1</v>
      </c>
      <c r="C200" s="27"/>
      <c r="D200" s="28">
        <v>16.858974358974358</v>
      </c>
      <c r="E200" s="28">
        <f t="shared" si="6"/>
        <v>5.8589743589743577</v>
      </c>
      <c r="G200" s="28">
        <f t="shared" si="7"/>
        <v>3.6339616015446226E-2</v>
      </c>
      <c r="L200" s="28"/>
    </row>
    <row r="201" spans="1:12" x14ac:dyDescent="0.2">
      <c r="A201" s="27">
        <v>13</v>
      </c>
      <c r="B201" s="27">
        <v>1</v>
      </c>
      <c r="C201" s="27"/>
      <c r="D201" s="28">
        <v>16.858974358974358</v>
      </c>
      <c r="E201" s="28">
        <f t="shared" si="6"/>
        <v>3.8589743589743577</v>
      </c>
      <c r="G201" s="28">
        <f t="shared" si="7"/>
        <v>6.2142132155231941E-2</v>
      </c>
      <c r="L201" s="28"/>
    </row>
    <row r="202" spans="1:12" x14ac:dyDescent="0.2">
      <c r="A202" s="27">
        <v>15</v>
      </c>
      <c r="B202" s="27">
        <v>1</v>
      </c>
      <c r="C202" s="27"/>
      <c r="D202" s="28">
        <v>16.858974358974358</v>
      </c>
      <c r="E202" s="28">
        <f t="shared" si="6"/>
        <v>1.8589743589743577</v>
      </c>
      <c r="G202" s="28">
        <f t="shared" si="7"/>
        <v>8.5208821600122359E-2</v>
      </c>
      <c r="L202" s="28"/>
    </row>
    <row r="203" spans="1:12" x14ac:dyDescent="0.2">
      <c r="A203" s="27">
        <v>16</v>
      </c>
      <c r="B203" s="27">
        <v>1</v>
      </c>
      <c r="C203" s="27"/>
      <c r="D203" s="28">
        <v>16.858974358974358</v>
      </c>
      <c r="E203" s="28">
        <f t="shared" si="6"/>
        <v>0.8589743589743577</v>
      </c>
      <c r="G203" s="28">
        <f t="shared" si="7"/>
        <v>9.1847742433773194E-2</v>
      </c>
      <c r="L203" s="28"/>
    </row>
    <row r="204" spans="1:12" x14ac:dyDescent="0.2">
      <c r="A204" s="27">
        <v>17</v>
      </c>
      <c r="B204" s="27">
        <v>1</v>
      </c>
      <c r="C204" s="27"/>
      <c r="D204" s="28">
        <v>16.858974358974358</v>
      </c>
      <c r="E204" s="28">
        <f t="shared" si="6"/>
        <v>-0.1410256410256423</v>
      </c>
      <c r="G204" s="28">
        <f t="shared" si="7"/>
        <v>9.3686186441259228E-2</v>
      </c>
      <c r="L204" s="28"/>
    </row>
    <row r="205" spans="1:12" x14ac:dyDescent="0.2">
      <c r="A205" s="27">
        <v>15</v>
      </c>
      <c r="B205" s="27">
        <v>1</v>
      </c>
      <c r="C205" s="27"/>
      <c r="D205" s="28">
        <v>16.858974358974358</v>
      </c>
      <c r="E205" s="28">
        <f t="shared" si="6"/>
        <v>1.8589743589743577</v>
      </c>
      <c r="G205" s="28">
        <f t="shared" si="7"/>
        <v>8.5208821600122359E-2</v>
      </c>
      <c r="L205" s="28"/>
    </row>
    <row r="206" spans="1:12" x14ac:dyDescent="0.2">
      <c r="A206" s="27">
        <v>15</v>
      </c>
      <c r="B206" s="27">
        <v>1</v>
      </c>
      <c r="C206" s="27"/>
      <c r="D206" s="28">
        <v>16.858974358974358</v>
      </c>
      <c r="E206" s="28">
        <f t="shared" si="6"/>
        <v>1.8589743589743577</v>
      </c>
      <c r="G206" s="28">
        <f t="shared" si="7"/>
        <v>8.5208821600122359E-2</v>
      </c>
      <c r="L206" s="28"/>
    </row>
    <row r="207" spans="1:12" x14ac:dyDescent="0.2">
      <c r="A207" s="27">
        <v>15</v>
      </c>
      <c r="B207" s="27">
        <v>1</v>
      </c>
      <c r="C207" s="27"/>
      <c r="D207" s="28">
        <v>16.858974358974358</v>
      </c>
      <c r="E207" s="28">
        <f t="shared" si="6"/>
        <v>1.8589743589743577</v>
      </c>
      <c r="G207" s="28">
        <f t="shared" si="7"/>
        <v>8.5208821600122359E-2</v>
      </c>
      <c r="L207" s="28"/>
    </row>
    <row r="208" spans="1:12" x14ac:dyDescent="0.2">
      <c r="A208" s="27">
        <v>16</v>
      </c>
      <c r="B208" s="27">
        <v>1</v>
      </c>
      <c r="C208" s="27"/>
      <c r="D208" s="28">
        <v>16.858974358974358</v>
      </c>
      <c r="E208" s="28">
        <f t="shared" si="6"/>
        <v>0.8589743589743577</v>
      </c>
      <c r="G208" s="28">
        <f t="shared" si="7"/>
        <v>9.1847742433773194E-2</v>
      </c>
      <c r="L208" s="28"/>
    </row>
    <row r="209" spans="1:12" x14ac:dyDescent="0.2">
      <c r="A209" s="27">
        <v>21</v>
      </c>
      <c r="B209" s="27">
        <v>1</v>
      </c>
      <c r="C209" s="27"/>
      <c r="D209" s="28">
        <v>16.858974358974358</v>
      </c>
      <c r="E209" s="28">
        <f t="shared" si="6"/>
        <v>-4.1410256410256423</v>
      </c>
      <c r="G209" s="28">
        <f t="shared" si="7"/>
        <v>5.8389578885814829E-2</v>
      </c>
      <c r="L209" s="28"/>
    </row>
    <row r="210" spans="1:12" x14ac:dyDescent="0.2">
      <c r="A210" s="27">
        <v>19</v>
      </c>
      <c r="B210" s="27">
        <v>1</v>
      </c>
      <c r="C210" s="27"/>
      <c r="D210" s="28">
        <v>16.858974358974358</v>
      </c>
      <c r="E210" s="28">
        <f t="shared" si="6"/>
        <v>-2.1410256410256423</v>
      </c>
      <c r="G210" s="28">
        <f t="shared" si="7"/>
        <v>8.2596026638649928E-2</v>
      </c>
      <c r="L210" s="28"/>
    </row>
    <row r="211" spans="1:12" x14ac:dyDescent="0.2">
      <c r="A211" s="27">
        <v>21</v>
      </c>
      <c r="B211" s="27">
        <v>1</v>
      </c>
      <c r="C211" s="27"/>
      <c r="D211" s="28">
        <v>16.858974358974358</v>
      </c>
      <c r="E211" s="28">
        <f t="shared" si="6"/>
        <v>-4.1410256410256423</v>
      </c>
      <c r="G211" s="28">
        <f t="shared" si="7"/>
        <v>5.8389578885814829E-2</v>
      </c>
      <c r="L211" s="28"/>
    </row>
    <row r="212" spans="1:12" x14ac:dyDescent="0.2">
      <c r="A212" s="27">
        <v>22</v>
      </c>
      <c r="B212" s="27">
        <v>1</v>
      </c>
      <c r="C212" s="27"/>
      <c r="D212" s="28">
        <v>16.858974358974358</v>
      </c>
      <c r="E212" s="28">
        <f t="shared" si="6"/>
        <v>-5.1410256410256423</v>
      </c>
      <c r="G212" s="28">
        <f t="shared" si="7"/>
        <v>4.5191645925457373E-2</v>
      </c>
      <c r="L212" s="28"/>
    </row>
    <row r="213" spans="1:12" x14ac:dyDescent="0.2">
      <c r="A213" s="27">
        <v>17</v>
      </c>
      <c r="B213" s="27">
        <v>1</v>
      </c>
      <c r="C213" s="27"/>
      <c r="D213" s="28">
        <v>16.858974358974358</v>
      </c>
      <c r="E213" s="28">
        <f t="shared" si="6"/>
        <v>-0.1410256410256423</v>
      </c>
      <c r="G213" s="28">
        <f t="shared" si="7"/>
        <v>9.3686186441259228E-2</v>
      </c>
      <c r="L213" s="28"/>
    </row>
    <row r="214" spans="1:12" x14ac:dyDescent="0.2">
      <c r="A214" s="27">
        <v>33</v>
      </c>
      <c r="B214" s="27">
        <v>1</v>
      </c>
      <c r="C214" s="27"/>
      <c r="D214" s="28">
        <v>16.858974358974358</v>
      </c>
      <c r="E214" s="28">
        <f t="shared" si="6"/>
        <v>-16.141025641025642</v>
      </c>
      <c r="G214" s="28">
        <f t="shared" si="7"/>
        <v>7.0556481624534586E-5</v>
      </c>
      <c r="L214" s="28"/>
    </row>
    <row r="215" spans="1:12" x14ac:dyDescent="0.2">
      <c r="A215" s="27">
        <v>21</v>
      </c>
      <c r="B215" s="27">
        <v>1</v>
      </c>
      <c r="C215" s="27"/>
      <c r="D215" s="28">
        <v>16.858974358974358</v>
      </c>
      <c r="E215" s="28">
        <f t="shared" si="6"/>
        <v>-4.1410256410256423</v>
      </c>
      <c r="G215" s="28">
        <f t="shared" si="7"/>
        <v>5.8389578885814829E-2</v>
      </c>
      <c r="L215" s="28"/>
    </row>
    <row r="216" spans="1:12" x14ac:dyDescent="0.2">
      <c r="A216" s="27">
        <v>19</v>
      </c>
      <c r="B216" s="27">
        <v>1</v>
      </c>
      <c r="C216" s="27"/>
      <c r="D216" s="28">
        <v>16.858974358974358</v>
      </c>
      <c r="E216" s="28">
        <f t="shared" si="6"/>
        <v>-2.1410256410256423</v>
      </c>
      <c r="G216" s="28">
        <f t="shared" si="7"/>
        <v>8.2596026638649928E-2</v>
      </c>
      <c r="L216" s="28"/>
    </row>
    <row r="217" spans="1:12" x14ac:dyDescent="0.2">
      <c r="A217" s="27">
        <v>22</v>
      </c>
      <c r="B217" s="27">
        <v>1</v>
      </c>
      <c r="C217" s="27"/>
      <c r="D217" s="28">
        <v>16.858974358974358</v>
      </c>
      <c r="E217" s="28">
        <f t="shared" si="6"/>
        <v>-5.1410256410256423</v>
      </c>
      <c r="G217" s="28">
        <f t="shared" si="7"/>
        <v>4.5191645925457373E-2</v>
      </c>
      <c r="L217" s="28"/>
    </row>
    <row r="218" spans="1:12" x14ac:dyDescent="0.2">
      <c r="A218" s="27">
        <v>21</v>
      </c>
      <c r="B218" s="27">
        <v>1</v>
      </c>
      <c r="C218" s="27"/>
      <c r="D218" s="28">
        <v>16.858974358974358</v>
      </c>
      <c r="E218" s="28">
        <f t="shared" si="6"/>
        <v>-4.1410256410256423</v>
      </c>
      <c r="G218" s="28">
        <f t="shared" si="7"/>
        <v>5.8389578885814829E-2</v>
      </c>
      <c r="L218" s="28"/>
    </row>
    <row r="219" spans="1:12" x14ac:dyDescent="0.2">
      <c r="A219" s="27">
        <v>21</v>
      </c>
      <c r="B219" s="27">
        <v>1</v>
      </c>
      <c r="C219" s="27"/>
      <c r="D219" s="28">
        <v>16.858974358974358</v>
      </c>
      <c r="E219" s="28">
        <f t="shared" si="6"/>
        <v>-4.1410256410256423</v>
      </c>
      <c r="G219" s="28">
        <f t="shared" si="7"/>
        <v>5.8389578885814829E-2</v>
      </c>
      <c r="L219" s="28"/>
    </row>
    <row r="220" spans="1:12" x14ac:dyDescent="0.2">
      <c r="A220" s="27">
        <v>21</v>
      </c>
      <c r="B220" s="27">
        <v>1</v>
      </c>
      <c r="C220" s="27"/>
      <c r="D220" s="28">
        <v>16.858974358974358</v>
      </c>
      <c r="E220" s="28">
        <f t="shared" si="6"/>
        <v>-4.1410256410256423</v>
      </c>
      <c r="G220" s="28">
        <f t="shared" si="7"/>
        <v>5.8389578885814829E-2</v>
      </c>
      <c r="L220" s="28"/>
    </row>
    <row r="221" spans="1:12" x14ac:dyDescent="0.2">
      <c r="A221" s="27">
        <v>16</v>
      </c>
      <c r="B221" s="27">
        <v>1</v>
      </c>
      <c r="C221" s="27"/>
      <c r="D221" s="28">
        <v>16.858974358974358</v>
      </c>
      <c r="E221" s="28">
        <f t="shared" si="6"/>
        <v>0.8589743589743577</v>
      </c>
      <c r="G221" s="28">
        <f t="shared" si="7"/>
        <v>9.1847742433773194E-2</v>
      </c>
      <c r="L221" s="28"/>
    </row>
    <row r="222" spans="1:12" x14ac:dyDescent="0.2">
      <c r="A222" s="27">
        <v>17</v>
      </c>
      <c r="B222" s="27">
        <v>1</v>
      </c>
      <c r="C222" s="27"/>
      <c r="D222" s="28">
        <v>16.858974358974358</v>
      </c>
      <c r="E222" s="28">
        <f t="shared" si="6"/>
        <v>-0.1410256410256423</v>
      </c>
      <c r="G222" s="28">
        <f t="shared" si="7"/>
        <v>9.3686186441259228E-2</v>
      </c>
      <c r="L222" s="28"/>
    </row>
    <row r="223" spans="1:12" x14ac:dyDescent="0.2">
      <c r="A223" s="27">
        <v>35</v>
      </c>
      <c r="B223" s="27">
        <v>1</v>
      </c>
      <c r="C223" s="27"/>
      <c r="D223" s="28">
        <v>16.858974358974358</v>
      </c>
      <c r="E223" s="28">
        <f t="shared" si="6"/>
        <v>-18.141025641025642</v>
      </c>
      <c r="G223" s="28">
        <f t="shared" si="7"/>
        <v>1.0630685082524548E-5</v>
      </c>
      <c r="L223" s="28"/>
    </row>
    <row r="224" spans="1:12" x14ac:dyDescent="0.2">
      <c r="A224" s="27">
        <v>29</v>
      </c>
      <c r="B224" s="27">
        <v>1</v>
      </c>
      <c r="C224" s="27"/>
      <c r="D224" s="28">
        <v>16.858974358974358</v>
      </c>
      <c r="E224" s="28">
        <f t="shared" si="6"/>
        <v>-12.141025641025642</v>
      </c>
      <c r="G224" s="28">
        <f t="shared" si="7"/>
        <v>1.60238186282746E-3</v>
      </c>
      <c r="L224" s="28"/>
    </row>
    <row r="225" spans="1:12" x14ac:dyDescent="0.2">
      <c r="A225" s="27">
        <v>21</v>
      </c>
      <c r="B225" s="27">
        <v>1</v>
      </c>
      <c r="C225" s="27"/>
      <c r="D225" s="28">
        <v>16.858974358974358</v>
      </c>
      <c r="E225" s="28">
        <f t="shared" si="6"/>
        <v>-4.1410256410256423</v>
      </c>
      <c r="G225" s="28">
        <f t="shared" si="7"/>
        <v>5.8389578885814829E-2</v>
      </c>
      <c r="L225" s="28"/>
    </row>
    <row r="226" spans="1:12" x14ac:dyDescent="0.2">
      <c r="A226" s="27">
        <v>19</v>
      </c>
      <c r="B226" s="27">
        <v>1</v>
      </c>
      <c r="C226" s="27"/>
      <c r="D226" s="28">
        <v>16.858974358974358</v>
      </c>
      <c r="E226" s="28">
        <f t="shared" si="6"/>
        <v>-2.1410256410256423</v>
      </c>
      <c r="G226" s="28">
        <f t="shared" si="7"/>
        <v>8.2596026638649928E-2</v>
      </c>
      <c r="L226" s="28"/>
    </row>
    <row r="227" spans="1:12" x14ac:dyDescent="0.2">
      <c r="A227" s="27">
        <v>20</v>
      </c>
      <c r="B227" s="27">
        <v>1</v>
      </c>
      <c r="C227" s="27"/>
      <c r="D227" s="28">
        <v>16.858974358974358</v>
      </c>
      <c r="E227" s="28">
        <f t="shared" si="6"/>
        <v>-3.1410256410256423</v>
      </c>
      <c r="G227" s="28">
        <f t="shared" si="7"/>
        <v>7.138971945227178E-2</v>
      </c>
      <c r="L227" s="28"/>
    </row>
    <row r="228" spans="1:12" x14ac:dyDescent="0.2">
      <c r="A228" s="27">
        <v>20</v>
      </c>
      <c r="B228" s="27">
        <v>1</v>
      </c>
      <c r="C228" s="27"/>
      <c r="D228" s="28">
        <v>16.858974358974358</v>
      </c>
      <c r="E228" s="28">
        <f t="shared" si="6"/>
        <v>-3.1410256410256423</v>
      </c>
      <c r="G228" s="28">
        <f t="shared" si="7"/>
        <v>7.138971945227178E-2</v>
      </c>
      <c r="L228" s="28"/>
    </row>
    <row r="229" spans="1:12" x14ac:dyDescent="0.2">
      <c r="A229" s="27">
        <v>21</v>
      </c>
      <c r="B229" s="27">
        <v>1</v>
      </c>
      <c r="C229" s="27"/>
      <c r="D229" s="28">
        <v>16.858974358974358</v>
      </c>
      <c r="E229" s="28">
        <f t="shared" si="6"/>
        <v>-4.1410256410256423</v>
      </c>
      <c r="G229" s="28">
        <f t="shared" si="7"/>
        <v>5.8389578885814829E-2</v>
      </c>
      <c r="L229" s="28"/>
    </row>
    <row r="230" spans="1:12" x14ac:dyDescent="0.2">
      <c r="A230" s="27">
        <v>18</v>
      </c>
      <c r="B230" s="27">
        <v>1</v>
      </c>
      <c r="C230" s="27"/>
      <c r="D230" s="28">
        <v>16.858974358974358</v>
      </c>
      <c r="E230" s="28">
        <f t="shared" si="6"/>
        <v>-1.1410256410256423</v>
      </c>
      <c r="G230" s="28">
        <f t="shared" si="7"/>
        <v>9.0428595220514676E-2</v>
      </c>
      <c r="L230" s="28"/>
    </row>
    <row r="231" spans="1:12" x14ac:dyDescent="0.2">
      <c r="A231" s="27">
        <v>19</v>
      </c>
      <c r="B231" s="27">
        <v>1</v>
      </c>
      <c r="C231" s="27"/>
      <c r="D231" s="28">
        <v>16.858974358974358</v>
      </c>
      <c r="E231" s="28">
        <f t="shared" si="6"/>
        <v>-2.1410256410256423</v>
      </c>
      <c r="G231" s="28">
        <f t="shared" si="7"/>
        <v>8.2596026638649928E-2</v>
      </c>
      <c r="L231" s="28"/>
    </row>
    <row r="232" spans="1:12" x14ac:dyDescent="0.2">
      <c r="A232" s="27">
        <v>21</v>
      </c>
      <c r="B232" s="27">
        <v>1</v>
      </c>
      <c r="C232" s="27"/>
      <c r="D232" s="28">
        <v>16.858974358974358</v>
      </c>
      <c r="E232" s="28">
        <f t="shared" si="6"/>
        <v>-4.1410256410256423</v>
      </c>
      <c r="G232" s="28">
        <f t="shared" si="7"/>
        <v>5.8389578885814829E-2</v>
      </c>
      <c r="L232" s="28"/>
    </row>
    <row r="233" spans="1:12" x14ac:dyDescent="0.2">
      <c r="A233" s="27">
        <v>16</v>
      </c>
      <c r="B233" s="27">
        <v>1</v>
      </c>
      <c r="C233" s="27"/>
      <c r="D233" s="28">
        <v>16.858974358974358</v>
      </c>
      <c r="E233" s="28">
        <f t="shared" si="6"/>
        <v>0.8589743589743577</v>
      </c>
      <c r="G233" s="28">
        <f t="shared" si="7"/>
        <v>9.1847742433773194E-2</v>
      </c>
      <c r="L233" s="28"/>
    </row>
    <row r="234" spans="1:12" x14ac:dyDescent="0.2">
      <c r="A234" s="27">
        <v>18</v>
      </c>
      <c r="B234" s="27">
        <v>1</v>
      </c>
      <c r="C234" s="27"/>
      <c r="D234" s="28">
        <v>16.858974358974358</v>
      </c>
      <c r="E234" s="28">
        <f t="shared" si="6"/>
        <v>-1.1410256410256423</v>
      </c>
      <c r="G234" s="28">
        <f t="shared" si="7"/>
        <v>9.0428595220514676E-2</v>
      </c>
      <c r="L234" s="28"/>
    </row>
    <row r="235" spans="1:12" x14ac:dyDescent="0.2">
      <c r="A235" s="27">
        <v>17</v>
      </c>
      <c r="B235" s="27">
        <v>1</v>
      </c>
      <c r="C235" s="27"/>
      <c r="D235" s="28">
        <v>16.858974358974358</v>
      </c>
      <c r="E235" s="28">
        <f t="shared" si="6"/>
        <v>-0.1410256410256423</v>
      </c>
      <c r="G235" s="28">
        <f t="shared" si="7"/>
        <v>9.3686186441259228E-2</v>
      </c>
      <c r="L235" s="2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85</v>
      </c>
      <c r="B1" s="27" t="s">
        <v>164</v>
      </c>
      <c r="C1" s="27" t="s">
        <v>86</v>
      </c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  <c r="M1" s="28" t="s">
        <v>178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177</v>
      </c>
      <c r="O2" s="28" t="s">
        <v>170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172</v>
      </c>
      <c r="I4" s="28" t="s">
        <v>173</v>
      </c>
      <c r="L4" s="28"/>
      <c r="M4" s="29" t="s">
        <v>80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81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82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175</v>
      </c>
      <c r="K7" s="28" t="s">
        <v>177</v>
      </c>
      <c r="L7" s="28"/>
      <c r="M7" s="29" t="s">
        <v>86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176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174</v>
      </c>
      <c r="K13" s="28" t="s">
        <v>170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189</v>
      </c>
    </row>
    <row r="4" spans="2:4" x14ac:dyDescent="0.3">
      <c r="B4" s="1" t="s">
        <v>190</v>
      </c>
    </row>
    <row r="5" spans="2:4" x14ac:dyDescent="0.3">
      <c r="B5" s="9" t="s">
        <v>197</v>
      </c>
    </row>
    <row r="6" spans="2:4" x14ac:dyDescent="0.3">
      <c r="B6" s="9"/>
    </row>
    <row r="7" spans="2:4" x14ac:dyDescent="0.3">
      <c r="C7" s="1" t="s">
        <v>195</v>
      </c>
    </row>
    <row r="8" spans="2:4" x14ac:dyDescent="0.3">
      <c r="C8" s="1">
        <v>2.2999999999999998</v>
      </c>
      <c r="D8" s="1" t="s">
        <v>191</v>
      </c>
    </row>
    <row r="9" spans="2:4" x14ac:dyDescent="0.3">
      <c r="C9" s="1">
        <v>3.1</v>
      </c>
      <c r="D9" s="1" t="s">
        <v>192</v>
      </c>
    </row>
    <row r="10" spans="2:4" x14ac:dyDescent="0.3">
      <c r="C10" s="1">
        <v>3.2</v>
      </c>
      <c r="D10" s="1" t="s">
        <v>193</v>
      </c>
    </row>
    <row r="12" spans="2:4" x14ac:dyDescent="0.3">
      <c r="C12" s="1" t="s">
        <v>196</v>
      </c>
    </row>
    <row r="13" spans="2:4" x14ac:dyDescent="0.3">
      <c r="C13" s="1">
        <v>3.5</v>
      </c>
      <c r="D13" s="1" t="s">
        <v>13</v>
      </c>
    </row>
    <row r="14" spans="2:4" x14ac:dyDescent="0.3">
      <c r="C14" s="1">
        <v>2.2000000000000002</v>
      </c>
      <c r="D14" s="1" t="s">
        <v>194</v>
      </c>
    </row>
    <row r="16" spans="2:4" x14ac:dyDescent="0.3">
      <c r="B16" s="1" t="s">
        <v>198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4"/>
  <sheetViews>
    <sheetView workbookViewId="0"/>
  </sheetViews>
  <sheetFormatPr baseColWidth="10" defaultRowHeight="26" x14ac:dyDescent="0.3"/>
  <cols>
    <col min="1" max="2" width="10.83203125" style="1"/>
    <col min="3" max="3" width="17.33203125" style="1" bestFit="1" customWidth="1"/>
    <col min="4" max="16384" width="10.83203125" style="1"/>
  </cols>
  <sheetData>
    <row r="2" spans="2:4" x14ac:dyDescent="0.3">
      <c r="C2" s="1" t="s">
        <v>201</v>
      </c>
      <c r="D2" s="1" t="s">
        <v>202</v>
      </c>
    </row>
    <row r="3" spans="2:4" x14ac:dyDescent="0.3">
      <c r="B3" s="1">
        <v>1</v>
      </c>
      <c r="C3" s="1" t="s">
        <v>200</v>
      </c>
      <c r="D3" s="1">
        <v>15</v>
      </c>
    </row>
    <row r="4" spans="2:4" x14ac:dyDescent="0.3">
      <c r="B4" s="1">
        <v>2</v>
      </c>
      <c r="C4" s="1" t="s">
        <v>27</v>
      </c>
      <c r="D4" s="1">
        <v>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H85"/>
  <sheetViews>
    <sheetView workbookViewId="0">
      <selection activeCell="D86" sqref="D86"/>
    </sheetView>
  </sheetViews>
  <sheetFormatPr baseColWidth="10" defaultRowHeight="26" x14ac:dyDescent="0.3"/>
  <cols>
    <col min="1" max="16384" width="10.83203125" style="1"/>
  </cols>
  <sheetData>
    <row r="2" spans="1:7" x14ac:dyDescent="0.3">
      <c r="A2" s="1">
        <v>1</v>
      </c>
      <c r="B2" s="1" t="s">
        <v>254</v>
      </c>
    </row>
    <row r="3" spans="1:7" s="33" customFormat="1" x14ac:dyDescent="0.3">
      <c r="A3" s="1"/>
    </row>
    <row r="4" spans="1:7" x14ac:dyDescent="0.3">
      <c r="A4" s="1">
        <v>2</v>
      </c>
      <c r="B4" s="1" t="s">
        <v>255</v>
      </c>
    </row>
    <row r="5" spans="1:7" s="33" customFormat="1" x14ac:dyDescent="0.3">
      <c r="A5" s="1"/>
    </row>
    <row r="6" spans="1:7" x14ac:dyDescent="0.3">
      <c r="A6" s="1">
        <v>3</v>
      </c>
      <c r="B6" s="1" t="s">
        <v>256</v>
      </c>
    </row>
    <row r="7" spans="1:7" s="33" customFormat="1" x14ac:dyDescent="0.3">
      <c r="A7" s="1"/>
    </row>
    <row r="8" spans="1:7" s="33" customFormat="1" x14ac:dyDescent="0.3">
      <c r="A8" s="1"/>
    </row>
    <row r="9" spans="1:7" s="33" customFormat="1" x14ac:dyDescent="0.3">
      <c r="A9" s="1"/>
    </row>
    <row r="10" spans="1:7" s="33" customFormat="1" x14ac:dyDescent="0.3">
      <c r="A10" s="1"/>
    </row>
    <row r="11" spans="1:7" x14ac:dyDescent="0.3">
      <c r="A11" s="1">
        <v>4</v>
      </c>
      <c r="B11" s="1" t="s">
        <v>259</v>
      </c>
    </row>
    <row r="12" spans="1:7" x14ac:dyDescent="0.3">
      <c r="B12" s="1" t="s">
        <v>261</v>
      </c>
    </row>
    <row r="13" spans="1:7" x14ac:dyDescent="0.3">
      <c r="B13" s="1" t="s">
        <v>263</v>
      </c>
    </row>
    <row r="15" spans="1:7" x14ac:dyDescent="0.3">
      <c r="F15" s="34" t="s">
        <v>258</v>
      </c>
      <c r="G15" s="35" t="s">
        <v>260</v>
      </c>
    </row>
    <row r="16" spans="1:7" x14ac:dyDescent="0.3">
      <c r="C16" s="16" t="s">
        <v>62</v>
      </c>
      <c r="D16" s="16" t="s">
        <v>257</v>
      </c>
      <c r="E16" s="16" t="s">
        <v>165</v>
      </c>
      <c r="F16" s="33"/>
      <c r="G16" s="33"/>
    </row>
    <row r="17" spans="1:7" x14ac:dyDescent="0.3">
      <c r="B17" s="1">
        <v>1</v>
      </c>
      <c r="C17" s="1">
        <v>0.89200169797861084</v>
      </c>
      <c r="D17" s="1">
        <v>1.8756032795813788</v>
      </c>
      <c r="E17" s="1">
        <f t="shared" ref="E17:E26" si="0">C17*$F$16</f>
        <v>0</v>
      </c>
    </row>
    <row r="18" spans="1:7" x14ac:dyDescent="0.3">
      <c r="B18" s="1">
        <v>2</v>
      </c>
      <c r="C18" s="1">
        <v>0.66188323179723396</v>
      </c>
      <c r="D18" s="1">
        <v>1.4293149083346399</v>
      </c>
      <c r="E18" s="1">
        <f t="shared" si="0"/>
        <v>0</v>
      </c>
    </row>
    <row r="19" spans="1:7" x14ac:dyDescent="0.3">
      <c r="B19" s="1">
        <v>3</v>
      </c>
      <c r="C19" s="1">
        <v>0.92794992533173681</v>
      </c>
      <c r="D19" s="1">
        <v>1.9149769174062616</v>
      </c>
      <c r="E19" s="1">
        <f t="shared" si="0"/>
        <v>0</v>
      </c>
    </row>
    <row r="20" spans="1:7" x14ac:dyDescent="0.3">
      <c r="B20" s="1">
        <v>4</v>
      </c>
      <c r="C20" s="1">
        <v>0.40678056346451918</v>
      </c>
      <c r="D20" s="1">
        <v>0.91196194343960724</v>
      </c>
      <c r="E20" s="1">
        <f t="shared" si="0"/>
        <v>0</v>
      </c>
    </row>
    <row r="21" spans="1:7" x14ac:dyDescent="0.3">
      <c r="B21" s="1">
        <v>5</v>
      </c>
      <c r="C21" s="1">
        <v>4.0746829849272026E-2</v>
      </c>
      <c r="D21" s="1">
        <v>0.11850656780238597</v>
      </c>
      <c r="E21" s="1">
        <f t="shared" si="0"/>
        <v>0</v>
      </c>
    </row>
    <row r="22" spans="1:7" x14ac:dyDescent="0.3">
      <c r="B22" s="1">
        <v>6</v>
      </c>
      <c r="C22" s="1">
        <v>0.94652673183458691</v>
      </c>
      <c r="D22" s="1">
        <v>1.8971366325244992</v>
      </c>
      <c r="E22" s="1">
        <f t="shared" si="0"/>
        <v>0</v>
      </c>
    </row>
    <row r="23" spans="1:7" x14ac:dyDescent="0.3">
      <c r="B23" s="1">
        <v>7</v>
      </c>
      <c r="C23" s="1">
        <v>6.8775955648514686E-2</v>
      </c>
      <c r="D23" s="1">
        <v>0.19583912723660829</v>
      </c>
      <c r="E23" s="1">
        <f t="shared" si="0"/>
        <v>0</v>
      </c>
    </row>
    <row r="24" spans="1:7" x14ac:dyDescent="0.3">
      <c r="B24" s="1">
        <v>8</v>
      </c>
      <c r="C24" s="1">
        <v>0.24587172707263827</v>
      </c>
      <c r="D24" s="1">
        <v>0.55325538652845252</v>
      </c>
      <c r="E24" s="1">
        <f t="shared" si="0"/>
        <v>0</v>
      </c>
    </row>
    <row r="25" spans="1:7" x14ac:dyDescent="0.3">
      <c r="B25" s="1">
        <v>9</v>
      </c>
      <c r="C25" s="1">
        <v>0.55088436380301831</v>
      </c>
      <c r="D25" s="1">
        <v>1.1949311046305438</v>
      </c>
      <c r="E25" s="1">
        <f t="shared" si="0"/>
        <v>0</v>
      </c>
    </row>
    <row r="26" spans="1:7" x14ac:dyDescent="0.3">
      <c r="B26" s="1">
        <v>10</v>
      </c>
      <c r="C26" s="1">
        <v>0.60632794581155802</v>
      </c>
      <c r="D26" s="1">
        <v>1.2409861517873062</v>
      </c>
      <c r="E26" s="1">
        <f t="shared" si="0"/>
        <v>0</v>
      </c>
    </row>
    <row r="28" spans="1:7" x14ac:dyDescent="0.3">
      <c r="A28" s="1">
        <v>5</v>
      </c>
      <c r="B28" s="1" t="s">
        <v>262</v>
      </c>
    </row>
    <row r="29" spans="1:7" x14ac:dyDescent="0.3">
      <c r="B29" s="1" t="s">
        <v>261</v>
      </c>
    </row>
    <row r="30" spans="1:7" x14ac:dyDescent="0.3">
      <c r="B30" s="1" t="s">
        <v>263</v>
      </c>
    </row>
    <row r="32" spans="1:7" x14ac:dyDescent="0.3">
      <c r="F32" s="34" t="s">
        <v>258</v>
      </c>
      <c r="G32" s="35" t="s">
        <v>260</v>
      </c>
    </row>
    <row r="33" spans="1:7" x14ac:dyDescent="0.3">
      <c r="C33" s="16" t="s">
        <v>62</v>
      </c>
      <c r="D33" s="16" t="s">
        <v>257</v>
      </c>
      <c r="E33" s="16" t="s">
        <v>165</v>
      </c>
      <c r="F33" s="33"/>
      <c r="G33" s="33"/>
    </row>
    <row r="34" spans="1:7" x14ac:dyDescent="0.3">
      <c r="B34" s="1">
        <v>1</v>
      </c>
      <c r="C34" s="1">
        <v>0.89200169797861084</v>
      </c>
      <c r="D34" s="1">
        <v>1.8756032795813788</v>
      </c>
      <c r="E34" s="1">
        <f>C34*$F$33</f>
        <v>0</v>
      </c>
    </row>
    <row r="35" spans="1:7" x14ac:dyDescent="0.3">
      <c r="B35" s="1">
        <v>2</v>
      </c>
      <c r="C35" s="1">
        <v>0.66188323179723396</v>
      </c>
      <c r="D35" s="1">
        <v>1.4293149083346399</v>
      </c>
      <c r="E35" s="1">
        <f t="shared" ref="E35:E43" si="1">C35*$F$33</f>
        <v>0</v>
      </c>
    </row>
    <row r="36" spans="1:7" x14ac:dyDescent="0.3">
      <c r="B36" s="1">
        <v>3</v>
      </c>
      <c r="C36" s="1">
        <v>0.92794992533173681</v>
      </c>
      <c r="D36" s="1">
        <v>1.9149769174062616</v>
      </c>
      <c r="E36" s="1">
        <f t="shared" si="1"/>
        <v>0</v>
      </c>
    </row>
    <row r="37" spans="1:7" x14ac:dyDescent="0.3">
      <c r="B37" s="1">
        <v>4</v>
      </c>
      <c r="C37" s="1">
        <v>0.40678056346451918</v>
      </c>
      <c r="D37" s="1">
        <v>0.91196194343960724</v>
      </c>
      <c r="E37" s="1">
        <f t="shared" si="1"/>
        <v>0</v>
      </c>
    </row>
    <row r="38" spans="1:7" x14ac:dyDescent="0.3">
      <c r="B38" s="1">
        <v>5</v>
      </c>
      <c r="C38" s="1">
        <v>4.0746829849272026E-2</v>
      </c>
      <c r="D38" s="1">
        <v>0.11850656780238597</v>
      </c>
      <c r="E38" s="1">
        <f t="shared" si="1"/>
        <v>0</v>
      </c>
    </row>
    <row r="39" spans="1:7" x14ac:dyDescent="0.3">
      <c r="B39" s="1">
        <v>6</v>
      </c>
      <c r="C39" s="1">
        <v>0.94652673183458691</v>
      </c>
      <c r="D39" s="1">
        <v>1.8971366325244992</v>
      </c>
      <c r="E39" s="1">
        <f t="shared" si="1"/>
        <v>0</v>
      </c>
    </row>
    <row r="40" spans="1:7" x14ac:dyDescent="0.3">
      <c r="B40" s="1">
        <v>7</v>
      </c>
      <c r="C40" s="1">
        <v>6.8775955648514686E-2</v>
      </c>
      <c r="D40" s="1">
        <v>0.19583912723660829</v>
      </c>
      <c r="E40" s="1">
        <f t="shared" si="1"/>
        <v>0</v>
      </c>
    </row>
    <row r="41" spans="1:7" x14ac:dyDescent="0.3">
      <c r="B41" s="1">
        <v>8</v>
      </c>
      <c r="C41" s="1">
        <v>0.24587172707263827</v>
      </c>
      <c r="D41" s="1">
        <v>0.55325538652845252</v>
      </c>
      <c r="E41" s="1">
        <f t="shared" si="1"/>
        <v>0</v>
      </c>
    </row>
    <row r="42" spans="1:7" x14ac:dyDescent="0.3">
      <c r="B42" s="1">
        <v>9</v>
      </c>
      <c r="C42" s="1">
        <v>0.55088436380301831</v>
      </c>
      <c r="D42" s="1">
        <v>1.1949311046305438</v>
      </c>
      <c r="E42" s="1">
        <f t="shared" si="1"/>
        <v>0</v>
      </c>
    </row>
    <row r="43" spans="1:7" x14ac:dyDescent="0.3">
      <c r="B43" s="1">
        <v>10</v>
      </c>
      <c r="C43" s="1">
        <v>0.60632794581155802</v>
      </c>
      <c r="D43" s="1">
        <v>1.2409861517873062</v>
      </c>
      <c r="E43" s="1">
        <f t="shared" si="1"/>
        <v>0</v>
      </c>
    </row>
    <row r="45" spans="1:7" x14ac:dyDescent="0.3">
      <c r="A45" s="1">
        <v>6</v>
      </c>
      <c r="B45" s="1" t="s">
        <v>264</v>
      </c>
    </row>
    <row r="48" spans="1:7" x14ac:dyDescent="0.3">
      <c r="C48" s="16" t="s">
        <v>62</v>
      </c>
      <c r="D48" s="16" t="s">
        <v>257</v>
      </c>
      <c r="E48" s="16" t="s">
        <v>165</v>
      </c>
    </row>
    <row r="49" spans="1:8" x14ac:dyDescent="0.3">
      <c r="B49" s="1">
        <v>1</v>
      </c>
      <c r="C49" s="1">
        <v>0.77966107176388966</v>
      </c>
      <c r="D49" s="1">
        <v>-2.6226882231376059</v>
      </c>
      <c r="E49" s="1">
        <v>1.5593221435277793</v>
      </c>
      <c r="G49" s="1" t="s">
        <v>267</v>
      </c>
      <c r="H49" s="33"/>
    </row>
    <row r="50" spans="1:8" x14ac:dyDescent="0.3">
      <c r="B50" s="1">
        <v>2</v>
      </c>
      <c r="C50" s="1">
        <v>0.34838911887807944</v>
      </c>
      <c r="D50" s="1">
        <v>-1.2531125867605311</v>
      </c>
      <c r="E50" s="1">
        <v>0.69677823775615888</v>
      </c>
      <c r="G50" s="1" t="s">
        <v>265</v>
      </c>
      <c r="H50" s="33"/>
    </row>
    <row r="51" spans="1:8" x14ac:dyDescent="0.3">
      <c r="B51" s="1">
        <v>3</v>
      </c>
      <c r="C51" s="1">
        <v>0.31987505272076322</v>
      </c>
      <c r="D51" s="1">
        <v>-0.84786163722545016</v>
      </c>
      <c r="E51" s="1">
        <v>0.63975010544152644</v>
      </c>
      <c r="G51" s="1" t="s">
        <v>266</v>
      </c>
      <c r="H51" s="33"/>
    </row>
    <row r="52" spans="1:8" x14ac:dyDescent="0.3">
      <c r="B52" s="1">
        <v>4</v>
      </c>
      <c r="C52" s="1">
        <v>0.24433998622625575</v>
      </c>
      <c r="D52" s="1">
        <v>-0.22571559585163514</v>
      </c>
      <c r="E52" s="1">
        <v>0.48867997245251149</v>
      </c>
      <c r="G52" s="1" t="s">
        <v>268</v>
      </c>
      <c r="H52" s="33"/>
    </row>
    <row r="53" spans="1:8" x14ac:dyDescent="0.3">
      <c r="B53" s="1">
        <v>5</v>
      </c>
      <c r="C53" s="1">
        <v>0.24299505367770724</v>
      </c>
      <c r="D53" s="1">
        <v>6.3978469965368268E-2</v>
      </c>
      <c r="E53" s="1">
        <v>0.48599010735541448</v>
      </c>
      <c r="G53" s="1" t="s">
        <v>269</v>
      </c>
      <c r="H53" s="33"/>
    </row>
    <row r="54" spans="1:8" x14ac:dyDescent="0.3">
      <c r="B54" s="1">
        <v>6</v>
      </c>
      <c r="C54" s="1">
        <v>0.20549390982641891</v>
      </c>
      <c r="D54" s="1">
        <v>0.71185210271776989</v>
      </c>
      <c r="E54" s="1">
        <v>0.41098781965283782</v>
      </c>
    </row>
    <row r="55" spans="1:8" x14ac:dyDescent="0.3">
      <c r="B55" s="1">
        <v>7</v>
      </c>
      <c r="C55" s="1">
        <v>0.43167789584054517</v>
      </c>
      <c r="D55" s="1">
        <v>2.1024845171829449</v>
      </c>
      <c r="E55" s="1">
        <v>0.86335579168109033</v>
      </c>
    </row>
    <row r="56" spans="1:8" x14ac:dyDescent="0.3">
      <c r="B56" s="1">
        <v>8</v>
      </c>
      <c r="C56" s="1">
        <v>0.50903180139926218</v>
      </c>
      <c r="D56" s="1">
        <v>2.8024186165210052</v>
      </c>
      <c r="E56" s="1">
        <v>1.0180636027985244</v>
      </c>
    </row>
    <row r="57" spans="1:8" x14ac:dyDescent="0.3">
      <c r="B57" s="1">
        <v>9</v>
      </c>
      <c r="C57" s="1">
        <v>0.58780761410512594</v>
      </c>
      <c r="D57" s="1">
        <v>3.0461885092836889</v>
      </c>
      <c r="E57" s="1">
        <v>1.1756152282102519</v>
      </c>
    </row>
    <row r="58" spans="1:8" x14ac:dyDescent="0.3">
      <c r="B58" s="1">
        <v>10</v>
      </c>
      <c r="C58" s="1">
        <v>0.33707733593005373</v>
      </c>
      <c r="D58" s="1">
        <v>3.0737988224863839</v>
      </c>
      <c r="E58" s="1">
        <v>0.67415467186010747</v>
      </c>
    </row>
    <row r="60" spans="1:8" x14ac:dyDescent="0.3">
      <c r="A60" s="1">
        <v>7</v>
      </c>
      <c r="B60" s="1" t="s">
        <v>271</v>
      </c>
    </row>
    <row r="61" spans="1:8" x14ac:dyDescent="0.3">
      <c r="B61" s="1" t="s">
        <v>272</v>
      </c>
    </row>
    <row r="62" spans="1:8" x14ac:dyDescent="0.3">
      <c r="B62" s="1" t="s">
        <v>273</v>
      </c>
    </row>
    <row r="63" spans="1:8" x14ac:dyDescent="0.3">
      <c r="B63" s="1" t="s">
        <v>274</v>
      </c>
    </row>
    <row r="64" spans="1:8" x14ac:dyDescent="0.3">
      <c r="B64" s="1" t="s">
        <v>275</v>
      </c>
    </row>
    <row r="65" spans="1:2" x14ac:dyDescent="0.3">
      <c r="B65" s="33"/>
    </row>
    <row r="67" spans="1:2" x14ac:dyDescent="0.3">
      <c r="A67" s="1">
        <v>8</v>
      </c>
      <c r="B67" s="1" t="s">
        <v>271</v>
      </c>
    </row>
    <row r="68" spans="1:2" x14ac:dyDescent="0.3">
      <c r="B68" s="1" t="s">
        <v>272</v>
      </c>
    </row>
    <row r="69" spans="1:2" x14ac:dyDescent="0.3">
      <c r="B69" s="1" t="s">
        <v>273</v>
      </c>
    </row>
    <row r="70" spans="1:2" x14ac:dyDescent="0.3">
      <c r="B70" s="1" t="s">
        <v>276</v>
      </c>
    </row>
    <row r="71" spans="1:2" x14ac:dyDescent="0.3">
      <c r="B71" s="1" t="s">
        <v>275</v>
      </c>
    </row>
    <row r="72" spans="1:2" x14ac:dyDescent="0.3">
      <c r="B72" s="33"/>
    </row>
    <row r="74" spans="1:2" x14ac:dyDescent="0.3">
      <c r="A74" s="1">
        <v>9</v>
      </c>
      <c r="B74" s="1" t="s">
        <v>271</v>
      </c>
    </row>
    <row r="75" spans="1:2" x14ac:dyDescent="0.3">
      <c r="B75" s="1" t="s">
        <v>272</v>
      </c>
    </row>
    <row r="76" spans="1:2" x14ac:dyDescent="0.3">
      <c r="B76" s="1" t="s">
        <v>273</v>
      </c>
    </row>
    <row r="77" spans="1:2" x14ac:dyDescent="0.3">
      <c r="B77" s="1" t="s">
        <v>277</v>
      </c>
    </row>
    <row r="78" spans="1:2" x14ac:dyDescent="0.3">
      <c r="B78" s="1" t="s">
        <v>275</v>
      </c>
    </row>
    <row r="79" spans="1:2" x14ac:dyDescent="0.3">
      <c r="B79" s="33"/>
    </row>
    <row r="81" spans="1:2" x14ac:dyDescent="0.3">
      <c r="A81" s="1">
        <v>10</v>
      </c>
      <c r="B81" s="1" t="s">
        <v>278</v>
      </c>
    </row>
    <row r="82" spans="1:2" s="33" customFormat="1" x14ac:dyDescent="0.3">
      <c r="A82" s="1"/>
    </row>
    <row r="83" spans="1:2" s="33" customFormat="1" x14ac:dyDescent="0.3">
      <c r="A83" s="1"/>
    </row>
    <row r="84" spans="1:2" s="33" customFormat="1" x14ac:dyDescent="0.3">
      <c r="A84" s="1"/>
    </row>
    <row r="85" spans="1:2" s="33" customFormat="1" x14ac:dyDescent="0.3">
      <c r="A85" s="1"/>
    </row>
  </sheetData>
  <scenarios current="0">
    <scenario name="scen1" count="1" user="David Romoff" comment="Created by David Romoff on 5/20/2022">
      <inputCells r="F16" val="2.08716107127897"/>
    </scenario>
  </scenarios>
  <sortState xmlns:xlrd2="http://schemas.microsoft.com/office/spreadsheetml/2017/richdata2" ref="C49:E58">
    <sortCondition ref="D49:D58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1"/>
  <sheetViews>
    <sheetView workbookViewId="0">
      <selection activeCell="B11" sqref="B11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10</v>
      </c>
    </row>
    <row r="3" spans="1:3" x14ac:dyDescent="0.3">
      <c r="C3" s="1" t="s">
        <v>240</v>
      </c>
    </row>
    <row r="4" spans="1:3" x14ac:dyDescent="0.3">
      <c r="B4" s="1" t="s">
        <v>183</v>
      </c>
    </row>
    <row r="5" spans="1:3" x14ac:dyDescent="0.3">
      <c r="B5" s="1" t="s">
        <v>7</v>
      </c>
    </row>
    <row r="6" spans="1:3" x14ac:dyDescent="0.3">
      <c r="B6" s="1" t="s">
        <v>8</v>
      </c>
    </row>
    <row r="7" spans="1:3" x14ac:dyDescent="0.3">
      <c r="B7" s="1" t="s">
        <v>9</v>
      </c>
    </row>
    <row r="8" spans="1:3" x14ac:dyDescent="0.3">
      <c r="B8" s="1" t="s">
        <v>241</v>
      </c>
    </row>
    <row r="9" spans="1:3" x14ac:dyDescent="0.3">
      <c r="A9" s="1">
        <v>1</v>
      </c>
      <c r="B9" s="1" t="s">
        <v>11</v>
      </c>
    </row>
    <row r="10" spans="1:3" x14ac:dyDescent="0.3">
      <c r="A10" s="1">
        <v>2</v>
      </c>
      <c r="B10" s="1" t="s">
        <v>270</v>
      </c>
    </row>
    <row r="11" spans="1:3" x14ac:dyDescent="0.3">
      <c r="A11" s="1">
        <v>3</v>
      </c>
      <c r="B11" s="1" t="s">
        <v>12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24</v>
      </c>
    </row>
    <row r="3" spans="2:5" x14ac:dyDescent="0.25">
      <c r="B3" s="9" t="s">
        <v>28</v>
      </c>
      <c r="C3" s="9"/>
    </row>
    <row r="4" spans="2:5" x14ac:dyDescent="0.25">
      <c r="B4" s="8" t="s">
        <v>25</v>
      </c>
    </row>
    <row r="5" spans="2:5" x14ac:dyDescent="0.25">
      <c r="B5" s="8" t="s">
        <v>29</v>
      </c>
    </row>
    <row r="7" spans="2:5" x14ac:dyDescent="0.25">
      <c r="B7" s="11" t="s">
        <v>20</v>
      </c>
      <c r="C7" s="11" t="s">
        <v>21</v>
      </c>
      <c r="E7" s="11" t="s">
        <v>24</v>
      </c>
    </row>
    <row r="8" spans="2:5" x14ac:dyDescent="0.25">
      <c r="B8" s="8" t="s">
        <v>30</v>
      </c>
      <c r="C8" s="8" t="s">
        <v>31</v>
      </c>
      <c r="E8" s="12"/>
    </row>
    <row r="9" spans="2:5" x14ac:dyDescent="0.25">
      <c r="B9" s="8" t="s">
        <v>31</v>
      </c>
      <c r="C9" s="8" t="s">
        <v>30</v>
      </c>
    </row>
    <row r="10" spans="2:5" x14ac:dyDescent="0.25">
      <c r="B10" s="8" t="s">
        <v>30</v>
      </c>
      <c r="C10" s="8" t="s">
        <v>31</v>
      </c>
    </row>
    <row r="11" spans="2:5" x14ac:dyDescent="0.25">
      <c r="B11" s="8" t="s">
        <v>30</v>
      </c>
      <c r="C11" s="8" t="s">
        <v>30</v>
      </c>
    </row>
    <row r="12" spans="2:5" x14ac:dyDescent="0.25">
      <c r="B12" s="8" t="s">
        <v>31</v>
      </c>
      <c r="C12" s="8" t="s">
        <v>31</v>
      </c>
    </row>
    <row r="13" spans="2:5" x14ac:dyDescent="0.25">
      <c r="B13" s="8" t="s">
        <v>31</v>
      </c>
      <c r="C13" s="8" t="s">
        <v>30</v>
      </c>
    </row>
    <row r="14" spans="2:5" x14ac:dyDescent="0.25">
      <c r="B14" s="8" t="s">
        <v>30</v>
      </c>
      <c r="C14" s="8" t="s">
        <v>30</v>
      </c>
    </row>
    <row r="15" spans="2:5" x14ac:dyDescent="0.25">
      <c r="B15" s="8" t="s">
        <v>31</v>
      </c>
      <c r="C15" s="8" t="s">
        <v>30</v>
      </c>
    </row>
    <row r="16" spans="2:5" x14ac:dyDescent="0.25">
      <c r="B16" s="8" t="s">
        <v>30</v>
      </c>
      <c r="C16" s="8" t="s">
        <v>31</v>
      </c>
    </row>
    <row r="17" spans="2:4" x14ac:dyDescent="0.25">
      <c r="B17" s="8" t="s">
        <v>31</v>
      </c>
      <c r="C17" s="8" t="s">
        <v>31</v>
      </c>
    </row>
    <row r="18" spans="2:4" x14ac:dyDescent="0.25">
      <c r="B18" s="8" t="s">
        <v>30</v>
      </c>
      <c r="C18" s="8" t="s">
        <v>30</v>
      </c>
      <c r="D18" s="8" t="s">
        <v>32</v>
      </c>
    </row>
    <row r="19" spans="2:4" x14ac:dyDescent="0.25">
      <c r="B19" s="8" t="s">
        <v>31</v>
      </c>
      <c r="C19" s="8" t="s">
        <v>31</v>
      </c>
    </row>
    <row r="20" spans="2:4" x14ac:dyDescent="0.25">
      <c r="B20" s="8" t="s">
        <v>30</v>
      </c>
      <c r="C20" s="8" t="s">
        <v>30</v>
      </c>
    </row>
    <row r="21" spans="2:4" x14ac:dyDescent="0.25">
      <c r="B21" s="8" t="s">
        <v>31</v>
      </c>
      <c r="C21" s="8" t="s">
        <v>31</v>
      </c>
    </row>
    <row r="22" spans="2:4" x14ac:dyDescent="0.25">
      <c r="B22" s="8" t="s">
        <v>31</v>
      </c>
      <c r="C22" s="8" t="s">
        <v>30</v>
      </c>
    </row>
    <row r="23" spans="2:4" x14ac:dyDescent="0.25">
      <c r="B23" s="8" t="s">
        <v>31</v>
      </c>
      <c r="C23" s="8" t="s">
        <v>30</v>
      </c>
    </row>
    <row r="24" spans="2:4" x14ac:dyDescent="0.25">
      <c r="B24" s="8" t="s">
        <v>30</v>
      </c>
      <c r="C24" s="8" t="s">
        <v>31</v>
      </c>
    </row>
    <row r="25" spans="2:4" x14ac:dyDescent="0.25">
      <c r="B25" s="8" t="s">
        <v>31</v>
      </c>
      <c r="C25" s="8" t="s">
        <v>31</v>
      </c>
    </row>
    <row r="26" spans="2:4" x14ac:dyDescent="0.25">
      <c r="B26" s="8" t="s">
        <v>30</v>
      </c>
      <c r="C26" s="8" t="s">
        <v>30</v>
      </c>
    </row>
    <row r="27" spans="2:4" x14ac:dyDescent="0.25">
      <c r="B27" s="8" t="s">
        <v>31</v>
      </c>
      <c r="C27" s="8" t="s">
        <v>31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10</v>
      </c>
    </row>
    <row r="3" spans="1:2" x14ac:dyDescent="0.3">
      <c r="B3" s="1" t="s">
        <v>184</v>
      </c>
    </row>
    <row r="4" spans="1:2" x14ac:dyDescent="0.3">
      <c r="B4" s="1" t="s">
        <v>185</v>
      </c>
    </row>
    <row r="5" spans="1:2" x14ac:dyDescent="0.3">
      <c r="B5" s="1" t="s">
        <v>241</v>
      </c>
    </row>
    <row r="6" spans="1:2" x14ac:dyDescent="0.3">
      <c r="A6" s="31">
        <v>1</v>
      </c>
      <c r="B6" s="31" t="s">
        <v>11</v>
      </c>
    </row>
    <row r="7" spans="1:2" x14ac:dyDescent="0.3">
      <c r="A7" s="31">
        <v>2</v>
      </c>
      <c r="B7" s="31" t="s">
        <v>186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213</v>
      </c>
      <c r="B1" t="s">
        <v>212</v>
      </c>
      <c r="C1" t="s">
        <v>211</v>
      </c>
      <c r="D1" t="s">
        <v>210</v>
      </c>
      <c r="E1" t="s">
        <v>209</v>
      </c>
      <c r="F1" t="s">
        <v>208</v>
      </c>
      <c r="G1" t="s">
        <v>207</v>
      </c>
    </row>
    <row r="2" spans="1:7" x14ac:dyDescent="0.2">
      <c r="A2">
        <v>12500</v>
      </c>
      <c r="B2">
        <v>0.17269999999999999</v>
      </c>
      <c r="C2" t="s">
        <v>203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203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205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203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203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205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205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203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203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203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203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205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203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205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203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203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203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205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203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203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203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203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205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205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204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204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203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203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203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203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203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205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203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203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203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203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203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205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203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203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204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203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203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204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203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203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205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204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203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203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204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203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205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204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203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205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205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205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205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205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203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204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205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203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203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203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205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205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203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205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205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203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203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203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203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205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203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205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204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203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204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205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203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203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203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203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203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205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205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203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203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203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203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205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203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203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204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205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203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203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203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203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204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205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203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203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203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203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203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203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203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203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203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203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203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203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203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203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205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204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203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205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203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203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203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205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204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203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203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203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205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205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203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205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203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205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205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205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205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203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203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203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205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205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205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205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205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203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203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204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205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205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205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205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203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205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205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203</v>
      </c>
      <c r="D159" s="32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205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205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205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205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204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205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205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203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203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205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205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205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205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203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205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205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205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203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203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203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205</v>
      </c>
      <c r="D180" s="32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205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203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203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205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205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203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205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205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203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203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205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204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205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204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203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204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205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205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205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203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203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204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204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203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205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205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203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203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203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203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205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205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205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204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205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203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205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205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205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203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205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203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205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205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205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205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205</v>
      </c>
      <c r="D227" s="32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205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205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204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203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205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205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204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205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204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205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203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205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203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205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203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205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205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203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205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203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203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203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205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205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203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205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205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205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205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205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205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205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205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203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203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203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205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205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203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205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203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205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203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205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204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203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205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205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205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205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205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205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204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203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205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205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203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203</v>
      </c>
      <c r="D285" s="32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203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204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203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205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205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203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203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205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205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203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205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205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203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203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204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203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203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205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205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203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205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205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203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205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203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203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205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205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203</v>
      </c>
      <c r="D314" s="32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204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205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203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205</v>
      </c>
      <c r="D318" s="32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203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205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203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205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205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205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203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203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205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205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205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205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203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203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203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203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205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205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205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205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203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205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205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205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205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205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203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205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203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205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203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205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205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203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205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205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205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205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203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205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205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203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203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205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205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205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205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203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203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205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205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205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203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205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205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203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203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205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205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205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205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203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203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205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205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205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203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204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203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205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205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203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205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205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205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203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205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203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204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203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205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205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204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205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203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205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205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204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205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203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203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203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205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204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203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205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203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205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203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205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205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205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205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205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203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205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205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205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203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203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205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203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205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203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205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205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203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203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203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203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205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203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205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205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205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203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203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205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203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203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203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203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205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203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203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205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205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203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205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205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205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203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205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203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205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203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205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203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205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205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203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205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203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205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205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205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205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205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204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205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204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205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203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205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205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203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204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205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205</v>
      </c>
      <c r="D487" s="32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203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204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203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205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203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203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205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205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205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205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205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205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203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205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205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205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203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203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205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205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205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205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203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203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205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203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203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203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205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203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203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205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205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203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205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204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205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205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203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203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205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203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203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205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203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203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203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205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205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205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205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205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203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205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205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205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203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204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205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205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203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203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205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203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205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205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203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203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205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205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205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204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203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205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203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203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205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203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203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203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203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205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205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203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203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203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204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203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205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203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205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205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205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203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203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204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205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203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204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203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203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203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205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203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205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205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204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203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205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203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203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205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205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203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205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203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203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203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203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205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203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203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205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203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205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203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203</v>
      </c>
      <c r="D614" s="32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205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205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203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203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205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203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203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203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204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205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203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203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205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205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203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203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205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205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203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205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203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204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204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203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204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203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205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203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203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205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203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203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203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203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204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205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205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203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203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205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203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205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205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205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203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205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205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205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203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205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205</v>
      </c>
      <c r="D665" s="32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205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204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205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205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203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203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205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205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205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205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203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203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205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205</v>
      </c>
      <c r="D679" s="32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204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203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205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205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203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204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204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203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203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205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205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204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203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204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205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203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205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204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203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204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204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205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205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203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205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205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203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205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205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203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205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205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203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204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203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203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203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205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203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205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205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204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205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203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205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203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205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205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205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205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203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203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203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205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203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203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204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203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205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205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205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204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203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205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205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203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203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203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203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203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205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205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203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203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203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204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204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205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205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203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203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204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203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204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203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204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205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203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203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203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203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203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203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205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205</v>
      </c>
      <c r="D774" s="32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205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203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203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205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205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203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203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203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203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203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205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203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205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203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203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205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204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203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203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203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205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203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205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205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203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205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205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203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203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205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203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203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203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205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203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205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203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205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204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203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205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203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204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205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203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205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204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204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205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205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203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203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205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203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203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203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203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203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203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205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205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205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203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204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205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203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205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203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203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204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205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205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205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203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205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203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203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205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205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203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205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203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205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205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203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203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203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203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205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203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205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205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205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205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203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204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203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205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203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203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203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205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203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203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203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203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205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205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205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205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203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203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205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205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205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203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205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205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203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203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203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203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205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205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203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205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205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205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204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205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203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205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204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205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203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203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205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205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205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205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205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204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203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205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203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203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204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203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203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204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203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205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203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203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205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203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204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203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204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203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203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205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205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203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203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205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205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203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205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205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205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205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205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203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203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203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205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203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203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203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203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203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204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205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205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205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205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205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203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203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203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205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205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203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203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203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205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205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203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203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205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203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205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204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205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203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205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205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203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205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203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203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203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205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205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204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203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203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203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203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205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203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205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203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205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205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203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205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205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205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203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205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203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203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203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205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204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205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205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203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203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205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203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203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205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205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203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205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203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205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205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205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203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203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205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205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203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205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203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205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205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205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203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203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205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205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205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204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205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203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203</v>
      </c>
      <c r="D1045" s="32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203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205</v>
      </c>
      <c r="D1047" s="32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205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204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203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203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203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203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205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205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205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203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205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204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203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203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203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205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203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204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205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203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205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203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205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203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205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203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205</v>
      </c>
      <c r="D1074" s="32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203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205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205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205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205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205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205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203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203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204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205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203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205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205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203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205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203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205</v>
      </c>
      <c r="D1092" s="3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203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203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203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205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205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204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205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203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203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203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205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205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205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203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203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205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205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203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205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205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205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203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203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205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204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205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205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203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205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205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205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203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204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203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203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203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205</v>
      </c>
      <c r="D1129" s="32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203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205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204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203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205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203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205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205</v>
      </c>
      <c r="D1137" s="32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203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203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204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204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205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203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203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205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205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205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205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205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203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205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205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205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203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203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203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205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203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203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205</v>
      </c>
      <c r="D1160" s="32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205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205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205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205</v>
      </c>
      <c r="D1164" s="32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203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203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205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203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205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203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205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203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203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203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203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203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205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205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203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205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205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205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205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205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205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205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203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203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203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205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203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205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203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203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205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205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205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205</v>
      </c>
      <c r="D1198" s="32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203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205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203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203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203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203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205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203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203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205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205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204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205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205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205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204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205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205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203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203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205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203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205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205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205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203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205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205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203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204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205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203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205</v>
      </c>
      <c r="D1231" s="32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205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203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205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203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205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203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205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205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203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205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205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205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203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205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205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205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203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203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203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205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203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203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203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203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205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205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203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203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203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203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203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203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203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205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205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204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205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203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203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203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203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205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203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203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205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203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204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203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203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203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205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205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205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205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203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203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204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205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203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205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205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205</v>
      </c>
      <c r="D1293" s="32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203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203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205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205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205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203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204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203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203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205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203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203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203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203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205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203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205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205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203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205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205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203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205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203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203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205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203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203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205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205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205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205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203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205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205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203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203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205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205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205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203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205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203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203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205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203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204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205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205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205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205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203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203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203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205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205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203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204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205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205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203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205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205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205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204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203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205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205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205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204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203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205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203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203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203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205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203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204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205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203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205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205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203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203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203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205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203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203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205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205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205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205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203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203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203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203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205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203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203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203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203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203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205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203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205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203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203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203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205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205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205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205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205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205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203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203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204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203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203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203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205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203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205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203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205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203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205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203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205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205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203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205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203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203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205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205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203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205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205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205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203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203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203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203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205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205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203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205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203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205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205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203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205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203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205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203</v>
      </c>
      <c r="D1449" s="32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203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204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203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203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205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203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204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205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203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205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205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205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205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203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205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203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205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203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203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203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205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205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204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205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203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203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205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203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203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205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203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205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205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204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203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205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203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203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205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205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204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205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203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203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203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205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205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203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203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203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205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203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203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205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203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203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203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203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204</v>
      </c>
      <c r="D1508" s="32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203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203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203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204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203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203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203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203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205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204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205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203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205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205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203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203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203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205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205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203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203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204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205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205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205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203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203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205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205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203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205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204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205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205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203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203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203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205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204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205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205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205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204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205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205</v>
      </c>
      <c r="D1553" s="32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203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203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203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203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205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203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203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205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203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204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203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203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203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203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203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203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205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205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205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205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203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203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203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203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204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204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203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204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203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203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203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203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203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204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205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203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203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205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203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204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203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203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205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203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205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205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203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203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203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203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205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203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203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203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205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205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203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203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205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203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205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203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203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204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205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203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205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205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204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205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205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203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203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203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205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203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205</v>
      </c>
      <c r="D1630" s="32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205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203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203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205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203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203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205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206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203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203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203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203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203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203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205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205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203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205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203</v>
      </c>
      <c r="D1649" s="32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203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203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203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205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203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205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203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205</v>
      </c>
      <c r="D1657" s="32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203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203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205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203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203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203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203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203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203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205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204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203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205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203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205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205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203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203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203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205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205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205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205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203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203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203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203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203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204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203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203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203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205</v>
      </c>
      <c r="D1690" s="32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203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205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205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203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203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203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203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203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203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205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205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203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203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205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203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203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205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203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205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203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205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203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203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205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203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205</v>
      </c>
      <c r="D1716" s="32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205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205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203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205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205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203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205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203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205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205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204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205</v>
      </c>
      <c r="D1728" s="32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203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206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203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203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203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205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204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203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205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205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205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205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204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203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205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205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205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203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203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205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203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203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205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205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203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204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203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205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203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205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203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203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205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203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205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205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203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203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205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203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203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203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203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205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203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203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203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205</v>
      </c>
      <c r="D1776" s="32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205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203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203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203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203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204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205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203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205</v>
      </c>
      <c r="D1785" s="32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203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205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206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203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205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206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204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203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205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203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203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203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205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203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203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203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203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203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205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203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204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203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203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205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205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205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203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203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203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205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203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205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204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204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205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205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203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203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203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205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203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203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203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203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205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203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203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205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203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203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203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203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203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205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205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205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203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203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205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204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203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203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203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203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203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203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204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203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203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203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203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203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203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205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203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205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203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203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205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203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203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205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206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205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203</v>
      </c>
      <c r="D1870" s="32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205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205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204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203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204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203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203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203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203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203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203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205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205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203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204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204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203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203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203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203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203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203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203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203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203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205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205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203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203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205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205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204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203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205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204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205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205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203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203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205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203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205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205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205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204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205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204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204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205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205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205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205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203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203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205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203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205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205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205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205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205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203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203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203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203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205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203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205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203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203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205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203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203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205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205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203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203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203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205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203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203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203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205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203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203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205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205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205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205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205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205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203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203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204</v>
      </c>
      <c r="D1964" s="32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203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205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205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205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205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205</v>
      </c>
      <c r="D1970" s="32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205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205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203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205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203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205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205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203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204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203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205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203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203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205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205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203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203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203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203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204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205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205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203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205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205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203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205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205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205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203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203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205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204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205</v>
      </c>
      <c r="D2004" s="32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203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204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205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205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204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203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205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205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204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204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203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205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205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205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205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205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205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205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203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205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203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203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205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203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205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203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204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204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204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203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205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203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203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204</v>
      </c>
      <c r="D2038" s="32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203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205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203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203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205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205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205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203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205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205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203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205</v>
      </c>
      <c r="D2050" s="32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205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205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203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205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205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203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205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205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203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205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203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205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203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203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205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203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203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203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203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205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205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203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203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205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205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205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203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205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203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205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203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203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203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203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203</v>
      </c>
      <c r="D2085" s="32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203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203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205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205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205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203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205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205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203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205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203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205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205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205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203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203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205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203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205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205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205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204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203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205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205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203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205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205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205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205</v>
      </c>
      <c r="D2115" s="32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203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205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203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205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205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203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203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205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205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203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205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205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204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205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205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203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205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205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203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205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203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203</v>
      </c>
      <c r="D2137" s="32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205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205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205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205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204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203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205</v>
      </c>
      <c r="D2144" s="32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203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203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205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205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205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203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203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204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203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205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205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205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203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203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203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203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205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203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203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205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204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205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205</v>
      </c>
      <c r="D2167" s="32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203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205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205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204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205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203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203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203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205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203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205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205</v>
      </c>
      <c r="D2179" s="32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203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203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203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203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203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203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203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204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205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204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205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205</v>
      </c>
      <c r="D2191" s="32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205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203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205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205</v>
      </c>
      <c r="D2195" s="32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205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203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203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205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204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203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203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205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205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204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205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204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203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203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205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205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205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205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205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204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204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205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205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205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205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203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205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203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205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205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205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205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203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204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205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205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205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203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204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205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205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205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205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205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203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205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203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205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203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205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205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205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203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205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205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205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205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203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203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203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205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203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204</v>
      </c>
      <c r="D2258" s="32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205</v>
      </c>
      <c r="D2259" s="32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205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205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203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203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204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203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205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205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205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205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203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204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203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203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203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205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205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203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205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204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205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203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203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204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204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205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204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203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205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205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205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205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205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205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205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205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203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204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203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205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203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204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205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205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205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203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205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203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205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205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205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205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203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205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204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205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205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204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205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204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203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203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203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205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205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205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203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203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205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205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203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203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205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203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204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204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203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205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203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203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204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204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203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205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204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203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203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203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203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204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205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205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203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205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203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205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205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205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203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205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203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203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204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205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205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205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205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205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203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204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203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203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205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203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203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205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203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203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205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205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205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203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205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203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203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203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205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205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205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203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205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205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205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205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205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205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205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205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205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203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205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203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205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204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203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205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205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205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205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203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205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204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203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205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203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203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205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205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205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203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205</v>
      </c>
      <c r="D2420" s="32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203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203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205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205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203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205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203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205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205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205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203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203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205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203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205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203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205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203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205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203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203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203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205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203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205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203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205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203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203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205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205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203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205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205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205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205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203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205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205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203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203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203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203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204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203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203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205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203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205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205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205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205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205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205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203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205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205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203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205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205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205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203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205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205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203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205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205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205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205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203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204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203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203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203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205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203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205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203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205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205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205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205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203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205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204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205</v>
      </c>
      <c r="D2506" s="32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205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205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205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205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203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203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205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203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205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204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205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203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204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203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205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203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203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205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205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203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205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205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203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204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205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203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203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205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205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203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205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205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205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205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205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205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203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205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203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205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205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204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205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205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205</v>
      </c>
      <c r="D2551" s="32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205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203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205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205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203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203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205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204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203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203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204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205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205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205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203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205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203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205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203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205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203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203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203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205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205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205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205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203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204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203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203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204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204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203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205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203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203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205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205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205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204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203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203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205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205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203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203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203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205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205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205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205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203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205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205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205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205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205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205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203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203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205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203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205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205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205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203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203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205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203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205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205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205</v>
      </c>
      <c r="D2624" s="32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205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203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203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203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203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203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205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203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203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203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205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203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204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203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204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203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203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205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205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203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204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203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203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203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205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205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205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203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205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205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204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204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205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205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203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203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205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205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205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205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205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205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204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205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205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205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203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205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205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203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204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203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203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204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204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204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203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205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205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205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205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205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205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204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205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205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205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205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203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203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205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203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203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203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203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204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203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203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203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204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205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205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203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203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203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204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203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203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205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203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203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203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205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203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205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205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203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205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203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205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205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205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205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205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205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203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203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203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203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203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203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203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205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205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205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203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204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203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205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203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205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203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205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205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204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203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205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204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203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203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205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204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205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203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203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205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205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204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203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203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205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203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205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205</v>
      </c>
      <c r="D2768" s="32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203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205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205</v>
      </c>
      <c r="D2771" s="32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203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205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205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203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205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203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203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205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203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203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205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204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203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203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205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205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203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205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205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205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203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203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205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205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205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205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205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204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205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205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205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205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203</v>
      </c>
      <c r="D2804" s="32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203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205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204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203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205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205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205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205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203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205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205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205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205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205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205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203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205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205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203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205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205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205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205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205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205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205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203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205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205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203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203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203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205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205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203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205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203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205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204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204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205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203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205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205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203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205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203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203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205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205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203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203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203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203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203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205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205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205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205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203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205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203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203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205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204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205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203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203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205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205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205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205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203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203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203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204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205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205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205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205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203</v>
      </c>
      <c r="D2885" s="32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205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205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205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205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204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205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205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205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203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205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203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203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205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203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203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205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203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203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205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205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203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205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205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203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205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205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205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204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205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205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205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205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203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205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205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205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203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203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205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205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205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205</v>
      </c>
      <c r="D2927" s="32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203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205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205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203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205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204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204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203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205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205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205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205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203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205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203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203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205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205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203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205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205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205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204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203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205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203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203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204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205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203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205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203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203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203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203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205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203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205</v>
      </c>
      <c r="D2965" s="32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203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205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204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204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205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203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205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203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203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205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204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203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205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203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205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205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203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203</v>
      </c>
      <c r="D2983" s="32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205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205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203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203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205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205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203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205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205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203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203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205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203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204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203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205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204</v>
      </c>
      <c r="D3000" s="32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205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205</v>
      </c>
      <c r="D3002" s="3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203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205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205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205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205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203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203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205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204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203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203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203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205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203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203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203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203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205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205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205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205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205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205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203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204</v>
      </c>
      <c r="D3027" s="32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203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203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203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203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203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203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205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205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205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205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203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205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205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203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205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205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203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205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205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205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204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205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205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204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203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205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203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205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203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203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204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203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205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203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204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205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205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203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205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205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203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203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205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204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203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203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205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205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204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205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204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205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205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205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203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205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204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205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205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203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205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205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205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205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203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205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203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203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203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205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203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204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203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205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205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205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203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204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205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205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205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205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203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205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205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203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205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205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203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203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205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205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205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205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205</v>
      </c>
      <c r="D3122" s="3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203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205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205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205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205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205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205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203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205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205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203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205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203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205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205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205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203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205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205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204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205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205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205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203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205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203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205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205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203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205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203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205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205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205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205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205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205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203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205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204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203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203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203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205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205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205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203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203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205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205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205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205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203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203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205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205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204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203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203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205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203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205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204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203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205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203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205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203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203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203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205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205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203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203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203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205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203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203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203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204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205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205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205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205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203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203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205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203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204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205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203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204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203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203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205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205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203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205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205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203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203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203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205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203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205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204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205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204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205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205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205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205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203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205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203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203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205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205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205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205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205</v>
      </c>
      <c r="D3243" s="32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203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205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203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205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203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203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205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205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205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203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205</v>
      </c>
      <c r="D3254" s="32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205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205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203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203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205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203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205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205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205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205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203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203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205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203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204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205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205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205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203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205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203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203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203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205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203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205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203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203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205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203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205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205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205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205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205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205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205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205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205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203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203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203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203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203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203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205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205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203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205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203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203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205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203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205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205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205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205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205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205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205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203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205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205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205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203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205</v>
      </c>
      <c r="D3320" s="32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205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205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203</v>
      </c>
      <c r="D3323" s="32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203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205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203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203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204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203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203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205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205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203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205</v>
      </c>
      <c r="D3334" s="32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203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205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205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203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203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205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205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203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203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204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205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205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205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205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205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205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205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205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205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203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203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203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203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203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203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205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203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203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204</v>
      </c>
      <c r="D3363" s="32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204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205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205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203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203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203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204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205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205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203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203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205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203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205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203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205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203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205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203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203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205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205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203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205</v>
      </c>
      <c r="D3387" s="32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203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205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205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203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205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205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205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205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205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205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205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203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203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205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205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205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205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205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205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203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205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205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203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205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203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205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205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205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205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205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203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204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203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205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204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205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205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205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203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203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205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203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203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205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203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204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203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204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205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205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205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203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205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203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205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205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203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205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203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205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205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205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203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203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203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203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205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203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205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205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205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203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203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205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203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205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203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203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205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205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203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203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205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203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204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203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205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203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205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203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205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205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205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205</v>
      </c>
      <c r="D3481" s="32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205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205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205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203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203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205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203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203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204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203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205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205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203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205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205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205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205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203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205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203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203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204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205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205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205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203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205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203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205</v>
      </c>
      <c r="D3510" s="32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205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205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203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205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203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203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205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205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205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205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205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205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204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205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203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204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205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205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205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205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203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203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203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203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205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203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205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204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205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205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203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203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205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203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203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203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205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205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203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203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203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205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203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203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205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205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203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203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205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205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205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205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205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205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205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205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203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203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203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203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205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203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205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205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205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205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205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203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203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205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203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203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203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205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203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205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205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205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205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203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203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203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203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205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205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205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203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203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205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205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205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205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205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205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205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204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204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205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204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205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203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205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205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204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204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203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205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203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205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205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205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203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203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205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203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205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203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204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203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203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205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205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203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205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203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205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203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203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205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205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203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203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204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205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203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204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205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203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205</v>
      </c>
      <c r="D3649" s="32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203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203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204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205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205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205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203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203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205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203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205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204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205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205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203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205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205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203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203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203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203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205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205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203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205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205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203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205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205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203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205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203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203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203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203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203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205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205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205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203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203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204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205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205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204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203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203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204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203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203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203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205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203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205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203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205</v>
      </c>
      <c r="D3705" s="32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204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205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205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204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204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205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203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203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205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203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205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204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204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203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205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205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203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203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203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205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205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205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205</v>
      </c>
      <c r="D3728" s="32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203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203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205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203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203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205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205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203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203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205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203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205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205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204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205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205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205</v>
      </c>
      <c r="D3745" s="32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205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205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205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203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203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205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205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203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203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205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204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203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205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205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205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203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205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203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203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203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205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205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205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205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205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205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205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205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203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205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204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205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203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205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203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203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205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205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205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203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203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205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205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205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205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205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203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205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203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203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205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203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205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203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205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205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203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205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205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203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205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205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203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203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205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203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205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205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203</v>
      </c>
      <c r="D3814" s="32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204</v>
      </c>
      <c r="D3815" s="32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203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203</v>
      </c>
      <c r="D3817" s="32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203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204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205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203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203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205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203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205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203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203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205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204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203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203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205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203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205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203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205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205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203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205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203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204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203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205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203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205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203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205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205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203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203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204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205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205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205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205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205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205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205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205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203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205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205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203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205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203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203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205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205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203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205</v>
      </c>
      <c r="D3870" s="32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203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205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205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205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204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205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205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205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203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203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203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205</v>
      </c>
      <c r="D3882" s="3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205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205</v>
      </c>
      <c r="D3884" s="32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205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205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203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204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205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205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205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203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203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203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203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203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203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203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205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203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203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204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203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205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203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203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203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205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205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203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203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204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205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203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203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205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203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205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203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204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203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205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205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203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203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203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205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205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205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204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204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205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203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203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203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203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205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205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205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205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203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203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205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205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205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203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205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205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203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205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205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205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205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205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203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203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205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203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204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203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205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205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203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203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203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203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205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205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203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204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203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203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203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205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205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205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203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205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203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205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203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203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203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205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203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205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205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203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203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205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203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204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205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203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205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203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205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203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205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203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205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205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203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204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203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205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203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204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205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203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205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203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205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203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205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203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203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205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203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205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203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203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204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205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205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205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204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205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204</v>
      </c>
      <c r="D4029" s="32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203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203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205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203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205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205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205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203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205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203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205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203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203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205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205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205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203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205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205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205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205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203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205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205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203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205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203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205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205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203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203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205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203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203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205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203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204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205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205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205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205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203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205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203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203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205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203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205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205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203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205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203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203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205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203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205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203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203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205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205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203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205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203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205</v>
      </c>
      <c r="D4093" s="32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203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205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203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203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203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203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203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203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203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205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205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205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203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205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203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205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203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204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203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205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203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205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205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204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203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205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205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205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205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203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204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205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203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204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203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205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205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205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205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204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203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203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203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203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205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203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205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203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205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203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203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203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203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205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205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205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203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205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205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205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205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205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203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205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205</v>
      </c>
      <c r="D4158" s="32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203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205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203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203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203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203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205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204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205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205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205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203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203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203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205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203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203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205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203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204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205</v>
      </c>
      <c r="D4179" s="32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205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205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205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203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205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203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203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203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203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203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203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203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204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203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205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203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203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203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203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205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203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203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205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203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205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205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203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203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203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205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203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203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203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205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205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205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205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203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205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203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203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205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205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205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203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203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205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205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203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204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203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205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204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205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203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205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203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203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205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203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205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205</v>
      </c>
      <c r="D4241" s="32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205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203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205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203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203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203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205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204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205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203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203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203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203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205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203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205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203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203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203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205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205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205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203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203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203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205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205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204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205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205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205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203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205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205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205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203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205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203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203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203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205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203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203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203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203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205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203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205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205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203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203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205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205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203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205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203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205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203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205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203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205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203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205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205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205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203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203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205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205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203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205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205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205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204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205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205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205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205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205</v>
      </c>
      <c r="D4320" s="32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205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203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205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203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205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203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205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205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205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204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205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205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205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205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205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203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203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205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203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204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205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203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205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205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203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204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203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203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205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205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205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205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203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204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205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203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203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205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203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205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205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203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204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203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205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203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203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205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205</v>
      </c>
      <c r="D4369" s="32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205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203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203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203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205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204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204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205</v>
      </c>
      <c r="D4377" s="32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205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203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205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203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203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203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205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205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205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203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205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205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203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204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205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205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203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203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203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205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203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205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203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205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203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205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204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205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203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204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205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205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205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205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205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203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203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205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203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203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203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203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205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205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205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203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205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203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204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203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203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204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203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205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203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203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203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203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205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205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203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205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205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205</v>
      </c>
      <c r="D4441" s="32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205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204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203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205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205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205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203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205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203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205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203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205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205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203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205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203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205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205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205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205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203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203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204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205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205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205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205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203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203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203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203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205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205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204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203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205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205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203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203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205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205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203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205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203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203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203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204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205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203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203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204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203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205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205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205</v>
      </c>
      <c r="D4496" s="32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205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203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203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204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203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203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205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205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205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205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205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203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203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203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203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203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203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205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203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203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205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203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205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203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203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203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203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205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205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204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205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205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205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205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205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203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205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205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203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203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203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205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204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203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204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205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204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205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205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205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205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205</v>
      </c>
      <c r="D4548" s="32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203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205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204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205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203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203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203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205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203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203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205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204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205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205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204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205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205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203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203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205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205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205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203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203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203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204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205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205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204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203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205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205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203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205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203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203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205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204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204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204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205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203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205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205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205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203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203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205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205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203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205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205</v>
      </c>
      <c r="D4600" s="32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204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205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205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203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205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204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203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205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205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205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203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203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205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203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205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203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204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203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205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205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203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203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205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203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205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205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205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205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204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203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205</v>
      </c>
      <c r="D4631" s="32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205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203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205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204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203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204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205</v>
      </c>
      <c r="D4638" s="32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205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203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203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203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205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204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205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204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205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203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203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203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203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204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205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205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203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203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205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203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203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205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203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205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205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203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203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203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203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203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203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204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203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203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205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205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205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203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205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205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205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203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203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205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205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203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205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203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205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205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203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203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205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203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203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204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203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205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205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205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203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203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203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205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205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205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205</v>
      </c>
      <c r="D4705" s="32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203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203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203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205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205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205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203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203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205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205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205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205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205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205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205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205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205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205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203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205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205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205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204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205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203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205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205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203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203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205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205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203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203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205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203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205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203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205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205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203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205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205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205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205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205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204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203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205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203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205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205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204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203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205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203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205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203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203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205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205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203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203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203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205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205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205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203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205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205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205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204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203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205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203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205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203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205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205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205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204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205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205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205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205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203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205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203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205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205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203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203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205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203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203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205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205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205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205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203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203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203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205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205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203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203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205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205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203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203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203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203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205</v>
      </c>
      <c r="D4817" s="32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203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203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205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204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205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203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205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203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205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203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205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205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203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205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205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205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205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205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205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205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205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205</v>
      </c>
      <c r="D4839" s="32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203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203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205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203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205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204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203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205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205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203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205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205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203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203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204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203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205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203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203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205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205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203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203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205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203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205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203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203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205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203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205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205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205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203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205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205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203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203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203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203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203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203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205</v>
      </c>
      <c r="D4882" s="3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203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205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205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205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205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205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205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204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203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205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205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203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203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203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203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205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203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205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205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203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203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203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205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203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205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203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205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203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205</v>
      </c>
      <c r="D4911" s="32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203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205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205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203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205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205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203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205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205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205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205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203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203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205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203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205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205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203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203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205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203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205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203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204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205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205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203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203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203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205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205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205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205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204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205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205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203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204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205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203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203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203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205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205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203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205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205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205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203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205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205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205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205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205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205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205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203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205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203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203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205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203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205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205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205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205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205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204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205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205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203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205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203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203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205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205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203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203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203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205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203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204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205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205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205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205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205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205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205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205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203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205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203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205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203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203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204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205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205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205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203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203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203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205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205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205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205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203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203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203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205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205</v>
      </c>
      <c r="D5023" s="32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205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205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203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205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203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205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205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205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203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205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205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203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205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203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204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205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204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205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203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203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203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205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205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205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203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205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205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203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205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203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205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203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205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205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203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203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203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205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205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204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205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203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205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205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205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204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203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205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205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205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203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203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205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203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205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205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203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205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203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205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205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205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203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205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205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205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205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205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205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203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203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205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205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205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205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203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203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203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203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203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203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204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203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205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205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203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203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205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203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205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204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205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203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204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204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204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205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203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205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205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205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203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205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203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205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205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203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205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205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203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205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205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205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205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205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205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205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204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205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204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205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204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203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203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203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203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205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205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205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205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205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203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203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203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203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205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203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205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205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205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205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205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203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203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203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203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205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203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205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203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205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204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203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203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205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203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203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203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203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205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205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205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203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203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205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203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205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205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205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203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203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203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205</v>
      </c>
      <c r="D5196" s="32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205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205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205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205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205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203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204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205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203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205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205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203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205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203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205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205</v>
      </c>
      <c r="D5212" s="3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205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203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205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203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205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205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205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203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203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205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203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204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203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203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203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203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205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205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203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203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205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203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205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205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205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203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203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205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205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205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205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203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205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205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203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205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203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203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203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205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203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203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205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205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205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205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203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203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203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203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205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203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205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205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205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205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203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205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203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205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205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203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205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203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205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205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205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205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203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205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205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205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204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204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205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205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205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203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205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204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203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205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205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205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203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205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205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203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203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203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203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203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205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205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203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205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203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203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205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203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205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203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203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203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205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203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205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205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203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203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203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203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205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205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205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205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205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203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203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205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204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203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205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205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205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203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205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205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205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203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205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203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205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205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205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205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205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205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203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205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203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205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205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205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203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205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203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205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205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205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203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203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205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203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205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203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205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205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205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205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203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205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205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205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203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205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205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205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203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205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205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205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203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203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203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205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203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205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203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205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204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203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203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203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205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203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205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205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205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205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203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203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205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203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205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205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203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205</v>
      </c>
      <c r="D5410" s="32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205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205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203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205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204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205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203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203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203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203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205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205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205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205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205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205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205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203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205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205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205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205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203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205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205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205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203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203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205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205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205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204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203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205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203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203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205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203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203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203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203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205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205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205</v>
      </c>
      <c r="D5454" s="32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203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205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203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205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205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203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204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205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205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205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205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203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203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203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205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203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205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203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204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205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204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203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204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203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205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203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203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203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203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205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205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203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203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203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203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205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205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205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205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205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205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205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203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205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203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205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205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204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203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205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203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203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205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203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205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205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205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205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205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203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203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203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205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205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203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205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205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205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205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205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205</v>
      </c>
      <c r="D5525" s="32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205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205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205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205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203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205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203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203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205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205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204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205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203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205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205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205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204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205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205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205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203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205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203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205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204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203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205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203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203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203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205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205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205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205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203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205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203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205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203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205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205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205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204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205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203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203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205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205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203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205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203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203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203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205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203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203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205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205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203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205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205</v>
      </c>
      <c r="D5586" s="32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204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203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205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203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203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203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203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203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204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204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203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203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205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205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203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205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205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205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203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205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205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203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205</v>
      </c>
      <c r="D5609" s="32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205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203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203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205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203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203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205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205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203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205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205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203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205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203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205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205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203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205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203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205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203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205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205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203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203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203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203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205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205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203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203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203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205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203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203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205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205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205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205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204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205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203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205</v>
      </c>
      <c r="D5652" s="3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203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205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205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203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205</v>
      </c>
      <c r="D5657" s="32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205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203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203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203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204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205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203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205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205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203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205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203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205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205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205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205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205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205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203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203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205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203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205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205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205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203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203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205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203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203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203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205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203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203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205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205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203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205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203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205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206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203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205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205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203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203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203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205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205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205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203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205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203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203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205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203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203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206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205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205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204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203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205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205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203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203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203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203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205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204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205</v>
      </c>
      <c r="D5728" s="32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203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205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203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205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203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205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205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205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205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203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205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205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205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203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203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203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204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203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203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203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205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203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205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205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204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205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205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203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205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203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205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203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203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205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205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205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205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203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203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203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206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206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203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203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203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205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203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203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205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205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203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205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205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205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205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203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203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203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205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205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203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205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205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203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205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203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203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205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205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203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204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203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203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203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205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205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205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203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203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205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203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204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205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205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204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205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205</v>
      </c>
      <c r="D5815" s="32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203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205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203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205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203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203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203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203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205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205</v>
      </c>
      <c r="D5825" s="32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203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205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204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203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203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205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205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204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203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205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205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204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203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205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205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204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205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204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203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203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205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205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205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203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205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203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205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205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203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203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204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203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204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203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203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203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203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203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203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203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205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205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204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205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203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205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205</v>
      </c>
      <c r="D5872" s="3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203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205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205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205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203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203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205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205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205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203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205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204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205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203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205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203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205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205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203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205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203</v>
      </c>
      <c r="D5893" s="32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203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203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205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205</v>
      </c>
      <c r="D5897" s="32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203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203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204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203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205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205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203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203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204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205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203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203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203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203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205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205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203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203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205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205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205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204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203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205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203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205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203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203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205</v>
      </c>
      <c r="D5926" s="32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203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205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203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205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203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204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205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203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203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203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203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203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205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203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205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205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203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203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203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205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205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205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205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204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205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205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205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205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205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205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205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203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205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204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205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205</v>
      </c>
      <c r="D5962" s="3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205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203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205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203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205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203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205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204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204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205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203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203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203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203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205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204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205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205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205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203</v>
      </c>
      <c r="D5982" s="3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205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205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205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203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205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203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203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203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205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203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205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203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204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203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205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203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203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205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205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203</v>
      </c>
      <c r="D6002" s="3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203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205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205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204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205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205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203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203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203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205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205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205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204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203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205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203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203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203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205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203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203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203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203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203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203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203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203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205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205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205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203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205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203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203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205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203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205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203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203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205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205</v>
      </c>
      <c r="D6043" s="32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205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203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203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203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203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204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204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203</v>
      </c>
      <c r="D6051" s="32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205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205</v>
      </c>
      <c r="D6053" s="32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205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205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205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205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203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203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203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203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203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203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203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205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203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205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205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203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203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205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205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205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204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205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205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203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203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205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203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204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205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203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205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203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205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205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203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204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205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203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205</v>
      </c>
      <c r="D6092" s="3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203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205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203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203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205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205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205</v>
      </c>
      <c r="D6099" s="32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203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205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203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205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203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203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203</v>
      </c>
      <c r="D6106" s="32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203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205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203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203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205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203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203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205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203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203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205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205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205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203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205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205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203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203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205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205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205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203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203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205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203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204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203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204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203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203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205</v>
      </c>
      <c r="D6137" s="32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205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205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203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203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203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205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205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203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203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203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203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205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203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204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203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205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203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203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205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205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205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203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205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205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203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204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203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203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205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203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203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205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205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203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205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203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205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203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205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205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205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204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203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205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205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204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203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204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205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203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205</v>
      </c>
      <c r="D6188" s="32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203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205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203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205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205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205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205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203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204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205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205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205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203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205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205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203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205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203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205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204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203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203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203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205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205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205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205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203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203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205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203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203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205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203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205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203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205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203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203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205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205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203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203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203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205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205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205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203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205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203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203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203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205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205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204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205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205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205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204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205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204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205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203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203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203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203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205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203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204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205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204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205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203</v>
      </c>
      <c r="D6261" s="32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203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203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205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205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203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205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205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203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205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203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203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203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203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205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205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205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205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203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203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205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203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205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203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203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205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205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205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203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203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205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205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203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205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203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205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205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205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203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203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203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203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204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204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203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203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203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203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205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205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205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204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203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203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203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205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203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203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204</v>
      </c>
      <c r="D6319" s="32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203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205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205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203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205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205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205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203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203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203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205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203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205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205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203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203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205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204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203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205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205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205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205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203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203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205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205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203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203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205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205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205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205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205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205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204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205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205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203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203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205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203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205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205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205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205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203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205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203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203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203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203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203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203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204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203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205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203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203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203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205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205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204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203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203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203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204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205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203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205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203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203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203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204</v>
      </c>
      <c r="D6393" s="32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203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203</v>
      </c>
      <c r="D6395" s="32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203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203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205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204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205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205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205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203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205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203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205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203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205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203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203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205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203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205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205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205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203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205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203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205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204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203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203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203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205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205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204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203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205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205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203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205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203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205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205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205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205</v>
      </c>
      <c r="D6436" s="32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203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205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203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203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205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203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205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203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205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204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205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203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204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205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205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205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203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205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205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205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203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205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204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203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205</v>
      </c>
      <c r="D6461" s="32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203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203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203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203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205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205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203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205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203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205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203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205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203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205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205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205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203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205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205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203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205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204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205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203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203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205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203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205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203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203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205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205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203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205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204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203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205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205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203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205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205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203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203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204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203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203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203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203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204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204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205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203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204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203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205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205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203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203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205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203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205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203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204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203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204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205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205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205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205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204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203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205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203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203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203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205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203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203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205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205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203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205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204</v>
      </c>
      <c r="D6544" s="32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204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203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203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204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203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205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203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205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203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203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203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203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205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205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204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203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205</v>
      </c>
      <c r="D6561" s="32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203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205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205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205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205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205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203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205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205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203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203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205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205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203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203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205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204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205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203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205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203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203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203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203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205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205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205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203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205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204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203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203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205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205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203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203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205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203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205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205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205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205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203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203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205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205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205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203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205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205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204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203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203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203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205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203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203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203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205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203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204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203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205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205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205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205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204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205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203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203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203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203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205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205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205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205</v>
      </c>
      <c r="D6637" s="32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203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203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203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204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205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205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203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205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203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205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203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205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203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205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205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205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203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203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203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203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205</v>
      </c>
      <c r="D6658" s="32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204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205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205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205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203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204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203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203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205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203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203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205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203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205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205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203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205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204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205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203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205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205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203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203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203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203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203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205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205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205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203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203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204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203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203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203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204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203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203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203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204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204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203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203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205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205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205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204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205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205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205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205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203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203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205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203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205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205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205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205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204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205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203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203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203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205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203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205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204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203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203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203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203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203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203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205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203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205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205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203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204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205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205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205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203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205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203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203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205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203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203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204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203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203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203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203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203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204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205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203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203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203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203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205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203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205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203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203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203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205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203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203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205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205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203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205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205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205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203</v>
      </c>
      <c r="D6777" s="32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205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205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205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203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203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205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203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203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205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205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205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203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205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203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205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203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205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203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205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205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205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205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203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205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203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204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203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203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203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203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205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205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205</v>
      </c>
      <c r="D6810" s="32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205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205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203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203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205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203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203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203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203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205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205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205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203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203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205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204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203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203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205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204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205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203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205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203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204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203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205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204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205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203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203</v>
      </c>
      <c r="D6841" s="32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205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205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205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205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203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203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203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205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203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203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205</v>
      </c>
      <c r="D6852" s="3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203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203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205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205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205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205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203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203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205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203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205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205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203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203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204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205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203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203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203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205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205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203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203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203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203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203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203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204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205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203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203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203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205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205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203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203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204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204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205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203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205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205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203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203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203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205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205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203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203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203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203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203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203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203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205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205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203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204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203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205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204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203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203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203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204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205</v>
      </c>
      <c r="D6918" s="32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203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205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205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205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203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205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205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203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205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203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203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203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205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205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203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203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205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203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205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204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203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205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203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205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205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205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205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203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205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205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204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203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205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205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203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203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205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205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203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203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205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205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203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205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205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205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205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205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203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203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203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203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204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205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205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203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204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205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204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203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205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203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205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204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204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203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203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205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205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204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203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205</v>
      </c>
      <c r="D6990" s="32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203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205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205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203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204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205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205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205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203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205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205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205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205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204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205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205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205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203</v>
      </c>
      <c r="D7008" s="32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205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205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203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203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203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205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205</v>
      </c>
      <c r="D7015" s="32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203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205</v>
      </c>
      <c r="D7017" s="32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205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205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204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205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203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205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204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205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205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203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205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203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205</v>
      </c>
      <c r="D7030" s="32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203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205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205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203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205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203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203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205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203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205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203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205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203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203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203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205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205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205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205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205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205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203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205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205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203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205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203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205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204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203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205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205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205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203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205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205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205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203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203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205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205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203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203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203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205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204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203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203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203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203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203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205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205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205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203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203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203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205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203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203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205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205</v>
      </c>
      <c r="D7092" s="3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203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205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205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205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205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203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205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203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203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203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205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203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205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203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205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205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203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205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205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205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203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205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203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203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204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205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205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203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205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205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205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203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205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203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205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205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205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203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205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203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203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203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205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205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203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204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205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205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203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205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203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205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204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204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203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205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205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205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203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205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203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203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203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205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205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203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203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205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203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205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205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205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205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203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204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203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204</v>
      </c>
      <c r="D7169" s="32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203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205</v>
      </c>
      <c r="D7171" s="32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203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203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205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203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205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203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203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205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203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203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203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203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204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203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205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205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204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203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203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205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205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205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205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203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203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205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205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205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203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203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203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204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205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205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203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203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205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203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203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203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205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204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205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203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204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203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203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205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205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203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205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203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203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205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203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203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205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203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205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203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203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203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205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205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204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205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203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205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203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203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203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203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203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203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203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203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203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205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203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205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205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203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205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205</v>
      </c>
      <c r="D7255" s="32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203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203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203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203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205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203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205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205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203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203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203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205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205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203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203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205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203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205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205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203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203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203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203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203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205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205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203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203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205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205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203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203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205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205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205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205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205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205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205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203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203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205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205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203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205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205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205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203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205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205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205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205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203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203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205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203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205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205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205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205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205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203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205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205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203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205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205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205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203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205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205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204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203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205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205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203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205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204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203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203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204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205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203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205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204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204</v>
      </c>
      <c r="D7341" s="32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205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203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203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205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203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205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203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203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205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203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203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203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205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203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205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205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203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203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203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205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205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205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203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205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203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205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203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205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204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203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205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203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203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205</v>
      </c>
      <c r="D7375" s="32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204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203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203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203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205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205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204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205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205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203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203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203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203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205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203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205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205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203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203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205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203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203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203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203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203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204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203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205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205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203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203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203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205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203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203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203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205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203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205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205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203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203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204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203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203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203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205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203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203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203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205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203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205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205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203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205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204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203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203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204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205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205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203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203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203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205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205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205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203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203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203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205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205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203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205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205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203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205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203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203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203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203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203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204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204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205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203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205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203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205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203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203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205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203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205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204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203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204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203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203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203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205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203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205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203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205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203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203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203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205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203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205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203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205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205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205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203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205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205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203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205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205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203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205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203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203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203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203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203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203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203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203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205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203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205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203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203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203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204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205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203</v>
      </c>
      <c r="D7516" s="32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205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205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205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203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203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203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203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203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203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205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203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203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205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205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205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203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205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203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205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203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205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204</v>
      </c>
      <c r="D7538" s="32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204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205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205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203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205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203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203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205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203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203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203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205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205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205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205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205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203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203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203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205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203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205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205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203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203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203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204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203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205</v>
      </c>
      <c r="D7567" s="32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203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203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205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205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204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204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205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203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203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203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203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204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205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205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203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205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203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205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203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205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203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205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203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203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203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203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203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203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205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204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205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203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203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203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205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203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203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203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205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203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204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203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204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203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205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205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203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203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203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205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205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203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205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205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203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205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203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203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205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204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203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203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203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203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205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203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203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203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205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204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203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203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203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203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203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203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203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205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205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203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203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203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203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205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203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203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203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204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203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203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203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203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203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205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203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205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205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203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203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205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205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205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203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205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203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205</v>
      </c>
      <c r="D7673" s="32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205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205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203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205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203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203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205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204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205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203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203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203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205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203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205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205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203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205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205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204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205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203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205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205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203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203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203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203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203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203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203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205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205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205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204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204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205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204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205</v>
      </c>
      <c r="D7712" s="3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203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205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205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203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203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203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205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205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203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203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205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205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203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203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205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205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205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203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205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205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203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203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203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203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205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203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205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205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204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203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203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205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205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203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205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204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205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205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205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205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205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204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204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205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203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205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204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203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205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204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203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205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203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204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203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205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205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204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204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204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203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205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203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205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205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205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203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203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203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203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203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205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205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203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205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205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205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205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203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205</v>
      </c>
      <c r="D7792" s="3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203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203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205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205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203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203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205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203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203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203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205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203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203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205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205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203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205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205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203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203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205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205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205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205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203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205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204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205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205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205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205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203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205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205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203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205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205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204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203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204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205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204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203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205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204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203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203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205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203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205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205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205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205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205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205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203</v>
      </c>
      <c r="D7848" s="32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203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205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205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204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204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203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205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203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203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203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205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203</v>
      </c>
      <c r="D7860" s="32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203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205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205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205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205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203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205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205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205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205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205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205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203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203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204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205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203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203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205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204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205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203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203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205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204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205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205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204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203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205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203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203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205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205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205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203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205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205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205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203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205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203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203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205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203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205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205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205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203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203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205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205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205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205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203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205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204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205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203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203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205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205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205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205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203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203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205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203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205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203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203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205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205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205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205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203</v>
      </c>
      <c r="D7936" s="32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203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205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203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203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205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205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205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203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204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203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205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204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205</v>
      </c>
      <c r="D7949" s="32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203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205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203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205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205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203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205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205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203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205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204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205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203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205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205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203</v>
      </c>
      <c r="D7965" s="32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205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205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203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204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205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205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205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205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205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205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205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203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203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205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205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203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205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203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205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203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205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203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203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205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204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205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205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205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205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205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205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205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205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204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205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204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205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204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205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203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203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203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203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205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205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205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203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205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205</v>
      </c>
      <c r="D8014" s="32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203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203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205</v>
      </c>
      <c r="D8017" s="32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204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205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205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205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203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203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205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205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203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204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204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205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205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205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203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204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205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203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205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203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205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205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204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205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203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205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205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203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205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205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205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203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205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203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205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205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205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205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203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203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205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203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205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205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205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205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205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204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205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203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205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205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205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204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205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203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204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205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205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203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203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205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203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205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204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203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205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203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205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203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205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205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205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205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205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205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205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203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203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205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203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203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205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203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205</v>
      </c>
      <c r="D8102" s="32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203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203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205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205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204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205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203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205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205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203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204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203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203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203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205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203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205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204</v>
      </c>
      <c r="D8120" s="32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203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205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203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205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205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205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205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205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203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203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205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205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203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203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205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205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205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205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205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203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205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205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203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205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203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204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204</v>
      </c>
      <c r="D8147" s="32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203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204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203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205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205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205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205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205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205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205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205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203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205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205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205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205</v>
      </c>
      <c r="D8163" s="32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205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205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203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205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205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205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205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205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203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204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205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204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205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203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204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203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205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205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205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205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203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205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203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205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205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204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205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203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205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203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205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205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205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204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203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203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203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203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203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205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204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203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203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203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205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205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203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205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205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205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205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205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203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203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203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205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205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203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203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203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203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205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203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205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205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203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203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203</v>
      </c>
      <c r="D8231" s="32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203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203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204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203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205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203</v>
      </c>
      <c r="D8237" s="32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205</v>
      </c>
      <c r="D8238" s="32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205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205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203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205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205</v>
      </c>
      <c r="D8243" s="32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205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203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205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204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204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205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205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203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203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205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205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205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203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203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205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205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203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203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204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203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203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205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204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204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203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205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204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205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204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204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203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205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203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205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203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204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205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203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203</v>
      </c>
      <c r="D8282" s="3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203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205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203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204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203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203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204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205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203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203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205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205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205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203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205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203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203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203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205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203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203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204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205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205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205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205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204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205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204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205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205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204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205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205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204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205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205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205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205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204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203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205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205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205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205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205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205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205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203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205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205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203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203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205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205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203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205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203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203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203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204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205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205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205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204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204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205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203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203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203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205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203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205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205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205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203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203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205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205</v>
      </c>
      <c r="D8361" s="32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205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203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204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205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205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205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205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203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205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203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205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203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205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203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204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205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205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205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205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203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204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203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205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205</v>
      </c>
      <c r="D8385" s="32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205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204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203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203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205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203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203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203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205</v>
      </c>
      <c r="D8394" s="32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205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205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203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205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203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203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204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203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203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205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205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203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205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203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205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205</v>
      </c>
      <c r="D8410" s="32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205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203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205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205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203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205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205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205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205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203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203</v>
      </c>
      <c r="D8421" s="32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205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203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203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203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205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203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205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205</v>
      </c>
      <c r="D8429" s="32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205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205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203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205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205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204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205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203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203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203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203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203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205</v>
      </c>
      <c r="D8442" s="3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203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203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205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205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205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204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204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205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205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203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203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203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205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203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203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203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205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205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203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203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205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203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203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204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203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203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205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205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204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205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203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203</v>
      </c>
      <c r="D8474" s="32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205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205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203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205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203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205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205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203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205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203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205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205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203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205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205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203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205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204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205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204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204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204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205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204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203</v>
      </c>
      <c r="D8499" s="32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203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205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203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205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205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205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203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203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203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203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205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203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205</v>
      </c>
      <c r="D8512" s="3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203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204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205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203</v>
      </c>
      <c r="D8516" s="32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205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204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205</v>
      </c>
      <c r="D8519" s="32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203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205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205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205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205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203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203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205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203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203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205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204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205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203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203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203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205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205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203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203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205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205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205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203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203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204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205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205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203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203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205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203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203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205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203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203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203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205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204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205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205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205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205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205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205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203</v>
      </c>
      <c r="D8565" s="32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205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203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205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203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203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203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205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205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203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205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203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205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205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203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205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203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203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205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203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203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203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205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204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205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203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203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204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205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205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203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205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205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205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203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204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205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203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205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203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205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205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205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203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205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203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205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205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203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205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203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203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203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205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205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205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205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203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203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205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205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205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203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203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203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204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203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203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203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203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203</v>
      </c>
      <c r="D8635" s="32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203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205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205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205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205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204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204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205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205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205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203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205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205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205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203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203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204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205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205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203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203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205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203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205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203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205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203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204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203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205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205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203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203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205</v>
      </c>
      <c r="D8669" s="32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205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203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204</v>
      </c>
      <c r="D8672" s="3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205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203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205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205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203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205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203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203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205</v>
      </c>
      <c r="D8681" s="32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203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205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203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203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203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204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205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203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203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205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203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205</v>
      </c>
      <c r="D8693" s="32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203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203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203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204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205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205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205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205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203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205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203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203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204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204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205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203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204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205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203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205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205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205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204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203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205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205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203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203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203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204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205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205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205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205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205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203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204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204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203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203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204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203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203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205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203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205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203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203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203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203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203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205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205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203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203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205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203</v>
      </c>
      <c r="D8750" s="32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203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203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205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204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205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205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205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203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205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205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203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205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205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205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203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203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205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205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203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203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205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205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203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205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203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203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203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204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205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205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203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203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205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203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205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205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203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203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205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205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203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205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205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205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203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203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203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203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205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203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205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204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205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205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205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205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203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205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203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205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205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205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205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203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205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203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205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204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203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203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203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203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205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203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205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205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205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205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203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203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203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205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205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205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205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203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203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205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205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203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205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205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203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205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205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205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205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205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205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203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205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205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203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203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205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204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205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203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204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203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203</v>
      </c>
      <c r="D8861" s="32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205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205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203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205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203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203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204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205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205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205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204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205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205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203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205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205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203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203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203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203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203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205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205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203</v>
      </c>
      <c r="D8885" s="32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203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203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203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203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205</v>
      </c>
      <c r="D8890" s="32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203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205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203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203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203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205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203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203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205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205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205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205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203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205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205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205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203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204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203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205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204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203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203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205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205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205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204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205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205</v>
      </c>
      <c r="D8919" s="32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203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205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203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205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205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205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205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205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205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203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205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203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203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203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203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205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205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203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203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203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203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203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205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203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203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205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205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205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203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205</v>
      </c>
      <c r="D8949" s="32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203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205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203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205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203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205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205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205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205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203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205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205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203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205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203</v>
      </c>
      <c r="D8964" s="32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205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205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205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205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205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205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205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205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203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205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203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205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205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205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204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203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203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203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204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203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203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203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205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204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205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203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205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205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203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203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205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205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205</v>
      </c>
      <c r="D8997" s="32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203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205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203</v>
      </c>
      <c r="D9000" s="32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203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203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204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203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203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204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204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205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203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205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205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205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203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205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205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203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205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205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203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204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205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203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205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203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203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203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205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203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205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203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203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205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205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205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204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203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205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205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205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205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203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203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205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205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203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204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204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203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205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203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203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203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203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203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203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205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205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205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203</v>
      </c>
      <c r="D9059" s="32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204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205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203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205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204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203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203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205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205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205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203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203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203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203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203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205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203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205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205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203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205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205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205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203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203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205</v>
      </c>
      <c r="D9085" s="32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205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203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205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205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204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205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205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203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205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205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205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205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205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203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204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205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205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205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205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205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203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203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203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203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203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203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203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203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204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203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203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203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205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203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205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205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203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203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203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204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205</v>
      </c>
      <c r="D9126" s="32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203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205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203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205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203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203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205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205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205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205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203</v>
      </c>
      <c r="D9137" s="32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205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205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205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203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205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205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205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204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203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205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205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204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205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205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205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205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203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203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205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203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205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205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203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205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204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205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205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205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205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205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203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203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203</v>
      </c>
      <c r="D9170" s="32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203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203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205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203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205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205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203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205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205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203</v>
      </c>
      <c r="D9180" s="32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203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203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205</v>
      </c>
      <c r="D9183" s="32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205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205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203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205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205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203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203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203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203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205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203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205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203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205</v>
      </c>
      <c r="D9197" s="32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203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203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205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205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205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205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203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205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205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205</v>
      </c>
      <c r="D9207" s="32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205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205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205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203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205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205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203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205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203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205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205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203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205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204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203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205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203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203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205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204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205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203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205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203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204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205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205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205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203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205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205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204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205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205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205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204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205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205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203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205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203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203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203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203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203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205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205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203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203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205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203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205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203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204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205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205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205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204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203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205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203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204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203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203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203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204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205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203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203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203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205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203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205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203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203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203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205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205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203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205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205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203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205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203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205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205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205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205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205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204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205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205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203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203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203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205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203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203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203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203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203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203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205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205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203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205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205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203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205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203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205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203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204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203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205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203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203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204</v>
      </c>
      <c r="D9325" s="32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203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205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204</v>
      </c>
      <c r="D9328" s="32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203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205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203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203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205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205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205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205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205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204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203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205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203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203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203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203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205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203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203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203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203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203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205</v>
      </c>
      <c r="D9351" s="32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205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205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203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203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203</v>
      </c>
      <c r="D9356" s="32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204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205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205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205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205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205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204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203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205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203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203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205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204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205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203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205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203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205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203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205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203</v>
      </c>
      <c r="D9377" s="32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205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205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203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205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203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205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205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205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203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203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203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205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205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205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203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205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203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205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205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205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205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205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203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203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204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205</v>
      </c>
      <c r="D9403" s="32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203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204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205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205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203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203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204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203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205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203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205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203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205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203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203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203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203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203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203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203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203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205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205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203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205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205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203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203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205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203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203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205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205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205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203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203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205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203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203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204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203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205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204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203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204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204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205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203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203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205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203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203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203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203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205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205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205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203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204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205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205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203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205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203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203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205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203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205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205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203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203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205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203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205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205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203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205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205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205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204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205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205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203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203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203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205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205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205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205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205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205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205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203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205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203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205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203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204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205</v>
      </c>
      <c r="D9502" s="3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205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203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205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205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203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203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205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205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205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205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204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203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205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205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203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205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203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203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205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205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203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205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204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205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203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205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205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205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205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204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203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205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205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203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203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205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205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203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203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204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203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205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205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203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203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205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205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205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203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205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205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205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203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203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203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203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204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203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205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205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203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203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205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203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205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205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205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203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205</v>
      </c>
      <c r="D9571" s="32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203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203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205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204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205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205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205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205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205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205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203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203</v>
      </c>
      <c r="D9583" s="32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204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203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205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203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205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205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205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203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204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203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203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203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205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203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205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205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205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205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205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203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203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203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205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203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203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205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205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205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203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205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205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205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203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204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205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203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205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205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203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203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203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205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205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203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203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205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205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205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203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205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205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205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205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205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203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204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205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203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205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203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203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205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203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205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205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205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203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203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203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203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203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205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205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203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203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205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203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204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204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203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205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203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205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203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205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205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203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205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204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203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205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203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204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205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205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205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203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203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205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205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203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205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203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203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205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205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205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205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203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205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204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203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205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205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204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205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204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204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205</v>
      </c>
      <c r="D9702" s="3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204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203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204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205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205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204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203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205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203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203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205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205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203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203</v>
      </c>
      <c r="D9716" s="32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205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205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205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205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203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205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205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203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205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203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205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205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205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205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203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205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205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203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203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205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205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205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205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205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203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203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203</v>
      </c>
      <c r="D9743" s="32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205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205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203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205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205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203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205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203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205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205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205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205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205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205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203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203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205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204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205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203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203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205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205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203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203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203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205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205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205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203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203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205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203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203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203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203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203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203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203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205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205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203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203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205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203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205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205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205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203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204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203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205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205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203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205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205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203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205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205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205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203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205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203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205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203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205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205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205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203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205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205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203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205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205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203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205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203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204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205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204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204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205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205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203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203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203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205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203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205</v>
      </c>
      <c r="D9832" s="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203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205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205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203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204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205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203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203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205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203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205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205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203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205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205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203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203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205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205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204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205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203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204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203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203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205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205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203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203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205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203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205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205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205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203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205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205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205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204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205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203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205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203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203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205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205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203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205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203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205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205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205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205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205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203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205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204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205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205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205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203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205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205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205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205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205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203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203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204</v>
      </c>
      <c r="D9901" s="32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203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205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205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203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204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203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203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205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205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205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203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203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205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205</v>
      </c>
      <c r="D9915" s="32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204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203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203</v>
      </c>
      <c r="D9918" s="32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205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204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205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205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204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204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205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204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205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205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205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203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203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205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203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204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204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205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205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205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203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204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205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203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205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205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205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203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203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205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205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203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203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205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203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205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205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205</v>
      </c>
      <c r="D9956" s="32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205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203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205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205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203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203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205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205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205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205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203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205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203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203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205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205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203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203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205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205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205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205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204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205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203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205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205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203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203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205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205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204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203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203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205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205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205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205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205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203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205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203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205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204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203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205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203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203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205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203</v>
      </c>
      <c r="D10006" s="32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205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203</v>
      </c>
      <c r="D10008" s="32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204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205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205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205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203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205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203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204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205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205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203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205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205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205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203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203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205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203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205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205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203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205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205</v>
      </c>
      <c r="D10031" s="32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203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203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205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203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205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205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204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205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203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203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204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205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203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205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205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203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203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203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205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204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203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205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203</v>
      </c>
      <c r="D10054" s="32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204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204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203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205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205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205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205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203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205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203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204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205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205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205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205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203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205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203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203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204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203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203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205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203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205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205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205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205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203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205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203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203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203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205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205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205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203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204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205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205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205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203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205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205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205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205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205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204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203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203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203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203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203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203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205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205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203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205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205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203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205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203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205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203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203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205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205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203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205</v>
      </c>
      <c r="D10123" s="32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203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205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203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205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205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205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203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204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203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204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203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205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203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205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203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205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204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205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205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203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204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204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205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203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205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204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205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205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205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205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205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203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205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203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205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203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205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205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205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205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205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205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205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205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205</v>
      </c>
      <c r="D10168" s="32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203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205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203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205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203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203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205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204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205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205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204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205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205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203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203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205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203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205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203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203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203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204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205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205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205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203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204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205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205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205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205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203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205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203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205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203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203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205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205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203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205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205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203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205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205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203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203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203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205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205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204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205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204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205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203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203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204</v>
      </c>
      <c r="D10225" s="32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205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203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205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205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205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205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203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205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203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205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203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203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205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205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203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203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204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203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205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204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203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205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205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205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205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205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204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204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205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205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203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203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203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205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205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203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205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203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203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205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205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203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203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203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204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205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203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205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203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204</v>
      </c>
      <c r="D10275" s="32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203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204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204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203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205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205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205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205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205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203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205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205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205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203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205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205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203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203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205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203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205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205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205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203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205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205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203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205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203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204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205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205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203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203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203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203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203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205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205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203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203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205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205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203</v>
      </c>
      <c r="D10319" s="32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204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203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205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205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203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203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205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203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205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205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203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205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203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205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203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203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203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205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203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203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203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203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205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203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205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205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205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205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203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204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205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203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204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205</v>
      </c>
      <c r="D10353" s="32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205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203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203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205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205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203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205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203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205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205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203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205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203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205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205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205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205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203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203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205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203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203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205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203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203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205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203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205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203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205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203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203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203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203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203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203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205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205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205</v>
      </c>
      <c r="D10392" s="3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203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205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205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205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203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204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203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203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205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203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203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203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203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205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205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205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205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204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205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203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205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203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205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203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203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205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205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205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205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204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203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205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203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203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203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203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203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203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203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203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205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205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205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204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203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203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205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203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203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203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203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203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205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204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205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203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203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205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203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205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205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203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203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205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205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205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203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205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204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205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203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204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205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203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205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203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203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203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204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205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205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205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205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205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203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203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203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205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204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203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205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203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205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205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205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203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205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203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205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205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203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205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205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205</v>
      </c>
      <c r="D10496" s="32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204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205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204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203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205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203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205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205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205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203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205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205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205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203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205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205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204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203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205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205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203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203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204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205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203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203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205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204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203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203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205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205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205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205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205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203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203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205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203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204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203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205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205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205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205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203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203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203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203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205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205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205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203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203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205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204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205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205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205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205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203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205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205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205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205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203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205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205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205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205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204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203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205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205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205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205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205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205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205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204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205</v>
      </c>
      <c r="D10577" s="32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205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205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204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203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205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205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203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205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203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205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203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203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205</v>
      </c>
      <c r="D10590" s="32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205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205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205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205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205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205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205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205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205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205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205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203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204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205</v>
      </c>
      <c r="D10604" s="32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203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205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203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205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203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205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204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203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204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203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205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205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205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204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203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203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205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205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205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205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205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203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203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203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205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205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205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205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203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205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203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203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205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205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203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203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203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203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203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205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205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205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205</v>
      </c>
      <c r="D10647" s="32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203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203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205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203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203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203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205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203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205</v>
      </c>
      <c r="D10656" s="32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203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203</v>
      </c>
      <c r="D10658" s="32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205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205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203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203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205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205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203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205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205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205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204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205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205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205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203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205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205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205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205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205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203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205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205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205</v>
      </c>
      <c r="D10682" s="3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203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203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204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205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203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205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203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203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205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205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203</v>
      </c>
      <c r="D10693" s="32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205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205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205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205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205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205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203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205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205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203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203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203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205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205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205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205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204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205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203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205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205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204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205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203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203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205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205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203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205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205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205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203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203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205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205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204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205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203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203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203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205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205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205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203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205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205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205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203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205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203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205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204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203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203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205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205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205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205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205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205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204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205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203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204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203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205</v>
      </c>
      <c r="D10759" s="32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205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203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205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203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205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203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205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205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203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205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203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205</v>
      </c>
      <c r="D10771" s="32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204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203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203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203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205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205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205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205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205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203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205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205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205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203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204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205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203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203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203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203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203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203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203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205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205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205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205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205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203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204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205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205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205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203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203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203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203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203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205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205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203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205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205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205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203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205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205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205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205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205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205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205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203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205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203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203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203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205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205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204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203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203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205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205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205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205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205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203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203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205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205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205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205</v>
      </c>
      <c r="D10844" s="32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205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204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203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203</v>
      </c>
      <c r="D10848" s="32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203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205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205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205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203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203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205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205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203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203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203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205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203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204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203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205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203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204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203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205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205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205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204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204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204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203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203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203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205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203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203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205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203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205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205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205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205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205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203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203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205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203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203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203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205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205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205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203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205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205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203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203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205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205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205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205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205</v>
      </c>
      <c r="D10905" s="32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203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203</v>
      </c>
      <c r="D10907" s="32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205</v>
      </c>
      <c r="D10908" s="32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205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205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205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203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205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205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205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205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205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205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205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205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203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205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203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203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205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205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203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204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203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205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205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203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203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203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205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205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205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205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205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205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204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203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205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205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203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205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203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203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205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204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205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203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203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205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205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205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203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203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203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205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203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205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203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203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204</v>
      </c>
      <c r="D10965" s="32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204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203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204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205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205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205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203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205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204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205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203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203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203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205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203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205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205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204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203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205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205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204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205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205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205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203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203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205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205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204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205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203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203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203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205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203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205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205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205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205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205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205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205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203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205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203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203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205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204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205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204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203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205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203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204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204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203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205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204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203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205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204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203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204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203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205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205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203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203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205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203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203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205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205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205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203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205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204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203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205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205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205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203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205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205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205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203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205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203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203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205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205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205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205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205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205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205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205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205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203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204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205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204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204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203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203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205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205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205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205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205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203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203</v>
      </c>
      <c r="D11078" s="32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203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205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205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205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205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203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203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205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203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205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205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203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205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205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205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205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205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203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205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203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203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203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205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203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203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205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205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203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203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203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203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205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203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203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204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203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203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205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205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205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203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203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205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203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205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205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205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203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203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204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203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204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203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203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205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203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204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203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205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205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205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205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204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205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203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204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203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203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203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205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205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205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205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205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203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203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205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205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205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203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203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205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205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205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205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203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205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205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205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203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203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203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205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205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205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205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205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203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205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204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204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205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205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205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203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203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204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203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203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205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205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205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205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204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205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205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203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205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205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203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205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205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203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203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205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205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205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205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203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205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203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204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203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203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203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203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203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203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203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203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203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203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203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205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205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205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205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203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203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203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204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205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203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205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205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203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204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203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203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203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203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205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205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205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205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203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203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205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203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205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203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203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203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205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203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203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205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204</v>
      </c>
      <c r="D11256" s="32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204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203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205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205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204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205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203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205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205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205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203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203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205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205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203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205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204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203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205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204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205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203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203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203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203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205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205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205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203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203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204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205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204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203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203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203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205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204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203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203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205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205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205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203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204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205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203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205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205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205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205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205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205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205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203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205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205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203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203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205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204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205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205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203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203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204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203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203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203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203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205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205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205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203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203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205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204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205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203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203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205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205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205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205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205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205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204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203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205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205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205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204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203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203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203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203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205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203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205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203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203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203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204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205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205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205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203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203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203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205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205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205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205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203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203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205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203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203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203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203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203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203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205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205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203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203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205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203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205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205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204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205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205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205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205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205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205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205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205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205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205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205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205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203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205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203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205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203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205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203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203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205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205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205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203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204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203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204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203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203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203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203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203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203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205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203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205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205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205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205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203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205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203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205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205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203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205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205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205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203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203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205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203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205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203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205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205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205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205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203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205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205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203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205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203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205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203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204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205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203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203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203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205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203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205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205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205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205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203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203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205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205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205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205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204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203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203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203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203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205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203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205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203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205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205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205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203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203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203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203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203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205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205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205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204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205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203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205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203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205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203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203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204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205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205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205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205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205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203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205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205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203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203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205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204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203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205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203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205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205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205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203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205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203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205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204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203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205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205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205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203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203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204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203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204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205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205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203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205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203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205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205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205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203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203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205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203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203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203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203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205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205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203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203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204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203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205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203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204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204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205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203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205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203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205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203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205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205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205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205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205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205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205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205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204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205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205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205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205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205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203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205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205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203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203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203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203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205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203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205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205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203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203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203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205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204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203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203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205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205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203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205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203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205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205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203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203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205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205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205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204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203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205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205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203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205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203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205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205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203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203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205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203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205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203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205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204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203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205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204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205</v>
      </c>
      <c r="D11627" s="32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205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204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203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205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203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203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205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203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205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204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205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205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203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205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203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203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203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205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203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203</v>
      </c>
      <c r="D11647" s="32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204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203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203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205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203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205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203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205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203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203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203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205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205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205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203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205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205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205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205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204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205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205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205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205</v>
      </c>
      <c r="D11671" s="32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203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203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205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204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204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203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203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205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205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205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203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205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204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205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205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205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203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203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205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203</v>
      </c>
      <c r="D11691" s="32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203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203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205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205</v>
      </c>
      <c r="D11695" s="32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204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204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205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205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205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203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204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204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205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203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205</v>
      </c>
      <c r="D11706" s="32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203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204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203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203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205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205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203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203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205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205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205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205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205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205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205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203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203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205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205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203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205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205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205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203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205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203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203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203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204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203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203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205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205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203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205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205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203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205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205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205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205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203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204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203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204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205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205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203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205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205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203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203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203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205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205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205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205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204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203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203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205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203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203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205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203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205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203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203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205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205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203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203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203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203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203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205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203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205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203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205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203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205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203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205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205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205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205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205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204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203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205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204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205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205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205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205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203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204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203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205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204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205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203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203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203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203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205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203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203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205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203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203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203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203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205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203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205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203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203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205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205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205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203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204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205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203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203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205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205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205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205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205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203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205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204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205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205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205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203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205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205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205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203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203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205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205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205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205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204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205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204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203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205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203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203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205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204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204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203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203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203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205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205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203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205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203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204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205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205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203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203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204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205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203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205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205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205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205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203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203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205</v>
      </c>
      <c r="D11887" s="32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205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203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205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203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203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204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203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205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203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205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205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203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205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204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203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205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204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203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203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205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203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203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205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205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205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203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203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203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204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205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205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205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203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203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205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204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205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205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203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205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203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205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205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205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203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205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203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203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203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203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205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204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205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203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204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205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203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205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203</v>
      </c>
      <c r="D11946" s="32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205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205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203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205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205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205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203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204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205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205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203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203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205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203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205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203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203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203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205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203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205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203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203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205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205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203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205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205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205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205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205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204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203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205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203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203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203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205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205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203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205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203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205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205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203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203</v>
      </c>
      <c r="D11992" s="3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205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203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203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205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203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203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205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205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203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203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203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205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205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205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203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205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204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203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203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203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205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205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205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203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203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205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203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203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203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203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205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205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205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203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205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203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203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203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203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205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205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203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205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205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205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203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203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205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203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203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205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205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203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205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205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205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203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203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205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205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203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205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205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203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203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203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205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203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205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205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204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203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205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203</v>
      </c>
      <c r="D12066" s="32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205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203</v>
      </c>
      <c r="D12068" s="32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203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203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205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205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205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204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203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205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205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203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205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204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203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205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205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203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203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203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203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205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205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205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205</v>
      </c>
      <c r="D12091" s="32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203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205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205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205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203</v>
      </c>
      <c r="D12096" s="32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204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205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203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205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205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204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203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203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204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205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205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205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204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205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205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204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205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205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205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203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203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205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205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203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203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203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205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204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203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205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204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205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204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205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205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204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203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203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205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205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203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205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203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203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203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205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203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205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205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203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203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203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205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205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205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205</v>
      </c>
      <c r="D12152" s="3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205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205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205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205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203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205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205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205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203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203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203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203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204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205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205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204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203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203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205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205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203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203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205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204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203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205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203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203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204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203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205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203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203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205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205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203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205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205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205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203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203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205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205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203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203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205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205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205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203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205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204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205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203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205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205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204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205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205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203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203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205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205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203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203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205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205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205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203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203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205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203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203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203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203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204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203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205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205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203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203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205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203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205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203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203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205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204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205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203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203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205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205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205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205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203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205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203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203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203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204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205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205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204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203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203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205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205</v>
      </c>
      <c r="D12259" s="32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204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204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203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239</v>
      </c>
      <c r="B1" t="s">
        <v>238</v>
      </c>
      <c r="C1" t="s">
        <v>237</v>
      </c>
      <c r="D1" t="s">
        <v>236</v>
      </c>
      <c r="E1" t="s">
        <v>235</v>
      </c>
      <c r="F1" t="s">
        <v>234</v>
      </c>
      <c r="G1" t="s">
        <v>233</v>
      </c>
      <c r="H1" t="s">
        <v>232</v>
      </c>
      <c r="I1" t="s">
        <v>231</v>
      </c>
      <c r="J1" t="s">
        <v>230</v>
      </c>
      <c r="K1" t="s">
        <v>229</v>
      </c>
      <c r="L1" t="s">
        <v>228</v>
      </c>
      <c r="M1" t="s">
        <v>227</v>
      </c>
      <c r="N1" t="s">
        <v>226</v>
      </c>
      <c r="O1" t="s">
        <v>225</v>
      </c>
      <c r="P1" t="s">
        <v>224</v>
      </c>
      <c r="Q1" t="s">
        <v>223</v>
      </c>
      <c r="R1" t="s">
        <v>222</v>
      </c>
      <c r="S1" t="s">
        <v>221</v>
      </c>
      <c r="T1" t="s">
        <v>220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215</v>
      </c>
      <c r="O2" t="s">
        <v>217</v>
      </c>
      <c r="P2">
        <v>446</v>
      </c>
      <c r="Q2">
        <v>33</v>
      </c>
      <c r="R2">
        <v>20</v>
      </c>
      <c r="S2" t="s">
        <v>219</v>
      </c>
      <c r="T2" t="s">
        <v>215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218</v>
      </c>
      <c r="O3" t="s">
        <v>216</v>
      </c>
      <c r="P3">
        <v>632</v>
      </c>
      <c r="Q3">
        <v>43</v>
      </c>
      <c r="R3">
        <v>10</v>
      </c>
      <c r="S3">
        <v>475</v>
      </c>
      <c r="T3" t="s">
        <v>218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215</v>
      </c>
      <c r="O4" t="s">
        <v>216</v>
      </c>
      <c r="P4">
        <v>880</v>
      </c>
      <c r="Q4">
        <v>82</v>
      </c>
      <c r="R4">
        <v>14</v>
      </c>
      <c r="S4">
        <v>480</v>
      </c>
      <c r="T4" t="s">
        <v>215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218</v>
      </c>
      <c r="O5" t="s">
        <v>217</v>
      </c>
      <c r="P5">
        <v>200</v>
      </c>
      <c r="Q5">
        <v>11</v>
      </c>
      <c r="R5">
        <v>3</v>
      </c>
      <c r="S5">
        <v>500</v>
      </c>
      <c r="T5" t="s">
        <v>218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218</v>
      </c>
      <c r="O6" t="s">
        <v>217</v>
      </c>
      <c r="P6">
        <v>805</v>
      </c>
      <c r="Q6">
        <v>40</v>
      </c>
      <c r="R6">
        <v>4</v>
      </c>
      <c r="S6">
        <v>91.5</v>
      </c>
      <c r="T6" t="s">
        <v>218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215</v>
      </c>
      <c r="O7" t="s">
        <v>216</v>
      </c>
      <c r="P7">
        <v>282</v>
      </c>
      <c r="Q7">
        <v>421</v>
      </c>
      <c r="R7">
        <v>25</v>
      </c>
      <c r="S7">
        <v>750</v>
      </c>
      <c r="T7" t="s">
        <v>215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218</v>
      </c>
      <c r="O8" t="s">
        <v>217</v>
      </c>
      <c r="P8">
        <v>76</v>
      </c>
      <c r="Q8">
        <v>127</v>
      </c>
      <c r="R8">
        <v>7</v>
      </c>
      <c r="S8">
        <v>70</v>
      </c>
      <c r="T8" t="s">
        <v>215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215</v>
      </c>
      <c r="O9" t="s">
        <v>216</v>
      </c>
      <c r="P9">
        <v>121</v>
      </c>
      <c r="Q9">
        <v>283</v>
      </c>
      <c r="R9">
        <v>9</v>
      </c>
      <c r="S9">
        <v>100</v>
      </c>
      <c r="T9" t="s">
        <v>215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218</v>
      </c>
      <c r="O10" t="s">
        <v>216</v>
      </c>
      <c r="P10">
        <v>143</v>
      </c>
      <c r="Q10">
        <v>290</v>
      </c>
      <c r="R10">
        <v>19</v>
      </c>
      <c r="S10">
        <v>75</v>
      </c>
      <c r="T10" t="s">
        <v>218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215</v>
      </c>
      <c r="O11" t="s">
        <v>217</v>
      </c>
      <c r="P11">
        <v>0</v>
      </c>
      <c r="Q11">
        <v>0</v>
      </c>
      <c r="R11">
        <v>0</v>
      </c>
      <c r="S11">
        <v>1100</v>
      </c>
      <c r="T11" t="s">
        <v>215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215</v>
      </c>
      <c r="O12" t="s">
        <v>217</v>
      </c>
      <c r="P12">
        <v>238</v>
      </c>
      <c r="Q12">
        <v>445</v>
      </c>
      <c r="R12">
        <v>22</v>
      </c>
      <c r="S12">
        <v>517.14300000000003</v>
      </c>
      <c r="T12" t="s">
        <v>215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218</v>
      </c>
      <c r="O13" t="s">
        <v>216</v>
      </c>
      <c r="P13">
        <v>304</v>
      </c>
      <c r="Q13">
        <v>45</v>
      </c>
      <c r="R13">
        <v>11</v>
      </c>
      <c r="S13">
        <v>512.5</v>
      </c>
      <c r="T13" t="s">
        <v>218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218</v>
      </c>
      <c r="O14" t="s">
        <v>217</v>
      </c>
      <c r="P14">
        <v>211</v>
      </c>
      <c r="Q14">
        <v>11</v>
      </c>
      <c r="R14">
        <v>7</v>
      </c>
      <c r="S14">
        <v>550</v>
      </c>
      <c r="T14" t="s">
        <v>218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215</v>
      </c>
      <c r="O15" t="s">
        <v>217</v>
      </c>
      <c r="P15">
        <v>121</v>
      </c>
      <c r="Q15">
        <v>151</v>
      </c>
      <c r="R15">
        <v>6</v>
      </c>
      <c r="S15">
        <v>700</v>
      </c>
      <c r="T15" t="s">
        <v>215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218</v>
      </c>
      <c r="O16" t="s">
        <v>217</v>
      </c>
      <c r="P16">
        <v>80</v>
      </c>
      <c r="Q16">
        <v>45</v>
      </c>
      <c r="R16">
        <v>8</v>
      </c>
      <c r="S16">
        <v>240</v>
      </c>
      <c r="T16" t="s">
        <v>218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215</v>
      </c>
      <c r="O17" t="s">
        <v>216</v>
      </c>
      <c r="P17">
        <v>118</v>
      </c>
      <c r="Q17">
        <v>0</v>
      </c>
      <c r="R17">
        <v>0</v>
      </c>
      <c r="S17" t="s">
        <v>219</v>
      </c>
      <c r="T17" t="s">
        <v>215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218</v>
      </c>
      <c r="O18" t="s">
        <v>216</v>
      </c>
      <c r="P18">
        <v>105</v>
      </c>
      <c r="Q18">
        <v>290</v>
      </c>
      <c r="R18">
        <v>10</v>
      </c>
      <c r="S18">
        <v>775</v>
      </c>
      <c r="T18" t="s">
        <v>218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215</v>
      </c>
      <c r="O19" t="s">
        <v>216</v>
      </c>
      <c r="P19">
        <v>102</v>
      </c>
      <c r="Q19">
        <v>177</v>
      </c>
      <c r="R19">
        <v>16</v>
      </c>
      <c r="S19">
        <v>175</v>
      </c>
      <c r="T19" t="s">
        <v>215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215</v>
      </c>
      <c r="O20" t="s">
        <v>216</v>
      </c>
      <c r="P20">
        <v>912</v>
      </c>
      <c r="Q20">
        <v>88</v>
      </c>
      <c r="R20">
        <v>9</v>
      </c>
      <c r="S20" t="s">
        <v>219</v>
      </c>
      <c r="T20" t="s">
        <v>215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218</v>
      </c>
      <c r="O21" t="s">
        <v>216</v>
      </c>
      <c r="P21">
        <v>202</v>
      </c>
      <c r="Q21">
        <v>22</v>
      </c>
      <c r="R21">
        <v>2</v>
      </c>
      <c r="S21">
        <v>135</v>
      </c>
      <c r="T21" t="s">
        <v>218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218</v>
      </c>
      <c r="O22" t="s">
        <v>217</v>
      </c>
      <c r="P22">
        <v>280</v>
      </c>
      <c r="Q22">
        <v>9</v>
      </c>
      <c r="R22">
        <v>5</v>
      </c>
      <c r="S22">
        <v>100</v>
      </c>
      <c r="T22" t="s">
        <v>218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215</v>
      </c>
      <c r="O23" t="s">
        <v>216</v>
      </c>
      <c r="P23">
        <v>361</v>
      </c>
      <c r="Q23">
        <v>22</v>
      </c>
      <c r="R23">
        <v>2</v>
      </c>
      <c r="S23">
        <v>115</v>
      </c>
      <c r="T23" t="s">
        <v>218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215</v>
      </c>
      <c r="O24" t="s">
        <v>216</v>
      </c>
      <c r="P24">
        <v>812</v>
      </c>
      <c r="Q24">
        <v>84</v>
      </c>
      <c r="R24">
        <v>11</v>
      </c>
      <c r="S24" t="s">
        <v>219</v>
      </c>
      <c r="T24" t="s">
        <v>215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218</v>
      </c>
      <c r="O25" t="s">
        <v>216</v>
      </c>
      <c r="P25">
        <v>518</v>
      </c>
      <c r="Q25">
        <v>55</v>
      </c>
      <c r="R25">
        <v>3</v>
      </c>
      <c r="S25">
        <v>600</v>
      </c>
      <c r="T25" t="s">
        <v>218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215</v>
      </c>
      <c r="O26" t="s">
        <v>217</v>
      </c>
      <c r="P26">
        <v>1067</v>
      </c>
      <c r="Q26">
        <v>157</v>
      </c>
      <c r="R26">
        <v>14</v>
      </c>
      <c r="S26">
        <v>776.66700000000003</v>
      </c>
      <c r="T26" t="s">
        <v>215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215</v>
      </c>
      <c r="O27" t="s">
        <v>217</v>
      </c>
      <c r="P27">
        <v>434</v>
      </c>
      <c r="Q27">
        <v>9</v>
      </c>
      <c r="R27">
        <v>3</v>
      </c>
      <c r="S27">
        <v>765</v>
      </c>
      <c r="T27" t="s">
        <v>215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218</v>
      </c>
      <c r="O28" t="s">
        <v>217</v>
      </c>
      <c r="P28">
        <v>222</v>
      </c>
      <c r="Q28">
        <v>3</v>
      </c>
      <c r="R28">
        <v>3</v>
      </c>
      <c r="S28">
        <v>708.33299999999997</v>
      </c>
      <c r="T28" t="s">
        <v>218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218</v>
      </c>
      <c r="O29" t="s">
        <v>216</v>
      </c>
      <c r="P29">
        <v>732</v>
      </c>
      <c r="Q29">
        <v>83</v>
      </c>
      <c r="R29">
        <v>13</v>
      </c>
      <c r="S29">
        <v>750</v>
      </c>
      <c r="T29" t="s">
        <v>218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218</v>
      </c>
      <c r="O30" t="s">
        <v>216</v>
      </c>
      <c r="P30">
        <v>262</v>
      </c>
      <c r="Q30">
        <v>329</v>
      </c>
      <c r="R30">
        <v>16</v>
      </c>
      <c r="S30">
        <v>625</v>
      </c>
      <c r="T30" t="s">
        <v>218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215</v>
      </c>
      <c r="O31" t="s">
        <v>216</v>
      </c>
      <c r="P31">
        <v>267</v>
      </c>
      <c r="Q31">
        <v>5</v>
      </c>
      <c r="R31">
        <v>3</v>
      </c>
      <c r="S31">
        <v>900</v>
      </c>
      <c r="T31" t="s">
        <v>215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215</v>
      </c>
      <c r="O32" t="s">
        <v>216</v>
      </c>
      <c r="P32">
        <v>127</v>
      </c>
      <c r="Q32">
        <v>221</v>
      </c>
      <c r="R32">
        <v>7</v>
      </c>
      <c r="S32" t="s">
        <v>219</v>
      </c>
      <c r="T32" t="s">
        <v>215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218</v>
      </c>
      <c r="O33" t="s">
        <v>216</v>
      </c>
      <c r="P33">
        <v>226</v>
      </c>
      <c r="Q33">
        <v>7</v>
      </c>
      <c r="R33">
        <v>4</v>
      </c>
      <c r="S33">
        <v>110</v>
      </c>
      <c r="T33" t="s">
        <v>218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218</v>
      </c>
      <c r="O34" t="s">
        <v>216</v>
      </c>
      <c r="P34">
        <v>1378</v>
      </c>
      <c r="Q34">
        <v>102</v>
      </c>
      <c r="R34">
        <v>8</v>
      </c>
      <c r="S34" t="s">
        <v>219</v>
      </c>
      <c r="T34" t="s">
        <v>218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215</v>
      </c>
      <c r="O35" t="s">
        <v>217</v>
      </c>
      <c r="P35">
        <v>109</v>
      </c>
      <c r="Q35">
        <v>292</v>
      </c>
      <c r="R35">
        <v>25</v>
      </c>
      <c r="S35">
        <v>612.5</v>
      </c>
      <c r="T35" t="s">
        <v>215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215</v>
      </c>
      <c r="O36" t="s">
        <v>216</v>
      </c>
      <c r="P36">
        <v>419</v>
      </c>
      <c r="Q36">
        <v>46</v>
      </c>
      <c r="R36">
        <v>5</v>
      </c>
      <c r="S36">
        <v>300</v>
      </c>
      <c r="T36" t="s">
        <v>215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218</v>
      </c>
      <c r="O37" t="s">
        <v>216</v>
      </c>
      <c r="P37">
        <v>72</v>
      </c>
      <c r="Q37">
        <v>170</v>
      </c>
      <c r="R37">
        <v>24</v>
      </c>
      <c r="S37">
        <v>850</v>
      </c>
      <c r="T37" t="s">
        <v>218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215</v>
      </c>
      <c r="O38" t="s">
        <v>217</v>
      </c>
      <c r="P38">
        <v>70</v>
      </c>
      <c r="Q38">
        <v>149</v>
      </c>
      <c r="R38">
        <v>12</v>
      </c>
      <c r="S38" t="s">
        <v>219</v>
      </c>
      <c r="T38" t="s">
        <v>215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218</v>
      </c>
      <c r="O39" t="s">
        <v>216</v>
      </c>
      <c r="P39">
        <v>442</v>
      </c>
      <c r="Q39">
        <v>59</v>
      </c>
      <c r="R39">
        <v>6</v>
      </c>
      <c r="S39">
        <v>90</v>
      </c>
      <c r="T39" t="s">
        <v>218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215</v>
      </c>
      <c r="O40" t="s">
        <v>217</v>
      </c>
      <c r="P40">
        <v>0</v>
      </c>
      <c r="Q40">
        <v>0</v>
      </c>
      <c r="R40">
        <v>0</v>
      </c>
      <c r="S40" t="s">
        <v>219</v>
      </c>
      <c r="T40" t="s">
        <v>215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218</v>
      </c>
      <c r="O41" t="s">
        <v>216</v>
      </c>
      <c r="P41">
        <v>166</v>
      </c>
      <c r="Q41">
        <v>172</v>
      </c>
      <c r="R41">
        <v>10</v>
      </c>
      <c r="S41" t="s">
        <v>219</v>
      </c>
      <c r="T41" t="s">
        <v>218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215</v>
      </c>
      <c r="O42" t="s">
        <v>217</v>
      </c>
      <c r="P42">
        <v>326</v>
      </c>
      <c r="Q42">
        <v>29</v>
      </c>
      <c r="R42">
        <v>5</v>
      </c>
      <c r="S42">
        <v>67.5</v>
      </c>
      <c r="T42" t="s">
        <v>215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218</v>
      </c>
      <c r="O43" t="s">
        <v>216</v>
      </c>
      <c r="P43">
        <v>103</v>
      </c>
      <c r="Q43">
        <v>84</v>
      </c>
      <c r="R43">
        <v>5</v>
      </c>
      <c r="S43" t="s">
        <v>219</v>
      </c>
      <c r="T43" t="s">
        <v>218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218</v>
      </c>
      <c r="O44" t="s">
        <v>216</v>
      </c>
      <c r="P44">
        <v>69</v>
      </c>
      <c r="Q44">
        <v>1</v>
      </c>
      <c r="R44">
        <v>1</v>
      </c>
      <c r="S44" t="s">
        <v>219</v>
      </c>
      <c r="T44" t="s">
        <v>218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215</v>
      </c>
      <c r="O45" t="s">
        <v>217</v>
      </c>
      <c r="P45">
        <v>307</v>
      </c>
      <c r="Q45">
        <v>25</v>
      </c>
      <c r="R45">
        <v>1</v>
      </c>
      <c r="S45">
        <v>180</v>
      </c>
      <c r="T45" t="s">
        <v>215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215</v>
      </c>
      <c r="O46" t="s">
        <v>217</v>
      </c>
      <c r="P46">
        <v>325</v>
      </c>
      <c r="Q46">
        <v>22</v>
      </c>
      <c r="R46">
        <v>2</v>
      </c>
      <c r="S46" t="s">
        <v>219</v>
      </c>
      <c r="T46" t="s">
        <v>215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215</v>
      </c>
      <c r="O47" t="s">
        <v>217</v>
      </c>
      <c r="P47">
        <v>359</v>
      </c>
      <c r="Q47">
        <v>30</v>
      </c>
      <c r="R47">
        <v>4</v>
      </c>
      <c r="S47">
        <v>305</v>
      </c>
      <c r="T47" t="s">
        <v>215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218</v>
      </c>
      <c r="O48" t="s">
        <v>216</v>
      </c>
      <c r="P48">
        <v>73</v>
      </c>
      <c r="Q48">
        <v>177</v>
      </c>
      <c r="R48">
        <v>18</v>
      </c>
      <c r="S48">
        <v>215</v>
      </c>
      <c r="T48" t="s">
        <v>218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215</v>
      </c>
      <c r="O49" t="s">
        <v>217</v>
      </c>
      <c r="P49">
        <v>58</v>
      </c>
      <c r="Q49">
        <v>4</v>
      </c>
      <c r="R49">
        <v>4</v>
      </c>
      <c r="S49">
        <v>247.5</v>
      </c>
      <c r="T49" t="s">
        <v>215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215</v>
      </c>
      <c r="O50" t="s">
        <v>217</v>
      </c>
      <c r="P50">
        <v>697</v>
      </c>
      <c r="Q50">
        <v>61</v>
      </c>
      <c r="R50">
        <v>9</v>
      </c>
      <c r="S50" t="s">
        <v>219</v>
      </c>
      <c r="T50" t="s">
        <v>215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218</v>
      </c>
      <c r="O51" t="s">
        <v>216</v>
      </c>
      <c r="P51">
        <v>303</v>
      </c>
      <c r="Q51">
        <v>9</v>
      </c>
      <c r="R51">
        <v>9</v>
      </c>
      <c r="S51">
        <v>815</v>
      </c>
      <c r="T51" t="s">
        <v>218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215</v>
      </c>
      <c r="O52" t="s">
        <v>216</v>
      </c>
      <c r="P52">
        <v>389</v>
      </c>
      <c r="Q52">
        <v>39</v>
      </c>
      <c r="R52">
        <v>4</v>
      </c>
      <c r="S52">
        <v>875</v>
      </c>
      <c r="T52" t="s">
        <v>215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218</v>
      </c>
      <c r="O53" t="s">
        <v>217</v>
      </c>
      <c r="P53">
        <v>109</v>
      </c>
      <c r="Q53">
        <v>7</v>
      </c>
      <c r="R53">
        <v>3</v>
      </c>
      <c r="S53">
        <v>70</v>
      </c>
      <c r="T53" t="s">
        <v>218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215</v>
      </c>
      <c r="O54" t="s">
        <v>217</v>
      </c>
      <c r="P54">
        <v>0</v>
      </c>
      <c r="Q54">
        <v>0</v>
      </c>
      <c r="R54">
        <v>0</v>
      </c>
      <c r="S54" t="s">
        <v>219</v>
      </c>
      <c r="T54" t="s">
        <v>215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215</v>
      </c>
      <c r="O55" t="s">
        <v>216</v>
      </c>
      <c r="P55">
        <v>67</v>
      </c>
      <c r="Q55">
        <v>147</v>
      </c>
      <c r="R55">
        <v>4</v>
      </c>
      <c r="S55">
        <v>1200</v>
      </c>
      <c r="T55" t="s">
        <v>215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215</v>
      </c>
      <c r="O56" t="s">
        <v>217</v>
      </c>
      <c r="P56">
        <v>316</v>
      </c>
      <c r="Q56">
        <v>6</v>
      </c>
      <c r="R56">
        <v>5</v>
      </c>
      <c r="S56">
        <v>675</v>
      </c>
      <c r="T56" t="s">
        <v>215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218</v>
      </c>
      <c r="O57" t="s">
        <v>216</v>
      </c>
      <c r="P57">
        <v>161</v>
      </c>
      <c r="Q57">
        <v>10</v>
      </c>
      <c r="R57">
        <v>3</v>
      </c>
      <c r="S57">
        <v>415</v>
      </c>
      <c r="T57" t="s">
        <v>218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218</v>
      </c>
      <c r="O58" t="s">
        <v>216</v>
      </c>
      <c r="P58">
        <v>142</v>
      </c>
      <c r="Q58">
        <v>14</v>
      </c>
      <c r="R58">
        <v>2</v>
      </c>
      <c r="S58">
        <v>340</v>
      </c>
      <c r="T58" t="s">
        <v>218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215</v>
      </c>
      <c r="O59" t="s">
        <v>217</v>
      </c>
      <c r="P59">
        <v>425</v>
      </c>
      <c r="Q59">
        <v>43</v>
      </c>
      <c r="R59">
        <v>4</v>
      </c>
      <c r="S59" t="s">
        <v>219</v>
      </c>
      <c r="T59" t="s">
        <v>215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218</v>
      </c>
      <c r="O60" t="s">
        <v>216</v>
      </c>
      <c r="P60">
        <v>106</v>
      </c>
      <c r="Q60">
        <v>206</v>
      </c>
      <c r="R60">
        <v>7</v>
      </c>
      <c r="S60">
        <v>416.66699999999997</v>
      </c>
      <c r="T60" t="s">
        <v>218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215</v>
      </c>
      <c r="O61" t="s">
        <v>217</v>
      </c>
      <c r="P61">
        <v>240</v>
      </c>
      <c r="Q61">
        <v>482</v>
      </c>
      <c r="R61">
        <v>13</v>
      </c>
      <c r="S61">
        <v>1350</v>
      </c>
      <c r="T61" t="s">
        <v>215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215</v>
      </c>
      <c r="O62" t="s">
        <v>217</v>
      </c>
      <c r="P62">
        <v>203</v>
      </c>
      <c r="Q62">
        <v>70</v>
      </c>
      <c r="R62">
        <v>10</v>
      </c>
      <c r="S62">
        <v>90</v>
      </c>
      <c r="T62" t="s">
        <v>215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218</v>
      </c>
      <c r="O63" t="s">
        <v>217</v>
      </c>
      <c r="P63">
        <v>53</v>
      </c>
      <c r="Q63">
        <v>88</v>
      </c>
      <c r="R63">
        <v>3</v>
      </c>
      <c r="S63">
        <v>275</v>
      </c>
      <c r="T63" t="s">
        <v>218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215</v>
      </c>
      <c r="O64" t="s">
        <v>216</v>
      </c>
      <c r="P64">
        <v>125</v>
      </c>
      <c r="Q64">
        <v>199</v>
      </c>
      <c r="R64">
        <v>13</v>
      </c>
      <c r="S64">
        <v>230</v>
      </c>
      <c r="T64" t="s">
        <v>215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218</v>
      </c>
      <c r="O65" t="s">
        <v>216</v>
      </c>
      <c r="P65">
        <v>73</v>
      </c>
      <c r="Q65">
        <v>152</v>
      </c>
      <c r="R65">
        <v>11</v>
      </c>
      <c r="S65">
        <v>225</v>
      </c>
      <c r="T65" t="s">
        <v>218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215</v>
      </c>
      <c r="O66" t="s">
        <v>216</v>
      </c>
      <c r="P66">
        <v>80</v>
      </c>
      <c r="Q66">
        <v>4</v>
      </c>
      <c r="R66">
        <v>0</v>
      </c>
      <c r="S66" t="s">
        <v>219</v>
      </c>
      <c r="T66" t="s">
        <v>215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215</v>
      </c>
      <c r="O67" t="s">
        <v>217</v>
      </c>
      <c r="P67">
        <v>0</v>
      </c>
      <c r="Q67">
        <v>0</v>
      </c>
      <c r="R67">
        <v>0</v>
      </c>
      <c r="S67">
        <v>950</v>
      </c>
      <c r="T67" t="s">
        <v>215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218</v>
      </c>
      <c r="O68" t="s">
        <v>217</v>
      </c>
      <c r="P68">
        <v>391</v>
      </c>
      <c r="Q68">
        <v>38</v>
      </c>
      <c r="R68">
        <v>8</v>
      </c>
      <c r="S68" t="s">
        <v>219</v>
      </c>
      <c r="T68" t="s">
        <v>218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215</v>
      </c>
      <c r="O69" t="s">
        <v>216</v>
      </c>
      <c r="P69">
        <v>152</v>
      </c>
      <c r="Q69">
        <v>3</v>
      </c>
      <c r="R69">
        <v>5</v>
      </c>
      <c r="S69">
        <v>75</v>
      </c>
      <c r="T69" t="s">
        <v>215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215</v>
      </c>
      <c r="O70" t="s">
        <v>217</v>
      </c>
      <c r="P70">
        <v>107</v>
      </c>
      <c r="Q70">
        <v>242</v>
      </c>
      <c r="R70">
        <v>23</v>
      </c>
      <c r="S70">
        <v>105</v>
      </c>
      <c r="T70" t="s">
        <v>215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215</v>
      </c>
      <c r="O71" t="s">
        <v>217</v>
      </c>
      <c r="P71">
        <v>211</v>
      </c>
      <c r="Q71">
        <v>2</v>
      </c>
      <c r="R71">
        <v>1</v>
      </c>
      <c r="S71" t="s">
        <v>219</v>
      </c>
      <c r="T71" t="s">
        <v>215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218</v>
      </c>
      <c r="O72" t="s">
        <v>216</v>
      </c>
      <c r="P72">
        <v>153</v>
      </c>
      <c r="Q72">
        <v>223</v>
      </c>
      <c r="R72">
        <v>10</v>
      </c>
      <c r="S72">
        <v>320</v>
      </c>
      <c r="T72" t="s">
        <v>218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218</v>
      </c>
      <c r="O73" t="s">
        <v>217</v>
      </c>
      <c r="P73">
        <v>244</v>
      </c>
      <c r="Q73">
        <v>21</v>
      </c>
      <c r="R73">
        <v>4</v>
      </c>
      <c r="S73" t="s">
        <v>219</v>
      </c>
      <c r="T73" t="s">
        <v>218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215</v>
      </c>
      <c r="O74" t="s">
        <v>216</v>
      </c>
      <c r="P74">
        <v>119</v>
      </c>
      <c r="Q74">
        <v>216</v>
      </c>
      <c r="R74">
        <v>12</v>
      </c>
      <c r="S74">
        <v>850</v>
      </c>
      <c r="T74" t="s">
        <v>215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215</v>
      </c>
      <c r="O75" t="s">
        <v>217</v>
      </c>
      <c r="P75">
        <v>808</v>
      </c>
      <c r="Q75">
        <v>108</v>
      </c>
      <c r="R75">
        <v>2</v>
      </c>
      <c r="S75">
        <v>535</v>
      </c>
      <c r="T75" t="s">
        <v>215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215</v>
      </c>
      <c r="O76" t="s">
        <v>217</v>
      </c>
      <c r="P76">
        <v>280</v>
      </c>
      <c r="Q76">
        <v>10</v>
      </c>
      <c r="R76">
        <v>5</v>
      </c>
      <c r="S76">
        <v>933.33299999999997</v>
      </c>
      <c r="T76" t="s">
        <v>215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215</v>
      </c>
      <c r="O77" t="s">
        <v>217</v>
      </c>
      <c r="P77">
        <v>224</v>
      </c>
      <c r="Q77">
        <v>286</v>
      </c>
      <c r="R77">
        <v>8</v>
      </c>
      <c r="S77">
        <v>850</v>
      </c>
      <c r="T77" t="s">
        <v>218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218</v>
      </c>
      <c r="O78" t="s">
        <v>216</v>
      </c>
      <c r="P78">
        <v>226</v>
      </c>
      <c r="Q78">
        <v>7</v>
      </c>
      <c r="R78">
        <v>3</v>
      </c>
      <c r="S78">
        <v>210</v>
      </c>
      <c r="T78" t="s">
        <v>215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218</v>
      </c>
      <c r="O79" t="s">
        <v>217</v>
      </c>
      <c r="P79">
        <v>83</v>
      </c>
      <c r="Q79">
        <v>2</v>
      </c>
      <c r="R79">
        <v>1</v>
      </c>
      <c r="S79" t="s">
        <v>219</v>
      </c>
      <c r="T79" t="s">
        <v>218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215</v>
      </c>
      <c r="O80" t="s">
        <v>216</v>
      </c>
      <c r="P80">
        <v>182</v>
      </c>
      <c r="Q80">
        <v>9</v>
      </c>
      <c r="R80">
        <v>4</v>
      </c>
      <c r="S80">
        <v>325</v>
      </c>
      <c r="T80" t="s">
        <v>215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215</v>
      </c>
      <c r="O81" t="s">
        <v>216</v>
      </c>
      <c r="P81">
        <v>104</v>
      </c>
      <c r="Q81">
        <v>213</v>
      </c>
      <c r="R81">
        <v>9</v>
      </c>
      <c r="S81">
        <v>275</v>
      </c>
      <c r="T81" t="s">
        <v>215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215</v>
      </c>
      <c r="O82" t="s">
        <v>216</v>
      </c>
      <c r="P82">
        <v>463</v>
      </c>
      <c r="Q82">
        <v>32</v>
      </c>
      <c r="R82">
        <v>8</v>
      </c>
      <c r="S82" t="s">
        <v>219</v>
      </c>
      <c r="T82" t="s">
        <v>215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218</v>
      </c>
      <c r="O83" t="s">
        <v>217</v>
      </c>
      <c r="P83">
        <v>51</v>
      </c>
      <c r="Q83">
        <v>54</v>
      </c>
      <c r="R83">
        <v>8</v>
      </c>
      <c r="S83">
        <v>450</v>
      </c>
      <c r="T83" t="s">
        <v>218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215</v>
      </c>
      <c r="O84" t="s">
        <v>217</v>
      </c>
      <c r="P84">
        <v>1377</v>
      </c>
      <c r="Q84">
        <v>100</v>
      </c>
      <c r="R84">
        <v>6</v>
      </c>
      <c r="S84">
        <v>1975</v>
      </c>
      <c r="T84" t="s">
        <v>215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215</v>
      </c>
      <c r="O85" t="s">
        <v>216</v>
      </c>
      <c r="P85">
        <v>92</v>
      </c>
      <c r="Q85">
        <v>2</v>
      </c>
      <c r="R85">
        <v>2</v>
      </c>
      <c r="S85" t="s">
        <v>219</v>
      </c>
      <c r="T85" t="s">
        <v>215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218</v>
      </c>
      <c r="O86" t="s">
        <v>216</v>
      </c>
      <c r="P86">
        <v>303</v>
      </c>
      <c r="Q86">
        <v>6</v>
      </c>
      <c r="R86">
        <v>6</v>
      </c>
      <c r="S86">
        <v>1900</v>
      </c>
      <c r="T86" t="s">
        <v>218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215</v>
      </c>
      <c r="O87" t="s">
        <v>216</v>
      </c>
      <c r="P87">
        <v>276</v>
      </c>
      <c r="Q87">
        <v>6</v>
      </c>
      <c r="R87">
        <v>2</v>
      </c>
      <c r="S87">
        <v>600</v>
      </c>
      <c r="T87" t="s">
        <v>215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218</v>
      </c>
      <c r="O88" t="s">
        <v>216</v>
      </c>
      <c r="P88">
        <v>278</v>
      </c>
      <c r="Q88">
        <v>9</v>
      </c>
      <c r="R88">
        <v>9</v>
      </c>
      <c r="S88">
        <v>1041.6669999999999</v>
      </c>
      <c r="T88" t="s">
        <v>218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215</v>
      </c>
      <c r="O89" t="s">
        <v>217</v>
      </c>
      <c r="P89">
        <v>148</v>
      </c>
      <c r="Q89">
        <v>4</v>
      </c>
      <c r="R89">
        <v>2</v>
      </c>
      <c r="S89">
        <v>110</v>
      </c>
      <c r="T89" t="s">
        <v>215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215</v>
      </c>
      <c r="O90" t="s">
        <v>216</v>
      </c>
      <c r="P90">
        <v>165</v>
      </c>
      <c r="Q90">
        <v>9</v>
      </c>
      <c r="R90">
        <v>1</v>
      </c>
      <c r="S90">
        <v>260</v>
      </c>
      <c r="T90" t="s">
        <v>215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215</v>
      </c>
      <c r="O91" t="s">
        <v>216</v>
      </c>
      <c r="P91">
        <v>246</v>
      </c>
      <c r="Q91">
        <v>389</v>
      </c>
      <c r="R91">
        <v>18</v>
      </c>
      <c r="S91">
        <v>475</v>
      </c>
      <c r="T91" t="s">
        <v>215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215</v>
      </c>
      <c r="O92" t="s">
        <v>216</v>
      </c>
      <c r="P92">
        <v>533</v>
      </c>
      <c r="Q92">
        <v>40</v>
      </c>
      <c r="R92">
        <v>4</v>
      </c>
      <c r="S92">
        <v>431.5</v>
      </c>
      <c r="T92" t="s">
        <v>215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218</v>
      </c>
      <c r="O93" t="s">
        <v>217</v>
      </c>
      <c r="P93">
        <v>226</v>
      </c>
      <c r="Q93">
        <v>10</v>
      </c>
      <c r="R93">
        <v>6</v>
      </c>
      <c r="S93">
        <v>1220</v>
      </c>
      <c r="T93" t="s">
        <v>218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215</v>
      </c>
      <c r="O94" t="s">
        <v>217</v>
      </c>
      <c r="P94">
        <v>45</v>
      </c>
      <c r="Q94">
        <v>122</v>
      </c>
      <c r="R94">
        <v>26</v>
      </c>
      <c r="S94">
        <v>70</v>
      </c>
      <c r="T94" t="s">
        <v>215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215</v>
      </c>
      <c r="O95" t="s">
        <v>216</v>
      </c>
      <c r="P95">
        <v>157</v>
      </c>
      <c r="Q95">
        <v>7</v>
      </c>
      <c r="R95">
        <v>8</v>
      </c>
      <c r="S95">
        <v>145</v>
      </c>
      <c r="T95" t="s">
        <v>215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218</v>
      </c>
      <c r="O96" t="s">
        <v>216</v>
      </c>
      <c r="P96">
        <v>142</v>
      </c>
      <c r="Q96">
        <v>210</v>
      </c>
      <c r="R96">
        <v>10</v>
      </c>
      <c r="S96" t="s">
        <v>219</v>
      </c>
      <c r="T96" t="s">
        <v>218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218</v>
      </c>
      <c r="O97" t="s">
        <v>216</v>
      </c>
      <c r="P97">
        <v>59</v>
      </c>
      <c r="Q97">
        <v>156</v>
      </c>
      <c r="R97">
        <v>9</v>
      </c>
      <c r="S97">
        <v>595</v>
      </c>
      <c r="T97" t="s">
        <v>218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215</v>
      </c>
      <c r="O98" t="s">
        <v>217</v>
      </c>
      <c r="P98">
        <v>292</v>
      </c>
      <c r="Q98">
        <v>9</v>
      </c>
      <c r="R98">
        <v>5</v>
      </c>
      <c r="S98">
        <v>1861.46</v>
      </c>
      <c r="T98" t="s">
        <v>215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218</v>
      </c>
      <c r="O99" t="s">
        <v>216</v>
      </c>
      <c r="P99">
        <v>360</v>
      </c>
      <c r="Q99">
        <v>32</v>
      </c>
      <c r="R99">
        <v>5</v>
      </c>
      <c r="S99" t="s">
        <v>219</v>
      </c>
      <c r="T99" t="s">
        <v>218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218</v>
      </c>
      <c r="O100" t="s">
        <v>216</v>
      </c>
      <c r="P100">
        <v>274</v>
      </c>
      <c r="Q100">
        <v>2</v>
      </c>
      <c r="R100">
        <v>7</v>
      </c>
      <c r="S100">
        <v>300</v>
      </c>
      <c r="T100" t="s">
        <v>218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218</v>
      </c>
      <c r="O101" t="s">
        <v>216</v>
      </c>
      <c r="P101">
        <v>292</v>
      </c>
      <c r="Q101">
        <v>6</v>
      </c>
      <c r="R101">
        <v>3</v>
      </c>
      <c r="S101">
        <v>490</v>
      </c>
      <c r="T101" t="s">
        <v>218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215</v>
      </c>
      <c r="O102" t="s">
        <v>217</v>
      </c>
      <c r="P102">
        <v>1045</v>
      </c>
      <c r="Q102">
        <v>88</v>
      </c>
      <c r="R102">
        <v>13</v>
      </c>
      <c r="S102">
        <v>2460</v>
      </c>
      <c r="T102" t="s">
        <v>215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215</v>
      </c>
      <c r="O103" t="s">
        <v>217</v>
      </c>
      <c r="P103">
        <v>212</v>
      </c>
      <c r="Q103">
        <v>327</v>
      </c>
      <c r="R103">
        <v>20</v>
      </c>
      <c r="S103" t="s">
        <v>219</v>
      </c>
      <c r="T103" t="s">
        <v>215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215</v>
      </c>
      <c r="O104" t="s">
        <v>217</v>
      </c>
      <c r="P104">
        <v>102</v>
      </c>
      <c r="Q104">
        <v>132</v>
      </c>
      <c r="R104">
        <v>10</v>
      </c>
      <c r="S104">
        <v>375</v>
      </c>
      <c r="T104" t="s">
        <v>215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215</v>
      </c>
      <c r="O105" t="s">
        <v>217</v>
      </c>
      <c r="P105">
        <v>709</v>
      </c>
      <c r="Q105">
        <v>41</v>
      </c>
      <c r="R105">
        <v>7</v>
      </c>
      <c r="S105" t="s">
        <v>219</v>
      </c>
      <c r="T105" t="s">
        <v>215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215</v>
      </c>
      <c r="O106" t="s">
        <v>217</v>
      </c>
      <c r="P106">
        <v>244</v>
      </c>
      <c r="Q106">
        <v>2</v>
      </c>
      <c r="R106">
        <v>4</v>
      </c>
      <c r="S106" t="s">
        <v>219</v>
      </c>
      <c r="T106" t="s">
        <v>215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215</v>
      </c>
      <c r="O107" t="s">
        <v>217</v>
      </c>
      <c r="P107">
        <v>40</v>
      </c>
      <c r="Q107">
        <v>115</v>
      </c>
      <c r="R107">
        <v>15</v>
      </c>
      <c r="S107" t="s">
        <v>219</v>
      </c>
      <c r="T107" t="s">
        <v>215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218</v>
      </c>
      <c r="O108" t="s">
        <v>216</v>
      </c>
      <c r="P108">
        <v>206</v>
      </c>
      <c r="Q108">
        <v>10</v>
      </c>
      <c r="R108">
        <v>7</v>
      </c>
      <c r="S108" t="s">
        <v>219</v>
      </c>
      <c r="T108" t="s">
        <v>218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215</v>
      </c>
      <c r="O109" t="s">
        <v>216</v>
      </c>
      <c r="P109">
        <v>316</v>
      </c>
      <c r="Q109">
        <v>439</v>
      </c>
      <c r="R109">
        <v>10</v>
      </c>
      <c r="S109">
        <v>750</v>
      </c>
      <c r="T109" t="s">
        <v>215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215</v>
      </c>
      <c r="O110" t="s">
        <v>217</v>
      </c>
      <c r="P110">
        <v>269</v>
      </c>
      <c r="Q110">
        <v>17</v>
      </c>
      <c r="R110">
        <v>10</v>
      </c>
      <c r="S110">
        <v>1175</v>
      </c>
      <c r="T110" t="s">
        <v>215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215</v>
      </c>
      <c r="O111" t="s">
        <v>217</v>
      </c>
      <c r="P111">
        <v>116</v>
      </c>
      <c r="Q111">
        <v>5</v>
      </c>
      <c r="R111">
        <v>12</v>
      </c>
      <c r="S111">
        <v>70</v>
      </c>
      <c r="T111" t="s">
        <v>215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215</v>
      </c>
      <c r="O112" t="s">
        <v>216</v>
      </c>
      <c r="P112">
        <v>97</v>
      </c>
      <c r="Q112">
        <v>218</v>
      </c>
      <c r="R112">
        <v>16</v>
      </c>
      <c r="S112">
        <v>1500</v>
      </c>
      <c r="T112" t="s">
        <v>215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218</v>
      </c>
      <c r="O113" t="s">
        <v>216</v>
      </c>
      <c r="P113">
        <v>726</v>
      </c>
      <c r="Q113">
        <v>87</v>
      </c>
      <c r="R113">
        <v>3</v>
      </c>
      <c r="S113">
        <v>385</v>
      </c>
      <c r="T113" t="s">
        <v>215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218</v>
      </c>
      <c r="O114" t="s">
        <v>217</v>
      </c>
      <c r="P114">
        <v>869</v>
      </c>
      <c r="Q114">
        <v>62</v>
      </c>
      <c r="R114">
        <v>8</v>
      </c>
      <c r="S114">
        <v>1925.5709999999999</v>
      </c>
      <c r="T114" t="s">
        <v>218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218</v>
      </c>
      <c r="O115" t="s">
        <v>216</v>
      </c>
      <c r="P115">
        <v>1253</v>
      </c>
      <c r="Q115">
        <v>111</v>
      </c>
      <c r="R115">
        <v>11</v>
      </c>
      <c r="S115">
        <v>215</v>
      </c>
      <c r="T115" t="s">
        <v>218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218</v>
      </c>
      <c r="O116" t="s">
        <v>217</v>
      </c>
      <c r="P116">
        <v>96</v>
      </c>
      <c r="Q116">
        <v>4</v>
      </c>
      <c r="R116">
        <v>4</v>
      </c>
      <c r="S116" t="s">
        <v>219</v>
      </c>
      <c r="T116" t="s">
        <v>218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215</v>
      </c>
      <c r="O117" t="s">
        <v>216</v>
      </c>
      <c r="P117">
        <v>118</v>
      </c>
      <c r="Q117">
        <v>334</v>
      </c>
      <c r="R117">
        <v>21</v>
      </c>
      <c r="S117">
        <v>900</v>
      </c>
      <c r="T117" t="s">
        <v>215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215</v>
      </c>
      <c r="O118" t="s">
        <v>216</v>
      </c>
      <c r="P118">
        <v>228</v>
      </c>
      <c r="Q118">
        <v>377</v>
      </c>
      <c r="R118">
        <v>26</v>
      </c>
      <c r="S118">
        <v>155</v>
      </c>
      <c r="T118" t="s">
        <v>215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215</v>
      </c>
      <c r="O119" t="s">
        <v>216</v>
      </c>
      <c r="P119">
        <v>144</v>
      </c>
      <c r="Q119">
        <v>6</v>
      </c>
      <c r="R119">
        <v>5</v>
      </c>
      <c r="S119">
        <v>700</v>
      </c>
      <c r="T119" t="s">
        <v>215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218</v>
      </c>
      <c r="O120" t="s">
        <v>216</v>
      </c>
      <c r="P120">
        <v>282</v>
      </c>
      <c r="Q120">
        <v>487</v>
      </c>
      <c r="R120">
        <v>19</v>
      </c>
      <c r="S120">
        <v>535</v>
      </c>
      <c r="T120" t="s">
        <v>218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215</v>
      </c>
      <c r="O121" t="s">
        <v>217</v>
      </c>
      <c r="P121">
        <v>91</v>
      </c>
      <c r="Q121">
        <v>185</v>
      </c>
      <c r="R121">
        <v>12</v>
      </c>
      <c r="S121">
        <v>362.5</v>
      </c>
      <c r="T121" t="s">
        <v>215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218</v>
      </c>
      <c r="O122" t="s">
        <v>217</v>
      </c>
      <c r="P122">
        <v>137</v>
      </c>
      <c r="Q122">
        <v>5</v>
      </c>
      <c r="R122">
        <v>9</v>
      </c>
      <c r="S122">
        <v>733.33299999999997</v>
      </c>
      <c r="T122" t="s">
        <v>218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218</v>
      </c>
      <c r="O123" t="s">
        <v>216</v>
      </c>
      <c r="P123">
        <v>83</v>
      </c>
      <c r="Q123">
        <v>174</v>
      </c>
      <c r="R123">
        <v>16</v>
      </c>
      <c r="S123">
        <v>200</v>
      </c>
      <c r="T123" t="s">
        <v>218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215</v>
      </c>
      <c r="O124" t="s">
        <v>216</v>
      </c>
      <c r="P124">
        <v>462</v>
      </c>
      <c r="Q124">
        <v>9</v>
      </c>
      <c r="R124">
        <v>7</v>
      </c>
      <c r="S124">
        <v>400</v>
      </c>
      <c r="T124" t="s">
        <v>215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218</v>
      </c>
      <c r="O125" t="s">
        <v>217</v>
      </c>
      <c r="P125">
        <v>185</v>
      </c>
      <c r="Q125">
        <v>8</v>
      </c>
      <c r="R125">
        <v>4</v>
      </c>
      <c r="S125">
        <v>400</v>
      </c>
      <c r="T125" t="s">
        <v>215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218</v>
      </c>
      <c r="O126" t="s">
        <v>216</v>
      </c>
      <c r="P126">
        <v>207</v>
      </c>
      <c r="Q126">
        <v>358</v>
      </c>
      <c r="R126">
        <v>20</v>
      </c>
      <c r="S126">
        <v>737.5</v>
      </c>
      <c r="T126" t="s">
        <v>218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215</v>
      </c>
      <c r="O127" t="s">
        <v>216</v>
      </c>
      <c r="P127">
        <v>0</v>
      </c>
      <c r="Q127">
        <v>0</v>
      </c>
      <c r="R127">
        <v>0</v>
      </c>
      <c r="S127" t="s">
        <v>219</v>
      </c>
      <c r="T127" t="s">
        <v>215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215</v>
      </c>
      <c r="O128" t="s">
        <v>216</v>
      </c>
      <c r="P128">
        <v>670</v>
      </c>
      <c r="Q128">
        <v>57</v>
      </c>
      <c r="R128">
        <v>5</v>
      </c>
      <c r="S128">
        <v>500</v>
      </c>
      <c r="T128" t="s">
        <v>215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215</v>
      </c>
      <c r="O129" t="s">
        <v>216</v>
      </c>
      <c r="P129">
        <v>237</v>
      </c>
      <c r="Q129">
        <v>8</v>
      </c>
      <c r="R129">
        <v>1</v>
      </c>
      <c r="S129">
        <v>600</v>
      </c>
      <c r="T129" t="s">
        <v>215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218</v>
      </c>
      <c r="O130" t="s">
        <v>217</v>
      </c>
      <c r="P130">
        <v>331</v>
      </c>
      <c r="Q130">
        <v>20</v>
      </c>
      <c r="R130">
        <v>4</v>
      </c>
      <c r="S130">
        <v>662.5</v>
      </c>
      <c r="T130" t="s">
        <v>218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215</v>
      </c>
      <c r="O131" t="s">
        <v>216</v>
      </c>
      <c r="P131">
        <v>295</v>
      </c>
      <c r="Q131">
        <v>15</v>
      </c>
      <c r="R131">
        <v>5</v>
      </c>
      <c r="S131">
        <v>950</v>
      </c>
      <c r="T131" t="s">
        <v>215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218</v>
      </c>
      <c r="O132" t="s">
        <v>217</v>
      </c>
      <c r="P132">
        <v>116</v>
      </c>
      <c r="Q132">
        <v>222</v>
      </c>
      <c r="R132">
        <v>15</v>
      </c>
      <c r="S132">
        <v>750</v>
      </c>
      <c r="T132" t="s">
        <v>218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218</v>
      </c>
      <c r="O133" t="s">
        <v>217</v>
      </c>
      <c r="P133">
        <v>50</v>
      </c>
      <c r="Q133">
        <v>136</v>
      </c>
      <c r="R133">
        <v>20</v>
      </c>
      <c r="S133">
        <v>297.5</v>
      </c>
      <c r="T133" t="s">
        <v>218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215</v>
      </c>
      <c r="O134" t="s">
        <v>216</v>
      </c>
      <c r="P134">
        <v>0</v>
      </c>
      <c r="Q134">
        <v>0</v>
      </c>
      <c r="R134">
        <v>0</v>
      </c>
      <c r="S134">
        <v>325</v>
      </c>
      <c r="T134" t="s">
        <v>215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215</v>
      </c>
      <c r="O135" t="s">
        <v>216</v>
      </c>
      <c r="P135">
        <v>278</v>
      </c>
      <c r="Q135">
        <v>415</v>
      </c>
      <c r="R135">
        <v>16</v>
      </c>
      <c r="S135">
        <v>87.5</v>
      </c>
      <c r="T135" t="s">
        <v>215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218</v>
      </c>
      <c r="O136" t="s">
        <v>216</v>
      </c>
      <c r="P136">
        <v>138</v>
      </c>
      <c r="Q136">
        <v>15</v>
      </c>
      <c r="R136">
        <v>1</v>
      </c>
      <c r="S136">
        <v>175</v>
      </c>
      <c r="T136" t="s">
        <v>218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218</v>
      </c>
      <c r="O137" t="s">
        <v>217</v>
      </c>
      <c r="P137">
        <v>97</v>
      </c>
      <c r="Q137">
        <v>2</v>
      </c>
      <c r="R137">
        <v>2</v>
      </c>
      <c r="S137">
        <v>90</v>
      </c>
      <c r="T137" t="s">
        <v>218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215</v>
      </c>
      <c r="O138" t="s">
        <v>217</v>
      </c>
      <c r="P138">
        <v>368</v>
      </c>
      <c r="Q138">
        <v>20</v>
      </c>
      <c r="R138">
        <v>3</v>
      </c>
      <c r="S138">
        <v>1237.5</v>
      </c>
      <c r="T138" t="s">
        <v>215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215</v>
      </c>
      <c r="O139" t="s">
        <v>217</v>
      </c>
      <c r="P139">
        <v>211</v>
      </c>
      <c r="Q139">
        <v>56</v>
      </c>
      <c r="R139">
        <v>13</v>
      </c>
      <c r="S139">
        <v>430</v>
      </c>
      <c r="T139" t="s">
        <v>215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215</v>
      </c>
      <c r="O140" t="s">
        <v>217</v>
      </c>
      <c r="P140">
        <v>122</v>
      </c>
      <c r="Q140">
        <v>140</v>
      </c>
      <c r="R140">
        <v>5</v>
      </c>
      <c r="S140" t="s">
        <v>219</v>
      </c>
      <c r="T140" t="s">
        <v>218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215</v>
      </c>
      <c r="O141" t="s">
        <v>216</v>
      </c>
      <c r="P141">
        <v>276</v>
      </c>
      <c r="Q141">
        <v>7</v>
      </c>
      <c r="R141">
        <v>9</v>
      </c>
      <c r="S141">
        <v>100</v>
      </c>
      <c r="T141" t="s">
        <v>218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215</v>
      </c>
      <c r="O142" t="s">
        <v>216</v>
      </c>
      <c r="P142">
        <v>319</v>
      </c>
      <c r="Q142">
        <v>4</v>
      </c>
      <c r="R142">
        <v>14</v>
      </c>
      <c r="S142">
        <v>165</v>
      </c>
      <c r="T142" t="s">
        <v>215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215</v>
      </c>
      <c r="O143" t="s">
        <v>217</v>
      </c>
      <c r="P143">
        <v>241</v>
      </c>
      <c r="Q143">
        <v>8</v>
      </c>
      <c r="R143">
        <v>6</v>
      </c>
      <c r="S143">
        <v>250</v>
      </c>
      <c r="T143" t="s">
        <v>215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218</v>
      </c>
      <c r="O144" t="s">
        <v>217</v>
      </c>
      <c r="P144">
        <v>623</v>
      </c>
      <c r="Q144">
        <v>35</v>
      </c>
      <c r="R144">
        <v>3</v>
      </c>
      <c r="S144">
        <v>1300</v>
      </c>
      <c r="T144" t="s">
        <v>218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218</v>
      </c>
      <c r="O145" t="s">
        <v>216</v>
      </c>
      <c r="P145">
        <v>237</v>
      </c>
      <c r="Q145">
        <v>5</v>
      </c>
      <c r="R145">
        <v>4</v>
      </c>
      <c r="S145">
        <v>773.33299999999997</v>
      </c>
      <c r="T145" t="s">
        <v>218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215</v>
      </c>
      <c r="O146" t="s">
        <v>216</v>
      </c>
      <c r="P146">
        <v>132</v>
      </c>
      <c r="Q146">
        <v>205</v>
      </c>
      <c r="R146">
        <v>5</v>
      </c>
      <c r="S146" t="s">
        <v>219</v>
      </c>
      <c r="T146" t="s">
        <v>215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218</v>
      </c>
      <c r="O147" t="s">
        <v>217</v>
      </c>
      <c r="P147">
        <v>885</v>
      </c>
      <c r="Q147">
        <v>105</v>
      </c>
      <c r="R147">
        <v>8</v>
      </c>
      <c r="S147">
        <v>1008.333</v>
      </c>
      <c r="T147" t="s">
        <v>218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215</v>
      </c>
      <c r="O148" t="s">
        <v>217</v>
      </c>
      <c r="P148">
        <v>33</v>
      </c>
      <c r="Q148">
        <v>3</v>
      </c>
      <c r="R148">
        <v>0</v>
      </c>
      <c r="S148">
        <v>275</v>
      </c>
      <c r="T148" t="s">
        <v>215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215</v>
      </c>
      <c r="O149" t="s">
        <v>217</v>
      </c>
      <c r="P149">
        <v>231</v>
      </c>
      <c r="Q149">
        <v>374</v>
      </c>
      <c r="R149">
        <v>18</v>
      </c>
      <c r="S149">
        <v>775</v>
      </c>
      <c r="T149" t="s">
        <v>215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215</v>
      </c>
      <c r="O150" t="s">
        <v>217</v>
      </c>
      <c r="P150">
        <v>304</v>
      </c>
      <c r="Q150">
        <v>347</v>
      </c>
      <c r="R150">
        <v>10</v>
      </c>
      <c r="S150">
        <v>850</v>
      </c>
      <c r="T150" t="s">
        <v>215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215</v>
      </c>
      <c r="O151" t="s">
        <v>217</v>
      </c>
      <c r="P151">
        <v>0</v>
      </c>
      <c r="Q151">
        <v>0</v>
      </c>
      <c r="R151">
        <v>0</v>
      </c>
      <c r="S151">
        <v>365</v>
      </c>
      <c r="T151" t="s">
        <v>215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215</v>
      </c>
      <c r="O152" t="s">
        <v>216</v>
      </c>
      <c r="P152">
        <v>132</v>
      </c>
      <c r="Q152">
        <v>9</v>
      </c>
      <c r="R152">
        <v>0</v>
      </c>
      <c r="S152" t="s">
        <v>219</v>
      </c>
      <c r="T152" t="s">
        <v>215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215</v>
      </c>
      <c r="O153" t="s">
        <v>216</v>
      </c>
      <c r="P153">
        <v>28</v>
      </c>
      <c r="Q153">
        <v>56</v>
      </c>
      <c r="R153">
        <v>2</v>
      </c>
      <c r="S153">
        <v>95</v>
      </c>
      <c r="T153" t="s">
        <v>215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218</v>
      </c>
      <c r="O154" t="s">
        <v>216</v>
      </c>
      <c r="P154">
        <v>102</v>
      </c>
      <c r="Q154">
        <v>4</v>
      </c>
      <c r="R154">
        <v>2</v>
      </c>
      <c r="S154">
        <v>110</v>
      </c>
      <c r="T154" t="s">
        <v>218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218</v>
      </c>
      <c r="O155" t="s">
        <v>216</v>
      </c>
      <c r="P155">
        <v>158</v>
      </c>
      <c r="Q155">
        <v>4</v>
      </c>
      <c r="R155">
        <v>5</v>
      </c>
      <c r="S155">
        <v>100</v>
      </c>
      <c r="T155" t="s">
        <v>218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218</v>
      </c>
      <c r="O156" t="s">
        <v>217</v>
      </c>
      <c r="P156">
        <v>92</v>
      </c>
      <c r="Q156">
        <v>257</v>
      </c>
      <c r="R156">
        <v>20</v>
      </c>
      <c r="S156">
        <v>277.5</v>
      </c>
      <c r="T156" t="s">
        <v>218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215</v>
      </c>
      <c r="O157" t="s">
        <v>216</v>
      </c>
      <c r="P157">
        <v>211</v>
      </c>
      <c r="Q157">
        <v>9</v>
      </c>
      <c r="R157">
        <v>3</v>
      </c>
      <c r="S157">
        <v>80</v>
      </c>
      <c r="T157" t="s">
        <v>215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218</v>
      </c>
      <c r="O158" t="s">
        <v>217</v>
      </c>
      <c r="P158">
        <v>161</v>
      </c>
      <c r="Q158">
        <v>3</v>
      </c>
      <c r="R158">
        <v>3</v>
      </c>
      <c r="S158">
        <v>600</v>
      </c>
      <c r="T158" t="s">
        <v>218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218</v>
      </c>
      <c r="O159" t="s">
        <v>217</v>
      </c>
      <c r="P159">
        <v>193</v>
      </c>
      <c r="Q159">
        <v>11</v>
      </c>
      <c r="R159">
        <v>4</v>
      </c>
      <c r="S159" t="s">
        <v>219</v>
      </c>
      <c r="T159" t="s">
        <v>218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215</v>
      </c>
      <c r="O160" t="s">
        <v>216</v>
      </c>
      <c r="P160">
        <v>0</v>
      </c>
      <c r="Q160">
        <v>0</v>
      </c>
      <c r="R160">
        <v>0</v>
      </c>
      <c r="S160" t="s">
        <v>219</v>
      </c>
      <c r="T160" t="s">
        <v>215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215</v>
      </c>
      <c r="O161" t="s">
        <v>216</v>
      </c>
      <c r="P161">
        <v>110</v>
      </c>
      <c r="Q161">
        <v>308</v>
      </c>
      <c r="R161">
        <v>15</v>
      </c>
      <c r="S161">
        <v>200</v>
      </c>
      <c r="T161" t="s">
        <v>215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215</v>
      </c>
      <c r="O162" t="s">
        <v>216</v>
      </c>
      <c r="P162">
        <v>260</v>
      </c>
      <c r="Q162">
        <v>58</v>
      </c>
      <c r="R162">
        <v>4</v>
      </c>
      <c r="S162" t="s">
        <v>219</v>
      </c>
      <c r="T162" t="s">
        <v>215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218</v>
      </c>
      <c r="O163" t="s">
        <v>217</v>
      </c>
      <c r="P163">
        <v>280</v>
      </c>
      <c r="Q163">
        <v>479</v>
      </c>
      <c r="R163">
        <v>5</v>
      </c>
      <c r="S163">
        <v>657</v>
      </c>
      <c r="T163" t="s">
        <v>218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215</v>
      </c>
      <c r="O164" t="s">
        <v>216</v>
      </c>
      <c r="P164">
        <v>332</v>
      </c>
      <c r="Q164">
        <v>19</v>
      </c>
      <c r="R164">
        <v>2</v>
      </c>
      <c r="S164">
        <v>75</v>
      </c>
      <c r="T164" t="s">
        <v>218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215</v>
      </c>
      <c r="O165" t="s">
        <v>217</v>
      </c>
      <c r="P165">
        <v>330</v>
      </c>
      <c r="Q165">
        <v>16</v>
      </c>
      <c r="R165">
        <v>8</v>
      </c>
      <c r="S165">
        <v>2412.5</v>
      </c>
      <c r="T165" t="s">
        <v>215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218</v>
      </c>
      <c r="O166" t="s">
        <v>216</v>
      </c>
      <c r="P166">
        <v>87</v>
      </c>
      <c r="Q166">
        <v>166</v>
      </c>
      <c r="R166">
        <v>14</v>
      </c>
      <c r="S166">
        <v>250</v>
      </c>
      <c r="T166" t="s">
        <v>215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218</v>
      </c>
      <c r="O167" t="s">
        <v>217</v>
      </c>
      <c r="P167">
        <v>498</v>
      </c>
      <c r="Q167">
        <v>39</v>
      </c>
      <c r="R167">
        <v>13</v>
      </c>
      <c r="S167">
        <v>155</v>
      </c>
      <c r="T167" t="s">
        <v>218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218</v>
      </c>
      <c r="O168" t="s">
        <v>217</v>
      </c>
      <c r="P168">
        <v>290</v>
      </c>
      <c r="Q168">
        <v>440</v>
      </c>
      <c r="R168">
        <v>25</v>
      </c>
      <c r="S168">
        <v>640</v>
      </c>
      <c r="T168" t="s">
        <v>218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215</v>
      </c>
      <c r="O169" t="s">
        <v>217</v>
      </c>
      <c r="P169">
        <v>222</v>
      </c>
      <c r="Q169">
        <v>5</v>
      </c>
      <c r="R169">
        <v>5</v>
      </c>
      <c r="S169">
        <v>300</v>
      </c>
      <c r="T169" t="s">
        <v>215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215</v>
      </c>
      <c r="O170" t="s">
        <v>216</v>
      </c>
      <c r="P170">
        <v>227</v>
      </c>
      <c r="Q170">
        <v>15</v>
      </c>
      <c r="R170">
        <v>3</v>
      </c>
      <c r="S170">
        <v>110</v>
      </c>
      <c r="T170" t="s">
        <v>215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218</v>
      </c>
      <c r="O171" t="s">
        <v>217</v>
      </c>
      <c r="P171">
        <v>103</v>
      </c>
      <c r="Q171">
        <v>8</v>
      </c>
      <c r="R171">
        <v>2</v>
      </c>
      <c r="S171" t="s">
        <v>219</v>
      </c>
      <c r="T171" t="s">
        <v>218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215</v>
      </c>
      <c r="O172" t="s">
        <v>216</v>
      </c>
      <c r="P172">
        <v>686</v>
      </c>
      <c r="Q172">
        <v>46</v>
      </c>
      <c r="R172">
        <v>4</v>
      </c>
      <c r="S172">
        <v>825</v>
      </c>
      <c r="T172" t="s">
        <v>218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215</v>
      </c>
      <c r="O173" t="s">
        <v>217</v>
      </c>
      <c r="P173">
        <v>243</v>
      </c>
      <c r="Q173">
        <v>23</v>
      </c>
      <c r="R173">
        <v>5</v>
      </c>
      <c r="S173" t="s">
        <v>219</v>
      </c>
      <c r="T173" t="s">
        <v>215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218</v>
      </c>
      <c r="O174" t="s">
        <v>216</v>
      </c>
      <c r="P174">
        <v>249</v>
      </c>
      <c r="Q174">
        <v>444</v>
      </c>
      <c r="R174">
        <v>16</v>
      </c>
      <c r="S174">
        <v>195</v>
      </c>
      <c r="T174" t="s">
        <v>218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215</v>
      </c>
      <c r="O175" t="s">
        <v>216</v>
      </c>
      <c r="P175">
        <v>300</v>
      </c>
      <c r="Q175">
        <v>12</v>
      </c>
      <c r="R175">
        <v>2</v>
      </c>
      <c r="S175" t="s">
        <v>219</v>
      </c>
      <c r="T175" t="s">
        <v>215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218</v>
      </c>
      <c r="O176" t="s">
        <v>216</v>
      </c>
      <c r="P176">
        <v>49</v>
      </c>
      <c r="Q176">
        <v>2</v>
      </c>
      <c r="R176">
        <v>0</v>
      </c>
      <c r="S176">
        <v>450</v>
      </c>
      <c r="T176" t="s">
        <v>218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218</v>
      </c>
      <c r="O177" t="s">
        <v>216</v>
      </c>
      <c r="P177">
        <v>303</v>
      </c>
      <c r="Q177">
        <v>12</v>
      </c>
      <c r="R177">
        <v>5</v>
      </c>
      <c r="S177">
        <v>630</v>
      </c>
      <c r="T177" t="s">
        <v>218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218</v>
      </c>
      <c r="O178" t="s">
        <v>216</v>
      </c>
      <c r="P178">
        <v>88</v>
      </c>
      <c r="Q178">
        <v>0</v>
      </c>
      <c r="R178">
        <v>3</v>
      </c>
      <c r="S178">
        <v>86.5</v>
      </c>
      <c r="T178" t="s">
        <v>218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215</v>
      </c>
      <c r="O179" t="s">
        <v>217</v>
      </c>
      <c r="P179">
        <v>190</v>
      </c>
      <c r="Q179">
        <v>2</v>
      </c>
      <c r="R179">
        <v>2</v>
      </c>
      <c r="S179">
        <v>1300</v>
      </c>
      <c r="T179" t="s">
        <v>215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215</v>
      </c>
      <c r="O180" t="s">
        <v>217</v>
      </c>
      <c r="P180">
        <v>96</v>
      </c>
      <c r="Q180">
        <v>5</v>
      </c>
      <c r="R180">
        <v>3</v>
      </c>
      <c r="S180">
        <v>1000</v>
      </c>
      <c r="T180" t="s">
        <v>218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218</v>
      </c>
      <c r="O181" t="s">
        <v>217</v>
      </c>
      <c r="P181">
        <v>1199</v>
      </c>
      <c r="Q181">
        <v>149</v>
      </c>
      <c r="R181">
        <v>5</v>
      </c>
      <c r="S181">
        <v>1800</v>
      </c>
      <c r="T181" t="s">
        <v>218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215</v>
      </c>
      <c r="O182" t="s">
        <v>216</v>
      </c>
      <c r="P182">
        <v>1218</v>
      </c>
      <c r="Q182">
        <v>104</v>
      </c>
      <c r="R182">
        <v>10</v>
      </c>
      <c r="S182">
        <v>1310</v>
      </c>
      <c r="T182" t="s">
        <v>215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218</v>
      </c>
      <c r="O183" t="s">
        <v>216</v>
      </c>
      <c r="P183">
        <v>145</v>
      </c>
      <c r="Q183">
        <v>5</v>
      </c>
      <c r="R183">
        <v>7</v>
      </c>
      <c r="S183">
        <v>737.5</v>
      </c>
      <c r="T183" t="s">
        <v>218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218</v>
      </c>
      <c r="O184" t="s">
        <v>216</v>
      </c>
      <c r="P184">
        <v>332</v>
      </c>
      <c r="Q184">
        <v>9</v>
      </c>
      <c r="R184">
        <v>8</v>
      </c>
      <c r="S184">
        <v>625</v>
      </c>
      <c r="T184" t="s">
        <v>218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218</v>
      </c>
      <c r="O185" t="s">
        <v>217</v>
      </c>
      <c r="P185">
        <v>145</v>
      </c>
      <c r="Q185">
        <v>59</v>
      </c>
      <c r="R185">
        <v>8</v>
      </c>
      <c r="S185">
        <v>125</v>
      </c>
      <c r="T185" t="s">
        <v>218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218</v>
      </c>
      <c r="O186" t="s">
        <v>217</v>
      </c>
      <c r="P186">
        <v>181</v>
      </c>
      <c r="Q186">
        <v>13</v>
      </c>
      <c r="R186">
        <v>4</v>
      </c>
      <c r="S186">
        <v>1043.3330000000001</v>
      </c>
      <c r="T186" t="s">
        <v>218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218</v>
      </c>
      <c r="O187" t="s">
        <v>216</v>
      </c>
      <c r="P187">
        <v>65</v>
      </c>
      <c r="Q187">
        <v>258</v>
      </c>
      <c r="R187">
        <v>8</v>
      </c>
      <c r="S187">
        <v>725</v>
      </c>
      <c r="T187" t="s">
        <v>218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215</v>
      </c>
      <c r="O188" t="s">
        <v>216</v>
      </c>
      <c r="P188">
        <v>0</v>
      </c>
      <c r="Q188">
        <v>0</v>
      </c>
      <c r="R188">
        <v>0</v>
      </c>
      <c r="S188">
        <v>300</v>
      </c>
      <c r="T188" t="s">
        <v>215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215</v>
      </c>
      <c r="O189" t="s">
        <v>216</v>
      </c>
      <c r="P189">
        <v>429</v>
      </c>
      <c r="Q189">
        <v>8</v>
      </c>
      <c r="R189">
        <v>6</v>
      </c>
      <c r="S189">
        <v>365</v>
      </c>
      <c r="T189" t="s">
        <v>215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218</v>
      </c>
      <c r="O190" t="s">
        <v>216</v>
      </c>
      <c r="P190">
        <v>107</v>
      </c>
      <c r="Q190">
        <v>205</v>
      </c>
      <c r="R190">
        <v>16</v>
      </c>
      <c r="S190">
        <v>75</v>
      </c>
      <c r="T190" t="s">
        <v>218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218</v>
      </c>
      <c r="O191" t="s">
        <v>217</v>
      </c>
      <c r="P191">
        <v>1231</v>
      </c>
      <c r="Q191">
        <v>80</v>
      </c>
      <c r="R191">
        <v>7</v>
      </c>
      <c r="S191">
        <v>1183.3330000000001</v>
      </c>
      <c r="T191" t="s">
        <v>218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218</v>
      </c>
      <c r="O192" t="s">
        <v>217</v>
      </c>
      <c r="P192">
        <v>283</v>
      </c>
      <c r="Q192">
        <v>8</v>
      </c>
      <c r="R192">
        <v>3</v>
      </c>
      <c r="S192">
        <v>202.5</v>
      </c>
      <c r="T192" t="s">
        <v>218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215</v>
      </c>
      <c r="O193" t="s">
        <v>217</v>
      </c>
      <c r="P193">
        <v>156</v>
      </c>
      <c r="Q193">
        <v>2</v>
      </c>
      <c r="R193">
        <v>2</v>
      </c>
      <c r="S193">
        <v>225</v>
      </c>
      <c r="T193" t="s">
        <v>215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215</v>
      </c>
      <c r="O194" t="s">
        <v>217</v>
      </c>
      <c r="P194">
        <v>239</v>
      </c>
      <c r="Q194">
        <v>8</v>
      </c>
      <c r="R194">
        <v>2</v>
      </c>
      <c r="S194">
        <v>525</v>
      </c>
      <c r="T194" t="s">
        <v>215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218</v>
      </c>
      <c r="O195" t="s">
        <v>216</v>
      </c>
      <c r="P195">
        <v>235</v>
      </c>
      <c r="Q195">
        <v>22</v>
      </c>
      <c r="R195">
        <v>5</v>
      </c>
      <c r="S195">
        <v>265</v>
      </c>
      <c r="T195" t="s">
        <v>218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215</v>
      </c>
      <c r="O196" t="s">
        <v>217</v>
      </c>
      <c r="P196">
        <v>371</v>
      </c>
      <c r="Q196">
        <v>6</v>
      </c>
      <c r="R196">
        <v>6</v>
      </c>
      <c r="S196">
        <v>787.5</v>
      </c>
      <c r="T196" t="s">
        <v>215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215</v>
      </c>
      <c r="O197" t="s">
        <v>217</v>
      </c>
      <c r="P197">
        <v>483</v>
      </c>
      <c r="Q197">
        <v>48</v>
      </c>
      <c r="R197">
        <v>6</v>
      </c>
      <c r="S197">
        <v>800</v>
      </c>
      <c r="T197" t="s">
        <v>218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215</v>
      </c>
      <c r="O198" t="s">
        <v>216</v>
      </c>
      <c r="P198">
        <v>0</v>
      </c>
      <c r="Q198">
        <v>0</v>
      </c>
      <c r="R198">
        <v>0</v>
      </c>
      <c r="S198">
        <v>587.5</v>
      </c>
      <c r="T198" t="s">
        <v>215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218</v>
      </c>
      <c r="O199" t="s">
        <v>217</v>
      </c>
      <c r="P199">
        <v>64</v>
      </c>
      <c r="Q199">
        <v>119</v>
      </c>
      <c r="R199">
        <v>9</v>
      </c>
      <c r="S199" t="s">
        <v>219</v>
      </c>
      <c r="T199" t="s">
        <v>218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215</v>
      </c>
      <c r="O200" t="s">
        <v>217</v>
      </c>
      <c r="P200">
        <v>0</v>
      </c>
      <c r="Q200">
        <v>0</v>
      </c>
      <c r="R200">
        <v>0</v>
      </c>
      <c r="S200">
        <v>145</v>
      </c>
      <c r="T200" t="s">
        <v>215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215</v>
      </c>
      <c r="O201" t="s">
        <v>216</v>
      </c>
      <c r="P201">
        <v>245</v>
      </c>
      <c r="Q201">
        <v>5</v>
      </c>
      <c r="R201">
        <v>9</v>
      </c>
      <c r="S201" t="s">
        <v>219</v>
      </c>
      <c r="T201" t="s">
        <v>215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215</v>
      </c>
      <c r="O202" t="s">
        <v>217</v>
      </c>
      <c r="P202">
        <v>276</v>
      </c>
      <c r="Q202">
        <v>421</v>
      </c>
      <c r="R202">
        <v>11</v>
      </c>
      <c r="S202">
        <v>420</v>
      </c>
      <c r="T202" t="s">
        <v>215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218</v>
      </c>
      <c r="O203" t="s">
        <v>216</v>
      </c>
      <c r="P203">
        <v>317</v>
      </c>
      <c r="Q203">
        <v>36</v>
      </c>
      <c r="R203">
        <v>1</v>
      </c>
      <c r="S203">
        <v>75</v>
      </c>
      <c r="T203" t="s">
        <v>218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215</v>
      </c>
      <c r="O204" t="s">
        <v>217</v>
      </c>
      <c r="P204">
        <v>303</v>
      </c>
      <c r="Q204">
        <v>450</v>
      </c>
      <c r="R204">
        <v>14</v>
      </c>
      <c r="S204">
        <v>575</v>
      </c>
      <c r="T204" t="s">
        <v>215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218</v>
      </c>
      <c r="O205" t="s">
        <v>217</v>
      </c>
      <c r="P205">
        <v>107</v>
      </c>
      <c r="Q205">
        <v>3</v>
      </c>
      <c r="R205">
        <v>3</v>
      </c>
      <c r="S205" t="s">
        <v>219</v>
      </c>
      <c r="T205" t="s">
        <v>218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215</v>
      </c>
      <c r="O206" t="s">
        <v>216</v>
      </c>
      <c r="P206">
        <v>310</v>
      </c>
      <c r="Q206">
        <v>9</v>
      </c>
      <c r="R206">
        <v>9</v>
      </c>
      <c r="S206">
        <v>780</v>
      </c>
      <c r="T206" t="s">
        <v>215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218</v>
      </c>
      <c r="O207" t="s">
        <v>217</v>
      </c>
      <c r="P207">
        <v>201</v>
      </c>
      <c r="Q207">
        <v>6</v>
      </c>
      <c r="R207">
        <v>3</v>
      </c>
      <c r="S207">
        <v>90</v>
      </c>
      <c r="T207" t="s">
        <v>218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218</v>
      </c>
      <c r="O208" t="s">
        <v>216</v>
      </c>
      <c r="P208">
        <v>172</v>
      </c>
      <c r="Q208">
        <v>317</v>
      </c>
      <c r="R208">
        <v>25</v>
      </c>
      <c r="S208">
        <v>150</v>
      </c>
      <c r="T208" t="s">
        <v>218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215</v>
      </c>
      <c r="O209" t="s">
        <v>217</v>
      </c>
      <c r="P209">
        <v>0</v>
      </c>
      <c r="Q209">
        <v>0</v>
      </c>
      <c r="R209">
        <v>0</v>
      </c>
      <c r="S209">
        <v>700</v>
      </c>
      <c r="T209" t="s">
        <v>218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218</v>
      </c>
      <c r="O210" t="s">
        <v>217</v>
      </c>
      <c r="P210">
        <v>415</v>
      </c>
      <c r="Q210">
        <v>35</v>
      </c>
      <c r="R210">
        <v>3</v>
      </c>
      <c r="S210" t="s">
        <v>219</v>
      </c>
      <c r="T210" t="s">
        <v>218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215</v>
      </c>
      <c r="O211" t="s">
        <v>217</v>
      </c>
      <c r="P211">
        <v>233</v>
      </c>
      <c r="Q211">
        <v>7</v>
      </c>
      <c r="R211">
        <v>7</v>
      </c>
      <c r="S211">
        <v>550</v>
      </c>
      <c r="T211" t="s">
        <v>215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215</v>
      </c>
      <c r="O212" t="s">
        <v>216</v>
      </c>
      <c r="P212">
        <v>220</v>
      </c>
      <c r="Q212">
        <v>16</v>
      </c>
      <c r="R212">
        <v>4</v>
      </c>
      <c r="S212" t="s">
        <v>219</v>
      </c>
      <c r="T212" t="s">
        <v>215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218</v>
      </c>
      <c r="O213" t="s">
        <v>217</v>
      </c>
      <c r="P213">
        <v>259</v>
      </c>
      <c r="Q213">
        <v>30</v>
      </c>
      <c r="R213">
        <v>10</v>
      </c>
      <c r="S213">
        <v>650</v>
      </c>
      <c r="T213" t="s">
        <v>215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215</v>
      </c>
      <c r="O214" t="s">
        <v>216</v>
      </c>
      <c r="P214">
        <v>102</v>
      </c>
      <c r="Q214">
        <v>6</v>
      </c>
      <c r="R214">
        <v>3</v>
      </c>
      <c r="S214">
        <v>68</v>
      </c>
      <c r="T214" t="s">
        <v>215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218</v>
      </c>
      <c r="O215" t="s">
        <v>217</v>
      </c>
      <c r="P215">
        <v>468</v>
      </c>
      <c r="Q215">
        <v>47</v>
      </c>
      <c r="R215">
        <v>6</v>
      </c>
      <c r="S215">
        <v>100</v>
      </c>
      <c r="T215" t="s">
        <v>218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218</v>
      </c>
      <c r="O216" t="s">
        <v>216</v>
      </c>
      <c r="P216">
        <v>149</v>
      </c>
      <c r="Q216">
        <v>8</v>
      </c>
      <c r="R216">
        <v>6</v>
      </c>
      <c r="S216">
        <v>670</v>
      </c>
      <c r="T216" t="s">
        <v>218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215</v>
      </c>
      <c r="O217" t="s">
        <v>217</v>
      </c>
      <c r="P217">
        <v>103</v>
      </c>
      <c r="Q217">
        <v>283</v>
      </c>
      <c r="R217">
        <v>19</v>
      </c>
      <c r="S217">
        <v>175</v>
      </c>
      <c r="T217" t="s">
        <v>215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215</v>
      </c>
      <c r="O218" t="s">
        <v>216</v>
      </c>
      <c r="P218">
        <v>358</v>
      </c>
      <c r="Q218">
        <v>32</v>
      </c>
      <c r="R218">
        <v>8</v>
      </c>
      <c r="S218">
        <v>137</v>
      </c>
      <c r="T218" t="s">
        <v>215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218</v>
      </c>
      <c r="O219" t="s">
        <v>217</v>
      </c>
      <c r="P219">
        <v>78</v>
      </c>
      <c r="Q219">
        <v>220</v>
      </c>
      <c r="R219">
        <v>6</v>
      </c>
      <c r="S219">
        <v>2127.3330000000001</v>
      </c>
      <c r="T219" t="s">
        <v>218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218</v>
      </c>
      <c r="O220" t="s">
        <v>216</v>
      </c>
      <c r="P220">
        <v>756</v>
      </c>
      <c r="Q220">
        <v>64</v>
      </c>
      <c r="R220">
        <v>15</v>
      </c>
      <c r="S220">
        <v>875</v>
      </c>
      <c r="T220" t="s">
        <v>218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215</v>
      </c>
      <c r="O221" t="s">
        <v>216</v>
      </c>
      <c r="P221">
        <v>463</v>
      </c>
      <c r="Q221">
        <v>32</v>
      </c>
      <c r="R221">
        <v>8</v>
      </c>
      <c r="S221">
        <v>120</v>
      </c>
      <c r="T221" t="s">
        <v>215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218</v>
      </c>
      <c r="O222" t="s">
        <v>217</v>
      </c>
      <c r="P222">
        <v>212</v>
      </c>
      <c r="Q222">
        <v>1</v>
      </c>
      <c r="R222">
        <v>2</v>
      </c>
      <c r="S222">
        <v>140</v>
      </c>
      <c r="T222" t="s">
        <v>218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218</v>
      </c>
      <c r="O223" t="s">
        <v>217</v>
      </c>
      <c r="P223">
        <v>325</v>
      </c>
      <c r="Q223">
        <v>12</v>
      </c>
      <c r="R223">
        <v>8</v>
      </c>
      <c r="S223">
        <v>210</v>
      </c>
      <c r="T223" t="s">
        <v>218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218</v>
      </c>
      <c r="O224" t="s">
        <v>217</v>
      </c>
      <c r="P224">
        <v>228</v>
      </c>
      <c r="Q224">
        <v>7</v>
      </c>
      <c r="R224">
        <v>5</v>
      </c>
      <c r="S224">
        <v>800</v>
      </c>
      <c r="T224" t="s">
        <v>218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218</v>
      </c>
      <c r="O225" t="s">
        <v>216</v>
      </c>
      <c r="P225">
        <v>203</v>
      </c>
      <c r="Q225">
        <v>3</v>
      </c>
      <c r="R225">
        <v>3</v>
      </c>
      <c r="S225">
        <v>240</v>
      </c>
      <c r="T225" t="s">
        <v>218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215</v>
      </c>
      <c r="O226" t="s">
        <v>217</v>
      </c>
      <c r="P226">
        <v>149</v>
      </c>
      <c r="Q226">
        <v>1</v>
      </c>
      <c r="R226">
        <v>6</v>
      </c>
      <c r="S226">
        <v>350</v>
      </c>
      <c r="T226" t="s">
        <v>215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218</v>
      </c>
      <c r="O227" t="s">
        <v>216</v>
      </c>
      <c r="P227">
        <v>512</v>
      </c>
      <c r="Q227">
        <v>30</v>
      </c>
      <c r="R227">
        <v>5</v>
      </c>
      <c r="S227" t="s">
        <v>219</v>
      </c>
      <c r="T227" t="s">
        <v>218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215</v>
      </c>
      <c r="O228" t="s">
        <v>216</v>
      </c>
      <c r="P228">
        <v>261</v>
      </c>
      <c r="Q228">
        <v>459</v>
      </c>
      <c r="R228">
        <v>22</v>
      </c>
      <c r="S228">
        <v>175</v>
      </c>
      <c r="T228" t="s">
        <v>215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215</v>
      </c>
      <c r="O229" t="s">
        <v>216</v>
      </c>
      <c r="P229">
        <v>325</v>
      </c>
      <c r="Q229">
        <v>13</v>
      </c>
      <c r="R229">
        <v>3</v>
      </c>
      <c r="S229">
        <v>200</v>
      </c>
      <c r="T229" t="s">
        <v>215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218</v>
      </c>
      <c r="O230" t="s">
        <v>216</v>
      </c>
      <c r="P230">
        <v>151</v>
      </c>
      <c r="Q230">
        <v>8</v>
      </c>
      <c r="R230">
        <v>5</v>
      </c>
      <c r="S230" t="s">
        <v>219</v>
      </c>
      <c r="T230" t="s">
        <v>218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218</v>
      </c>
      <c r="O231" t="s">
        <v>217</v>
      </c>
      <c r="P231">
        <v>229</v>
      </c>
      <c r="Q231">
        <v>453</v>
      </c>
      <c r="R231">
        <v>15</v>
      </c>
      <c r="S231">
        <v>1940</v>
      </c>
      <c r="T231" t="s">
        <v>218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218</v>
      </c>
      <c r="O232" t="s">
        <v>216</v>
      </c>
      <c r="P232">
        <v>682</v>
      </c>
      <c r="Q232">
        <v>93</v>
      </c>
      <c r="R232">
        <v>13</v>
      </c>
      <c r="S232">
        <v>700</v>
      </c>
      <c r="T232" t="s">
        <v>218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215</v>
      </c>
      <c r="O233" t="s">
        <v>216</v>
      </c>
      <c r="P233">
        <v>250</v>
      </c>
      <c r="Q233">
        <v>11</v>
      </c>
      <c r="R233">
        <v>1</v>
      </c>
      <c r="S233">
        <v>750</v>
      </c>
      <c r="T233" t="s">
        <v>215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218</v>
      </c>
      <c r="O234" t="s">
        <v>216</v>
      </c>
      <c r="P234">
        <v>58</v>
      </c>
      <c r="Q234">
        <v>141</v>
      </c>
      <c r="R234">
        <v>23</v>
      </c>
      <c r="S234">
        <v>450</v>
      </c>
      <c r="T234" t="s">
        <v>218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215</v>
      </c>
      <c r="O235" t="s">
        <v>216</v>
      </c>
      <c r="P235">
        <v>157</v>
      </c>
      <c r="Q235">
        <v>6</v>
      </c>
      <c r="R235">
        <v>14</v>
      </c>
      <c r="S235">
        <v>172</v>
      </c>
      <c r="T235" t="s">
        <v>215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215</v>
      </c>
      <c r="O236" t="s">
        <v>217</v>
      </c>
      <c r="P236">
        <v>82</v>
      </c>
      <c r="Q236">
        <v>170</v>
      </c>
      <c r="R236">
        <v>15</v>
      </c>
      <c r="S236">
        <v>1260</v>
      </c>
      <c r="T236" t="s">
        <v>215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215</v>
      </c>
      <c r="O237" t="s">
        <v>216</v>
      </c>
      <c r="P237">
        <v>1224</v>
      </c>
      <c r="Q237">
        <v>115</v>
      </c>
      <c r="R237">
        <v>11</v>
      </c>
      <c r="S237" t="s">
        <v>219</v>
      </c>
      <c r="T237" t="s">
        <v>215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218</v>
      </c>
      <c r="O238" t="s">
        <v>216</v>
      </c>
      <c r="P238">
        <v>523</v>
      </c>
      <c r="Q238">
        <v>43</v>
      </c>
      <c r="R238">
        <v>6</v>
      </c>
      <c r="S238">
        <v>750</v>
      </c>
      <c r="T238" t="s">
        <v>218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215</v>
      </c>
      <c r="O239" t="s">
        <v>217</v>
      </c>
      <c r="P239">
        <v>172</v>
      </c>
      <c r="Q239">
        <v>1</v>
      </c>
      <c r="R239">
        <v>4</v>
      </c>
      <c r="S239">
        <v>190</v>
      </c>
      <c r="T239" t="s">
        <v>215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215</v>
      </c>
      <c r="O240" t="s">
        <v>217</v>
      </c>
      <c r="P240">
        <v>846</v>
      </c>
      <c r="Q240">
        <v>84</v>
      </c>
      <c r="R240">
        <v>9</v>
      </c>
      <c r="S240">
        <v>580</v>
      </c>
      <c r="T240" t="s">
        <v>215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218</v>
      </c>
      <c r="O241" t="s">
        <v>217</v>
      </c>
      <c r="P241">
        <v>117</v>
      </c>
      <c r="Q241">
        <v>269</v>
      </c>
      <c r="R241">
        <v>12</v>
      </c>
      <c r="S241">
        <v>130</v>
      </c>
      <c r="T241" t="s">
        <v>218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215</v>
      </c>
      <c r="O242" t="s">
        <v>216</v>
      </c>
      <c r="P242">
        <v>62</v>
      </c>
      <c r="Q242">
        <v>90</v>
      </c>
      <c r="R242">
        <v>3</v>
      </c>
      <c r="S242">
        <v>450</v>
      </c>
      <c r="T242" t="s">
        <v>215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215</v>
      </c>
      <c r="O243" t="s">
        <v>216</v>
      </c>
      <c r="P243">
        <v>167</v>
      </c>
      <c r="Q243">
        <v>2</v>
      </c>
      <c r="R243">
        <v>4</v>
      </c>
      <c r="S243">
        <v>300</v>
      </c>
      <c r="T243" t="s">
        <v>215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215</v>
      </c>
      <c r="O244" t="s">
        <v>217</v>
      </c>
      <c r="P244">
        <v>391</v>
      </c>
      <c r="Q244">
        <v>44</v>
      </c>
      <c r="R244">
        <v>4</v>
      </c>
      <c r="S244">
        <v>250</v>
      </c>
      <c r="T244" t="s">
        <v>215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218</v>
      </c>
      <c r="O245" t="s">
        <v>217</v>
      </c>
      <c r="P245">
        <v>41</v>
      </c>
      <c r="Q245">
        <v>118</v>
      </c>
      <c r="R245">
        <v>8</v>
      </c>
      <c r="S245">
        <v>1050</v>
      </c>
      <c r="T245" t="s">
        <v>215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215</v>
      </c>
      <c r="O246" t="s">
        <v>217</v>
      </c>
      <c r="P246">
        <v>286</v>
      </c>
      <c r="Q246">
        <v>8</v>
      </c>
      <c r="R246">
        <v>8</v>
      </c>
      <c r="S246">
        <v>215</v>
      </c>
      <c r="T246" t="s">
        <v>215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215</v>
      </c>
      <c r="O247" t="s">
        <v>217</v>
      </c>
      <c r="P247">
        <v>659</v>
      </c>
      <c r="Q247">
        <v>53</v>
      </c>
      <c r="R247">
        <v>7</v>
      </c>
      <c r="S247">
        <v>400</v>
      </c>
      <c r="T247" t="s">
        <v>215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215</v>
      </c>
      <c r="O248" t="s">
        <v>217</v>
      </c>
      <c r="P248">
        <v>866</v>
      </c>
      <c r="Q248">
        <v>65</v>
      </c>
      <c r="R248">
        <v>6</v>
      </c>
      <c r="S248" t="s">
        <v>219</v>
      </c>
      <c r="T248" t="s">
        <v>215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215</v>
      </c>
      <c r="O249" t="s">
        <v>217</v>
      </c>
      <c r="P249">
        <v>251</v>
      </c>
      <c r="Q249">
        <v>9</v>
      </c>
      <c r="R249">
        <v>4</v>
      </c>
      <c r="S249">
        <v>560</v>
      </c>
      <c r="T249" t="s">
        <v>215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215</v>
      </c>
      <c r="O250" t="s">
        <v>217</v>
      </c>
      <c r="P250">
        <v>426</v>
      </c>
      <c r="Q250">
        <v>4</v>
      </c>
      <c r="R250">
        <v>6</v>
      </c>
      <c r="S250">
        <v>1670</v>
      </c>
      <c r="T250" t="s">
        <v>215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215</v>
      </c>
      <c r="O251" t="s">
        <v>216</v>
      </c>
      <c r="P251">
        <v>0</v>
      </c>
      <c r="Q251">
        <v>0</v>
      </c>
      <c r="R251">
        <v>0</v>
      </c>
      <c r="S251">
        <v>487.5</v>
      </c>
      <c r="T251" t="s">
        <v>215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215</v>
      </c>
      <c r="O252" t="s">
        <v>216</v>
      </c>
      <c r="P252">
        <v>205</v>
      </c>
      <c r="Q252">
        <v>5</v>
      </c>
      <c r="R252">
        <v>4</v>
      </c>
      <c r="S252" t="s">
        <v>219</v>
      </c>
      <c r="T252" t="s">
        <v>215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215</v>
      </c>
      <c r="O253" t="s">
        <v>216</v>
      </c>
      <c r="P253">
        <v>0</v>
      </c>
      <c r="Q253">
        <v>0</v>
      </c>
      <c r="R253">
        <v>0</v>
      </c>
      <c r="S253">
        <v>425</v>
      </c>
      <c r="T253" t="s">
        <v>215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218</v>
      </c>
      <c r="O254" t="s">
        <v>217</v>
      </c>
      <c r="P254">
        <v>88</v>
      </c>
      <c r="Q254">
        <v>204</v>
      </c>
      <c r="R254">
        <v>16</v>
      </c>
      <c r="S254">
        <v>500</v>
      </c>
      <c r="T254" t="s">
        <v>215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218</v>
      </c>
      <c r="O255" t="s">
        <v>216</v>
      </c>
      <c r="P255">
        <v>99</v>
      </c>
      <c r="Q255">
        <v>3</v>
      </c>
      <c r="R255">
        <v>1</v>
      </c>
      <c r="S255" t="s">
        <v>219</v>
      </c>
      <c r="T255" t="s">
        <v>218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215</v>
      </c>
      <c r="O256" t="s">
        <v>216</v>
      </c>
      <c r="P256">
        <v>145</v>
      </c>
      <c r="Q256">
        <v>2</v>
      </c>
      <c r="R256">
        <v>2</v>
      </c>
      <c r="S256" t="s">
        <v>219</v>
      </c>
      <c r="T256" t="s">
        <v>215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215</v>
      </c>
      <c r="O257" t="s">
        <v>217</v>
      </c>
      <c r="P257">
        <v>44</v>
      </c>
      <c r="Q257">
        <v>0</v>
      </c>
      <c r="R257">
        <v>1</v>
      </c>
      <c r="S257">
        <v>250</v>
      </c>
      <c r="T257" t="s">
        <v>215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215</v>
      </c>
      <c r="O258" t="s">
        <v>217</v>
      </c>
      <c r="P258">
        <v>155</v>
      </c>
      <c r="Q258">
        <v>3</v>
      </c>
      <c r="R258">
        <v>2</v>
      </c>
      <c r="S258">
        <v>400</v>
      </c>
      <c r="T258" t="s">
        <v>215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215</v>
      </c>
      <c r="O259" t="s">
        <v>217</v>
      </c>
      <c r="P259">
        <v>60</v>
      </c>
      <c r="Q259">
        <v>176</v>
      </c>
      <c r="R259">
        <v>6</v>
      </c>
      <c r="S259">
        <v>450</v>
      </c>
      <c r="T259" t="s">
        <v>215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218</v>
      </c>
      <c r="O260" t="s">
        <v>216</v>
      </c>
      <c r="P260">
        <v>367</v>
      </c>
      <c r="Q260">
        <v>475</v>
      </c>
      <c r="R260">
        <v>19</v>
      </c>
      <c r="S260">
        <v>750</v>
      </c>
      <c r="T260" t="s">
        <v>218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215</v>
      </c>
      <c r="O261" t="s">
        <v>217</v>
      </c>
      <c r="P261">
        <v>86</v>
      </c>
      <c r="Q261">
        <v>150</v>
      </c>
      <c r="R261">
        <v>15</v>
      </c>
      <c r="S261">
        <v>70</v>
      </c>
      <c r="T261" t="s">
        <v>215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218</v>
      </c>
      <c r="O262" t="s">
        <v>216</v>
      </c>
      <c r="P262">
        <v>155</v>
      </c>
      <c r="Q262">
        <v>371</v>
      </c>
      <c r="R262">
        <v>29</v>
      </c>
      <c r="S262">
        <v>875</v>
      </c>
      <c r="T262" t="s">
        <v>218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218</v>
      </c>
      <c r="O263" t="s">
        <v>217</v>
      </c>
      <c r="P263">
        <v>190</v>
      </c>
      <c r="Q263">
        <v>2</v>
      </c>
      <c r="R263">
        <v>9</v>
      </c>
      <c r="S263">
        <v>190</v>
      </c>
      <c r="T263" t="s">
        <v>218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218</v>
      </c>
      <c r="O264" t="s">
        <v>217</v>
      </c>
      <c r="P264">
        <v>181</v>
      </c>
      <c r="Q264">
        <v>3</v>
      </c>
      <c r="R264">
        <v>2</v>
      </c>
      <c r="S264">
        <v>191</v>
      </c>
      <c r="T264" t="s">
        <v>218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218</v>
      </c>
      <c r="O265" t="s">
        <v>217</v>
      </c>
      <c r="P265">
        <v>309</v>
      </c>
      <c r="Q265">
        <v>492</v>
      </c>
      <c r="R265">
        <v>5</v>
      </c>
      <c r="S265">
        <v>740</v>
      </c>
      <c r="T265" t="s">
        <v>218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218</v>
      </c>
      <c r="O266" t="s">
        <v>217</v>
      </c>
      <c r="P266">
        <v>203</v>
      </c>
      <c r="Q266">
        <v>369</v>
      </c>
      <c r="R266">
        <v>16</v>
      </c>
      <c r="S266">
        <v>250</v>
      </c>
      <c r="T266" t="s">
        <v>218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218</v>
      </c>
      <c r="O267" t="s">
        <v>217</v>
      </c>
      <c r="P267">
        <v>42</v>
      </c>
      <c r="Q267">
        <v>94</v>
      </c>
      <c r="R267">
        <v>13</v>
      </c>
      <c r="S267">
        <v>140</v>
      </c>
      <c r="T267" t="s">
        <v>218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215</v>
      </c>
      <c r="O268" t="s">
        <v>216</v>
      </c>
      <c r="P268">
        <v>200</v>
      </c>
      <c r="Q268">
        <v>7</v>
      </c>
      <c r="R268">
        <v>6</v>
      </c>
      <c r="S268">
        <v>97.5</v>
      </c>
      <c r="T268" t="s">
        <v>215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215</v>
      </c>
      <c r="O269" t="s">
        <v>216</v>
      </c>
      <c r="P269">
        <v>0</v>
      </c>
      <c r="Q269">
        <v>0</v>
      </c>
      <c r="R269">
        <v>0</v>
      </c>
      <c r="S269">
        <v>740</v>
      </c>
      <c r="T269" t="s">
        <v>215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218</v>
      </c>
      <c r="O270" t="s">
        <v>216</v>
      </c>
      <c r="P270">
        <v>255</v>
      </c>
      <c r="Q270">
        <v>450</v>
      </c>
      <c r="R270">
        <v>17</v>
      </c>
      <c r="S270">
        <v>140</v>
      </c>
      <c r="T270" t="s">
        <v>218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215</v>
      </c>
      <c r="O271" t="s">
        <v>216</v>
      </c>
      <c r="P271">
        <v>135</v>
      </c>
      <c r="Q271">
        <v>257</v>
      </c>
      <c r="R271">
        <v>7</v>
      </c>
      <c r="S271">
        <v>341.66699999999997</v>
      </c>
      <c r="T271" t="s">
        <v>215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218</v>
      </c>
      <c r="O272" t="s">
        <v>216</v>
      </c>
      <c r="P272">
        <v>179</v>
      </c>
      <c r="Q272">
        <v>5</v>
      </c>
      <c r="R272">
        <v>3</v>
      </c>
      <c r="S272" t="s">
        <v>219</v>
      </c>
      <c r="T272" t="s">
        <v>218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215</v>
      </c>
      <c r="O273" t="s">
        <v>217</v>
      </c>
      <c r="P273">
        <v>352</v>
      </c>
      <c r="Q273">
        <v>9</v>
      </c>
      <c r="R273">
        <v>1</v>
      </c>
      <c r="S273">
        <v>1000</v>
      </c>
      <c r="T273" t="s">
        <v>215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215</v>
      </c>
      <c r="O274" t="s">
        <v>216</v>
      </c>
      <c r="P274">
        <v>1236</v>
      </c>
      <c r="Q274">
        <v>98</v>
      </c>
      <c r="R274">
        <v>18</v>
      </c>
      <c r="S274">
        <v>100</v>
      </c>
      <c r="T274" t="s">
        <v>215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215</v>
      </c>
      <c r="O275" t="s">
        <v>216</v>
      </c>
      <c r="P275">
        <v>281</v>
      </c>
      <c r="Q275">
        <v>21</v>
      </c>
      <c r="R275">
        <v>3</v>
      </c>
      <c r="S275">
        <v>90</v>
      </c>
      <c r="T275" t="s">
        <v>215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218</v>
      </c>
      <c r="O276" t="s">
        <v>217</v>
      </c>
      <c r="P276">
        <v>1320</v>
      </c>
      <c r="Q276">
        <v>166</v>
      </c>
      <c r="R276">
        <v>17</v>
      </c>
      <c r="S276">
        <v>200</v>
      </c>
      <c r="T276" t="s">
        <v>218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215</v>
      </c>
      <c r="O277" t="s">
        <v>216</v>
      </c>
      <c r="P277">
        <v>111</v>
      </c>
      <c r="Q277">
        <v>226</v>
      </c>
      <c r="R277">
        <v>11</v>
      </c>
      <c r="S277">
        <v>135</v>
      </c>
      <c r="T277" t="s">
        <v>215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218</v>
      </c>
      <c r="O278" t="s">
        <v>217</v>
      </c>
      <c r="P278">
        <v>320</v>
      </c>
      <c r="Q278">
        <v>465</v>
      </c>
      <c r="R278">
        <v>32</v>
      </c>
      <c r="S278">
        <v>155</v>
      </c>
      <c r="T278" t="s">
        <v>218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215</v>
      </c>
      <c r="O279" t="s">
        <v>216</v>
      </c>
      <c r="P279">
        <v>196</v>
      </c>
      <c r="Q279">
        <v>354</v>
      </c>
      <c r="R279">
        <v>15</v>
      </c>
      <c r="S279">
        <v>475</v>
      </c>
      <c r="T279" t="s">
        <v>215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218</v>
      </c>
      <c r="O280" t="s">
        <v>216</v>
      </c>
      <c r="P280">
        <v>1160</v>
      </c>
      <c r="Q280">
        <v>53</v>
      </c>
      <c r="R280">
        <v>7</v>
      </c>
      <c r="S280">
        <v>1450</v>
      </c>
      <c r="T280" t="s">
        <v>218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218</v>
      </c>
      <c r="O281" t="s">
        <v>217</v>
      </c>
      <c r="P281">
        <v>229</v>
      </c>
      <c r="Q281">
        <v>406</v>
      </c>
      <c r="R281">
        <v>22</v>
      </c>
      <c r="S281">
        <v>150</v>
      </c>
      <c r="T281" t="s">
        <v>218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215</v>
      </c>
      <c r="O282" t="s">
        <v>216</v>
      </c>
      <c r="P282">
        <v>289</v>
      </c>
      <c r="Q282">
        <v>407</v>
      </c>
      <c r="R282">
        <v>6</v>
      </c>
      <c r="S282">
        <v>105</v>
      </c>
      <c r="T282" t="s">
        <v>215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215</v>
      </c>
      <c r="O283" t="s">
        <v>216</v>
      </c>
      <c r="P283">
        <v>209</v>
      </c>
      <c r="Q283">
        <v>372</v>
      </c>
      <c r="R283">
        <v>17</v>
      </c>
      <c r="S283">
        <v>350</v>
      </c>
      <c r="T283" t="s">
        <v>215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218</v>
      </c>
      <c r="O284" t="s">
        <v>216</v>
      </c>
      <c r="P284">
        <v>367</v>
      </c>
      <c r="Q284">
        <v>432</v>
      </c>
      <c r="R284">
        <v>16</v>
      </c>
      <c r="S284">
        <v>90</v>
      </c>
      <c r="T284" t="s">
        <v>218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215</v>
      </c>
      <c r="O285" t="s">
        <v>217</v>
      </c>
      <c r="P285">
        <v>247</v>
      </c>
      <c r="Q285">
        <v>4</v>
      </c>
      <c r="R285">
        <v>8</v>
      </c>
      <c r="S285" t="s">
        <v>219</v>
      </c>
      <c r="T285" t="s">
        <v>215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215</v>
      </c>
      <c r="O286" t="s">
        <v>217</v>
      </c>
      <c r="P286">
        <v>351</v>
      </c>
      <c r="Q286">
        <v>442</v>
      </c>
      <c r="R286">
        <v>17</v>
      </c>
      <c r="S286">
        <v>530</v>
      </c>
      <c r="T286" t="s">
        <v>215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215</v>
      </c>
      <c r="O287" t="s">
        <v>217</v>
      </c>
      <c r="P287">
        <v>106</v>
      </c>
      <c r="Q287">
        <v>144</v>
      </c>
      <c r="R287">
        <v>7</v>
      </c>
      <c r="S287">
        <v>341.66699999999997</v>
      </c>
      <c r="T287" t="s">
        <v>215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215</v>
      </c>
      <c r="O288" t="s">
        <v>216</v>
      </c>
      <c r="P288">
        <v>315</v>
      </c>
      <c r="Q288">
        <v>10</v>
      </c>
      <c r="R288">
        <v>6</v>
      </c>
      <c r="S288">
        <v>940</v>
      </c>
      <c r="T288" t="s">
        <v>215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215</v>
      </c>
      <c r="O289" t="s">
        <v>217</v>
      </c>
      <c r="P289">
        <v>294</v>
      </c>
      <c r="Q289">
        <v>445</v>
      </c>
      <c r="R289">
        <v>13</v>
      </c>
      <c r="S289">
        <v>350</v>
      </c>
      <c r="T289" t="s">
        <v>215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218</v>
      </c>
      <c r="O290" t="s">
        <v>216</v>
      </c>
      <c r="P290">
        <v>209</v>
      </c>
      <c r="Q290">
        <v>246</v>
      </c>
      <c r="R290">
        <v>3</v>
      </c>
      <c r="S290">
        <v>326.66699999999997</v>
      </c>
      <c r="T290" t="s">
        <v>218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218</v>
      </c>
      <c r="O291" t="s">
        <v>217</v>
      </c>
      <c r="P291">
        <v>81</v>
      </c>
      <c r="Q291">
        <v>147</v>
      </c>
      <c r="R291">
        <v>4</v>
      </c>
      <c r="S291">
        <v>250</v>
      </c>
      <c r="T291" t="s">
        <v>218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218</v>
      </c>
      <c r="O292" t="s">
        <v>216</v>
      </c>
      <c r="P292">
        <v>337</v>
      </c>
      <c r="Q292">
        <v>19</v>
      </c>
      <c r="R292">
        <v>4</v>
      </c>
      <c r="S292">
        <v>740</v>
      </c>
      <c r="T292" t="s">
        <v>218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218</v>
      </c>
      <c r="O293" t="s">
        <v>216</v>
      </c>
      <c r="P293">
        <v>92</v>
      </c>
      <c r="Q293">
        <v>5</v>
      </c>
      <c r="R293">
        <v>3</v>
      </c>
      <c r="S293">
        <v>425</v>
      </c>
      <c r="T293" t="s">
        <v>215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215</v>
      </c>
      <c r="O294" t="s">
        <v>216</v>
      </c>
      <c r="P294">
        <v>166</v>
      </c>
      <c r="Q294">
        <v>211</v>
      </c>
      <c r="R294">
        <v>7</v>
      </c>
      <c r="S294" t="s">
        <v>219</v>
      </c>
      <c r="T294" t="s">
        <v>215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218</v>
      </c>
      <c r="O295" t="s">
        <v>217</v>
      </c>
      <c r="P295">
        <v>352</v>
      </c>
      <c r="Q295">
        <v>414</v>
      </c>
      <c r="R295">
        <v>9</v>
      </c>
      <c r="S295">
        <v>925</v>
      </c>
      <c r="T295" t="s">
        <v>218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215</v>
      </c>
      <c r="O296" t="s">
        <v>216</v>
      </c>
      <c r="P296">
        <v>70</v>
      </c>
      <c r="Q296">
        <v>144</v>
      </c>
      <c r="R296">
        <v>11</v>
      </c>
      <c r="S296">
        <v>185</v>
      </c>
      <c r="T296" t="s">
        <v>215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218</v>
      </c>
      <c r="O297" t="s">
        <v>216</v>
      </c>
      <c r="P297">
        <v>692</v>
      </c>
      <c r="Q297">
        <v>70</v>
      </c>
      <c r="R297">
        <v>8</v>
      </c>
      <c r="S297">
        <v>920</v>
      </c>
      <c r="T297" t="s">
        <v>215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218</v>
      </c>
      <c r="O298" t="s">
        <v>217</v>
      </c>
      <c r="P298">
        <v>131</v>
      </c>
      <c r="Q298">
        <v>6</v>
      </c>
      <c r="R298">
        <v>1</v>
      </c>
      <c r="S298">
        <v>286.66699999999997</v>
      </c>
      <c r="T298" t="s">
        <v>218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215</v>
      </c>
      <c r="O299" t="s">
        <v>216</v>
      </c>
      <c r="P299">
        <v>299</v>
      </c>
      <c r="Q299">
        <v>13</v>
      </c>
      <c r="R299">
        <v>5</v>
      </c>
      <c r="S299">
        <v>245</v>
      </c>
      <c r="T299" t="s">
        <v>215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215</v>
      </c>
      <c r="O300" t="s">
        <v>217</v>
      </c>
      <c r="P300">
        <v>37</v>
      </c>
      <c r="Q300">
        <v>98</v>
      </c>
      <c r="R300">
        <v>9</v>
      </c>
      <c r="S300" t="s">
        <v>219</v>
      </c>
      <c r="T300" t="s">
        <v>215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215</v>
      </c>
      <c r="O301" t="s">
        <v>216</v>
      </c>
      <c r="P301">
        <v>178</v>
      </c>
      <c r="Q301">
        <v>45</v>
      </c>
      <c r="R301">
        <v>4</v>
      </c>
      <c r="S301">
        <v>235</v>
      </c>
      <c r="T301" t="s">
        <v>215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218</v>
      </c>
      <c r="O302" t="s">
        <v>217</v>
      </c>
      <c r="P302">
        <v>810</v>
      </c>
      <c r="Q302">
        <v>99</v>
      </c>
      <c r="R302">
        <v>18</v>
      </c>
      <c r="S302">
        <v>1150</v>
      </c>
      <c r="T302" t="s">
        <v>218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218</v>
      </c>
      <c r="O303" t="s">
        <v>217</v>
      </c>
      <c r="P303">
        <v>133</v>
      </c>
      <c r="Q303">
        <v>371</v>
      </c>
      <c r="R303">
        <v>20</v>
      </c>
      <c r="S303">
        <v>160</v>
      </c>
      <c r="T303" t="s">
        <v>218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218</v>
      </c>
      <c r="O304" t="s">
        <v>216</v>
      </c>
      <c r="P304">
        <v>398</v>
      </c>
      <c r="Q304">
        <v>29</v>
      </c>
      <c r="R304">
        <v>7</v>
      </c>
      <c r="S304" t="s">
        <v>219</v>
      </c>
      <c r="T304" t="s">
        <v>218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215</v>
      </c>
      <c r="O305" t="s">
        <v>216</v>
      </c>
      <c r="P305">
        <v>160</v>
      </c>
      <c r="Q305">
        <v>290</v>
      </c>
      <c r="R305">
        <v>11</v>
      </c>
      <c r="S305">
        <v>425</v>
      </c>
      <c r="T305" t="s">
        <v>215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218</v>
      </c>
      <c r="O306" t="s">
        <v>216</v>
      </c>
      <c r="P306">
        <v>65</v>
      </c>
      <c r="Q306">
        <v>0</v>
      </c>
      <c r="R306">
        <v>0</v>
      </c>
      <c r="S306">
        <v>900</v>
      </c>
      <c r="T306" t="s">
        <v>218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218</v>
      </c>
      <c r="O307" t="s">
        <v>217</v>
      </c>
      <c r="P307">
        <v>270</v>
      </c>
      <c r="Q307">
        <v>13</v>
      </c>
      <c r="R307">
        <v>6</v>
      </c>
      <c r="S307" t="s">
        <v>219</v>
      </c>
      <c r="T307" t="s">
        <v>218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218</v>
      </c>
      <c r="O308" t="s">
        <v>216</v>
      </c>
      <c r="P308">
        <v>167</v>
      </c>
      <c r="Q308">
        <v>18</v>
      </c>
      <c r="R308">
        <v>6</v>
      </c>
      <c r="S308">
        <v>500</v>
      </c>
      <c r="T308" t="s">
        <v>218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218</v>
      </c>
      <c r="O309" t="s">
        <v>217</v>
      </c>
      <c r="P309">
        <v>133</v>
      </c>
      <c r="Q309">
        <v>173</v>
      </c>
      <c r="R309">
        <v>9</v>
      </c>
      <c r="S309">
        <v>277.5</v>
      </c>
      <c r="T309" t="s">
        <v>218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218</v>
      </c>
      <c r="O310" t="s">
        <v>217</v>
      </c>
      <c r="P310">
        <v>94</v>
      </c>
      <c r="Q310">
        <v>270</v>
      </c>
      <c r="R310">
        <v>16</v>
      </c>
      <c r="S310">
        <v>750</v>
      </c>
      <c r="T310" t="s">
        <v>218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218</v>
      </c>
      <c r="O311" t="s">
        <v>217</v>
      </c>
      <c r="P311">
        <v>300</v>
      </c>
      <c r="Q311">
        <v>12</v>
      </c>
      <c r="R311">
        <v>9</v>
      </c>
      <c r="S311">
        <v>160</v>
      </c>
      <c r="T311" t="s">
        <v>218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218</v>
      </c>
      <c r="O312" t="s">
        <v>217</v>
      </c>
      <c r="P312">
        <v>1182</v>
      </c>
      <c r="Q312">
        <v>96</v>
      </c>
      <c r="R312">
        <v>13</v>
      </c>
      <c r="S312">
        <v>1300</v>
      </c>
      <c r="T312" t="s">
        <v>218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218</v>
      </c>
      <c r="O313" t="s">
        <v>217</v>
      </c>
      <c r="P313">
        <v>170</v>
      </c>
      <c r="Q313">
        <v>284</v>
      </c>
      <c r="R313">
        <v>3</v>
      </c>
      <c r="S313">
        <v>525</v>
      </c>
      <c r="T313" t="s">
        <v>218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218</v>
      </c>
      <c r="O314" t="s">
        <v>217</v>
      </c>
      <c r="P314">
        <v>186</v>
      </c>
      <c r="Q314">
        <v>290</v>
      </c>
      <c r="R314">
        <v>17</v>
      </c>
      <c r="S314">
        <v>550</v>
      </c>
      <c r="T314" t="s">
        <v>218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215</v>
      </c>
      <c r="O315" t="s">
        <v>217</v>
      </c>
      <c r="P315">
        <v>121</v>
      </c>
      <c r="Q315">
        <v>267</v>
      </c>
      <c r="R315">
        <v>19</v>
      </c>
      <c r="S315">
        <v>1600</v>
      </c>
      <c r="T315" t="s">
        <v>215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218</v>
      </c>
      <c r="O316" t="s">
        <v>216</v>
      </c>
      <c r="P316">
        <v>942</v>
      </c>
      <c r="Q316">
        <v>72</v>
      </c>
      <c r="R316">
        <v>11</v>
      </c>
      <c r="S316">
        <v>120</v>
      </c>
      <c r="T316" t="s">
        <v>218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215</v>
      </c>
      <c r="O317" t="s">
        <v>216</v>
      </c>
      <c r="P317">
        <v>1222</v>
      </c>
      <c r="Q317">
        <v>139</v>
      </c>
      <c r="R317">
        <v>15</v>
      </c>
      <c r="S317">
        <v>165</v>
      </c>
      <c r="T317" t="s">
        <v>215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218</v>
      </c>
      <c r="O318" t="s">
        <v>217</v>
      </c>
      <c r="P318">
        <v>325</v>
      </c>
      <c r="Q318">
        <v>58</v>
      </c>
      <c r="R318">
        <v>6</v>
      </c>
      <c r="S318" t="s">
        <v>219</v>
      </c>
      <c r="T318" t="s">
        <v>218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218</v>
      </c>
      <c r="O319" t="s">
        <v>217</v>
      </c>
      <c r="P319">
        <v>325</v>
      </c>
      <c r="Q319">
        <v>9</v>
      </c>
      <c r="R319">
        <v>3</v>
      </c>
      <c r="S319">
        <v>700</v>
      </c>
      <c r="T319" t="s">
        <v>218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215</v>
      </c>
      <c r="O320" t="s">
        <v>217</v>
      </c>
      <c r="P320">
        <v>313</v>
      </c>
      <c r="Q320">
        <v>381</v>
      </c>
      <c r="R320">
        <v>20</v>
      </c>
      <c r="S320">
        <v>875</v>
      </c>
      <c r="T320" t="s">
        <v>215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215</v>
      </c>
      <c r="O321" t="s">
        <v>216</v>
      </c>
      <c r="P321">
        <v>37</v>
      </c>
      <c r="Q321">
        <v>113</v>
      </c>
      <c r="R321">
        <v>7</v>
      </c>
      <c r="S321">
        <v>385</v>
      </c>
      <c r="T321" t="s">
        <v>215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215</v>
      </c>
      <c r="O322" t="s">
        <v>217</v>
      </c>
      <c r="P322">
        <v>1314</v>
      </c>
      <c r="Q322">
        <v>131</v>
      </c>
      <c r="R322">
        <v>12</v>
      </c>
      <c r="S322">
        <v>960</v>
      </c>
      <c r="T322" t="s">
        <v>215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215</v>
      </c>
      <c r="O323" t="s">
        <v>216</v>
      </c>
      <c r="P323">
        <v>408</v>
      </c>
      <c r="Q323">
        <v>4</v>
      </c>
      <c r="R323">
        <v>3</v>
      </c>
      <c r="S323">
        <v>1000</v>
      </c>
      <c r="T323" t="s">
        <v>215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Today</vt:lpstr>
      <vt:lpstr>Themes</vt:lpstr>
      <vt:lpstr>Regression</vt:lpstr>
      <vt:lpstr>Assumptions</vt:lpstr>
      <vt:lpstr>Diagnostics</vt:lpstr>
      <vt:lpstr>KNN</vt:lpstr>
      <vt:lpstr>OutOfSampleTesting</vt:lpstr>
      <vt:lpstr>AIC</vt:lpstr>
      <vt:lpstr>PreWork4NextClass</vt:lpstr>
      <vt:lpstr>InClassProjects</vt:lpstr>
      <vt:lpstr>Q_Regression</vt:lpstr>
      <vt:lpstr>Q_KNN</vt:lpstr>
      <vt:lpstr>Q_Diagnostics</vt:lpstr>
      <vt:lpstr>Q_AIC</vt:lpstr>
      <vt:lpstr>LendingClubData</vt:lpstr>
      <vt:lpstr>Hitters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2022-05-21T14:13:44Z</dcterms:modified>
</cp:coreProperties>
</file>