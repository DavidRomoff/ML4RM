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Library/CloudStorage/GoogleDrive-davethemovie@gmail.com/My Drive/Columbia/Classes/ML4RM/Classes/"/>
    </mc:Choice>
  </mc:AlternateContent>
  <xr:revisionPtr revIDLastSave="0" documentId="13_ncr:1_{342732BF-879D-7C48-B68B-08CB7827636E}" xr6:coauthVersionLast="47" xr6:coauthVersionMax="47" xr10:uidLastSave="{00000000-0000-0000-0000-000000000000}"/>
  <bookViews>
    <workbookView xWindow="-11540" yWindow="-21600" windowWidth="51200" windowHeight="21600" xr2:uid="{2528C2F6-2D91-5941-BA0A-8E362C5A735B}"/>
  </bookViews>
  <sheets>
    <sheet name="Today" sheetId="6" r:id="rId1"/>
    <sheet name="Themes" sheetId="13" r:id="rId2"/>
    <sheet name="Regression" sheetId="66" r:id="rId3"/>
    <sheet name="Assumptions" sheetId="35" r:id="rId4"/>
    <sheet name="SetUp" sheetId="12" state="veryHidden" r:id="rId5"/>
    <sheet name="Linearity" sheetId="8" state="veryHidden" r:id="rId6"/>
    <sheet name="NormalErrors" sheetId="68" state="veryHidden" r:id="rId7"/>
    <sheet name="ConstantVariance" sheetId="9" state="veryHidden" r:id="rId8"/>
    <sheet name="Leverage" sheetId="10" state="veryHidden" r:id="rId9"/>
    <sheet name="CooksDistance" sheetId="69" state="veryHidden" r:id="rId10"/>
    <sheet name="IndependentErrors" sheetId="11" state="veryHidden" r:id="rId11"/>
    <sheet name="DurbinWatson" sheetId="16" state="veryHidden" r:id="rId12"/>
    <sheet name="Diagnostics" sheetId="32" r:id="rId13"/>
    <sheet name="KNN" sheetId="34" r:id="rId14"/>
    <sheet name="KNN_Data" sheetId="45" state="veryHidden" r:id="rId15"/>
    <sheet name="KNN_XNew" sheetId="46" state="veryHidden" r:id="rId16"/>
    <sheet name="KNN_Distance" sheetId="47" state="veryHidden" r:id="rId17"/>
    <sheet name="KNN_Nearest" sheetId="48" state="veryHidden" r:id="rId18"/>
    <sheet name="KNN_K" sheetId="49" state="veryHidden" r:id="rId19"/>
    <sheet name="KNN_Vote" sheetId="50" state="veryHidden" r:id="rId20"/>
    <sheet name="KNN_RCode" sheetId="72" state="veryHidden" r:id="rId21"/>
    <sheet name="OutOfSampleTesting" sheetId="36" state="hidden" r:id="rId22"/>
    <sheet name="LearningCurves" sheetId="29" state="veryHidden" r:id="rId23"/>
    <sheet name="Contents" sheetId="37" state="veryHidden" r:id="rId24"/>
    <sheet name="BasicsWarmup" sheetId="38" state="veryHidden" r:id="rId25"/>
    <sheet name="Setup_" sheetId="39" state="veryHidden" r:id="rId26"/>
    <sheet name="Explore" sheetId="40" state="veryHidden" r:id="rId27"/>
    <sheet name="Tools" sheetId="41" state="veryHidden" r:id="rId28"/>
    <sheet name="LM_InAndOut" sheetId="42" state="veryHidden" r:id="rId29"/>
    <sheet name="Optim_InAndOut" sheetId="43" state="veryHidden" r:id="rId30"/>
    <sheet name="Optim_Shrinkage" sheetId="44" state="veryHidden" r:id="rId31"/>
    <sheet name="AIC" sheetId="64" state="hidden" r:id="rId32"/>
    <sheet name="MLR_Step" sheetId="51" state="veryHidden" r:id="rId33"/>
    <sheet name="Data" sheetId="53" state="veryHidden" r:id="rId34"/>
    <sheet name="AIC_0" sheetId="62" state="veryHidden" r:id="rId35"/>
    <sheet name="AIC_1" sheetId="63" state="veryHidden" r:id="rId36"/>
    <sheet name="PreWork4NextClass" sheetId="27" r:id="rId37"/>
    <sheet name="InClassProjects" sheetId="26" r:id="rId38"/>
    <sheet name="Q_Regression" sheetId="33" r:id="rId39"/>
    <sheet name="Q_KNN" sheetId="25" state="hidden" r:id="rId40"/>
    <sheet name="Q_Diagnostics" sheetId="31" r:id="rId41"/>
    <sheet name="Q_AIC" sheetId="65" state="hidden" r:id="rId42"/>
    <sheet name="LendingClubData" sheetId="70" r:id="rId43"/>
    <sheet name="Hitters" sheetId="75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d">[8]Options2!#REF!</definedName>
    <definedName name="Change">[5]VaR0!#REF!</definedName>
    <definedName name="change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>#REF!</definedName>
    <definedName name="Inflator">[1]RSquareAdj!$C$10</definedName>
    <definedName name="k" localSheetId="34">[2]Binomial!$C$14</definedName>
    <definedName name="k" localSheetId="35">[2]Binomial!$C$14</definedName>
    <definedName name="k" localSheetId="33">[2]Binomial!$C$14</definedName>
    <definedName name="k" localSheetId="18">KNN_K!$AB$4</definedName>
    <definedName name="k" localSheetId="32">[2]Binomial!$C$14</definedName>
    <definedName name="k">KNN_Vote!$AB$4</definedName>
    <definedName name="LN_Sim">#REF!</definedName>
    <definedName name="loss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[15]Cor_N_Cov!$G$14:$G$35</definedName>
    <definedName name="MyBankDeposits">[15]Cor_N_Cov!$D$14:$D$35</definedName>
    <definedName name="MyFriendsBank">[15]Cor_N_Cov!$H$14:$H$35</definedName>
    <definedName name="MyFriendsDeposits">[15]Cor_N_Cov!$E$14:$E$35</definedName>
    <definedName name="n">[2]Binomial!$C$12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4">[2]Binomial!$C$13</definedName>
    <definedName name="p" localSheetId="35">[2]Binomial!$C$13</definedName>
    <definedName name="p" localSheetId="33">[2]Binomial!$C$13</definedName>
    <definedName name="p" localSheetId="32">[2]Binomial!$C$13</definedName>
    <definedName name="p">DurbinWatson!$B$3</definedName>
    <definedName name="PD">[4]CDS!$C$21:$C$25</definedName>
    <definedName name="PDF">[14]Calcs_Mean2!$K$10:$K$30</definedName>
    <definedName name="Period">#REF!</definedName>
    <definedName name="peso_rate">[12]FX_Intro!$C$66</definedName>
    <definedName name="Pij">#REF!</definedName>
    <definedName name="pmt">#REF!</definedName>
    <definedName name="pmt_">#REF!</definedName>
    <definedName name="pmtperyear">[16]Bond!$C$6</definedName>
    <definedName name="pmts">[16]Bond!$E$12:$E$25</definedName>
    <definedName name="price1">#REF!</definedName>
    <definedName name="price2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[16]Dur2!$G$12:$G$25</definedName>
    <definedName name="PVA">[16]InstallmentLoan!$F$3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[17]CreditMatrix!$D$10:$D$109</definedName>
    <definedName name="RatingNow">[17]CreditMatrix!$E$10:$E$109</definedName>
    <definedName name="ratingsTbl">[17]CreditMatrix!$B$2:$C$7</definedName>
    <definedName name="Ratio">[14]Calcs_VarianceDiff!$E$17</definedName>
    <definedName name="Recovery">[4]Spread2PD!$D$40:$D$44</definedName>
    <definedName name="risk1">#REF!</definedName>
    <definedName name="risk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mpleVar1">[14]Calcs_VarianceDiff!$E$13</definedName>
    <definedName name="SampleVar2">[14]Calcs_VarianceDiff!$E$14</definedName>
    <definedName name="SD">#REF!</definedName>
    <definedName name="sd_x">[1]MaximumLikelihood!$C$3</definedName>
    <definedName name="SD_xbar">[14]Calcs_Mean2!$O$28</definedName>
    <definedName name="SE0">#REF!</definedName>
    <definedName name="SE1_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8" hidden="1">Q_Regression!$F$16</definedName>
    <definedName name="solver_cvg" localSheetId="38" hidden="1">0.0001</definedName>
    <definedName name="solver_drv" localSheetId="38" hidden="1">1</definedName>
    <definedName name="solver_eng" localSheetId="38" hidden="1">1</definedName>
    <definedName name="solver_itr" localSheetId="38" hidden="1">2147483647</definedName>
    <definedName name="solver_lin" localSheetId="38" hidden="1">2</definedName>
    <definedName name="solver_mip" localSheetId="38" hidden="1">2147483647</definedName>
    <definedName name="solver_mni" localSheetId="38" hidden="1">30</definedName>
    <definedName name="solver_mrt" localSheetId="38" hidden="1">0.075</definedName>
    <definedName name="solver_msl" localSheetId="38" hidden="1">2</definedName>
    <definedName name="solver_neg" localSheetId="38" hidden="1">1</definedName>
    <definedName name="solver_nod" localSheetId="38" hidden="1">2147483647</definedName>
    <definedName name="solver_num" localSheetId="38" hidden="1">0</definedName>
    <definedName name="solver_opt" localSheetId="38" hidden="1">Q_Regression!$F$19</definedName>
    <definedName name="solver_pre" localSheetId="38" hidden="1">0.000001</definedName>
    <definedName name="solver_rbv" localSheetId="38" hidden="1">1</definedName>
    <definedName name="solver_rlx" localSheetId="38" hidden="1">2</definedName>
    <definedName name="solver_rsd" localSheetId="38" hidden="1">0</definedName>
    <definedName name="solver_scl" localSheetId="38" hidden="1">1</definedName>
    <definedName name="solver_sho" localSheetId="38" hidden="1">2</definedName>
    <definedName name="solver_ssz" localSheetId="38" hidden="1">100</definedName>
    <definedName name="solver_tim" localSheetId="38" hidden="1">2147483647</definedName>
    <definedName name="solver_tol" localSheetId="38" hidden="1">0.01</definedName>
    <definedName name="solver_typ" localSheetId="38" hidden="1">2</definedName>
    <definedName name="solver_val" localSheetId="38" hidden="1">0</definedName>
    <definedName name="solver_ver" localSheetId="38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>#REF!</definedName>
    <definedName name="Sum">[13]CentralLimitTheorem!$C$7:$C$106</definedName>
    <definedName name="t">#REF!</definedName>
    <definedName name="t_">[4]CDS!$B$21:$B$25</definedName>
    <definedName name="table_asf">[18]ASF!$C$31:$D$34</definedName>
    <definedName name="Time">#REF!</definedName>
    <definedName name="Time_">[4]Spread2PD!$B$40:$B$44</definedName>
    <definedName name="tmat">[4]ExporeInf!$C$3:$H$8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'[19]2_PMT'!$C$13</definedName>
    <definedName name="Value">[11]VaR3!$D$50:$H$50</definedName>
    <definedName name="value_01">[16]Dur2!$I$12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[17]CreditMatrix_Weighted!$F$10:$F$109</definedName>
    <definedName name="weights">[11]VaR3!$C$55:$C$59</definedName>
    <definedName name="Withdrawl">[20]InvestmentReturns!$B$12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[16]Bond!$C$8</definedName>
    <definedName name="y_draw">#REF!</definedName>
    <definedName name="ybar">#REF!</definedName>
    <definedName name="year">Data!$D$2:$D$235</definedName>
    <definedName name="years">[16]Bond!$C$7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33" l="1"/>
  <c r="E36" i="33"/>
  <c r="E37" i="33"/>
  <c r="E38" i="33"/>
  <c r="E39" i="33"/>
  <c r="E40" i="33"/>
  <c r="E41" i="33"/>
  <c r="E42" i="33"/>
  <c r="E43" i="33"/>
  <c r="E34" i="33"/>
  <c r="E18" i="33"/>
  <c r="E19" i="33"/>
  <c r="E20" i="33"/>
  <c r="E21" i="33"/>
  <c r="E22" i="33"/>
  <c r="E23" i="33"/>
  <c r="E24" i="33"/>
  <c r="E25" i="33"/>
  <c r="E26" i="33"/>
  <c r="E17" i="33"/>
  <c r="I2" i="63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E8" i="32" a="1"/>
  <c r="E8" i="32" s="1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F2" i="62" l="1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J24" i="48" l="1"/>
  <c r="G144" i="62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H2" i="62" l="1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D12" i="16"/>
  <c r="F4" i="16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<sst xmlns="http://schemas.openxmlformats.org/spreadsheetml/2006/main" count="15099" uniqueCount="279">
  <si>
    <t>Linearity</t>
  </si>
  <si>
    <t>Assumptions of Linear Regression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</si>
  <si>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</si>
  <si>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</si>
  <si>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</si>
  <si>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</si>
  <si>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</si>
  <si>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</si>
  <si>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</si>
  <si>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</si>
  <si>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</si>
  <si>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</si>
  <si>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Visualization of the forecast</t>
  </si>
  <si>
    <t>K Nearest Neighbors</t>
  </si>
  <si>
    <t>Out of Sample Testing</t>
  </si>
  <si>
    <t>Themes of the Day:</t>
  </si>
  <si>
    <t>Linear Regression with Out of Sample Testing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</si>
  <si>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</si>
  <si>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</si>
  <si>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</si>
  <si>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</si>
  <si>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</si>
  <si>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</si>
  <si>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</si>
  <si>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</si>
  <si>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Can you detect what you are looking for?</t>
  </si>
  <si>
    <t>You are looking for cases of sickness.</t>
  </si>
  <si>
    <t>Diagnostics</t>
  </si>
  <si>
    <t>https://en.wikipedia.org/wiki/Precision_and_recall</t>
  </si>
  <si>
    <t>You are looking for positive cases.</t>
  </si>
  <si>
    <t>Positive</t>
  </si>
  <si>
    <t>Negative</t>
  </si>
  <si>
    <t>`</t>
  </si>
  <si>
    <t>https://drive.google.com/open?id=1Hd5aE-y334DyjHNV7ngp2DbrMgMBuOKd</t>
  </si>
  <si>
    <t>CF_InAndOut</t>
  </si>
  <si>
    <t>https://drive.google.com/open?id=13ekqY2xJLaQ6bqlpkTwr8tLwzgwm0AI8</t>
  </si>
  <si>
    <t>Optim_LSearch</t>
  </si>
  <si>
    <t>https://drive.google.com/open?id=1QlKQwfvt_sy6ijeKAaqEc_wZGzA3m8t1</t>
  </si>
  <si>
    <t>Optim_Shrinkage</t>
  </si>
  <si>
    <t>https://drive.google.com/open?id=1r5mXOqsu1aTxyhy-Oee8B8JwrTHOnahV</t>
  </si>
  <si>
    <t>Optim_InAndOut</t>
  </si>
  <si>
    <t>https://drive.google.com/open?id=1SKGSkTavC0SBlPdui8UXPxujir1cM_Wu</t>
  </si>
  <si>
    <t>LM_InAndOut</t>
  </si>
  <si>
    <t>https://drive.google.com/open?id=1LNoC9BUU434VAo7ztuP8Emlp9Fnoku8G</t>
  </si>
  <si>
    <t>Tools</t>
  </si>
  <si>
    <t>https://drive.google.com/open?id=15eD9ZCG3GMF7IWnPqjqXXxPzEyKkE-oi</t>
  </si>
  <si>
    <t>Exploration</t>
  </si>
  <si>
    <t>https://drive.google.com/open?id=1Ku1bEaFYWMqDfLvZR855lDqnqMzsjd20</t>
  </si>
  <si>
    <t>Setup</t>
  </si>
  <si>
    <t>ConstantVariance</t>
  </si>
  <si>
    <t>Leverage</t>
  </si>
  <si>
    <t>IndependentErrors</t>
  </si>
  <si>
    <t>DurbinWatson</t>
  </si>
  <si>
    <t>LearningCurves</t>
  </si>
  <si>
    <t>Contents</t>
  </si>
  <si>
    <t>BasicsWarmup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</si>
  <si>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</si>
  <si>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</si>
  <si>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</si>
  <si>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</si>
  <si>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</si>
  <si>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</si>
  <si>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</si>
  <si>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</si>
  <si>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</si>
  <si>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</si>
  <si>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</si>
  <si>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</si>
  <si>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</si>
  <si>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</si>
  <si>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</si>
  <si>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</si>
  <si>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</si>
  <si>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</si>
  <si>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</si>
  <si>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</si>
  <si>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</si>
  <si>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</si>
  <si>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</si>
  <si>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</si>
  <si>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</si>
  <si>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</si>
  <si>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</si>
  <si>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</si>
  <si>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</si>
  <si>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</si>
  <si>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</si>
  <si>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</si>
  <si>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</si>
  <si>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</si>
  <si>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</si>
  <si>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</si>
  <si>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</si>
  <si>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</si>
  <si>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</si>
  <si>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</si>
  <si>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</si>
  <si>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</si>
  <si>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</si>
  <si>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</si>
  <si>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</si>
  <si>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</si>
  <si>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</si>
  <si>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</si>
  <si>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</si>
  <si>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</si>
  <si>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</si>
  <si>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</si>
  <si>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</si>
  <si>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</si>
  <si>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</si>
  <si>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</si>
  <si>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</si>
  <si>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</si>
  <si>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</si>
  <si>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</si>
  <si>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</si>
  <si>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</si>
  <si>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</si>
  <si>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</si>
  <si>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</si>
  <si>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</si>
  <si>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</si>
  <si>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</si>
  <si>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</si>
  <si>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</si>
  <si>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</si>
  <si>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</si>
  <si>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</si>
  <si>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</si>
  <si>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</si>
  <si>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</si>
  <si>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</si>
  <si>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</si>
  <si>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</si>
  <si>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</si>
  <si>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</si>
  <si>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</si>
  <si>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</si>
  <si>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</si>
  <si>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</si>
  <si>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</si>
  <si>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</si>
  <si>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</si>
  <si>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</si>
  <si>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</si>
  <si>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</si>
  <si>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</si>
  <si>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</si>
  <si>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</si>
  <si>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</si>
  <si>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</si>
  <si>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</si>
  <si>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</si>
  <si>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</si>
  <si>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</si>
  <si>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</si>
  <si>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</si>
  <si>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</si>
  <si>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</si>
  <si>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</si>
  <si>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</si>
  <si>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</si>
  <si>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</si>
  <si>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</si>
  <si>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</si>
  <si>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</si>
  <si>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</si>
  <si>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</si>
  <si>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</si>
  <si>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</si>
  <si>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</si>
  <si>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</si>
  <si>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</si>
  <si>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</si>
  <si>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</si>
  <si>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</si>
  <si>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</si>
  <si>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</si>
  <si>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</si>
  <si>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</si>
  <si>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</si>
  <si>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</si>
  <si>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</si>
  <si>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</si>
  <si>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</si>
  <si>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</si>
  <si>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Linear Regression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</si>
  <si>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</si>
  <si>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</si>
  <si>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</si>
  <si>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</si>
  <si>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</si>
  <si>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</si>
  <si>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</si>
  <si>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</si>
  <si>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</si>
  <si>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</si>
  <si>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</si>
  <si>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</si>
  <si>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Regression</t>
  </si>
  <si>
    <t>Question</t>
  </si>
  <si>
    <t>Points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</si>
  <si>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</si>
  <si>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</si>
  <si>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</si>
  <si>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</si>
  <si>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</si>
  <si>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</si>
  <si>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</si>
  <si>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</si>
  <si>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</si>
  <si>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</si>
  <si>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</si>
  <si>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</si>
  <si>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</si>
  <si>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</si>
  <si>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</si>
  <si>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</si>
  <si>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</si>
  <si>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</si>
  <si>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</si>
  <si>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</si>
  <si>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</si>
  <si>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</si>
  <si>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</si>
  <si>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</si>
  <si>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</si>
  <si>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</si>
  <si>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</si>
  <si>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</si>
  <si>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</si>
  <si>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</si>
  <si>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</si>
  <si>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</si>
  <si>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</si>
  <si>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</si>
  <si>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</si>
  <si>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</si>
  <si>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</si>
  <si>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</si>
  <si>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Your answer should display the following in this tab.</t>
  </si>
  <si>
    <t>Normal Errors 1</t>
  </si>
  <si>
    <t>Normal Errors 2</t>
  </si>
  <si>
    <t>Constant Variance</t>
  </si>
  <si>
    <t>Independent Errors</t>
  </si>
  <si>
    <t>DB1</t>
  </si>
  <si>
    <t>DB2</t>
  </si>
  <si>
    <t>Knn Data</t>
  </si>
  <si>
    <t>KNN xNew</t>
  </si>
  <si>
    <t>Knn Distance</t>
  </si>
  <si>
    <t>KNN Nearest</t>
  </si>
  <si>
    <t>KNN Vote</t>
  </si>
  <si>
    <t>KNN Rcode</t>
  </si>
  <si>
    <t>Define 'linear combination'</t>
  </si>
  <si>
    <t>Define 'multicollinearity'</t>
  </si>
  <si>
    <t>List 4 assumptions of linear regression</t>
  </si>
  <si>
    <t>y</t>
  </si>
  <si>
    <t>b</t>
  </si>
  <si>
    <t>Use Solver to solve for beta by minimizing the Residual Sum of Squares.</t>
  </si>
  <si>
    <t>Objective</t>
  </si>
  <si>
    <t>Minimize the value in cell labeled Objective.</t>
  </si>
  <si>
    <t>Use Solver to solve for beta by maximizing likelihood.</t>
  </si>
  <si>
    <t>You are welcome to manually solve in a programming language, but that will be more difficult.</t>
  </si>
  <si>
    <t>Use an Ftest to check if the variance of the first 5 error terms is different from the second 5.</t>
  </si>
  <si>
    <t>n1</t>
  </si>
  <si>
    <t>n2</t>
  </si>
  <si>
    <t>Ratio</t>
  </si>
  <si>
    <t>Fvalue</t>
  </si>
  <si>
    <t>Pvalue</t>
  </si>
  <si>
    <t>Learning Curve plot (errors by K)</t>
  </si>
  <si>
    <t>V(A) = 1</t>
  </si>
  <si>
    <t>V(B) = 1</t>
  </si>
  <si>
    <t>Correlation(A,B) = 0</t>
  </si>
  <si>
    <t>What is the variance of the portfolio?</t>
  </si>
  <si>
    <t>Correlation(A,B) = 1</t>
  </si>
  <si>
    <t>Correlation(A,B) = -1</t>
  </si>
  <si>
    <t>Describe the Durbin Watson test in terms of porfolio variance.</t>
  </si>
  <si>
    <t>A portfolio has 1 dollar invested into asset A and another 1 dollar invested into asset 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</si>
</sst>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20"/>
      <color theme="0" tint="-0.1499984740745262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1" applyFont="1" applyFill="1"/>
    <xf numFmtId="0" fontId="5" fillId="2" borderId="0" xfId="0" applyFont="1" applyFill="1"/>
    <xf numFmtId="0" fontId="2" fillId="5" borderId="0" xfId="0" applyFont="1" applyFill="1"/>
    <xf numFmtId="0" fontId="6" fillId="2" borderId="0" xfId="0" applyFont="1" applyFill="1"/>
    <xf numFmtId="0" fontId="7" fillId="2" borderId="0" xfId="1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0" fillId="6" borderId="0" xfId="0" applyFont="1" applyFill="1"/>
    <xf numFmtId="11" fontId="0" fillId="0" borderId="0" xfId="0" applyNumberFormat="1"/>
    <xf numFmtId="0" fontId="1" fillId="5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shrinkToFi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63" Type="http://schemas.openxmlformats.org/officeDocument/2006/relationships/externalLink" Target="externalLinks/externalLink19.xml"/><Relationship Id="rId68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externalLink" Target="externalLinks/externalLink9.xml"/><Relationship Id="rId58" Type="http://schemas.openxmlformats.org/officeDocument/2006/relationships/externalLink" Target="externalLinks/externalLink14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openxmlformats.org/officeDocument/2006/relationships/externalLink" Target="externalLinks/externalLink12.xml"/><Relationship Id="rId64" Type="http://schemas.openxmlformats.org/officeDocument/2006/relationships/externalLink" Target="externalLinks/externalLink20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59" Type="http://schemas.openxmlformats.org/officeDocument/2006/relationships/externalLink" Target="externalLinks/externalLink15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0.xml"/><Relationship Id="rId62" Type="http://schemas.openxmlformats.org/officeDocument/2006/relationships/externalLink" Target="externalLinks/externalLink18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57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8.xml"/><Relationship Id="rId60" Type="http://schemas.openxmlformats.org/officeDocument/2006/relationships/externalLink" Target="externalLinks/externalLink16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6.xml"/><Relationship Id="rId55" Type="http://schemas.openxmlformats.org/officeDocument/2006/relationships/externalLink" Target="externalLinks/externalLink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0.31935005959705609</c:v>
                </c:pt>
                <c:pt idx="1">
                  <c:v>0.53940344764383374</c:v>
                </c:pt>
                <c:pt idx="2">
                  <c:v>0.28801209751019208</c:v>
                </c:pt>
                <c:pt idx="3">
                  <c:v>0.6940098056057421</c:v>
                </c:pt>
                <c:pt idx="4">
                  <c:v>0.58591943974338667</c:v>
                </c:pt>
                <c:pt idx="5">
                  <c:v>0.11424546858679363</c:v>
                </c:pt>
                <c:pt idx="6">
                  <c:v>0.98539230692387159</c:v>
                </c:pt>
                <c:pt idx="7">
                  <c:v>0.4009368134414284</c:v>
                </c:pt>
                <c:pt idx="8">
                  <c:v>0.61757915951251807</c:v>
                </c:pt>
                <c:pt idx="9">
                  <c:v>0.15215941719496662</c:v>
                </c:pt>
                <c:pt idx="10">
                  <c:v>0.86011101305876625</c:v>
                </c:pt>
                <c:pt idx="11">
                  <c:v>0.95376704665708345</c:v>
                </c:pt>
                <c:pt idx="12">
                  <c:v>0.49832861441265219</c:v>
                </c:pt>
                <c:pt idx="13">
                  <c:v>0.19059668596684731</c:v>
                </c:pt>
                <c:pt idx="14">
                  <c:v>4.4538464290775015E-2</c:v>
                </c:pt>
                <c:pt idx="15">
                  <c:v>0.13175542718725397</c:v>
                </c:pt>
                <c:pt idx="16">
                  <c:v>0.22204138870746681</c:v>
                </c:pt>
                <c:pt idx="17">
                  <c:v>0.28000217479856659</c:v>
                </c:pt>
                <c:pt idx="18">
                  <c:v>4.7215128811871176E-2</c:v>
                </c:pt>
                <c:pt idx="19">
                  <c:v>0.78227715464323133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0.52519559048688336</c:v>
                </c:pt>
                <c:pt idx="1">
                  <c:v>0.94885556625681144</c:v>
                </c:pt>
                <c:pt idx="2">
                  <c:v>0.58555783409762263</c:v>
                </c:pt>
                <c:pt idx="3">
                  <c:v>0.94860615118617675</c:v>
                </c:pt>
                <c:pt idx="4">
                  <c:v>0.75375351432650761</c:v>
                </c:pt>
                <c:pt idx="5">
                  <c:v>0.68393484800006499</c:v>
                </c:pt>
                <c:pt idx="6">
                  <c:v>0.99832349611360527</c:v>
                </c:pt>
                <c:pt idx="7">
                  <c:v>0.8548015684808552</c:v>
                </c:pt>
                <c:pt idx="8">
                  <c:v>0.70639559289669529</c:v>
                </c:pt>
                <c:pt idx="9">
                  <c:v>0.24529056101611568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0.31935005959705609</c:v>
                </c:pt>
                <c:pt idx="1">
                  <c:v>0.53940344764383374</c:v>
                </c:pt>
                <c:pt idx="2">
                  <c:v>0.28801209751019208</c:v>
                </c:pt>
                <c:pt idx="3">
                  <c:v>0.6940098056057421</c:v>
                </c:pt>
                <c:pt idx="4">
                  <c:v>0.58591943974338667</c:v>
                </c:pt>
                <c:pt idx="5">
                  <c:v>0.11424546858679363</c:v>
                </c:pt>
                <c:pt idx="6">
                  <c:v>0.98539230692387159</c:v>
                </c:pt>
                <c:pt idx="7">
                  <c:v>0.4009368134414284</c:v>
                </c:pt>
                <c:pt idx="8">
                  <c:v>0.61757915951251807</c:v>
                </c:pt>
                <c:pt idx="9">
                  <c:v>0.15215941719496662</c:v>
                </c:pt>
                <c:pt idx="10">
                  <c:v>0.86011101305876625</c:v>
                </c:pt>
                <c:pt idx="11">
                  <c:v>0.95376704665708345</c:v>
                </c:pt>
                <c:pt idx="12">
                  <c:v>0.49832861441265219</c:v>
                </c:pt>
                <c:pt idx="13">
                  <c:v>0.19059668596684731</c:v>
                </c:pt>
                <c:pt idx="14">
                  <c:v>4.4538464290775015E-2</c:v>
                </c:pt>
                <c:pt idx="15">
                  <c:v>0.13175542718725397</c:v>
                </c:pt>
                <c:pt idx="16">
                  <c:v>0.22204138870746681</c:v>
                </c:pt>
                <c:pt idx="17">
                  <c:v>0.28000217479856659</c:v>
                </c:pt>
                <c:pt idx="18">
                  <c:v>4.7215128811871176E-2</c:v>
                </c:pt>
                <c:pt idx="19">
                  <c:v>0.78227715464323133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0.31972945283496107</c:v>
                </c:pt>
                <c:pt idx="11">
                  <c:v>0.64386802406428068</c:v>
                </c:pt>
                <c:pt idx="12">
                  <c:v>0.2117658005717403</c:v>
                </c:pt>
                <c:pt idx="13">
                  <c:v>0.10239074637688272</c:v>
                </c:pt>
                <c:pt idx="14">
                  <c:v>3.1340744091701241E-2</c:v>
                </c:pt>
                <c:pt idx="15">
                  <c:v>0.1273637851014304</c:v>
                </c:pt>
                <c:pt idx="16">
                  <c:v>0.12178627420851383</c:v>
                </c:pt>
                <c:pt idx="17">
                  <c:v>3.214695484861517E-2</c:v>
                </c:pt>
                <c:pt idx="18">
                  <c:v>5.8184644527453878E-3</c:v>
                </c:pt>
                <c:pt idx="19">
                  <c:v>6.5746252638331934E-2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0.43860580787009473</c:v>
                </c:pt>
                <c:pt idx="1">
                  <c:v>0.91932522292725993</c:v>
                </c:pt>
                <c:pt idx="2">
                  <c:v>0.19249371381576674</c:v>
                </c:pt>
                <c:pt idx="3">
                  <c:v>0.41308186033197369</c:v>
                </c:pt>
                <c:pt idx="4">
                  <c:v>2.4033167277913492E-2</c:v>
                </c:pt>
                <c:pt idx="5">
                  <c:v>0.99283348333007015</c:v>
                </c:pt>
                <c:pt idx="6">
                  <c:v>0.54249842848318075</c:v>
                </c:pt>
                <c:pt idx="7">
                  <c:v>0.46654020675468544</c:v>
                </c:pt>
                <c:pt idx="8">
                  <c:v>9.279029301832098E-2</c:v>
                </c:pt>
                <c:pt idx="9">
                  <c:v>0.62362390535908152</c:v>
                </c:pt>
                <c:pt idx="10">
                  <c:v>0.58738120298932439</c:v>
                </c:pt>
                <c:pt idx="11">
                  <c:v>0.54649287177333217</c:v>
                </c:pt>
                <c:pt idx="12">
                  <c:v>0.66293751725261463</c:v>
                </c:pt>
                <c:pt idx="13">
                  <c:v>0.66552479992661073</c:v>
                </c:pt>
                <c:pt idx="14">
                  <c:v>9.3731373377650251E-2</c:v>
                </c:pt>
                <c:pt idx="15">
                  <c:v>0.84177122958965689</c:v>
                </c:pt>
                <c:pt idx="16">
                  <c:v>0.79660738657327357</c:v>
                </c:pt>
                <c:pt idx="17">
                  <c:v>0.16197123538280955</c:v>
                </c:pt>
                <c:pt idx="18">
                  <c:v>0.39270637873144898</c:v>
                </c:pt>
                <c:pt idx="19">
                  <c:v>0.78850067432227255</c:v>
                </c:pt>
                <c:pt idx="20">
                  <c:v>0.49246415270573773</c:v>
                </c:pt>
                <c:pt idx="21">
                  <c:v>0.30659018836383756</c:v>
                </c:pt>
                <c:pt idx="22">
                  <c:v>0.27219502121794625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0.61881662077594701</c:v>
                </c:pt>
                <c:pt idx="1">
                  <c:v>0.95886356556352292</c:v>
                </c:pt>
                <c:pt idx="2">
                  <c:v>0.838683098641956</c:v>
                </c:pt>
                <c:pt idx="3">
                  <c:v>0.97198352824570244</c:v>
                </c:pt>
                <c:pt idx="4">
                  <c:v>0.13159186229311398</c:v>
                </c:pt>
                <c:pt idx="5">
                  <c:v>0.99448950152711213</c:v>
                </c:pt>
                <c:pt idx="6">
                  <c:v>0.99099642947926858</c:v>
                </c:pt>
                <c:pt idx="7">
                  <c:v>0.95103943422052839</c:v>
                </c:pt>
                <c:pt idx="8">
                  <c:v>0.63285270775682734</c:v>
                </c:pt>
                <c:pt idx="9">
                  <c:v>0.99141053677779212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0.43860580787009473</c:v>
                </c:pt>
                <c:pt idx="1">
                  <c:v>0.91932522292725993</c:v>
                </c:pt>
                <c:pt idx="2">
                  <c:v>0.19249371381576674</c:v>
                </c:pt>
                <c:pt idx="3">
                  <c:v>0.41308186033197369</c:v>
                </c:pt>
                <c:pt idx="4">
                  <c:v>2.4033167277913492E-2</c:v>
                </c:pt>
                <c:pt idx="5">
                  <c:v>0.99283348333007015</c:v>
                </c:pt>
                <c:pt idx="6">
                  <c:v>0.54249842848318075</c:v>
                </c:pt>
                <c:pt idx="7">
                  <c:v>0.46654020675468544</c:v>
                </c:pt>
                <c:pt idx="8">
                  <c:v>9.279029301832098E-2</c:v>
                </c:pt>
                <c:pt idx="9">
                  <c:v>0.62362390535908152</c:v>
                </c:pt>
                <c:pt idx="10">
                  <c:v>0.58738120298932439</c:v>
                </c:pt>
                <c:pt idx="11">
                  <c:v>0.54649287177333217</c:v>
                </c:pt>
                <c:pt idx="12">
                  <c:v>0.66293751725261463</c:v>
                </c:pt>
                <c:pt idx="13">
                  <c:v>0.66552479992661073</c:v>
                </c:pt>
                <c:pt idx="14">
                  <c:v>9.3731373377650251E-2</c:v>
                </c:pt>
                <c:pt idx="15">
                  <c:v>0.84177122958965689</c:v>
                </c:pt>
                <c:pt idx="16">
                  <c:v>0.79660738657327357</c:v>
                </c:pt>
                <c:pt idx="17">
                  <c:v>0.16197123538280955</c:v>
                </c:pt>
                <c:pt idx="18">
                  <c:v>0.39270637873144898</c:v>
                </c:pt>
                <c:pt idx="19">
                  <c:v>0.78850067432227255</c:v>
                </c:pt>
                <c:pt idx="20">
                  <c:v>0.49246415270573773</c:v>
                </c:pt>
                <c:pt idx="21">
                  <c:v>0.30659018836383756</c:v>
                </c:pt>
                <c:pt idx="22">
                  <c:v>0.27219502121794625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0.29590267788952468</c:v>
                </c:pt>
                <c:pt idx="11">
                  <c:v>5.2369879392353665E-2</c:v>
                </c:pt>
                <c:pt idx="12">
                  <c:v>0.16568365586563882</c:v>
                </c:pt>
                <c:pt idx="13">
                  <c:v>0.35873887542531441</c:v>
                </c:pt>
                <c:pt idx="14">
                  <c:v>8.7600555004660449E-2</c:v>
                </c:pt>
                <c:pt idx="15">
                  <c:v>0.16975064284137995</c:v>
                </c:pt>
                <c:pt idx="16">
                  <c:v>0.50502496309403888</c:v>
                </c:pt>
                <c:pt idx="17">
                  <c:v>0.13226265434065709</c:v>
                </c:pt>
                <c:pt idx="18">
                  <c:v>0.32675317639546159</c:v>
                </c:pt>
                <c:pt idx="19">
                  <c:v>0.3393809210879703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0.43860580787009473</c:v>
                </c:pt>
                <c:pt idx="1">
                  <c:v>0.91932522292725993</c:v>
                </c:pt>
                <c:pt idx="2">
                  <c:v>0.19249371381576674</c:v>
                </c:pt>
                <c:pt idx="3">
                  <c:v>0.41308186033197369</c:v>
                </c:pt>
                <c:pt idx="4">
                  <c:v>2.4033167277913492E-2</c:v>
                </c:pt>
                <c:pt idx="5">
                  <c:v>0.99283348333007015</c:v>
                </c:pt>
                <c:pt idx="6">
                  <c:v>0.54249842848318075</c:v>
                </c:pt>
                <c:pt idx="7">
                  <c:v>0.46654020675468544</c:v>
                </c:pt>
                <c:pt idx="8">
                  <c:v>9.279029301832098E-2</c:v>
                </c:pt>
                <c:pt idx="9">
                  <c:v>0.62362390535908152</c:v>
                </c:pt>
                <c:pt idx="10">
                  <c:v>0.58738120298932439</c:v>
                </c:pt>
                <c:pt idx="11">
                  <c:v>0.54649287177333217</c:v>
                </c:pt>
                <c:pt idx="12">
                  <c:v>0.66293751725261463</c:v>
                </c:pt>
                <c:pt idx="13">
                  <c:v>0.66552479992661073</c:v>
                </c:pt>
                <c:pt idx="14">
                  <c:v>9.3731373377650251E-2</c:v>
                </c:pt>
                <c:pt idx="15">
                  <c:v>0.84177122958965689</c:v>
                </c:pt>
                <c:pt idx="16">
                  <c:v>0.79660738657327357</c:v>
                </c:pt>
                <c:pt idx="17">
                  <c:v>0.16197123538280955</c:v>
                </c:pt>
                <c:pt idx="18">
                  <c:v>0.39270637873144898</c:v>
                </c:pt>
                <c:pt idx="19">
                  <c:v>0.78850067432227255</c:v>
                </c:pt>
                <c:pt idx="20">
                  <c:v>0.49246415270573773</c:v>
                </c:pt>
                <c:pt idx="21">
                  <c:v>0.30659018836383756</c:v>
                </c:pt>
                <c:pt idx="22">
                  <c:v>0.27219502121794625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0.549741134852893</c:v>
                </c:pt>
                <c:pt idx="21" formatCode="0.00">
                  <c:v>0.63921691301290873</c:v>
                </c:pt>
                <c:pt idx="22" formatCode="0.00">
                  <c:v>0.75348540820609677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0.77324801007239119</c:v>
                </c:pt>
                <c:pt idx="1">
                  <c:v>0.14213648039591875</c:v>
                </c:pt>
                <c:pt idx="2">
                  <c:v>0.95657922530406492</c:v>
                </c:pt>
                <c:pt idx="3">
                  <c:v>0.32887602184705145</c:v>
                </c:pt>
                <c:pt idx="4">
                  <c:v>0.71440240573951841</c:v>
                </c:pt>
                <c:pt idx="5">
                  <c:v>0.24013901564886975</c:v>
                </c:pt>
                <c:pt idx="6">
                  <c:v>0.61280137395991352</c:v>
                </c:pt>
                <c:pt idx="7">
                  <c:v>0.25462190693679587</c:v>
                </c:pt>
                <c:pt idx="8">
                  <c:v>0.78923726258754512</c:v>
                </c:pt>
                <c:pt idx="9">
                  <c:v>0.42859938812459841</c:v>
                </c:pt>
                <c:pt idx="10">
                  <c:v>9.823353333132212E-2</c:v>
                </c:pt>
                <c:pt idx="11">
                  <c:v>0.95950140658675009</c:v>
                </c:pt>
                <c:pt idx="12">
                  <c:v>0.53053884175237265</c:v>
                </c:pt>
                <c:pt idx="13">
                  <c:v>0.35071922977753578</c:v>
                </c:pt>
                <c:pt idx="14">
                  <c:v>0.91817779536508137</c:v>
                </c:pt>
                <c:pt idx="15">
                  <c:v>0.87683369462832028</c:v>
                </c:pt>
                <c:pt idx="16">
                  <c:v>0.62256220953724228</c:v>
                </c:pt>
                <c:pt idx="17">
                  <c:v>0.91280812666190947</c:v>
                </c:pt>
                <c:pt idx="18">
                  <c:v>0.40497528653893111</c:v>
                </c:pt>
                <c:pt idx="19">
                  <c:v>5.110768542383648E-2</c:v>
                </c:pt>
                <c:pt idx="20">
                  <c:v>0.30721667518850537</c:v>
                </c:pt>
                <c:pt idx="21">
                  <c:v>0.18992305331058634</c:v>
                </c:pt>
                <c:pt idx="22">
                  <c:v>0.30043697050005835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0.92300401204694271</c:v>
                </c:pt>
                <c:pt idx="1">
                  <c:v>0.51191016886256069</c:v>
                </c:pt>
                <c:pt idx="2">
                  <c:v>0.98141100604730658</c:v>
                </c:pt>
                <c:pt idx="3">
                  <c:v>0.74721796095348514</c:v>
                </c:pt>
                <c:pt idx="4">
                  <c:v>0.76762394250219312</c:v>
                </c:pt>
                <c:pt idx="5">
                  <c:v>0.64308775649564143</c:v>
                </c:pt>
                <c:pt idx="6">
                  <c:v>0.98308171916035869</c:v>
                </c:pt>
                <c:pt idx="7">
                  <c:v>0.50968761629507031</c:v>
                </c:pt>
                <c:pt idx="8">
                  <c:v>0.92534346198161321</c:v>
                </c:pt>
                <c:pt idx="9">
                  <c:v>0.46310235356964957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0.77324801007239119</c:v>
                </c:pt>
                <c:pt idx="1">
                  <c:v>0.14213648039591875</c:v>
                </c:pt>
                <c:pt idx="2">
                  <c:v>0.95657922530406492</c:v>
                </c:pt>
                <c:pt idx="3">
                  <c:v>0.32887602184705145</c:v>
                </c:pt>
                <c:pt idx="4">
                  <c:v>0.71440240573951841</c:v>
                </c:pt>
                <c:pt idx="5">
                  <c:v>0.24013901564886975</c:v>
                </c:pt>
                <c:pt idx="6">
                  <c:v>0.61280137395991352</c:v>
                </c:pt>
                <c:pt idx="7">
                  <c:v>0.25462190693679587</c:v>
                </c:pt>
                <c:pt idx="8">
                  <c:v>0.78923726258754512</c:v>
                </c:pt>
                <c:pt idx="9">
                  <c:v>0.42859938812459841</c:v>
                </c:pt>
                <c:pt idx="10">
                  <c:v>9.823353333132212E-2</c:v>
                </c:pt>
                <c:pt idx="11">
                  <c:v>0.95950140658675009</c:v>
                </c:pt>
                <c:pt idx="12">
                  <c:v>0.53053884175237265</c:v>
                </c:pt>
                <c:pt idx="13">
                  <c:v>0.35071922977753578</c:v>
                </c:pt>
                <c:pt idx="14">
                  <c:v>0.91817779536508137</c:v>
                </c:pt>
                <c:pt idx="15">
                  <c:v>0.87683369462832028</c:v>
                </c:pt>
                <c:pt idx="16">
                  <c:v>0.62256220953724228</c:v>
                </c:pt>
                <c:pt idx="17">
                  <c:v>0.91280812666190947</c:v>
                </c:pt>
                <c:pt idx="18">
                  <c:v>0.40497528653893111</c:v>
                </c:pt>
                <c:pt idx="19">
                  <c:v>5.110768542383648E-2</c:v>
                </c:pt>
                <c:pt idx="20">
                  <c:v>0.30721667518850537</c:v>
                </c:pt>
                <c:pt idx="21">
                  <c:v>0.18992305331058634</c:v>
                </c:pt>
                <c:pt idx="22">
                  <c:v>0.30043697050005835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8.1590606322050813E-2</c:v>
                </c:pt>
                <c:pt idx="11">
                  <c:v>0.84625672968814902</c:v>
                </c:pt>
                <c:pt idx="12">
                  <c:v>0.24706910550696529</c:v>
                </c:pt>
                <c:pt idx="13">
                  <c:v>8.2144193640099214E-2</c:v>
                </c:pt>
                <c:pt idx="14">
                  <c:v>0.85749714094569374</c:v>
                </c:pt>
                <c:pt idx="15">
                  <c:v>0.3665746265307423</c:v>
                </c:pt>
                <c:pt idx="16">
                  <c:v>0.23889790178298478</c:v>
                </c:pt>
                <c:pt idx="17">
                  <c:v>0.28534529083044757</c:v>
                </c:pt>
                <c:pt idx="18">
                  <c:v>0.16554267253118646</c:v>
                </c:pt>
                <c:pt idx="19">
                  <c:v>4.0347851193263257E-2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0.77324801007239119</c:v>
                </c:pt>
                <c:pt idx="1">
                  <c:v>0.14213648039591875</c:v>
                </c:pt>
                <c:pt idx="2">
                  <c:v>0.95657922530406492</c:v>
                </c:pt>
                <c:pt idx="3">
                  <c:v>0.32887602184705145</c:v>
                </c:pt>
                <c:pt idx="4">
                  <c:v>0.71440240573951841</c:v>
                </c:pt>
                <c:pt idx="5">
                  <c:v>0.24013901564886975</c:v>
                </c:pt>
                <c:pt idx="6">
                  <c:v>0.61280137395991352</c:v>
                </c:pt>
                <c:pt idx="7">
                  <c:v>0.25462190693679587</c:v>
                </c:pt>
                <c:pt idx="8">
                  <c:v>0.78923726258754512</c:v>
                </c:pt>
                <c:pt idx="9">
                  <c:v>0.42859938812459841</c:v>
                </c:pt>
                <c:pt idx="10">
                  <c:v>9.823353333132212E-2</c:v>
                </c:pt>
                <c:pt idx="11">
                  <c:v>0.95950140658675009</c:v>
                </c:pt>
                <c:pt idx="12">
                  <c:v>0.53053884175237265</c:v>
                </c:pt>
                <c:pt idx="13">
                  <c:v>0.35071922977753578</c:v>
                </c:pt>
                <c:pt idx="14">
                  <c:v>0.91817779536508137</c:v>
                </c:pt>
                <c:pt idx="15">
                  <c:v>0.87683369462832028</c:v>
                </c:pt>
                <c:pt idx="16">
                  <c:v>0.62256220953724228</c:v>
                </c:pt>
                <c:pt idx="17">
                  <c:v>0.91280812666190947</c:v>
                </c:pt>
                <c:pt idx="18">
                  <c:v>0.40497528653893111</c:v>
                </c:pt>
                <c:pt idx="19">
                  <c:v>5.110768542383648E-2</c:v>
                </c:pt>
                <c:pt idx="20">
                  <c:v>0.30721667518850537</c:v>
                </c:pt>
                <c:pt idx="21">
                  <c:v>0.18992305331058634</c:v>
                </c:pt>
                <c:pt idx="22">
                  <c:v>0.30043697050005835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0.67125692366887602</c:v>
                </c:pt>
                <c:pt idx="21" formatCode="0.00">
                  <c:v>0.17012796502059235</c:v>
                </c:pt>
                <c:pt idx="22" formatCode="0.00">
                  <c:v>3.7739438099570033E-2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0.80049779600096627</c:v>
                </c:pt>
                <c:pt idx="1">
                  <c:v>0.24723896230821529</c:v>
                </c:pt>
                <c:pt idx="2">
                  <c:v>0.27197819333175799</c:v>
                </c:pt>
                <c:pt idx="3">
                  <c:v>9.190457357518389E-2</c:v>
                </c:pt>
                <c:pt idx="4">
                  <c:v>0.43329894221070953</c:v>
                </c:pt>
                <c:pt idx="5">
                  <c:v>0.70247136594693316</c:v>
                </c:pt>
                <c:pt idx="6">
                  <c:v>0.90379783852999773</c:v>
                </c:pt>
                <c:pt idx="7">
                  <c:v>0.26210971294026097</c:v>
                </c:pt>
                <c:pt idx="8">
                  <c:v>0.80272990261087085</c:v>
                </c:pt>
                <c:pt idx="9">
                  <c:v>0.12589212092995439</c:v>
                </c:pt>
                <c:pt idx="10">
                  <c:v>0.60149212400951158</c:v>
                </c:pt>
                <c:pt idx="11">
                  <c:v>0.82000593548947942</c:v>
                </c:pt>
                <c:pt idx="12">
                  <c:v>0.46888961180692346</c:v>
                </c:pt>
                <c:pt idx="13">
                  <c:v>0.18562812472247681</c:v>
                </c:pt>
                <c:pt idx="14">
                  <c:v>0.18981032349310634</c:v>
                </c:pt>
                <c:pt idx="15">
                  <c:v>0.3298931001168961</c:v>
                </c:pt>
                <c:pt idx="16">
                  <c:v>0.45165406410554354</c:v>
                </c:pt>
                <c:pt idx="17">
                  <c:v>0.28845590727298831</c:v>
                </c:pt>
                <c:pt idx="18">
                  <c:v>0.77304510123400461</c:v>
                </c:pt>
                <c:pt idx="19">
                  <c:v>0.86355706867729953</c:v>
                </c:pt>
                <c:pt idx="21">
                  <c:v>0.15406503600038612</c:v>
                </c:pt>
                <c:pt idx="22">
                  <c:v>0.1407547331161012</c:v>
                </c:pt>
                <c:pt idx="23">
                  <c:v>0.79292616508357405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0.89024518315917112</c:v>
                </c:pt>
                <c:pt idx="1">
                  <c:v>0.62663823585437883</c:v>
                </c:pt>
                <c:pt idx="2">
                  <c:v>0.85987057991837912</c:v>
                </c:pt>
                <c:pt idx="3">
                  <c:v>0.38545762442605669</c:v>
                </c:pt>
                <c:pt idx="4">
                  <c:v>0.73586027497451334</c:v>
                </c:pt>
                <c:pt idx="5">
                  <c:v>0.90474651911058124</c:v>
                </c:pt>
                <c:pt idx="6">
                  <c:v>0.99769195100289376</c:v>
                </c:pt>
                <c:pt idx="7">
                  <c:v>0.72382255757567338</c:v>
                </c:pt>
                <c:pt idx="8">
                  <c:v>0.84504475538855073</c:v>
                </c:pt>
                <c:pt idx="9">
                  <c:v>0.63841934144384749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0.80049779600096627</c:v>
                </c:pt>
                <c:pt idx="1">
                  <c:v>0.24723896230821529</c:v>
                </c:pt>
                <c:pt idx="2">
                  <c:v>0.27197819333175799</c:v>
                </c:pt>
                <c:pt idx="3">
                  <c:v>9.190457357518389E-2</c:v>
                </c:pt>
                <c:pt idx="4">
                  <c:v>0.43329894221070953</c:v>
                </c:pt>
                <c:pt idx="5">
                  <c:v>0.70247136594693316</c:v>
                </c:pt>
                <c:pt idx="6">
                  <c:v>0.90379783852999773</c:v>
                </c:pt>
                <c:pt idx="7">
                  <c:v>0.26210971294026097</c:v>
                </c:pt>
                <c:pt idx="8">
                  <c:v>0.80272990261087085</c:v>
                </c:pt>
                <c:pt idx="9">
                  <c:v>0.12589212092995439</c:v>
                </c:pt>
                <c:pt idx="10">
                  <c:v>0.60149212400951158</c:v>
                </c:pt>
                <c:pt idx="11">
                  <c:v>0.82000593548947942</c:v>
                </c:pt>
                <c:pt idx="12">
                  <c:v>0.46888961180692346</c:v>
                </c:pt>
                <c:pt idx="13">
                  <c:v>0.18562812472247681</c:v>
                </c:pt>
                <c:pt idx="14">
                  <c:v>0.18981032349310634</c:v>
                </c:pt>
                <c:pt idx="15">
                  <c:v>0.3298931001168961</c:v>
                </c:pt>
                <c:pt idx="16">
                  <c:v>0.45165406410554354</c:v>
                </c:pt>
                <c:pt idx="17">
                  <c:v>0.28845590727298831</c:v>
                </c:pt>
                <c:pt idx="18">
                  <c:v>0.77304510123400461</c:v>
                </c:pt>
                <c:pt idx="19">
                  <c:v>0.86355706867729953</c:v>
                </c:pt>
                <c:pt idx="21">
                  <c:v>0.15406503600038612</c:v>
                </c:pt>
                <c:pt idx="22">
                  <c:v>0.1407547331161012</c:v>
                </c:pt>
                <c:pt idx="23">
                  <c:v>0.79292616508357405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0.18765844124489542</c:v>
                </c:pt>
                <c:pt idx="11">
                  <c:v>0.17796247816158164</c:v>
                </c:pt>
                <c:pt idx="12">
                  <c:v>6.9785630124877818E-2</c:v>
                </c:pt>
                <c:pt idx="13">
                  <c:v>0.17556332924674997</c:v>
                </c:pt>
                <c:pt idx="14">
                  <c:v>7.5048814094427735E-2</c:v>
                </c:pt>
                <c:pt idx="15">
                  <c:v>8.5912989326702108E-3</c:v>
                </c:pt>
                <c:pt idx="16">
                  <c:v>0.26618555583071851</c:v>
                </c:pt>
                <c:pt idx="17">
                  <c:v>0.20945134992521727</c:v>
                </c:pt>
                <c:pt idx="18">
                  <c:v>0.13697255730651073</c:v>
                </c:pt>
                <c:pt idx="19">
                  <c:v>0.62827500108292667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0.80049779600096627</c:v>
                </c:pt>
                <c:pt idx="1">
                  <c:v>0.24723896230821529</c:v>
                </c:pt>
                <c:pt idx="2">
                  <c:v>0.27197819333175799</c:v>
                </c:pt>
                <c:pt idx="3">
                  <c:v>9.190457357518389E-2</c:v>
                </c:pt>
                <c:pt idx="4">
                  <c:v>0.43329894221070953</c:v>
                </c:pt>
                <c:pt idx="5">
                  <c:v>0.70247136594693316</c:v>
                </c:pt>
                <c:pt idx="6">
                  <c:v>0.90379783852999773</c:v>
                </c:pt>
                <c:pt idx="7">
                  <c:v>0.26210971294026097</c:v>
                </c:pt>
                <c:pt idx="8">
                  <c:v>0.80272990261087085</c:v>
                </c:pt>
                <c:pt idx="9">
                  <c:v>0.12589212092995439</c:v>
                </c:pt>
                <c:pt idx="10">
                  <c:v>0.60149212400951158</c:v>
                </c:pt>
                <c:pt idx="11">
                  <c:v>0.82000593548947942</c:v>
                </c:pt>
                <c:pt idx="12">
                  <c:v>0.46888961180692346</c:v>
                </c:pt>
                <c:pt idx="13">
                  <c:v>0.18562812472247681</c:v>
                </c:pt>
                <c:pt idx="14">
                  <c:v>0.18981032349310634</c:v>
                </c:pt>
                <c:pt idx="15">
                  <c:v>0.3298931001168961</c:v>
                </c:pt>
                <c:pt idx="16">
                  <c:v>0.45165406410554354</c:v>
                </c:pt>
                <c:pt idx="17">
                  <c:v>0.28845590727298831</c:v>
                </c:pt>
                <c:pt idx="18">
                  <c:v>0.77304510123400461</c:v>
                </c:pt>
                <c:pt idx="19">
                  <c:v>0.86355706867729953</c:v>
                </c:pt>
                <c:pt idx="21">
                  <c:v>0.15406503600038612</c:v>
                </c:pt>
                <c:pt idx="22">
                  <c:v>0.1407547331161012</c:v>
                </c:pt>
                <c:pt idx="23">
                  <c:v>0.79292616508357405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2.2756860274680268E-2</c:v>
                </c:pt>
                <c:pt idx="22" formatCode="0.00">
                  <c:v>0.47519689598723258</c:v>
                </c:pt>
                <c:pt idx="23" formatCode="0.00">
                  <c:v>0.89534211904062788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4.3335162789442938E-3</c:v>
                </c:pt>
                <c:pt idx="1">
                  <c:v>0.71434507262537439</c:v>
                </c:pt>
                <c:pt idx="2">
                  <c:v>5.9136814921443071E-2</c:v>
                </c:pt>
                <c:pt idx="3">
                  <c:v>0.16187435922637972</c:v>
                </c:pt>
                <c:pt idx="4">
                  <c:v>0.36889205765069022</c:v>
                </c:pt>
                <c:pt idx="5">
                  <c:v>0.37679434355472463</c:v>
                </c:pt>
                <c:pt idx="6">
                  <c:v>0.46344815234529857</c:v>
                </c:pt>
                <c:pt idx="7">
                  <c:v>0.18901745910369239</c:v>
                </c:pt>
                <c:pt idx="8">
                  <c:v>0.24058854178520006</c:v>
                </c:pt>
                <c:pt idx="9">
                  <c:v>2.7957250855903615E-2</c:v>
                </c:pt>
                <c:pt idx="10">
                  <c:v>0.62191922626743545</c:v>
                </c:pt>
                <c:pt idx="11">
                  <c:v>0.21732412902724652</c:v>
                </c:pt>
                <c:pt idx="12">
                  <c:v>0.24443501984403504</c:v>
                </c:pt>
                <c:pt idx="13">
                  <c:v>0.94120294840222163</c:v>
                </c:pt>
                <c:pt idx="14">
                  <c:v>0.25375800844659591</c:v>
                </c:pt>
                <c:pt idx="15">
                  <c:v>0.35259409358815563</c:v>
                </c:pt>
                <c:pt idx="16">
                  <c:v>0.50658030094207018</c:v>
                </c:pt>
                <c:pt idx="17">
                  <c:v>0.80269583884488471</c:v>
                </c:pt>
                <c:pt idx="18">
                  <c:v>0.79304075941144259</c:v>
                </c:pt>
                <c:pt idx="19">
                  <c:v>0.67617397564537152</c:v>
                </c:pt>
                <c:pt idx="21">
                  <c:v>0.91201826201276892</c:v>
                </c:pt>
                <c:pt idx="22">
                  <c:v>0.49320749920450224</c:v>
                </c:pt>
                <c:pt idx="23">
                  <c:v>0.33783883077685173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0.83113922294251108</c:v>
                </c:pt>
                <c:pt idx="1">
                  <c:v>0.73538873856354892</c:v>
                </c:pt>
                <c:pt idx="2">
                  <c:v>0.30909224173406824</c:v>
                </c:pt>
                <c:pt idx="3">
                  <c:v>0.65248480330902847</c:v>
                </c:pt>
                <c:pt idx="4">
                  <c:v>0.70974417734700279</c:v>
                </c:pt>
                <c:pt idx="5">
                  <c:v>0.74776734059516214</c:v>
                </c:pt>
                <c:pt idx="6">
                  <c:v>0.62733376475841995</c:v>
                </c:pt>
                <c:pt idx="7">
                  <c:v>0.36391541537585292</c:v>
                </c:pt>
                <c:pt idx="8">
                  <c:v>0.55442778075316124</c:v>
                </c:pt>
                <c:pt idx="9">
                  <c:v>0.96468364808588503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4.3335162789442938E-3</c:v>
                </c:pt>
                <c:pt idx="1">
                  <c:v>0.71434507262537439</c:v>
                </c:pt>
                <c:pt idx="2">
                  <c:v>5.9136814921443071E-2</c:v>
                </c:pt>
                <c:pt idx="3">
                  <c:v>0.16187435922637972</c:v>
                </c:pt>
                <c:pt idx="4">
                  <c:v>0.36889205765069022</c:v>
                </c:pt>
                <c:pt idx="5">
                  <c:v>0.37679434355472463</c:v>
                </c:pt>
                <c:pt idx="6">
                  <c:v>0.46344815234529857</c:v>
                </c:pt>
                <c:pt idx="7">
                  <c:v>0.18901745910369239</c:v>
                </c:pt>
                <c:pt idx="8">
                  <c:v>0.24058854178520006</c:v>
                </c:pt>
                <c:pt idx="9">
                  <c:v>2.7957250855903615E-2</c:v>
                </c:pt>
                <c:pt idx="10">
                  <c:v>0.62191922626743545</c:v>
                </c:pt>
                <c:pt idx="11">
                  <c:v>0.21732412902724652</c:v>
                </c:pt>
                <c:pt idx="12">
                  <c:v>0.24443501984403504</c:v>
                </c:pt>
                <c:pt idx="13">
                  <c:v>0.94120294840222163</c:v>
                </c:pt>
                <c:pt idx="14">
                  <c:v>0.25375800844659591</c:v>
                </c:pt>
                <c:pt idx="15">
                  <c:v>0.35259409358815563</c:v>
                </c:pt>
                <c:pt idx="16">
                  <c:v>0.50658030094207018</c:v>
                </c:pt>
                <c:pt idx="17">
                  <c:v>0.80269583884488471</c:v>
                </c:pt>
                <c:pt idx="18">
                  <c:v>0.79304075941144259</c:v>
                </c:pt>
                <c:pt idx="19">
                  <c:v>0.67617397564537152</c:v>
                </c:pt>
                <c:pt idx="21">
                  <c:v>0.91201826201276892</c:v>
                </c:pt>
                <c:pt idx="22">
                  <c:v>0.49320749920450224</c:v>
                </c:pt>
                <c:pt idx="23">
                  <c:v>0.33783883077685173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6.1263578726352484E-2</c:v>
                </c:pt>
                <c:pt idx="11">
                  <c:v>0.16634022445180194</c:v>
                </c:pt>
                <c:pt idx="12">
                  <c:v>0.20377580194199857</c:v>
                </c:pt>
                <c:pt idx="13">
                  <c:v>0.13913066431443818</c:v>
                </c:pt>
                <c:pt idx="14">
                  <c:v>0.15257672471250017</c:v>
                </c:pt>
                <c:pt idx="15">
                  <c:v>0.34458881569327504</c:v>
                </c:pt>
                <c:pt idx="16">
                  <c:v>0.42329945065708025</c:v>
                </c:pt>
                <c:pt idx="17">
                  <c:v>0.62543287813434445</c:v>
                </c:pt>
                <c:pt idx="18">
                  <c:v>0.74682700222659881</c:v>
                </c:pt>
                <c:pt idx="19">
                  <c:v>0.50794710408960919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4.3335162789442938E-3</c:v>
                </c:pt>
                <c:pt idx="1">
                  <c:v>0.71434507262537439</c:v>
                </c:pt>
                <c:pt idx="2">
                  <c:v>5.9136814921443071E-2</c:v>
                </c:pt>
                <c:pt idx="3">
                  <c:v>0.16187435922637972</c:v>
                </c:pt>
                <c:pt idx="4">
                  <c:v>0.36889205765069022</c:v>
                </c:pt>
                <c:pt idx="5">
                  <c:v>0.37679434355472463</c:v>
                </c:pt>
                <c:pt idx="6">
                  <c:v>0.46344815234529857</c:v>
                </c:pt>
                <c:pt idx="7">
                  <c:v>0.18901745910369239</c:v>
                </c:pt>
                <c:pt idx="8">
                  <c:v>0.24058854178520006</c:v>
                </c:pt>
                <c:pt idx="9">
                  <c:v>2.7957250855903615E-2</c:v>
                </c:pt>
                <c:pt idx="10">
                  <c:v>0.62191922626743545</c:v>
                </c:pt>
                <c:pt idx="11">
                  <c:v>0.21732412902724652</c:v>
                </c:pt>
                <c:pt idx="12">
                  <c:v>0.24443501984403504</c:v>
                </c:pt>
                <c:pt idx="13">
                  <c:v>0.94120294840222163</c:v>
                </c:pt>
                <c:pt idx="14">
                  <c:v>0.25375800844659591</c:v>
                </c:pt>
                <c:pt idx="15">
                  <c:v>0.35259409358815563</c:v>
                </c:pt>
                <c:pt idx="16">
                  <c:v>0.50658030094207018</c:v>
                </c:pt>
                <c:pt idx="17">
                  <c:v>0.80269583884488471</c:v>
                </c:pt>
                <c:pt idx="18">
                  <c:v>0.79304075941144259</c:v>
                </c:pt>
                <c:pt idx="19">
                  <c:v>0.67617397564537152</c:v>
                </c:pt>
                <c:pt idx="21">
                  <c:v>0.91201826201276892</c:v>
                </c:pt>
                <c:pt idx="22">
                  <c:v>0.49320749920450224</c:v>
                </c:pt>
                <c:pt idx="23">
                  <c:v>0.33783883077685173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2.1490642359289658E-2</c:v>
                </c:pt>
                <c:pt idx="22" formatCode="0.00">
                  <c:v>0.98661661942452794</c:v>
                </c:pt>
                <c:pt idx="23" formatCode="0.00">
                  <c:v>0.64921532313574104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0.83200333432162121</c:v>
                </c:pt>
                <c:pt idx="1">
                  <c:v>4.7667761690678323E-2</c:v>
                </c:pt>
                <c:pt idx="2">
                  <c:v>0.73993976807580786</c:v>
                </c:pt>
                <c:pt idx="3">
                  <c:v>0.87091400083833637</c:v>
                </c:pt>
                <c:pt idx="4">
                  <c:v>0.79264885877721503</c:v>
                </c:pt>
                <c:pt idx="5">
                  <c:v>0.40332988292438665</c:v>
                </c:pt>
                <c:pt idx="6">
                  <c:v>0.17034827069543357</c:v>
                </c:pt>
                <c:pt idx="7">
                  <c:v>0.5212418036948856</c:v>
                </c:pt>
                <c:pt idx="8">
                  <c:v>0.33558715756008983</c:v>
                </c:pt>
                <c:pt idx="9">
                  <c:v>0.24997171024391873</c:v>
                </c:pt>
                <c:pt idx="10">
                  <c:v>0.7813404539557296</c:v>
                </c:pt>
                <c:pt idx="11">
                  <c:v>0.56651618294000927</c:v>
                </c:pt>
                <c:pt idx="12">
                  <c:v>0.78396245475681881</c:v>
                </c:pt>
                <c:pt idx="13">
                  <c:v>0.34577514468173698</c:v>
                </c:pt>
                <c:pt idx="14">
                  <c:v>0.40712202693667299</c:v>
                </c:pt>
                <c:pt idx="15">
                  <c:v>0.77248282142154456</c:v>
                </c:pt>
                <c:pt idx="16">
                  <c:v>5.6347737656150976E-2</c:v>
                </c:pt>
                <c:pt idx="17">
                  <c:v>0.77188150690039536</c:v>
                </c:pt>
                <c:pt idx="18">
                  <c:v>0.47999799384248709</c:v>
                </c:pt>
                <c:pt idx="19">
                  <c:v>0.68514548214425586</c:v>
                </c:pt>
                <c:pt idx="21">
                  <c:v>0.12918284050674689</c:v>
                </c:pt>
                <c:pt idx="22">
                  <c:v>0.80554767209708433</c:v>
                </c:pt>
                <c:pt idx="23">
                  <c:v>0.81097461092015233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0.95768032911995049</c:v>
                </c:pt>
                <c:pt idx="1">
                  <c:v>0.26420042687226342</c:v>
                </c:pt>
                <c:pt idx="2">
                  <c:v>0.7740968343817497</c:v>
                </c:pt>
                <c:pt idx="3">
                  <c:v>0.88766769554392411</c:v>
                </c:pt>
                <c:pt idx="4">
                  <c:v>0.84734170887572213</c:v>
                </c:pt>
                <c:pt idx="5">
                  <c:v>0.56157911303602248</c:v>
                </c:pt>
                <c:pt idx="6">
                  <c:v>0.76279320893634828</c:v>
                </c:pt>
                <c:pt idx="7">
                  <c:v>0.52578575828692153</c:v>
                </c:pt>
                <c:pt idx="8">
                  <c:v>0.74337393808134644</c:v>
                </c:pt>
                <c:pt idx="9">
                  <c:v>0.66374245185651981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0.83200333432162121</c:v>
                </c:pt>
                <c:pt idx="1">
                  <c:v>4.7667761690678323E-2</c:v>
                </c:pt>
                <c:pt idx="2">
                  <c:v>0.73993976807580786</c:v>
                </c:pt>
                <c:pt idx="3">
                  <c:v>0.87091400083833637</c:v>
                </c:pt>
                <c:pt idx="4">
                  <c:v>0.79264885877721503</c:v>
                </c:pt>
                <c:pt idx="5">
                  <c:v>0.40332988292438665</c:v>
                </c:pt>
                <c:pt idx="6">
                  <c:v>0.17034827069543357</c:v>
                </c:pt>
                <c:pt idx="7">
                  <c:v>0.5212418036948856</c:v>
                </c:pt>
                <c:pt idx="8">
                  <c:v>0.33558715756008983</c:v>
                </c:pt>
                <c:pt idx="9">
                  <c:v>0.24997171024391873</c:v>
                </c:pt>
                <c:pt idx="10">
                  <c:v>0.7813404539557296</c:v>
                </c:pt>
                <c:pt idx="11">
                  <c:v>0.56651618294000927</c:v>
                </c:pt>
                <c:pt idx="12">
                  <c:v>0.78396245475681881</c:v>
                </c:pt>
                <c:pt idx="13">
                  <c:v>0.34577514468173698</c:v>
                </c:pt>
                <c:pt idx="14">
                  <c:v>0.40712202693667299</c:v>
                </c:pt>
                <c:pt idx="15">
                  <c:v>0.77248282142154456</c:v>
                </c:pt>
                <c:pt idx="16">
                  <c:v>5.6347737656150976E-2</c:v>
                </c:pt>
                <c:pt idx="17">
                  <c:v>0.77188150690039536</c:v>
                </c:pt>
                <c:pt idx="18">
                  <c:v>0.47999799384248709</c:v>
                </c:pt>
                <c:pt idx="19">
                  <c:v>0.68514548214425586</c:v>
                </c:pt>
                <c:pt idx="21">
                  <c:v>0.12918284050674689</c:v>
                </c:pt>
                <c:pt idx="22">
                  <c:v>0.80554767209708433</c:v>
                </c:pt>
                <c:pt idx="23">
                  <c:v>0.81097461092015233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0.37927738593152566</c:v>
                </c:pt>
                <c:pt idx="11">
                  <c:v>0.34983077315902539</c:v>
                </c:pt>
                <c:pt idx="12">
                  <c:v>0.12150559975194661</c:v>
                </c:pt>
                <c:pt idx="13">
                  <c:v>0.12165316224004268</c:v>
                </c:pt>
                <c:pt idx="14">
                  <c:v>0.23905430561473651</c:v>
                </c:pt>
                <c:pt idx="15">
                  <c:v>0.26547870592311601</c:v>
                </c:pt>
                <c:pt idx="16">
                  <c:v>3.166723768078579E-2</c:v>
                </c:pt>
                <c:pt idx="17">
                  <c:v>0.19974571441804634</c:v>
                </c:pt>
                <c:pt idx="18">
                  <c:v>0.39741542193507273</c:v>
                </c:pt>
                <c:pt idx="19">
                  <c:v>0.57050119183245818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0.83200333432162121</c:v>
                </c:pt>
                <c:pt idx="1">
                  <c:v>4.7667761690678323E-2</c:v>
                </c:pt>
                <c:pt idx="2">
                  <c:v>0.73993976807580786</c:v>
                </c:pt>
                <c:pt idx="3">
                  <c:v>0.87091400083833637</c:v>
                </c:pt>
                <c:pt idx="4">
                  <c:v>0.79264885877721503</c:v>
                </c:pt>
                <c:pt idx="5">
                  <c:v>0.40332988292438665</c:v>
                </c:pt>
                <c:pt idx="6">
                  <c:v>0.17034827069543357</c:v>
                </c:pt>
                <c:pt idx="7">
                  <c:v>0.5212418036948856</c:v>
                </c:pt>
                <c:pt idx="8">
                  <c:v>0.33558715756008983</c:v>
                </c:pt>
                <c:pt idx="9">
                  <c:v>0.24997171024391873</c:v>
                </c:pt>
                <c:pt idx="10">
                  <c:v>0.7813404539557296</c:v>
                </c:pt>
                <c:pt idx="11">
                  <c:v>0.56651618294000927</c:v>
                </c:pt>
                <c:pt idx="12">
                  <c:v>0.78396245475681881</c:v>
                </c:pt>
                <c:pt idx="13">
                  <c:v>0.34577514468173698</c:v>
                </c:pt>
                <c:pt idx="14">
                  <c:v>0.40712202693667299</c:v>
                </c:pt>
                <c:pt idx="15">
                  <c:v>0.77248282142154456</c:v>
                </c:pt>
                <c:pt idx="16">
                  <c:v>5.6347737656150976E-2</c:v>
                </c:pt>
                <c:pt idx="17">
                  <c:v>0.77188150690039536</c:v>
                </c:pt>
                <c:pt idx="18">
                  <c:v>0.47999799384248709</c:v>
                </c:pt>
                <c:pt idx="19">
                  <c:v>0.68514548214425586</c:v>
                </c:pt>
                <c:pt idx="21">
                  <c:v>0.12918284050674689</c:v>
                </c:pt>
                <c:pt idx="22">
                  <c:v>0.80554767209708433</c:v>
                </c:pt>
                <c:pt idx="23">
                  <c:v>0.81097461092015233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0.12209271826125179</c:v>
                </c:pt>
                <c:pt idx="22" formatCode="0.00">
                  <c:v>0.94779500539123362</c:v>
                </c:pt>
                <c:pt idx="23" formatCode="0.00">
                  <c:v>0.27868146136507221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DD839D4A-9430-6D49-A10D-68A51196D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520700</xdr:colOff>
      <xdr:row>21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19B98C-EDAB-2147-996B-34D3C34C70BF}"/>
            </a:ext>
          </a:extLst>
        </xdr:cNvPr>
        <xdr:cNvSpPr txBox="1"/>
      </xdr:nvSpPr>
      <xdr:spPr>
        <a:xfrm>
          <a:off x="838200" y="228600"/>
          <a:ext cx="10414000" cy="412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Basics warm up ####</a:t>
          </a:r>
        </a:p>
        <a:p>
          <a:endParaRPr lang="en-US" sz="2000"/>
        </a:p>
        <a:p>
          <a:r>
            <a:rPr lang="en-US" sz="2000"/>
            <a:t># Indicator vectors</a:t>
          </a:r>
        </a:p>
        <a:p>
          <a:endParaRPr lang="en-US" sz="2000"/>
        </a:p>
        <a:p>
          <a:r>
            <a:rPr lang="en-US" sz="2000"/>
            <a:t>mydatavec = c('apple','orange','grape','apple')</a:t>
          </a:r>
        </a:p>
        <a:p>
          <a:endParaRPr lang="en-US" sz="2000"/>
        </a:p>
        <a:p>
          <a:r>
            <a:rPr lang="en-US" sz="2000"/>
            <a:t>ind_apple &lt;- mydatavec == 'apple'</a:t>
          </a:r>
        </a:p>
        <a:p>
          <a:r>
            <a:rPr lang="en-US" sz="2000"/>
            <a:t>print(ind_apple)</a:t>
          </a:r>
        </a:p>
        <a:p>
          <a:endParaRPr lang="en-US" sz="2000"/>
        </a:p>
        <a:p>
          <a:r>
            <a:rPr lang="en-US" sz="2000"/>
            <a:t>idx_apple = which(ind_apple)</a:t>
          </a:r>
        </a:p>
        <a:p>
          <a:r>
            <a:rPr lang="en-US" sz="2000"/>
            <a:t>print(idx_apple)</a:t>
          </a:r>
        </a:p>
        <a:p>
          <a:endParaRPr lang="en-US" sz="2000"/>
        </a:p>
        <a:p>
          <a:r>
            <a:rPr lang="en-US" sz="2000"/>
            <a:t>mydatavec[ind_apple]</a:t>
          </a:r>
        </a:p>
        <a:p>
          <a:r>
            <a:rPr lang="en-US" sz="2000"/>
            <a:t>mydatavec[idx_apple]</a:t>
          </a:r>
        </a:p>
        <a:p>
          <a:endParaRPr lang="en-US" sz="20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preds_num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as.matrix(d[idx_iis,preds_num])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as.matrix(d[idx_oos,preds_num])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Closed Form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Closed form.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VRyXoxyWCaW6lY8z1MRqGbAE7vo9RnPy/edit?usp=sharing&amp;ouid=116641273197698817700&amp;rtpof=true&amp;sd=tru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zHc38yqNwScCAm86ufaecARXDi8r1Vy2/edit?usp=sharing&amp;ouid=116641273197698817700&amp;rtpof=true&amp;sd=true" TargetMode="Externa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Hd5aE-y334DyjHNV7ngp2DbrMgMBuOKd" TargetMode="External"/><Relationship Id="rId13" Type="http://schemas.openxmlformats.org/officeDocument/2006/relationships/hyperlink" Target="https://drive.google.com/open?id=1r5mXOqsu1aTxyhy-Oee8B8JwrTHOnahV" TargetMode="External"/><Relationship Id="rId3" Type="http://schemas.openxmlformats.org/officeDocument/2006/relationships/hyperlink" Target="https://drive.google.com/open?id=1LNoC9BUU434VAo7ztuP8Emlp9Fnoku8G" TargetMode="External"/><Relationship Id="rId7" Type="http://schemas.openxmlformats.org/officeDocument/2006/relationships/hyperlink" Target="https://drive.google.com/open?id=13ekqY2xJLaQ6bqlpkTwr8tLwzgwm0AI8" TargetMode="External"/><Relationship Id="rId12" Type="http://schemas.openxmlformats.org/officeDocument/2006/relationships/hyperlink" Target="https://drive.google.com/open?id=1SKGSkTavC0SBlPdui8UXPxujir1cM_Wu" TargetMode="External"/><Relationship Id="rId2" Type="http://schemas.openxmlformats.org/officeDocument/2006/relationships/hyperlink" Target="https://drive.google.com/open?id=15eD9ZCG3GMF7IWnPqjqXXxPzEyKkE-oi" TargetMode="External"/><Relationship Id="rId16" Type="http://schemas.openxmlformats.org/officeDocument/2006/relationships/hyperlink" Target="https://drive.google.com/open?id=1Hd5aE-y334DyjHNV7ngp2DbrMgMBuOKd" TargetMode="External"/><Relationship Id="rId1" Type="http://schemas.openxmlformats.org/officeDocument/2006/relationships/hyperlink" Target="https://drive.google.com/open?id=1Ku1bEaFYWMqDfLvZR855lDqnqMzsjd20" TargetMode="External"/><Relationship Id="rId6" Type="http://schemas.openxmlformats.org/officeDocument/2006/relationships/hyperlink" Target="https://drive.google.com/open?id=1QlKQwfvt_sy6ijeKAaqEc_wZGzA3m8t1" TargetMode="External"/><Relationship Id="rId11" Type="http://schemas.openxmlformats.org/officeDocument/2006/relationships/hyperlink" Target="https://drive.google.com/open?id=1LNoC9BUU434VAo7ztuP8Emlp9Fnoku8G" TargetMode="External"/><Relationship Id="rId5" Type="http://schemas.openxmlformats.org/officeDocument/2006/relationships/hyperlink" Target="https://drive.google.com/open?id=1r5mXOqsu1aTxyhy-Oee8B8JwrTHOnahV" TargetMode="External"/><Relationship Id="rId15" Type="http://schemas.openxmlformats.org/officeDocument/2006/relationships/hyperlink" Target="https://drive.google.com/open?id=13ekqY2xJLaQ6bqlpkTwr8tLwzgwm0AI8" TargetMode="External"/><Relationship Id="rId10" Type="http://schemas.openxmlformats.org/officeDocument/2006/relationships/hyperlink" Target="https://drive.google.com/open?id=15eD9ZCG3GMF7IWnPqjqXXxPzEyKkE-oi" TargetMode="External"/><Relationship Id="rId4" Type="http://schemas.openxmlformats.org/officeDocument/2006/relationships/hyperlink" Target="https://drive.google.com/open?id=1SKGSkTavC0SBlPdui8UXPxujir1cM_Wu" TargetMode="External"/><Relationship Id="rId9" Type="http://schemas.openxmlformats.org/officeDocument/2006/relationships/hyperlink" Target="https://drive.google.com/open?id=1Ku1bEaFYWMqDfLvZR855lDqnqMzsjd20" TargetMode="External"/><Relationship Id="rId14" Type="http://schemas.openxmlformats.org/officeDocument/2006/relationships/hyperlink" Target="https://drive.google.com/open?id=1QlKQwfvt_sy6ijeKAaqEc_wZGzA3m8t1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Precision_and_reca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1</v>
      </c>
    </row>
    <row r="5" spans="2:2" x14ac:dyDescent="0.3">
      <c r="B5" s="1" t="s">
        <v>13</v>
      </c>
    </row>
    <row r="7" spans="2:2" x14ac:dyDescent="0.3">
      <c r="B7" s="1" t="s">
        <v>14</v>
      </c>
    </row>
    <row r="9" spans="2:2" x14ac:dyDescent="0.3">
      <c r="B9" s="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15</v>
      </c>
    </row>
    <row r="4" spans="2:2" x14ac:dyDescent="0.3">
      <c r="B4" s="1" t="s">
        <v>17</v>
      </c>
    </row>
    <row r="6" spans="2:2" x14ac:dyDescent="0.3">
      <c r="B6" s="1" t="s">
        <v>18</v>
      </c>
    </row>
    <row r="8" spans="2:2" x14ac:dyDescent="0.3">
      <c r="B8" s="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243B-FCCE-F543-8DD8-E5DE8DB28E06}">
  <sheetPr codeName="Sheet3">
    <tabColor rgb="FF00206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187</v>
      </c>
    </row>
  </sheetData>
  <hyperlinks>
    <hyperlink ref="B2" r:id="rId1" xr:uid="{F5E59AE7-74B3-EB40-BE00-BEE40D395F2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48</v>
      </c>
    </row>
    <row r="2" spans="1:1" x14ac:dyDescent="0.3">
      <c r="A2" s="1" t="s">
        <v>0</v>
      </c>
    </row>
    <row r="3" spans="1:1" x14ac:dyDescent="0.3">
      <c r="A3" s="1" t="s">
        <v>188</v>
      </c>
    </row>
    <row r="4" spans="1:1" x14ac:dyDescent="0.3">
      <c r="A4" s="1" t="s">
        <v>49</v>
      </c>
    </row>
    <row r="5" spans="1:1" x14ac:dyDescent="0.3">
      <c r="A5" s="1" t="s">
        <v>199</v>
      </c>
    </row>
    <row r="6" spans="1:1" x14ac:dyDescent="0.3">
      <c r="A6" s="1" t="s">
        <v>50</v>
      </c>
    </row>
    <row r="7" spans="1:1" x14ac:dyDescent="0.3">
      <c r="A7" s="1" t="s">
        <v>51</v>
      </c>
    </row>
    <row r="8" spans="1:1" x14ac:dyDescent="0.3">
      <c r="A8" s="1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37D81B1E-8F86-F540-AF47-DC7ED260981E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D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4" x14ac:dyDescent="0.3">
      <c r="B1" s="9" t="s">
        <v>242</v>
      </c>
      <c r="D1" s="9" t="s">
        <v>243</v>
      </c>
    </row>
  </sheetData>
  <hyperlinks>
    <hyperlink ref="B1" r:id="rId1" xr:uid="{B8B7F16C-C270-AE48-8E63-F53A985603D0}"/>
    <hyperlink ref="D1" r:id="rId2" xr:uid="{1E66A680-971C-DF43-BD48-33E0FD8F3EDA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244</v>
      </c>
    </row>
  </sheetData>
  <hyperlinks>
    <hyperlink ref="B1" r:id="rId1" xr:uid="{F0AF9FB1-712D-AF4C-9E63-B593A285F8F4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50</v>
      </c>
    </row>
  </sheetData>
  <hyperlinks>
    <hyperlink ref="B1" r:id="rId1" xr:uid="{7C9939BB-3225-AF4C-9F9F-3F49D49B2695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245</v>
      </c>
    </row>
  </sheetData>
  <hyperlinks>
    <hyperlink ref="B1" r:id="rId1" xr:uid="{671663CB-808F-C04F-B9A9-6CEAE87EFF6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1:Q104"/>
  <sheetViews>
    <sheetView workbookViewId="0">
      <selection activeCell="A5" sqref="A5"/>
    </sheetView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9" t="s">
        <v>246</v>
      </c>
    </row>
    <row r="2" spans="1:17" x14ac:dyDescent="0.2">
      <c r="A2" s="9" t="s">
        <v>247</v>
      </c>
      <c r="B2" s="7" t="s">
        <v>6</v>
      </c>
      <c r="D2" s="2" t="s">
        <v>5</v>
      </c>
      <c r="F2" s="2" t="s">
        <v>2</v>
      </c>
      <c r="G2" s="6">
        <f t="shared" ref="G2:Q2" si="0">AVERAGE(G5:G104)</f>
        <v>3.9599999999999942</v>
      </c>
      <c r="H2" s="6">
        <f t="shared" si="0"/>
        <v>3.5334519298533884</v>
      </c>
      <c r="I2" s="6">
        <f t="shared" si="0"/>
        <v>3.1346925807872141</v>
      </c>
      <c r="J2" s="6">
        <f t="shared" si="0"/>
        <v>2.7668005370175477</v>
      </c>
      <c r="K2" s="6">
        <f t="shared" si="0"/>
        <v>2.3668555154142421</v>
      </c>
      <c r="L2" s="6">
        <f t="shared" si="0"/>
        <v>1.979916185047508</v>
      </c>
      <c r="M2" s="6">
        <f t="shared" si="0"/>
        <v>1.6215853000033043</v>
      </c>
      <c r="N2" s="6">
        <f t="shared" si="0"/>
        <v>1.1901218431402671</v>
      </c>
      <c r="O2" s="6">
        <f t="shared" si="0"/>
        <v>0.79359134939765275</v>
      </c>
      <c r="P2" s="6">
        <f t="shared" si="0"/>
        <v>0.43076401150211452</v>
      </c>
      <c r="Q2" s="6">
        <f t="shared" si="0"/>
        <v>0</v>
      </c>
    </row>
    <row r="3" spans="1:17" x14ac:dyDescent="0.2">
      <c r="B3" s="2">
        <v>0.5</v>
      </c>
      <c r="D3" s="5">
        <f ca="1">CORREL(OFFSET(B4,1,0,100),OFFSET(B4,2,0,100))</f>
        <v>0.6336492171979784</v>
      </c>
    </row>
    <row r="4" spans="1:17" x14ac:dyDescent="0.2">
      <c r="F4" s="4">
        <f ca="1">D12</f>
        <v>0.6953704254551325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-0.29467795543865188</v>
      </c>
      <c r="D5" s="2" t="s">
        <v>4</v>
      </c>
      <c r="F5" s="4">
        <v>1</v>
      </c>
      <c r="G5" s="3">
        <f t="dataTable" ref="G5:Q104" dt2D="1" dtr="1" r1="B3" r2="A1" ca="1"/>
        <v>3.96</v>
      </c>
      <c r="H5" s="3">
        <v>3.5717252595735269</v>
      </c>
      <c r="I5" s="3">
        <v>2.8863374747492085</v>
      </c>
      <c r="J5" s="3">
        <v>2.8880429867261119</v>
      </c>
      <c r="K5" s="3">
        <v>2.6045941414504554</v>
      </c>
      <c r="L5" s="3">
        <v>1.942222107559386</v>
      </c>
      <c r="M5" s="3">
        <v>1.7308882419351153</v>
      </c>
      <c r="N5" s="3">
        <v>1.2222411478477067</v>
      </c>
      <c r="O5" s="3">
        <v>0.71184458451172505</v>
      </c>
      <c r="P5" s="3">
        <v>0.48483705316332626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-0.5558524561470064</v>
      </c>
      <c r="D6" s="5">
        <f ca="1">SUMXMY2(OFFSET(B4,1,0,99),OFFSET(B4,2,0,99))</f>
        <v>72.516703036262967</v>
      </c>
      <c r="F6" s="4">
        <v>2</v>
      </c>
      <c r="G6" s="3">
        <v>3.96</v>
      </c>
      <c r="H6" s="3">
        <v>3.5665007635424955</v>
      </c>
      <c r="I6" s="3">
        <v>3.2715770611181902</v>
      </c>
      <c r="J6" s="3">
        <v>2.8747438915025674</v>
      </c>
      <c r="K6" s="3">
        <v>2.1073516007885962</v>
      </c>
      <c r="L6" s="3">
        <v>1.882101999337304</v>
      </c>
      <c r="M6" s="3">
        <v>1.6730863492274555</v>
      </c>
      <c r="N6" s="3">
        <v>1.2539410440639325</v>
      </c>
      <c r="O6" s="3">
        <v>0.93311885160700558</v>
      </c>
      <c r="P6" s="3">
        <v>0.43826201667648423</v>
      </c>
      <c r="Q6" s="3">
        <v>0</v>
      </c>
    </row>
    <row r="7" spans="1:17" x14ac:dyDescent="0.2">
      <c r="A7" s="2">
        <v>3</v>
      </c>
      <c r="B7" s="2">
        <f t="shared" ca="1" si="1"/>
        <v>-0.71234513673880029</v>
      </c>
      <c r="F7" s="4">
        <v>3</v>
      </c>
      <c r="G7" s="3">
        <v>3.96</v>
      </c>
      <c r="H7" s="3">
        <v>3.3444839655135734</v>
      </c>
      <c r="I7" s="3">
        <v>3.3535111589754609</v>
      </c>
      <c r="J7" s="3">
        <v>2.9542598695120894</v>
      </c>
      <c r="K7" s="3">
        <v>2.4282526201427865</v>
      </c>
      <c r="L7" s="3">
        <v>2.0849632282032777</v>
      </c>
      <c r="M7" s="3">
        <v>1.280978340093176</v>
      </c>
      <c r="N7" s="3">
        <v>1.6285095158361145</v>
      </c>
      <c r="O7" s="3">
        <v>0.65477304149148929</v>
      </c>
      <c r="P7" s="3">
        <v>0.26763037830001413</v>
      </c>
      <c r="Q7" s="3">
        <v>0</v>
      </c>
    </row>
    <row r="8" spans="1:17" x14ac:dyDescent="0.2">
      <c r="A8" s="2">
        <v>4</v>
      </c>
      <c r="B8" s="2">
        <f t="shared" ca="1" si="1"/>
        <v>-0.61752700331672972</v>
      </c>
      <c r="D8" s="2" t="s">
        <v>3</v>
      </c>
      <c r="F8" s="4">
        <v>4</v>
      </c>
      <c r="G8" s="3">
        <v>3.96</v>
      </c>
      <c r="H8" s="3">
        <v>3.4957324916476158</v>
      </c>
      <c r="I8" s="3">
        <v>2.8126150343382754</v>
      </c>
      <c r="J8" s="3">
        <v>2.4720121833681792</v>
      </c>
      <c r="K8" s="3">
        <v>2.0710334652986662</v>
      </c>
      <c r="L8" s="3">
        <v>1.8876023268016964</v>
      </c>
      <c r="M8" s="3">
        <v>1.7933362531499846</v>
      </c>
      <c r="N8" s="3">
        <v>1.1388017075448162</v>
      </c>
      <c r="O8" s="3">
        <v>0.60707616991195457</v>
      </c>
      <c r="P8" s="3">
        <v>0.3866397833263589</v>
      </c>
      <c r="Q8" s="3">
        <v>0</v>
      </c>
    </row>
    <row r="9" spans="1:17" x14ac:dyDescent="0.2">
      <c r="A9" s="2">
        <v>5</v>
      </c>
      <c r="B9" s="2">
        <f t="shared" ca="1" si="1"/>
        <v>-0.96617965118389282</v>
      </c>
      <c r="D9" s="2">
        <f ca="1">SUMSQ(B5:B104)</f>
        <v>104.28499743686895</v>
      </c>
      <c r="F9" s="4">
        <v>5</v>
      </c>
      <c r="G9" s="3">
        <v>3.96</v>
      </c>
      <c r="H9" s="3">
        <v>3.5908950239820179</v>
      </c>
      <c r="I9" s="3">
        <v>3.0961684192449441</v>
      </c>
      <c r="J9" s="3">
        <v>2.3096846672639728</v>
      </c>
      <c r="K9" s="3">
        <v>2.5195035211394834</v>
      </c>
      <c r="L9" s="3">
        <v>1.9381229921006968</v>
      </c>
      <c r="M9" s="3">
        <v>1.6108022627966745</v>
      </c>
      <c r="N9" s="3">
        <v>0.92007234009693939</v>
      </c>
      <c r="O9" s="3">
        <v>0.71710485458128015</v>
      </c>
      <c r="P9" s="3">
        <v>0.39875252703046993</v>
      </c>
      <c r="Q9" s="3">
        <v>0</v>
      </c>
    </row>
    <row r="10" spans="1:17" x14ac:dyDescent="0.2">
      <c r="A10" s="2">
        <v>6</v>
      </c>
      <c r="B10" s="2">
        <f t="shared" ca="1" si="1"/>
        <v>-7.8410499828385272E-2</v>
      </c>
      <c r="F10" s="4">
        <v>6</v>
      </c>
      <c r="G10" s="3">
        <v>3.96</v>
      </c>
      <c r="H10" s="3">
        <v>3.5666225425067699</v>
      </c>
      <c r="I10" s="3">
        <v>2.7637819701163817</v>
      </c>
      <c r="J10" s="3">
        <v>2.8247730264423532</v>
      </c>
      <c r="K10" s="3">
        <v>2.5516173053041529</v>
      </c>
      <c r="L10" s="3">
        <v>1.9812573176236334</v>
      </c>
      <c r="M10" s="3">
        <v>1.3406463461788505</v>
      </c>
      <c r="N10" s="3">
        <v>0.77878176329843518</v>
      </c>
      <c r="O10" s="3">
        <v>0.68327060049149113</v>
      </c>
      <c r="P10" s="3">
        <v>0.3367384328505087</v>
      </c>
      <c r="Q10" s="3">
        <v>0</v>
      </c>
    </row>
    <row r="11" spans="1:17" x14ac:dyDescent="0.2">
      <c r="A11" s="2">
        <v>7</v>
      </c>
      <c r="B11" s="2">
        <f t="shared" ca="1" si="1"/>
        <v>0.8549607251362551</v>
      </c>
      <c r="D11" s="2" t="s">
        <v>2</v>
      </c>
      <c r="F11" s="4">
        <v>7</v>
      </c>
      <c r="G11" s="3">
        <v>3.96</v>
      </c>
      <c r="H11" s="3">
        <v>3.5410579960457333</v>
      </c>
      <c r="I11" s="3">
        <v>3.3170661681234561</v>
      </c>
      <c r="J11" s="3">
        <v>2.8637227158896836</v>
      </c>
      <c r="K11" s="3">
        <v>2.2899053946599723</v>
      </c>
      <c r="L11" s="3">
        <v>1.5910877224103974</v>
      </c>
      <c r="M11" s="3">
        <v>1.8333574421023351</v>
      </c>
      <c r="N11" s="3">
        <v>0.87873348147436781</v>
      </c>
      <c r="O11" s="3">
        <v>1.2331442335656193</v>
      </c>
      <c r="P11" s="3">
        <v>0.30539465679867805</v>
      </c>
      <c r="Q11" s="3">
        <v>0</v>
      </c>
    </row>
    <row r="12" spans="1:17" x14ac:dyDescent="0.2">
      <c r="A12" s="2">
        <v>8</v>
      </c>
      <c r="B12" s="2">
        <f t="shared" ca="1" si="1"/>
        <v>1.2767128155874261</v>
      </c>
      <c r="D12" s="2">
        <f ca="1">D6/D9</f>
        <v>0.6953704254551325</v>
      </c>
      <c r="F12" s="4">
        <v>8</v>
      </c>
      <c r="G12" s="3">
        <v>3.96</v>
      </c>
      <c r="H12" s="3">
        <v>3.7659523848076368</v>
      </c>
      <c r="I12" s="3">
        <v>3.0195481561644044</v>
      </c>
      <c r="J12" s="3">
        <v>2.3953279900169413</v>
      </c>
      <c r="K12" s="3">
        <v>2.4248495270695956</v>
      </c>
      <c r="L12" s="3">
        <v>2.1153852679316358</v>
      </c>
      <c r="M12" s="3">
        <v>1.6177387943459585</v>
      </c>
      <c r="N12" s="3">
        <v>1.0665144894897434</v>
      </c>
      <c r="O12" s="3">
        <v>0.81527664340763717</v>
      </c>
      <c r="P12" s="3">
        <v>0.40768541123980867</v>
      </c>
      <c r="Q12" s="3">
        <v>0</v>
      </c>
    </row>
    <row r="13" spans="1:17" x14ac:dyDescent="0.2">
      <c r="A13" s="2">
        <v>9</v>
      </c>
      <c r="B13" s="2">
        <f t="shared" ca="1" si="1"/>
        <v>1.6431445413874863</v>
      </c>
      <c r="F13" s="4">
        <v>9</v>
      </c>
      <c r="G13" s="3">
        <v>3.96</v>
      </c>
      <c r="H13" s="3">
        <v>3.5048124998256966</v>
      </c>
      <c r="I13" s="3">
        <v>2.9456926540196338</v>
      </c>
      <c r="J13" s="3">
        <v>2.7727271672864067</v>
      </c>
      <c r="K13" s="3">
        <v>2.3718217032639135</v>
      </c>
      <c r="L13" s="3">
        <v>1.811832408849426</v>
      </c>
      <c r="M13" s="3">
        <v>1.547881378846709</v>
      </c>
      <c r="N13" s="3">
        <v>1.0882124582420427</v>
      </c>
      <c r="O13" s="3">
        <v>0.83971255827747415</v>
      </c>
      <c r="P13" s="3">
        <v>0.57040332640678448</v>
      </c>
      <c r="Q13" s="3">
        <v>0</v>
      </c>
    </row>
    <row r="14" spans="1:17" x14ac:dyDescent="0.2">
      <c r="A14" s="2">
        <v>10</v>
      </c>
      <c r="B14" s="2">
        <f t="shared" ca="1" si="1"/>
        <v>1.4404469904815285</v>
      </c>
      <c r="F14" s="4">
        <v>10</v>
      </c>
      <c r="G14" s="3">
        <v>3.96</v>
      </c>
      <c r="H14" s="3">
        <v>3.7004174564818855</v>
      </c>
      <c r="I14" s="3">
        <v>2.7887009192464673</v>
      </c>
      <c r="J14" s="3">
        <v>2.8657597792848772</v>
      </c>
      <c r="K14" s="3">
        <v>2.0010883276374662</v>
      </c>
      <c r="L14" s="3">
        <v>1.9679855873853993</v>
      </c>
      <c r="M14" s="3">
        <v>1.8969294810026813</v>
      </c>
      <c r="N14" s="3">
        <v>1.2302239964919219</v>
      </c>
      <c r="O14" s="3">
        <v>0.67500854831515544</v>
      </c>
      <c r="P14" s="3">
        <v>0.32032651606198725</v>
      </c>
      <c r="Q14" s="3">
        <v>0</v>
      </c>
    </row>
    <row r="15" spans="1:17" x14ac:dyDescent="0.2">
      <c r="A15" s="2">
        <v>11</v>
      </c>
      <c r="B15" s="2">
        <f t="shared" ca="1" si="1"/>
        <v>0.15703656523343457</v>
      </c>
      <c r="F15" s="4">
        <v>11</v>
      </c>
      <c r="G15" s="3">
        <v>3.9600000000000004</v>
      </c>
      <c r="H15" s="3">
        <v>3.6005708120863629</v>
      </c>
      <c r="I15" s="3">
        <v>3.0205143741903568</v>
      </c>
      <c r="J15" s="3">
        <v>2.6944290532362674</v>
      </c>
      <c r="K15" s="3">
        <v>2.5224043722691771</v>
      </c>
      <c r="L15" s="3">
        <v>1.8139580131905433</v>
      </c>
      <c r="M15" s="3">
        <v>1.6537730884869248</v>
      </c>
      <c r="N15" s="3">
        <v>1.1789851741463211</v>
      </c>
      <c r="O15" s="3">
        <v>0.76814413481930466</v>
      </c>
      <c r="P15" s="3">
        <v>0.44152287967113746</v>
      </c>
      <c r="Q15" s="3">
        <v>0</v>
      </c>
    </row>
    <row r="16" spans="1:17" x14ac:dyDescent="0.2">
      <c r="A16" s="2">
        <v>12</v>
      </c>
      <c r="B16" s="2">
        <f t="shared" ca="1" si="1"/>
        <v>0.52060188442453381</v>
      </c>
      <c r="F16" s="4">
        <v>12</v>
      </c>
      <c r="G16" s="3">
        <v>3.96</v>
      </c>
      <c r="H16" s="3">
        <v>3.5066738048254122</v>
      </c>
      <c r="I16" s="3">
        <v>3.2418604316206419</v>
      </c>
      <c r="J16" s="3">
        <v>2.7459340830048453</v>
      </c>
      <c r="K16" s="3">
        <v>2.034511320349083</v>
      </c>
      <c r="L16" s="3">
        <v>1.8131037443458327</v>
      </c>
      <c r="M16" s="3">
        <v>1.5350799374576811</v>
      </c>
      <c r="N16" s="3">
        <v>1.0611922756334693</v>
      </c>
      <c r="O16" s="3">
        <v>0.66795962739549541</v>
      </c>
      <c r="P16" s="3">
        <v>0.28404016076193872</v>
      </c>
      <c r="Q16" s="3">
        <v>0</v>
      </c>
    </row>
    <row r="17" spans="1:17" x14ac:dyDescent="0.2">
      <c r="A17" s="2">
        <v>13</v>
      </c>
      <c r="B17" s="2">
        <f t="shared" ca="1" si="1"/>
        <v>-9.6418609891619322E-2</v>
      </c>
      <c r="F17" s="4">
        <v>13</v>
      </c>
      <c r="G17" s="3">
        <v>3.96</v>
      </c>
      <c r="H17" s="3">
        <v>3.2703034234512836</v>
      </c>
      <c r="I17" s="3">
        <v>3.2162439139899957</v>
      </c>
      <c r="J17" s="3">
        <v>3.0159381861150805</v>
      </c>
      <c r="K17" s="3">
        <v>2.6835182256668952</v>
      </c>
      <c r="L17" s="3">
        <v>2.0088297575155787</v>
      </c>
      <c r="M17" s="3">
        <v>1.2962808564443145</v>
      </c>
      <c r="N17" s="3">
        <v>0.8954307683011169</v>
      </c>
      <c r="O17" s="3">
        <v>0.66379922507022981</v>
      </c>
      <c r="P17" s="3">
        <v>0.30442664270229652</v>
      </c>
      <c r="Q17" s="3">
        <v>0</v>
      </c>
    </row>
    <row r="18" spans="1:17" x14ac:dyDescent="0.2">
      <c r="A18" s="2">
        <v>14</v>
      </c>
      <c r="B18" s="2">
        <f t="shared" ca="1" si="1"/>
        <v>0.38991893624342411</v>
      </c>
      <c r="F18" s="4">
        <v>14</v>
      </c>
      <c r="G18" s="3">
        <v>3.9599999999999995</v>
      </c>
      <c r="H18" s="3">
        <v>3.3835532672909698</v>
      </c>
      <c r="I18" s="3">
        <v>2.8854089802173624</v>
      </c>
      <c r="J18" s="3">
        <v>2.7247890110720716</v>
      </c>
      <c r="K18" s="3">
        <v>2.3741705840081129</v>
      </c>
      <c r="L18" s="3">
        <v>2.1267634716963304</v>
      </c>
      <c r="M18" s="3">
        <v>1.6426304738699247</v>
      </c>
      <c r="N18" s="3">
        <v>1.2299014611693668</v>
      </c>
      <c r="O18" s="3">
        <v>0.70014730905195599</v>
      </c>
      <c r="P18" s="3">
        <v>0.45369426276366209</v>
      </c>
      <c r="Q18" s="3">
        <v>0</v>
      </c>
    </row>
    <row r="19" spans="1:17" x14ac:dyDescent="0.2">
      <c r="A19" s="2">
        <v>15</v>
      </c>
      <c r="B19" s="2">
        <f t="shared" ca="1" si="1"/>
        <v>-1.0838285615497347</v>
      </c>
      <c r="F19" s="4">
        <v>15</v>
      </c>
      <c r="G19" s="3">
        <v>3.9600000000000004</v>
      </c>
      <c r="H19" s="3">
        <v>3.5571325287703046</v>
      </c>
      <c r="I19" s="3">
        <v>3.0892921096680905</v>
      </c>
      <c r="J19" s="3">
        <v>2.7173380367227318</v>
      </c>
      <c r="K19" s="3">
        <v>2.7174266277445405</v>
      </c>
      <c r="L19" s="3">
        <v>2.1104510980034488</v>
      </c>
      <c r="M19" s="3">
        <v>1.6028129374477349</v>
      </c>
      <c r="N19" s="3">
        <v>1.1424561777340674</v>
      </c>
      <c r="O19" s="3">
        <v>0.83130718181025576</v>
      </c>
      <c r="P19" s="3">
        <v>0.36633818390090678</v>
      </c>
      <c r="Q19" s="3">
        <v>0</v>
      </c>
    </row>
    <row r="20" spans="1:17" x14ac:dyDescent="0.2">
      <c r="A20" s="2">
        <v>16</v>
      </c>
      <c r="B20" s="2">
        <f t="shared" ca="1" si="1"/>
        <v>-0.51180606403019779</v>
      </c>
      <c r="F20" s="4">
        <v>16</v>
      </c>
      <c r="G20" s="3">
        <v>3.9599999999999995</v>
      </c>
      <c r="H20" s="3">
        <v>3.5356674538391335</v>
      </c>
      <c r="I20" s="3">
        <v>3.306192950883116</v>
      </c>
      <c r="J20" s="3">
        <v>2.8302171893699368</v>
      </c>
      <c r="K20" s="3">
        <v>2.0984940115500361</v>
      </c>
      <c r="L20" s="3">
        <v>1.7029780509199199</v>
      </c>
      <c r="M20" s="3">
        <v>1.6608742344775256</v>
      </c>
      <c r="N20" s="3">
        <v>1.3540689997107651</v>
      </c>
      <c r="O20" s="3">
        <v>0.68689585096623773</v>
      </c>
      <c r="P20" s="3">
        <v>0.26664281091574965</v>
      </c>
      <c r="Q20" s="3">
        <v>0</v>
      </c>
    </row>
    <row r="21" spans="1:17" x14ac:dyDescent="0.2">
      <c r="A21" s="2">
        <v>17</v>
      </c>
      <c r="B21" s="2">
        <f t="shared" ca="1" si="1"/>
        <v>-0.39166885806892915</v>
      </c>
      <c r="F21" s="4">
        <v>17</v>
      </c>
      <c r="G21" s="3">
        <v>3.9600000000000004</v>
      </c>
      <c r="H21" s="3">
        <v>3.5903648870858289</v>
      </c>
      <c r="I21" s="3">
        <v>3.3769511654698725</v>
      </c>
      <c r="J21" s="3">
        <v>2.7883885473033114</v>
      </c>
      <c r="K21" s="3">
        <v>2.2238444639873762</v>
      </c>
      <c r="L21" s="3">
        <v>2.0183900992171377</v>
      </c>
      <c r="M21" s="3">
        <v>1.603293947712598</v>
      </c>
      <c r="N21" s="3">
        <v>1.5224218197360229</v>
      </c>
      <c r="O21" s="3">
        <v>0.91938911818233904</v>
      </c>
      <c r="P21" s="3">
        <v>0.56564298646833833</v>
      </c>
      <c r="Q21" s="3">
        <v>0</v>
      </c>
    </row>
    <row r="22" spans="1:17" x14ac:dyDescent="0.2">
      <c r="A22" s="2">
        <v>18</v>
      </c>
      <c r="B22" s="2">
        <f t="shared" ca="1" si="1"/>
        <v>0.86713882378154483</v>
      </c>
      <c r="F22" s="4">
        <v>18</v>
      </c>
      <c r="G22" s="3">
        <v>3.96</v>
      </c>
      <c r="H22" s="3">
        <v>3.43169165524399</v>
      </c>
      <c r="I22" s="3">
        <v>3.1722937624703005</v>
      </c>
      <c r="J22" s="3">
        <v>3.0493257769177986</v>
      </c>
      <c r="K22" s="3">
        <v>2.320176482599523</v>
      </c>
      <c r="L22" s="3">
        <v>2.0358437515378078</v>
      </c>
      <c r="M22" s="3">
        <v>1.6331128412381182</v>
      </c>
      <c r="N22" s="3">
        <v>0.96041993414288784</v>
      </c>
      <c r="O22" s="3">
        <v>0.82134506580970612</v>
      </c>
      <c r="P22" s="3">
        <v>0.35648967690485422</v>
      </c>
      <c r="Q22" s="3">
        <v>0</v>
      </c>
    </row>
    <row r="23" spans="1:17" x14ac:dyDescent="0.2">
      <c r="A23" s="2">
        <v>19</v>
      </c>
      <c r="B23" s="2">
        <f t="shared" ca="1" si="1"/>
        <v>2.3488405877230312</v>
      </c>
      <c r="F23" s="4">
        <v>19</v>
      </c>
      <c r="G23" s="3">
        <v>3.96</v>
      </c>
      <c r="H23" s="3">
        <v>3.4276100828041245</v>
      </c>
      <c r="I23" s="3">
        <v>2.9910471121009268</v>
      </c>
      <c r="J23" s="3">
        <v>2.630406204867167</v>
      </c>
      <c r="K23" s="3">
        <v>2.2504112854721727</v>
      </c>
      <c r="L23" s="3">
        <v>2.0631708675508738</v>
      </c>
      <c r="M23" s="3">
        <v>1.5969921604502992</v>
      </c>
      <c r="N23" s="3">
        <v>1.0692011801574444</v>
      </c>
      <c r="O23" s="3">
        <v>0.69903876698573419</v>
      </c>
      <c r="P23" s="3">
        <v>0.44436551497809718</v>
      </c>
      <c r="Q23" s="3">
        <v>0</v>
      </c>
    </row>
    <row r="24" spans="1:17" x14ac:dyDescent="0.2">
      <c r="A24" s="2">
        <v>20</v>
      </c>
      <c r="B24" s="2">
        <f t="shared" ca="1" si="1"/>
        <v>1.6002138815941696</v>
      </c>
      <c r="F24" s="4">
        <v>20</v>
      </c>
      <c r="G24" s="3">
        <v>3.96</v>
      </c>
      <c r="H24" s="3">
        <v>3.3618227113965196</v>
      </c>
      <c r="I24" s="3">
        <v>3.0549217135713111</v>
      </c>
      <c r="J24" s="3">
        <v>2.7269918006539409</v>
      </c>
      <c r="K24" s="3">
        <v>2.355783954949962</v>
      </c>
      <c r="L24" s="3">
        <v>2.0583695591284314</v>
      </c>
      <c r="M24" s="3">
        <v>1.6943703674412482</v>
      </c>
      <c r="N24" s="3">
        <v>1.0063750001762175</v>
      </c>
      <c r="O24" s="3">
        <v>0.71713325693282326</v>
      </c>
      <c r="P24" s="3">
        <v>0.26717277666292716</v>
      </c>
      <c r="Q24" s="3">
        <v>0</v>
      </c>
    </row>
    <row r="25" spans="1:17" x14ac:dyDescent="0.2">
      <c r="A25" s="2">
        <v>21</v>
      </c>
      <c r="B25" s="2">
        <f t="shared" ca="1" si="1"/>
        <v>-0.14773613789612694</v>
      </c>
      <c r="F25" s="4">
        <v>21</v>
      </c>
      <c r="G25" s="3">
        <v>3.9599999999999995</v>
      </c>
      <c r="H25" s="3">
        <v>3.5333635550468796</v>
      </c>
      <c r="I25" s="3">
        <v>3.1231185246819302</v>
      </c>
      <c r="J25" s="3">
        <v>3.1263220755295751</v>
      </c>
      <c r="K25" s="3">
        <v>2.5242829942803255</v>
      </c>
      <c r="L25" s="3">
        <v>1.9182100515149991</v>
      </c>
      <c r="M25" s="3">
        <v>1.5333329655228625</v>
      </c>
      <c r="N25" s="3">
        <v>1.1622812630106387</v>
      </c>
      <c r="O25" s="3">
        <v>1.0658001406675148</v>
      </c>
      <c r="P25" s="3">
        <v>0.37800537722818267</v>
      </c>
      <c r="Q25" s="3">
        <v>0</v>
      </c>
    </row>
    <row r="26" spans="1:17" x14ac:dyDescent="0.2">
      <c r="A26" s="2">
        <v>22</v>
      </c>
      <c r="B26" s="2">
        <f t="shared" ca="1" si="1"/>
        <v>0.76802175371804204</v>
      </c>
      <c r="F26" s="4">
        <v>22</v>
      </c>
      <c r="G26" s="3">
        <v>3.96</v>
      </c>
      <c r="H26" s="3">
        <v>3.5954503598952181</v>
      </c>
      <c r="I26" s="3">
        <v>2.9568553678129739</v>
      </c>
      <c r="J26" s="3">
        <v>2.7761903749403181</v>
      </c>
      <c r="K26" s="3">
        <v>2.3027950794972272</v>
      </c>
      <c r="L26" s="3">
        <v>2.0866836262995645</v>
      </c>
      <c r="M26" s="3">
        <v>1.9784292155495411</v>
      </c>
      <c r="N26" s="3">
        <v>1.4021272865247729</v>
      </c>
      <c r="O26" s="3">
        <v>0.96258505805565397</v>
      </c>
      <c r="P26" s="3">
        <v>0.35101422396144699</v>
      </c>
      <c r="Q26" s="3">
        <v>0</v>
      </c>
    </row>
    <row r="27" spans="1:17" x14ac:dyDescent="0.2">
      <c r="A27" s="2">
        <v>23</v>
      </c>
      <c r="B27" s="2">
        <f t="shared" ca="1" si="1"/>
        <v>0.55114120864018545</v>
      </c>
      <c r="F27" s="4">
        <v>23</v>
      </c>
      <c r="G27" s="3">
        <v>3.96</v>
      </c>
      <c r="H27" s="3">
        <v>3.5047646161398558</v>
      </c>
      <c r="I27" s="3">
        <v>3.111592305000574</v>
      </c>
      <c r="J27" s="3">
        <v>2.633876328657756</v>
      </c>
      <c r="K27" s="3">
        <v>2.5033636342368157</v>
      </c>
      <c r="L27" s="3">
        <v>2.0369172809733982</v>
      </c>
      <c r="M27" s="3">
        <v>1.2797031823687388</v>
      </c>
      <c r="N27" s="3">
        <v>1.3942604315199278</v>
      </c>
      <c r="O27" s="3">
        <v>0.86021518019806764</v>
      </c>
      <c r="P27" s="3">
        <v>0.63180298171086435</v>
      </c>
      <c r="Q27" s="3">
        <v>0</v>
      </c>
    </row>
    <row r="28" spans="1:17" x14ac:dyDescent="0.2">
      <c r="A28" s="2">
        <v>24</v>
      </c>
      <c r="B28" s="2">
        <f t="shared" ca="1" si="1"/>
        <v>-0.31091792374586336</v>
      </c>
      <c r="F28" s="4">
        <v>24</v>
      </c>
      <c r="G28" s="3">
        <v>3.96</v>
      </c>
      <c r="H28" s="3">
        <v>3.4121888768545841</v>
      </c>
      <c r="I28" s="3">
        <v>2.9509806737629782</v>
      </c>
      <c r="J28" s="3">
        <v>2.9328723736704885</v>
      </c>
      <c r="K28" s="3">
        <v>2.1768067893758043</v>
      </c>
      <c r="L28" s="3">
        <v>1.9673965657543686</v>
      </c>
      <c r="M28" s="3">
        <v>1.7721421380669129</v>
      </c>
      <c r="N28" s="3">
        <v>1.1904878389236941</v>
      </c>
      <c r="O28" s="3">
        <v>0.9663432948929056</v>
      </c>
      <c r="P28" s="3">
        <v>0.38289762919045511</v>
      </c>
      <c r="Q28" s="3">
        <v>0</v>
      </c>
    </row>
    <row r="29" spans="1:17" x14ac:dyDescent="0.2">
      <c r="A29" s="2">
        <v>25</v>
      </c>
      <c r="B29" s="2">
        <f t="shared" ca="1" si="1"/>
        <v>1.2866731511261509</v>
      </c>
      <c r="F29" s="4">
        <v>25</v>
      </c>
      <c r="G29" s="3">
        <v>3.96</v>
      </c>
      <c r="H29" s="3">
        <v>3.7567558603422269</v>
      </c>
      <c r="I29" s="3">
        <v>3.1110254861844573</v>
      </c>
      <c r="J29" s="3">
        <v>2.8224491677354924</v>
      </c>
      <c r="K29" s="3">
        <v>2.1840777080036933</v>
      </c>
      <c r="L29" s="3">
        <v>2.0662559731261618</v>
      </c>
      <c r="M29" s="3">
        <v>1.4987454314187865</v>
      </c>
      <c r="N29" s="3">
        <v>1.2578170300601286</v>
      </c>
      <c r="O29" s="3">
        <v>0.74707514826508281</v>
      </c>
      <c r="P29" s="3">
        <v>0.46926665162683384</v>
      </c>
      <c r="Q29" s="3">
        <v>0</v>
      </c>
    </row>
    <row r="30" spans="1:17" x14ac:dyDescent="0.2">
      <c r="A30" s="2">
        <v>26</v>
      </c>
      <c r="B30" s="2">
        <f t="shared" ca="1" si="1"/>
        <v>1.39130339769589</v>
      </c>
      <c r="F30" s="4">
        <v>26</v>
      </c>
      <c r="G30" s="3">
        <v>3.96</v>
      </c>
      <c r="H30" s="3">
        <v>3.4748420896823728</v>
      </c>
      <c r="I30" s="3">
        <v>3.0969625579739741</v>
      </c>
      <c r="J30" s="3">
        <v>3.1294310306704918</v>
      </c>
      <c r="K30" s="3">
        <v>2.3756524788411411</v>
      </c>
      <c r="L30" s="3">
        <v>1.9026344270358324</v>
      </c>
      <c r="M30" s="3">
        <v>1.5862776330422597</v>
      </c>
      <c r="N30" s="3">
        <v>1.3569302004696797</v>
      </c>
      <c r="O30" s="3">
        <v>0.5779530947538305</v>
      </c>
      <c r="P30" s="3">
        <v>0.20949040750805001</v>
      </c>
      <c r="Q30" s="3">
        <v>0</v>
      </c>
    </row>
    <row r="31" spans="1:17" x14ac:dyDescent="0.2">
      <c r="A31" s="2">
        <v>27</v>
      </c>
      <c r="B31" s="2">
        <f t="shared" ca="1" si="1"/>
        <v>0.89552239038124881</v>
      </c>
      <c r="F31" s="4">
        <v>27</v>
      </c>
      <c r="G31" s="3">
        <v>3.96</v>
      </c>
      <c r="H31" s="3">
        <v>3.3711264377629808</v>
      </c>
      <c r="I31" s="3">
        <v>3.1486937197827825</v>
      </c>
      <c r="J31" s="3">
        <v>2.5488740040809494</v>
      </c>
      <c r="K31" s="3">
        <v>2.3490499711927897</v>
      </c>
      <c r="L31" s="3">
        <v>2.0275407080645547</v>
      </c>
      <c r="M31" s="3">
        <v>1.5838826680631894</v>
      </c>
      <c r="N31" s="3">
        <v>1.5725856301976329</v>
      </c>
      <c r="O31" s="3">
        <v>0.76406280152635098</v>
      </c>
      <c r="P31" s="3">
        <v>0.59049255584387494</v>
      </c>
      <c r="Q31" s="3">
        <v>0</v>
      </c>
    </row>
    <row r="32" spans="1:17" x14ac:dyDescent="0.2">
      <c r="A32" s="2">
        <v>28</v>
      </c>
      <c r="B32" s="2">
        <f t="shared" ca="1" si="1"/>
        <v>1.5313467996922208</v>
      </c>
      <c r="F32" s="4">
        <v>28</v>
      </c>
      <c r="G32" s="3">
        <v>3.96</v>
      </c>
      <c r="H32" s="3">
        <v>3.4788087439308311</v>
      </c>
      <c r="I32" s="3">
        <v>3.2496497460085303</v>
      </c>
      <c r="J32" s="3">
        <v>2.6676746202171953</v>
      </c>
      <c r="K32" s="3">
        <v>2.4622438811053193</v>
      </c>
      <c r="L32" s="3">
        <v>1.8543344853642303</v>
      </c>
      <c r="M32" s="3">
        <v>1.1748596200444199</v>
      </c>
      <c r="N32" s="3">
        <v>1.2548187182973189</v>
      </c>
      <c r="O32" s="3">
        <v>0.67052322505972861</v>
      </c>
      <c r="P32" s="3">
        <v>0.56660118815810612</v>
      </c>
      <c r="Q32" s="3">
        <v>0</v>
      </c>
    </row>
    <row r="33" spans="1:17" x14ac:dyDescent="0.2">
      <c r="A33" s="2">
        <v>29</v>
      </c>
      <c r="B33" s="2">
        <f t="shared" ca="1" si="1"/>
        <v>1.5295892974238139</v>
      </c>
      <c r="F33" s="4">
        <v>29</v>
      </c>
      <c r="G33" s="3">
        <v>3.9599999999999995</v>
      </c>
      <c r="H33" s="3">
        <v>3.672134672162668</v>
      </c>
      <c r="I33" s="3">
        <v>3.3646987052348791</v>
      </c>
      <c r="J33" s="3">
        <v>2.8151841958821011</v>
      </c>
      <c r="K33" s="3">
        <v>2.2039306505000247</v>
      </c>
      <c r="L33" s="3">
        <v>2.1162604038161201</v>
      </c>
      <c r="M33" s="3">
        <v>1.6075179343404979</v>
      </c>
      <c r="N33" s="3">
        <v>1.347242668630656</v>
      </c>
      <c r="O33" s="3">
        <v>0.74189046479289955</v>
      </c>
      <c r="P33" s="3">
        <v>0.51651840065270083</v>
      </c>
      <c r="Q33" s="3">
        <v>0</v>
      </c>
    </row>
    <row r="34" spans="1:17" x14ac:dyDescent="0.2">
      <c r="A34" s="2">
        <v>30</v>
      </c>
      <c r="B34" s="2">
        <f t="shared" ca="1" si="1"/>
        <v>-0.22930599723004619</v>
      </c>
      <c r="F34" s="4">
        <v>30</v>
      </c>
      <c r="G34" s="3">
        <v>3.96</v>
      </c>
      <c r="H34" s="3">
        <v>3.2691274850457104</v>
      </c>
      <c r="I34" s="3">
        <v>3.0834679567005576</v>
      </c>
      <c r="J34" s="3">
        <v>2.8680469100491046</v>
      </c>
      <c r="K34" s="3">
        <v>2.3445550272232096</v>
      </c>
      <c r="L34" s="3">
        <v>2.0482445563315417</v>
      </c>
      <c r="M34" s="3">
        <v>1.6012701607305213</v>
      </c>
      <c r="N34" s="3">
        <v>1.6318259274155744</v>
      </c>
      <c r="O34" s="3">
        <v>0.81229344260683878</v>
      </c>
      <c r="P34" s="3">
        <v>0.51470305656410031</v>
      </c>
      <c r="Q34" s="3">
        <v>0</v>
      </c>
    </row>
    <row r="35" spans="1:17" x14ac:dyDescent="0.2">
      <c r="A35" s="2">
        <v>31</v>
      </c>
      <c r="B35" s="2">
        <f t="shared" ca="1" si="1"/>
        <v>-1.6027596720100983</v>
      </c>
      <c r="F35" s="4">
        <v>31</v>
      </c>
      <c r="G35" s="3">
        <v>3.96</v>
      </c>
      <c r="H35" s="3">
        <v>3.4731495270719654</v>
      </c>
      <c r="I35" s="3">
        <v>3.2058748759404514</v>
      </c>
      <c r="J35" s="3">
        <v>2.6651820591789011</v>
      </c>
      <c r="K35" s="3">
        <v>2.4136482280607785</v>
      </c>
      <c r="L35" s="3">
        <v>1.9440081072203166</v>
      </c>
      <c r="M35" s="3">
        <v>1.8501324920427513</v>
      </c>
      <c r="N35" s="3">
        <v>1.3129339770067687</v>
      </c>
      <c r="O35" s="3">
        <v>0.63460284481640239</v>
      </c>
      <c r="P35" s="3">
        <v>0.48208320865778465</v>
      </c>
      <c r="Q35" s="3">
        <v>0</v>
      </c>
    </row>
    <row r="36" spans="1:17" x14ac:dyDescent="0.2">
      <c r="A36" s="2">
        <v>32</v>
      </c>
      <c r="B36" s="2">
        <f t="shared" ca="1" si="1"/>
        <v>-0.59369186803152874</v>
      </c>
      <c r="F36" s="4">
        <v>32</v>
      </c>
      <c r="G36" s="3">
        <v>3.96</v>
      </c>
      <c r="H36" s="3">
        <v>3.374460960447895</v>
      </c>
      <c r="I36" s="3">
        <v>3.2227161155107567</v>
      </c>
      <c r="J36" s="3">
        <v>2.7433224842345489</v>
      </c>
      <c r="K36" s="3">
        <v>2.4258081673016934</v>
      </c>
      <c r="L36" s="3">
        <v>1.8409269710679979</v>
      </c>
      <c r="M36" s="3">
        <v>1.3601531244835476</v>
      </c>
      <c r="N36" s="3">
        <v>1.0417061220735078</v>
      </c>
      <c r="O36" s="3">
        <v>0.75976664637267866</v>
      </c>
      <c r="P36" s="3">
        <v>0.59141173096355626</v>
      </c>
      <c r="Q36" s="3">
        <v>0</v>
      </c>
    </row>
    <row r="37" spans="1:17" x14ac:dyDescent="0.2">
      <c r="A37" s="2">
        <v>33</v>
      </c>
      <c r="B37" s="2">
        <f t="shared" ca="1" si="1"/>
        <v>-0.33484556222257217</v>
      </c>
      <c r="F37" s="4">
        <v>33</v>
      </c>
      <c r="G37" s="3">
        <v>3.96</v>
      </c>
      <c r="H37" s="3">
        <v>3.6827541244803443</v>
      </c>
      <c r="I37" s="3">
        <v>2.9887688385678768</v>
      </c>
      <c r="J37" s="3">
        <v>2.8111317268821776</v>
      </c>
      <c r="K37" s="3">
        <v>2.1487370839993911</v>
      </c>
      <c r="L37" s="3">
        <v>1.4821173044238367</v>
      </c>
      <c r="M37" s="3">
        <v>1.5851954484618989</v>
      </c>
      <c r="N37" s="3">
        <v>1.2740255971463514</v>
      </c>
      <c r="O37" s="3">
        <v>0.65943447605447159</v>
      </c>
      <c r="P37" s="3">
        <v>0.40733459013749779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-1.1463094852689073</v>
      </c>
      <c r="F38" s="4">
        <v>34</v>
      </c>
      <c r="G38" s="3">
        <v>3.96</v>
      </c>
      <c r="H38" s="3">
        <v>3.5466910371825691</v>
      </c>
      <c r="I38" s="3">
        <v>3.3901908269662417</v>
      </c>
      <c r="J38" s="3">
        <v>2.6815942212635058</v>
      </c>
      <c r="K38" s="3">
        <v>2.506277319859477</v>
      </c>
      <c r="L38" s="3">
        <v>2.0501924003977643</v>
      </c>
      <c r="M38" s="3">
        <v>1.5301716497773004</v>
      </c>
      <c r="N38" s="3">
        <v>0.93719446846237486</v>
      </c>
      <c r="O38" s="3">
        <v>0.64932808948857679</v>
      </c>
      <c r="P38" s="3">
        <v>0.40705260855859232</v>
      </c>
      <c r="Q38" s="3">
        <v>0</v>
      </c>
    </row>
    <row r="39" spans="1:17" x14ac:dyDescent="0.2">
      <c r="A39" s="2">
        <v>35</v>
      </c>
      <c r="B39" s="2">
        <f t="shared" ca="1" si="2"/>
        <v>-1.8308523351399659</v>
      </c>
      <c r="F39" s="4">
        <v>35</v>
      </c>
      <c r="G39" s="3">
        <v>3.96</v>
      </c>
      <c r="H39" s="3">
        <v>3.4900884513968036</v>
      </c>
      <c r="I39" s="3">
        <v>3.483667242525601</v>
      </c>
      <c r="J39" s="3">
        <v>2.4778550473706189</v>
      </c>
      <c r="K39" s="3">
        <v>2.4614475504234674</v>
      </c>
      <c r="L39" s="3">
        <v>1.9889415450706289</v>
      </c>
      <c r="M39" s="3">
        <v>1.6820081025569551</v>
      </c>
      <c r="N39" s="3">
        <v>1.1056795891383209</v>
      </c>
      <c r="O39" s="3">
        <v>0.61147061916955914</v>
      </c>
      <c r="P39" s="3">
        <v>0.19944498919869874</v>
      </c>
      <c r="Q39" s="3">
        <v>0</v>
      </c>
    </row>
    <row r="40" spans="1:17" x14ac:dyDescent="0.2">
      <c r="A40" s="2">
        <v>36</v>
      </c>
      <c r="B40" s="2">
        <f t="shared" ca="1" si="2"/>
        <v>-0.20499333187626656</v>
      </c>
      <c r="F40" s="4">
        <v>36</v>
      </c>
      <c r="G40" s="3">
        <v>3.9600000000000004</v>
      </c>
      <c r="H40" s="3">
        <v>3.4618257707315143</v>
      </c>
      <c r="I40" s="3">
        <v>3.1634421959242647</v>
      </c>
      <c r="J40" s="3">
        <v>2.9506457205957961</v>
      </c>
      <c r="K40" s="3">
        <v>2.6441268501781674</v>
      </c>
      <c r="L40" s="3">
        <v>1.9416367258650487</v>
      </c>
      <c r="M40" s="3">
        <v>1.4033054405271737</v>
      </c>
      <c r="N40" s="3">
        <v>1.3956778838845787</v>
      </c>
      <c r="O40" s="3">
        <v>0.84557086640925982</v>
      </c>
      <c r="P40" s="3">
        <v>0.44003379777193885</v>
      </c>
      <c r="Q40" s="3">
        <v>0</v>
      </c>
    </row>
    <row r="41" spans="1:17" x14ac:dyDescent="0.2">
      <c r="A41" s="2">
        <v>37</v>
      </c>
      <c r="B41" s="2">
        <f t="shared" ca="1" si="2"/>
        <v>-0.21389327685119755</v>
      </c>
      <c r="F41" s="4">
        <v>37</v>
      </c>
      <c r="G41" s="3">
        <v>3.96</v>
      </c>
      <c r="H41" s="3">
        <v>3.2222472758085976</v>
      </c>
      <c r="I41" s="3">
        <v>3.1609925764482347</v>
      </c>
      <c r="J41" s="3">
        <v>2.386875078028686</v>
      </c>
      <c r="K41" s="3">
        <v>2.3490084274321559</v>
      </c>
      <c r="L41" s="3">
        <v>1.6495845943442045</v>
      </c>
      <c r="M41" s="3">
        <v>1.6930784240875389</v>
      </c>
      <c r="N41" s="3">
        <v>1.3890406695473425</v>
      </c>
      <c r="O41" s="3">
        <v>0.75195012706819686</v>
      </c>
      <c r="P41" s="3">
        <v>0.54171459639564346</v>
      </c>
      <c r="Q41" s="3">
        <v>0</v>
      </c>
    </row>
    <row r="42" spans="1:17" x14ac:dyDescent="0.2">
      <c r="A42" s="2">
        <v>38</v>
      </c>
      <c r="B42" s="2">
        <f t="shared" ca="1" si="2"/>
        <v>1.1192142281703454</v>
      </c>
      <c r="F42" s="4">
        <v>38</v>
      </c>
      <c r="G42" s="3">
        <v>3.96</v>
      </c>
      <c r="H42" s="3">
        <v>3.6472614063339934</v>
      </c>
      <c r="I42" s="3">
        <v>3.2481092801005946</v>
      </c>
      <c r="J42" s="3">
        <v>2.7028200931489037</v>
      </c>
      <c r="K42" s="3">
        <v>2.5801141293442882</v>
      </c>
      <c r="L42" s="3">
        <v>2.242204114730403</v>
      </c>
      <c r="M42" s="3">
        <v>1.7725207057474111</v>
      </c>
      <c r="N42" s="3">
        <v>1.3065016133454042</v>
      </c>
      <c r="O42" s="3">
        <v>1.0735733252281385</v>
      </c>
      <c r="P42" s="3">
        <v>0.4066542890316362</v>
      </c>
      <c r="Q42" s="3">
        <v>0</v>
      </c>
    </row>
    <row r="43" spans="1:17" x14ac:dyDescent="0.2">
      <c r="A43" s="2">
        <v>39</v>
      </c>
      <c r="B43" s="2">
        <f t="shared" ca="1" si="2"/>
        <v>0.45055983608241545</v>
      </c>
      <c r="F43" s="4">
        <v>39</v>
      </c>
      <c r="G43" s="3">
        <v>3.96</v>
      </c>
      <c r="H43" s="3">
        <v>3.5848153570254904</v>
      </c>
      <c r="I43" s="3">
        <v>2.8671087833302407</v>
      </c>
      <c r="J43" s="3">
        <v>2.8607909433454912</v>
      </c>
      <c r="K43" s="3">
        <v>2.2727283374551979</v>
      </c>
      <c r="L43" s="3">
        <v>2.2939864405787715</v>
      </c>
      <c r="M43" s="3">
        <v>1.8045268485743207</v>
      </c>
      <c r="N43" s="3">
        <v>1.3819113023765395</v>
      </c>
      <c r="O43" s="3">
        <v>0.69061252378247073</v>
      </c>
      <c r="P43" s="3">
        <v>0.37719310582345589</v>
      </c>
      <c r="Q43" s="3">
        <v>0</v>
      </c>
    </row>
    <row r="44" spans="1:17" x14ac:dyDescent="0.2">
      <c r="A44" s="2">
        <v>40</v>
      </c>
      <c r="B44" s="2">
        <f t="shared" ca="1" si="2"/>
        <v>0.10563496516179219</v>
      </c>
      <c r="F44" s="4">
        <v>40</v>
      </c>
      <c r="G44" s="3">
        <v>3.9600000000000004</v>
      </c>
      <c r="H44" s="3">
        <v>3.5838655990125798</v>
      </c>
      <c r="I44" s="3">
        <v>3.2588479343994248</v>
      </c>
      <c r="J44" s="3">
        <v>2.8319609536593076</v>
      </c>
      <c r="K44" s="3">
        <v>2.5214260236405739</v>
      </c>
      <c r="L44" s="3">
        <v>1.9592444969083036</v>
      </c>
      <c r="M44" s="3">
        <v>1.6219561943500445</v>
      </c>
      <c r="N44" s="3">
        <v>1.0764852971938799</v>
      </c>
      <c r="O44" s="3">
        <v>0.62014200692146215</v>
      </c>
      <c r="P44" s="3">
        <v>0.45632816535906079</v>
      </c>
      <c r="Q44" s="3">
        <v>0</v>
      </c>
    </row>
    <row r="45" spans="1:17" x14ac:dyDescent="0.2">
      <c r="A45" s="2">
        <v>41</v>
      </c>
      <c r="B45" s="2">
        <f t="shared" ca="1" si="2"/>
        <v>0.12463119217098979</v>
      </c>
      <c r="F45" s="4">
        <v>41</v>
      </c>
      <c r="G45" s="3">
        <v>3.96</v>
      </c>
      <c r="H45" s="3">
        <v>3.351528364417089</v>
      </c>
      <c r="I45" s="3">
        <v>3.2385306641494926</v>
      </c>
      <c r="J45" s="3">
        <v>3.0485335063363599</v>
      </c>
      <c r="K45" s="3">
        <v>2.5652005678300811</v>
      </c>
      <c r="L45" s="3">
        <v>1.6280381719409394</v>
      </c>
      <c r="M45" s="3">
        <v>1.5052286344376997</v>
      </c>
      <c r="N45" s="3">
        <v>1.069327758689143</v>
      </c>
      <c r="O45" s="3">
        <v>0.99024053118185418</v>
      </c>
      <c r="P45" s="3">
        <v>0.56058437913462578</v>
      </c>
      <c r="Q45" s="3">
        <v>0</v>
      </c>
    </row>
    <row r="46" spans="1:17" x14ac:dyDescent="0.2">
      <c r="A46" s="2">
        <v>42</v>
      </c>
      <c r="B46" s="2">
        <f t="shared" ca="1" si="2"/>
        <v>-0.24432196369370549</v>
      </c>
      <c r="F46" s="4">
        <v>42</v>
      </c>
      <c r="G46" s="3">
        <v>3.96</v>
      </c>
      <c r="H46" s="3">
        <v>3.4930457785216653</v>
      </c>
      <c r="I46" s="3">
        <v>3.2035950964850093</v>
      </c>
      <c r="J46" s="3">
        <v>2.6254768316801127</v>
      </c>
      <c r="K46" s="3">
        <v>2.4472109595349023</v>
      </c>
      <c r="L46" s="3">
        <v>1.6875481432122104</v>
      </c>
      <c r="M46" s="3">
        <v>1.8545154472770349</v>
      </c>
      <c r="N46" s="3">
        <v>1.2608053518227849</v>
      </c>
      <c r="O46" s="3">
        <v>0.79988787347972845</v>
      </c>
      <c r="P46" s="3">
        <v>0.59211280624350904</v>
      </c>
      <c r="Q46" s="3">
        <v>0</v>
      </c>
    </row>
    <row r="47" spans="1:17" x14ac:dyDescent="0.2">
      <c r="A47" s="2">
        <v>43</v>
      </c>
      <c r="B47" s="2">
        <f t="shared" ca="1" si="2"/>
        <v>0.81611394765111778</v>
      </c>
      <c r="F47" s="4">
        <v>43</v>
      </c>
      <c r="G47" s="3">
        <v>3.9600000000000004</v>
      </c>
      <c r="H47" s="3">
        <v>3.5723299074782098</v>
      </c>
      <c r="I47" s="3">
        <v>3.0167007290465198</v>
      </c>
      <c r="J47" s="3">
        <v>2.8539463512464454</v>
      </c>
      <c r="K47" s="3">
        <v>2.1755914652030306</v>
      </c>
      <c r="L47" s="3">
        <v>1.8417925103322628</v>
      </c>
      <c r="M47" s="3">
        <v>1.3510709117058137</v>
      </c>
      <c r="N47" s="3">
        <v>1.60491340577649</v>
      </c>
      <c r="O47" s="3">
        <v>0.87149242815235051</v>
      </c>
      <c r="P47" s="3">
        <v>0.45646115911421642</v>
      </c>
      <c r="Q47" s="3">
        <v>0</v>
      </c>
    </row>
    <row r="48" spans="1:17" x14ac:dyDescent="0.2">
      <c r="A48" s="2">
        <v>44</v>
      </c>
      <c r="B48" s="2">
        <f t="shared" ca="1" si="2"/>
        <v>0.50174241608069636</v>
      </c>
      <c r="F48" s="4">
        <v>44</v>
      </c>
      <c r="G48" s="3">
        <v>3.96</v>
      </c>
      <c r="H48" s="3">
        <v>3.6783089308065979</v>
      </c>
      <c r="I48" s="3">
        <v>3.2459678199903927</v>
      </c>
      <c r="J48" s="3">
        <v>2.8083928417483977</v>
      </c>
      <c r="K48" s="3">
        <v>2.5569648692743434</v>
      </c>
      <c r="L48" s="3">
        <v>1.8434526704932634</v>
      </c>
      <c r="M48" s="3">
        <v>1.657297630083409</v>
      </c>
      <c r="N48" s="3">
        <v>1.3299617313850971</v>
      </c>
      <c r="O48" s="3">
        <v>1.0515522399630606</v>
      </c>
      <c r="P48" s="3">
        <v>0.54288029367625557</v>
      </c>
      <c r="Q48" s="3">
        <v>0</v>
      </c>
    </row>
    <row r="49" spans="1:17" x14ac:dyDescent="0.2">
      <c r="A49" s="2">
        <v>45</v>
      </c>
      <c r="B49" s="2">
        <f t="shared" ca="1" si="2"/>
        <v>0.34029157236475605</v>
      </c>
      <c r="F49" s="4">
        <v>45</v>
      </c>
      <c r="G49" s="3">
        <v>3.96</v>
      </c>
      <c r="H49" s="3">
        <v>3.4696178162893259</v>
      </c>
      <c r="I49" s="3">
        <v>2.799975652921276</v>
      </c>
      <c r="J49" s="3">
        <v>2.8209587038201964</v>
      </c>
      <c r="K49" s="3">
        <v>2.6783952682817929</v>
      </c>
      <c r="L49" s="3">
        <v>2.024552872246439</v>
      </c>
      <c r="M49" s="3">
        <v>1.5106676953912033</v>
      </c>
      <c r="N49" s="3">
        <v>0.98424913816019399</v>
      </c>
      <c r="O49" s="3">
        <v>0.83070115959872692</v>
      </c>
      <c r="P49" s="3">
        <v>0.54198761091124481</v>
      </c>
      <c r="Q49" s="3">
        <v>0</v>
      </c>
    </row>
    <row r="50" spans="1:17" x14ac:dyDescent="0.2">
      <c r="A50" s="2">
        <v>46</v>
      </c>
      <c r="B50" s="2">
        <f t="shared" ca="1" si="2"/>
        <v>-0.73031827399543081</v>
      </c>
      <c r="F50" s="4">
        <v>46</v>
      </c>
      <c r="G50" s="3">
        <v>3.96</v>
      </c>
      <c r="H50" s="3">
        <v>3.4955564342470105</v>
      </c>
      <c r="I50" s="3">
        <v>3.2236085703112058</v>
      </c>
      <c r="J50" s="3">
        <v>2.7925208495096001</v>
      </c>
      <c r="K50" s="3">
        <v>2.165203649877812</v>
      </c>
      <c r="L50" s="3">
        <v>2.0437013396871087</v>
      </c>
      <c r="M50" s="3">
        <v>1.6256827631297917</v>
      </c>
      <c r="N50" s="3">
        <v>1.0715822408420839</v>
      </c>
      <c r="O50" s="3">
        <v>0.73928310639044825</v>
      </c>
      <c r="P50" s="3">
        <v>0.38461368637909549</v>
      </c>
      <c r="Q50" s="3">
        <v>0</v>
      </c>
    </row>
    <row r="51" spans="1:17" x14ac:dyDescent="0.2">
      <c r="A51" s="2">
        <v>47</v>
      </c>
      <c r="B51" s="2">
        <f t="shared" ca="1" si="2"/>
        <v>-1.2796706629101209</v>
      </c>
      <c r="F51" s="4">
        <v>47</v>
      </c>
      <c r="G51" s="3">
        <v>3.96</v>
      </c>
      <c r="H51" s="3">
        <v>3.6080126867426308</v>
      </c>
      <c r="I51" s="3">
        <v>3.1853113828148625</v>
      </c>
      <c r="J51" s="3">
        <v>2.7285877267584873</v>
      </c>
      <c r="K51" s="3">
        <v>1.9066448317198565</v>
      </c>
      <c r="L51" s="3">
        <v>1.9273705803528385</v>
      </c>
      <c r="M51" s="3">
        <v>1.6442894883149182</v>
      </c>
      <c r="N51" s="3">
        <v>1.2371817391915545</v>
      </c>
      <c r="O51" s="3">
        <v>0.69252879062779238</v>
      </c>
      <c r="P51" s="3">
        <v>0.34431011911616743</v>
      </c>
      <c r="Q51" s="3">
        <v>0</v>
      </c>
    </row>
    <row r="52" spans="1:17" x14ac:dyDescent="0.2">
      <c r="A52" s="2">
        <v>48</v>
      </c>
      <c r="B52" s="2">
        <f t="shared" ca="1" si="2"/>
        <v>-1.6238018917895074</v>
      </c>
      <c r="F52" s="4">
        <v>48</v>
      </c>
      <c r="G52" s="3">
        <v>3.9599999999999995</v>
      </c>
      <c r="H52" s="3">
        <v>3.4700895193046746</v>
      </c>
      <c r="I52" s="3">
        <v>3.0971797500712253</v>
      </c>
      <c r="J52" s="3">
        <v>2.7716896904285409</v>
      </c>
      <c r="K52" s="3">
        <v>2.4868984281430935</v>
      </c>
      <c r="L52" s="3">
        <v>2.0023564123697164</v>
      </c>
      <c r="M52" s="3">
        <v>1.422259450143565</v>
      </c>
      <c r="N52" s="3">
        <v>1.265270087133469</v>
      </c>
      <c r="O52" s="3">
        <v>0.91277152722256893</v>
      </c>
      <c r="P52" s="3">
        <v>0.91020542658637615</v>
      </c>
      <c r="Q52" s="3">
        <v>0</v>
      </c>
    </row>
    <row r="53" spans="1:17" x14ac:dyDescent="0.2">
      <c r="A53" s="2">
        <v>49</v>
      </c>
      <c r="B53" s="2">
        <f t="shared" ca="1" si="2"/>
        <v>-1.2749257053458876</v>
      </c>
      <c r="F53" s="4">
        <v>49</v>
      </c>
      <c r="G53" s="3">
        <v>3.96</v>
      </c>
      <c r="H53" s="3">
        <v>3.6098368732710466</v>
      </c>
      <c r="I53" s="3">
        <v>2.8500696794806073</v>
      </c>
      <c r="J53" s="3">
        <v>2.7466495298507358</v>
      </c>
      <c r="K53" s="3">
        <v>2.2017829331995844</v>
      </c>
      <c r="L53" s="3">
        <v>1.850060619481916</v>
      </c>
      <c r="M53" s="3">
        <v>1.9253366042572624</v>
      </c>
      <c r="N53" s="3">
        <v>1.1662091685399347</v>
      </c>
      <c r="O53" s="3">
        <v>0.97459254741139334</v>
      </c>
      <c r="P53" s="3">
        <v>0.48238741108307692</v>
      </c>
      <c r="Q53" s="3">
        <v>0</v>
      </c>
    </row>
    <row r="54" spans="1:17" x14ac:dyDescent="0.2">
      <c r="A54" s="2">
        <v>50</v>
      </c>
      <c r="B54" s="2">
        <f t="shared" ca="1" si="2"/>
        <v>-1.082889865933371</v>
      </c>
      <c r="F54" s="4">
        <v>50</v>
      </c>
      <c r="G54" s="3">
        <v>3.96</v>
      </c>
      <c r="H54" s="3">
        <v>3.4759184565428547</v>
      </c>
      <c r="I54" s="3">
        <v>2.8996786072465324</v>
      </c>
      <c r="J54" s="3">
        <v>2.8167532474286188</v>
      </c>
      <c r="K54" s="3">
        <v>2.4837725241669268</v>
      </c>
      <c r="L54" s="3">
        <v>1.8071020898041754</v>
      </c>
      <c r="M54" s="3">
        <v>1.5559834256049807</v>
      </c>
      <c r="N54" s="3">
        <v>1.0757065722541679</v>
      </c>
      <c r="O54" s="3">
        <v>0.75197636344546392</v>
      </c>
      <c r="P54" s="3">
        <v>0.38829109343902207</v>
      </c>
      <c r="Q54" s="3">
        <v>0</v>
      </c>
    </row>
    <row r="55" spans="1:17" x14ac:dyDescent="0.2">
      <c r="A55" s="2">
        <v>51</v>
      </c>
      <c r="B55" s="2">
        <f t="shared" ca="1" si="2"/>
        <v>-0.90199413843293086</v>
      </c>
      <c r="F55" s="4">
        <v>51</v>
      </c>
      <c r="G55" s="3">
        <v>3.96</v>
      </c>
      <c r="H55" s="3">
        <v>3.6155452958967635</v>
      </c>
      <c r="I55" s="3">
        <v>2.9496936080912639</v>
      </c>
      <c r="J55" s="3">
        <v>2.9797570636407871</v>
      </c>
      <c r="K55" s="3">
        <v>2.4233854736430431</v>
      </c>
      <c r="L55" s="3">
        <v>1.9082064962812779</v>
      </c>
      <c r="M55" s="3">
        <v>1.6450517949823968</v>
      </c>
      <c r="N55" s="3">
        <v>1.1196158174949757</v>
      </c>
      <c r="O55" s="3">
        <v>0.58322793697635555</v>
      </c>
      <c r="P55" s="3">
        <v>0.34732027861764597</v>
      </c>
      <c r="Q55" s="3">
        <v>0</v>
      </c>
    </row>
    <row r="56" spans="1:17" x14ac:dyDescent="0.2">
      <c r="A56" s="2">
        <v>52</v>
      </c>
      <c r="B56" s="2">
        <f t="shared" ca="1" si="2"/>
        <v>1.2038197019167689</v>
      </c>
      <c r="F56" s="4">
        <v>52</v>
      </c>
      <c r="G56" s="3">
        <v>3.96</v>
      </c>
      <c r="H56" s="3">
        <v>3.7059743515733623</v>
      </c>
      <c r="I56" s="3">
        <v>3.1050396633402619</v>
      </c>
      <c r="J56" s="3">
        <v>2.9112858990888988</v>
      </c>
      <c r="K56" s="3">
        <v>2.5363929823715674</v>
      </c>
      <c r="L56" s="3">
        <v>2.1696268339895113</v>
      </c>
      <c r="M56" s="3">
        <v>1.6944496989900801</v>
      </c>
      <c r="N56" s="3">
        <v>1.1077047950772851</v>
      </c>
      <c r="O56" s="3">
        <v>0.67341750349865093</v>
      </c>
      <c r="P56" s="3">
        <v>0.37629200691207471</v>
      </c>
      <c r="Q56" s="3">
        <v>0</v>
      </c>
    </row>
    <row r="57" spans="1:17" x14ac:dyDescent="0.2">
      <c r="A57" s="2">
        <v>53</v>
      </c>
      <c r="B57" s="2">
        <f t="shared" ca="1" si="2"/>
        <v>0.24783929328432963</v>
      </c>
      <c r="F57" s="4">
        <v>53</v>
      </c>
      <c r="G57" s="3">
        <v>3.96</v>
      </c>
      <c r="H57" s="3">
        <v>3.5459386051888253</v>
      </c>
      <c r="I57" s="3">
        <v>2.9961110619593638</v>
      </c>
      <c r="J57" s="3">
        <v>2.6715766314926386</v>
      </c>
      <c r="K57" s="3">
        <v>2.5127286394578836</v>
      </c>
      <c r="L57" s="3">
        <v>2.0074957449895852</v>
      </c>
      <c r="M57" s="3">
        <v>2.0269560246549108</v>
      </c>
      <c r="N57" s="3">
        <v>1.3117231523839521</v>
      </c>
      <c r="O57" s="3">
        <v>0.93973656533368721</v>
      </c>
      <c r="P57" s="3">
        <v>0.59710113900333162</v>
      </c>
      <c r="Q57" s="3">
        <v>0</v>
      </c>
    </row>
    <row r="58" spans="1:17" x14ac:dyDescent="0.2">
      <c r="A58" s="2">
        <v>54</v>
      </c>
      <c r="B58" s="2">
        <f t="shared" ca="1" si="2"/>
        <v>1.6195929532670368</v>
      </c>
      <c r="F58" s="4">
        <v>54</v>
      </c>
      <c r="G58" s="3">
        <v>3.96</v>
      </c>
      <c r="H58" s="3">
        <v>3.4962490819041419</v>
      </c>
      <c r="I58" s="3">
        <v>3.1013712916163558</v>
      </c>
      <c r="J58" s="3">
        <v>2.9424653018101687</v>
      </c>
      <c r="K58" s="3">
        <v>2.501775035562388</v>
      </c>
      <c r="L58" s="3">
        <v>2.1916557067016975</v>
      </c>
      <c r="M58" s="3">
        <v>1.4657106422625203</v>
      </c>
      <c r="N58" s="3">
        <v>1.0582203597479103</v>
      </c>
      <c r="O58" s="3">
        <v>0.81207526012301534</v>
      </c>
      <c r="P58" s="3">
        <v>0.55563224602731487</v>
      </c>
      <c r="Q58" s="3">
        <v>0</v>
      </c>
    </row>
    <row r="59" spans="1:17" x14ac:dyDescent="0.2">
      <c r="A59" s="2">
        <v>55</v>
      </c>
      <c r="B59" s="2">
        <f t="shared" ca="1" si="2"/>
        <v>1.4031272811535904</v>
      </c>
      <c r="F59" s="4">
        <v>55</v>
      </c>
      <c r="G59" s="3">
        <v>3.9599999999999995</v>
      </c>
      <c r="H59" s="3">
        <v>3.5488604667995594</v>
      </c>
      <c r="I59" s="3">
        <v>3.2457043691783394</v>
      </c>
      <c r="J59" s="3">
        <v>2.8240123994113531</v>
      </c>
      <c r="K59" s="3">
        <v>2.3291088369127095</v>
      </c>
      <c r="L59" s="3">
        <v>2.1811602234498921</v>
      </c>
      <c r="M59" s="3">
        <v>1.9485346704551278</v>
      </c>
      <c r="N59" s="3">
        <v>1.4017019176397254</v>
      </c>
      <c r="O59" s="3">
        <v>0.88171742296476752</v>
      </c>
      <c r="P59" s="3">
        <v>0.33253005624958731</v>
      </c>
      <c r="Q59" s="3">
        <v>0</v>
      </c>
    </row>
    <row r="60" spans="1:17" x14ac:dyDescent="0.2">
      <c r="A60" s="2">
        <v>56</v>
      </c>
      <c r="B60" s="2">
        <f t="shared" ca="1" si="2"/>
        <v>7.215986615096659E-2</v>
      </c>
      <c r="F60" s="4">
        <v>56</v>
      </c>
      <c r="G60" s="3">
        <v>3.96</v>
      </c>
      <c r="H60" s="3">
        <v>3.6077863000371737</v>
      </c>
      <c r="I60" s="3">
        <v>3.1188197681979122</v>
      </c>
      <c r="J60" s="3">
        <v>2.3799166512439496</v>
      </c>
      <c r="K60" s="3">
        <v>2.1679580365117634</v>
      </c>
      <c r="L60" s="3">
        <v>2.0730665545218998</v>
      </c>
      <c r="M60" s="3">
        <v>1.5054058508065209</v>
      </c>
      <c r="N60" s="3">
        <v>1.3558707288558263</v>
      </c>
      <c r="O60" s="3">
        <v>0.70524337298475936</v>
      </c>
      <c r="P60" s="3">
        <v>0.40901649201620216</v>
      </c>
      <c r="Q60" s="3">
        <v>0</v>
      </c>
    </row>
    <row r="61" spans="1:17" x14ac:dyDescent="0.2">
      <c r="A61" s="2">
        <v>57</v>
      </c>
      <c r="B61" s="2">
        <f t="shared" ca="1" si="2"/>
        <v>-0.26893702520117835</v>
      </c>
      <c r="F61" s="4">
        <v>57</v>
      </c>
      <c r="G61" s="3">
        <v>3.96</v>
      </c>
      <c r="H61" s="3">
        <v>3.5872606016551831</v>
      </c>
      <c r="I61" s="3">
        <v>3.36694327189731</v>
      </c>
      <c r="J61" s="3">
        <v>2.8106731850248274</v>
      </c>
      <c r="K61" s="3">
        <v>2.1540323757400945</v>
      </c>
      <c r="L61" s="3">
        <v>2.0065502559379684</v>
      </c>
      <c r="M61" s="3">
        <v>1.8254365682984375</v>
      </c>
      <c r="N61" s="3">
        <v>1.0045887480849092</v>
      </c>
      <c r="O61" s="3">
        <v>0.9828386033721932</v>
      </c>
      <c r="P61" s="3">
        <v>0.45851403192429213</v>
      </c>
      <c r="Q61" s="3">
        <v>0</v>
      </c>
    </row>
    <row r="62" spans="1:17" x14ac:dyDescent="0.2">
      <c r="A62" s="2">
        <v>58</v>
      </c>
      <c r="B62" s="2">
        <f t="shared" ca="1" si="2"/>
        <v>-0.36910738270486776</v>
      </c>
      <c r="F62" s="4">
        <v>58</v>
      </c>
      <c r="G62" s="3">
        <v>3.9599999999999995</v>
      </c>
      <c r="H62" s="3">
        <v>3.2515737333491161</v>
      </c>
      <c r="I62" s="3">
        <v>3.176016048064771</v>
      </c>
      <c r="J62" s="3">
        <v>2.5201462053490848</v>
      </c>
      <c r="K62" s="3">
        <v>2.3700528926149507</v>
      </c>
      <c r="L62" s="3">
        <v>1.7580227191819922</v>
      </c>
      <c r="M62" s="3">
        <v>1.7816960675103966</v>
      </c>
      <c r="N62" s="3">
        <v>1.148378732102538</v>
      </c>
      <c r="O62" s="3">
        <v>0.85072930180326745</v>
      </c>
      <c r="P62" s="3">
        <v>0.54678501385867995</v>
      </c>
      <c r="Q62" s="3">
        <v>0</v>
      </c>
    </row>
    <row r="63" spans="1:17" x14ac:dyDescent="0.2">
      <c r="A63" s="2">
        <v>59</v>
      </c>
      <c r="B63" s="2">
        <f t="shared" ca="1" si="2"/>
        <v>-0.56512765016716648</v>
      </c>
      <c r="F63" s="4">
        <v>59</v>
      </c>
      <c r="G63" s="3">
        <v>3.96</v>
      </c>
      <c r="H63" s="3">
        <v>3.4256573880649994</v>
      </c>
      <c r="I63" s="3">
        <v>3.2937106078879754</v>
      </c>
      <c r="J63" s="3">
        <v>3.1041180272446662</v>
      </c>
      <c r="K63" s="3">
        <v>2.369844220285533</v>
      </c>
      <c r="L63" s="3">
        <v>2.1263789812006597</v>
      </c>
      <c r="M63" s="3">
        <v>1.5660942094365953</v>
      </c>
      <c r="N63" s="3">
        <v>1.2734994770834787</v>
      </c>
      <c r="O63" s="3">
        <v>0.78873858220908255</v>
      </c>
      <c r="P63" s="3">
        <v>0.32767641892374089</v>
      </c>
      <c r="Q63" s="3">
        <v>0</v>
      </c>
    </row>
    <row r="64" spans="1:17" x14ac:dyDescent="0.2">
      <c r="A64" s="2">
        <v>60</v>
      </c>
      <c r="B64" s="2">
        <f t="shared" ca="1" si="2"/>
        <v>0.34391530874433218</v>
      </c>
      <c r="F64" s="4">
        <v>60</v>
      </c>
      <c r="G64" s="3">
        <v>3.96</v>
      </c>
      <c r="H64" s="3">
        <v>3.5787838639831424</v>
      </c>
      <c r="I64" s="3">
        <v>3.4560699335773366</v>
      </c>
      <c r="J64" s="3">
        <v>2.766013136103239</v>
      </c>
      <c r="K64" s="3">
        <v>2.6749837884259628</v>
      </c>
      <c r="L64" s="3">
        <v>2.1555022008602189</v>
      </c>
      <c r="M64" s="3">
        <v>1.810522267940037</v>
      </c>
      <c r="N64" s="3">
        <v>0.95111256688620749</v>
      </c>
      <c r="O64" s="3">
        <v>1.0452250529595564</v>
      </c>
      <c r="P64" s="3">
        <v>0.29768909260026738</v>
      </c>
      <c r="Q64" s="3">
        <v>0</v>
      </c>
    </row>
    <row r="65" spans="1:17" x14ac:dyDescent="0.2">
      <c r="A65" s="2">
        <v>61</v>
      </c>
      <c r="B65" s="2">
        <f t="shared" ca="1" si="2"/>
        <v>-0.81229578523962842</v>
      </c>
      <c r="F65" s="4">
        <v>61</v>
      </c>
      <c r="G65" s="3">
        <v>3.96</v>
      </c>
      <c r="H65" s="3">
        <v>3.4966626376294037</v>
      </c>
      <c r="I65" s="3">
        <v>3.1677256581810052</v>
      </c>
      <c r="J65" s="3">
        <v>2.5204260088164432</v>
      </c>
      <c r="K65" s="3">
        <v>2.1156061391597261</v>
      </c>
      <c r="L65" s="3">
        <v>1.7867038162033255</v>
      </c>
      <c r="M65" s="3">
        <v>1.8512841636738684</v>
      </c>
      <c r="N65" s="3">
        <v>1.2149238335130095</v>
      </c>
      <c r="O65" s="3">
        <v>0.9400941716313137</v>
      </c>
      <c r="P65" s="3">
        <v>0.50601432599065055</v>
      </c>
      <c r="Q65" s="3">
        <v>0</v>
      </c>
    </row>
    <row r="66" spans="1:17" x14ac:dyDescent="0.2">
      <c r="A66" s="2">
        <v>62</v>
      </c>
      <c r="B66" s="2">
        <f t="shared" ca="1" si="2"/>
        <v>-0.21958819358856299</v>
      </c>
      <c r="F66" s="4">
        <v>62</v>
      </c>
      <c r="G66" s="3">
        <v>3.9600000000000004</v>
      </c>
      <c r="H66" s="3">
        <v>3.5068507586761619</v>
      </c>
      <c r="I66" s="3">
        <v>3.2394393913192703</v>
      </c>
      <c r="J66" s="3">
        <v>2.3301859966694369</v>
      </c>
      <c r="K66" s="3">
        <v>2.5041379163079864</v>
      </c>
      <c r="L66" s="3">
        <v>2.1075631185953254</v>
      </c>
      <c r="M66" s="3">
        <v>1.6860898512579803</v>
      </c>
      <c r="N66" s="3">
        <v>1.1438173593737004</v>
      </c>
      <c r="O66" s="3">
        <v>1.0229659952206962</v>
      </c>
      <c r="P66" s="3">
        <v>0.43468535747071957</v>
      </c>
      <c r="Q66" s="3">
        <v>0</v>
      </c>
    </row>
    <row r="67" spans="1:17" x14ac:dyDescent="0.2">
      <c r="A67" s="2">
        <v>63</v>
      </c>
      <c r="B67" s="2">
        <f t="shared" ca="1" si="2"/>
        <v>-1.1748531071780581</v>
      </c>
      <c r="F67" s="4">
        <v>63</v>
      </c>
      <c r="G67" s="3">
        <v>3.96</v>
      </c>
      <c r="H67" s="3">
        <v>3.5197241646383275</v>
      </c>
      <c r="I67" s="3">
        <v>2.9685909456330086</v>
      </c>
      <c r="J67" s="3">
        <v>2.659434224991001</v>
      </c>
      <c r="K67" s="3">
        <v>2.5296254460255909</v>
      </c>
      <c r="L67" s="3">
        <v>2.019497263689269</v>
      </c>
      <c r="M67" s="3">
        <v>1.5144230418304616</v>
      </c>
      <c r="N67" s="3">
        <v>1.3362027636087235</v>
      </c>
      <c r="O67" s="3">
        <v>0.73984356836990428</v>
      </c>
      <c r="P67" s="3">
        <v>0.53015097686371471</v>
      </c>
      <c r="Q67" s="3">
        <v>0</v>
      </c>
    </row>
    <row r="68" spans="1:17" x14ac:dyDescent="0.2">
      <c r="A68" s="2">
        <v>64</v>
      </c>
      <c r="B68" s="2">
        <f t="shared" ca="1" si="2"/>
        <v>0.4121397711213155</v>
      </c>
      <c r="F68" s="4">
        <v>64</v>
      </c>
      <c r="G68" s="3">
        <v>3.96</v>
      </c>
      <c r="H68" s="3">
        <v>3.6937749518467022</v>
      </c>
      <c r="I68" s="3">
        <v>3.3710376115138829</v>
      </c>
      <c r="J68" s="3">
        <v>2.7807179945737741</v>
      </c>
      <c r="K68" s="3">
        <v>2.4170844411530439</v>
      </c>
      <c r="L68" s="3">
        <v>2.4184688323822527</v>
      </c>
      <c r="M68" s="3">
        <v>1.8342664341388604</v>
      </c>
      <c r="N68" s="3">
        <v>1.2483948057012222</v>
      </c>
      <c r="O68" s="3">
        <v>0.65300104443925366</v>
      </c>
      <c r="P68" s="3">
        <v>0.3965701777225773</v>
      </c>
      <c r="Q68" s="3">
        <v>0</v>
      </c>
    </row>
    <row r="69" spans="1:17" x14ac:dyDescent="0.2">
      <c r="A69" s="2">
        <v>65</v>
      </c>
      <c r="B69" s="2">
        <f t="shared" ca="1" si="2"/>
        <v>4.9627561212599369E-2</v>
      </c>
      <c r="F69" s="4">
        <v>65</v>
      </c>
      <c r="G69" s="3">
        <v>3.96</v>
      </c>
      <c r="H69" s="3">
        <v>3.3987434896449478</v>
      </c>
      <c r="I69" s="3">
        <v>3.1977189456905664</v>
      </c>
      <c r="J69" s="3">
        <v>2.8576879365803127</v>
      </c>
      <c r="K69" s="3">
        <v>2.4345527039587038</v>
      </c>
      <c r="L69" s="3">
        <v>1.6636469660706572</v>
      </c>
      <c r="M69" s="3">
        <v>1.6286145988306451</v>
      </c>
      <c r="N69" s="3">
        <v>1.3872680096058263</v>
      </c>
      <c r="O69" s="3">
        <v>0.73534369127351884</v>
      </c>
      <c r="P69" s="3">
        <v>0.38156959061258366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0.24728997689165111</v>
      </c>
      <c r="F70" s="4">
        <v>66</v>
      </c>
      <c r="G70" s="3">
        <v>3.96</v>
      </c>
      <c r="H70" s="3">
        <v>3.7622823346231127</v>
      </c>
      <c r="I70" s="3">
        <v>3.2081803885179871</v>
      </c>
      <c r="J70" s="3">
        <v>2.808202370663111</v>
      </c>
      <c r="K70" s="3">
        <v>2.5444230125851872</v>
      </c>
      <c r="L70" s="3">
        <v>2.181567905998917</v>
      </c>
      <c r="M70" s="3">
        <v>1.5448448205789176</v>
      </c>
      <c r="N70" s="3">
        <v>1.0868639295408589</v>
      </c>
      <c r="O70" s="3">
        <v>0.59567218563435276</v>
      </c>
      <c r="P70" s="3">
        <v>0.39288317149579222</v>
      </c>
      <c r="Q70" s="3">
        <v>0</v>
      </c>
    </row>
    <row r="71" spans="1:17" x14ac:dyDescent="0.2">
      <c r="A71" s="2">
        <v>67</v>
      </c>
      <c r="B71" s="2">
        <f t="shared" ca="1" si="3"/>
        <v>7.8295379788630007E-2</v>
      </c>
      <c r="F71" s="4">
        <v>67</v>
      </c>
      <c r="G71" s="3">
        <v>3.96</v>
      </c>
      <c r="H71" s="3">
        <v>3.6218441653500539</v>
      </c>
      <c r="I71" s="3">
        <v>3.28406708674181</v>
      </c>
      <c r="J71" s="3">
        <v>2.9172075838488554</v>
      </c>
      <c r="K71" s="3">
        <v>2.4962521968667928</v>
      </c>
      <c r="L71" s="3">
        <v>1.9440187616305415</v>
      </c>
      <c r="M71" s="3">
        <v>1.449618376831983</v>
      </c>
      <c r="N71" s="3">
        <v>1.0593727118618832</v>
      </c>
      <c r="O71" s="3">
        <v>1.0116386412217733</v>
      </c>
      <c r="P71" s="3">
        <v>0.46929357283063633</v>
      </c>
      <c r="Q71" s="3">
        <v>0</v>
      </c>
    </row>
    <row r="72" spans="1:17" x14ac:dyDescent="0.2">
      <c r="A72" s="2">
        <v>68</v>
      </c>
      <c r="B72" s="2">
        <f t="shared" ca="1" si="3"/>
        <v>-8.5069747345240976E-2</v>
      </c>
      <c r="F72" s="4">
        <v>68</v>
      </c>
      <c r="G72" s="3">
        <v>3.96</v>
      </c>
      <c r="H72" s="3">
        <v>3.5604917324836447</v>
      </c>
      <c r="I72" s="3">
        <v>2.8563522166460551</v>
      </c>
      <c r="J72" s="3">
        <v>2.9072859495149488</v>
      </c>
      <c r="K72" s="3">
        <v>2.5985565405173432</v>
      </c>
      <c r="L72" s="3">
        <v>1.612540049838129</v>
      </c>
      <c r="M72" s="3">
        <v>1.4578917255022881</v>
      </c>
      <c r="N72" s="3">
        <v>1.2471487108638666</v>
      </c>
      <c r="O72" s="3">
        <v>0.8887207500855081</v>
      </c>
      <c r="P72" s="3">
        <v>0.32359324381352411</v>
      </c>
      <c r="Q72" s="3">
        <v>0</v>
      </c>
    </row>
    <row r="73" spans="1:17" x14ac:dyDescent="0.2">
      <c r="A73" s="2">
        <v>69</v>
      </c>
      <c r="B73" s="2">
        <f t="shared" ca="1" si="3"/>
        <v>-1.1769319003017529</v>
      </c>
      <c r="F73" s="4">
        <v>69</v>
      </c>
      <c r="G73" s="3">
        <v>3.96</v>
      </c>
      <c r="H73" s="3">
        <v>3.610261627378923</v>
      </c>
      <c r="I73" s="3">
        <v>2.8611980335695653</v>
      </c>
      <c r="J73" s="3">
        <v>2.6986843754330119</v>
      </c>
      <c r="K73" s="3">
        <v>2.1859400088617607</v>
      </c>
      <c r="L73" s="3">
        <v>2.0982487728603854</v>
      </c>
      <c r="M73" s="3">
        <v>1.4658450574495046</v>
      </c>
      <c r="N73" s="3">
        <v>0.90781644138685968</v>
      </c>
      <c r="O73" s="3">
        <v>0.73070074246239591</v>
      </c>
      <c r="P73" s="3">
        <v>0.31418626327546911</v>
      </c>
      <c r="Q73" s="3">
        <v>0</v>
      </c>
    </row>
    <row r="74" spans="1:17" x14ac:dyDescent="0.2">
      <c r="A74" s="2">
        <v>70</v>
      </c>
      <c r="B74" s="2">
        <f t="shared" ca="1" si="3"/>
        <v>-1.0980012653800197</v>
      </c>
      <c r="F74" s="4">
        <v>70</v>
      </c>
      <c r="G74" s="3">
        <v>3.9600000000000004</v>
      </c>
      <c r="H74" s="3">
        <v>3.7142934656503206</v>
      </c>
      <c r="I74" s="3">
        <v>3.103894736445179</v>
      </c>
      <c r="J74" s="3">
        <v>2.5176556644411292</v>
      </c>
      <c r="K74" s="3">
        <v>2.6097245500450219</v>
      </c>
      <c r="L74" s="3">
        <v>2.0920432728208986</v>
      </c>
      <c r="M74" s="3">
        <v>2.0855140407540742</v>
      </c>
      <c r="N74" s="3">
        <v>1.468240635178182</v>
      </c>
      <c r="O74" s="3">
        <v>0.68123374518501334</v>
      </c>
      <c r="P74" s="3">
        <v>0.55655501827296572</v>
      </c>
      <c r="Q74" s="3">
        <v>0</v>
      </c>
    </row>
    <row r="75" spans="1:17" x14ac:dyDescent="0.2">
      <c r="A75" s="2">
        <v>71</v>
      </c>
      <c r="B75" s="2">
        <f t="shared" ca="1" si="3"/>
        <v>-0.26164119081441439</v>
      </c>
      <c r="F75" s="4">
        <v>71</v>
      </c>
      <c r="G75" s="3">
        <v>3.96</v>
      </c>
      <c r="H75" s="3">
        <v>3.4398239634840926</v>
      </c>
      <c r="I75" s="3">
        <v>3.1135854032112875</v>
      </c>
      <c r="J75" s="3">
        <v>2.575267865309578</v>
      </c>
      <c r="K75" s="3">
        <v>2.4077511220925083</v>
      </c>
      <c r="L75" s="3">
        <v>2.2108458060297851</v>
      </c>
      <c r="M75" s="3">
        <v>1.2247083557740661</v>
      </c>
      <c r="N75" s="3">
        <v>1.2288118306492677</v>
      </c>
      <c r="O75" s="3">
        <v>0.87032812953636185</v>
      </c>
      <c r="P75" s="3">
        <v>0.31982606715486828</v>
      </c>
      <c r="Q75" s="3">
        <v>0</v>
      </c>
    </row>
    <row r="76" spans="1:17" x14ac:dyDescent="0.2">
      <c r="A76" s="2">
        <v>72</v>
      </c>
      <c r="B76" s="2">
        <f t="shared" ca="1" si="3"/>
        <v>-4.4497238907853662E-2</v>
      </c>
      <c r="F76" s="4">
        <v>72</v>
      </c>
      <c r="G76" s="3">
        <v>3.96</v>
      </c>
      <c r="H76" s="3">
        <v>3.681311339117487</v>
      </c>
      <c r="I76" s="3">
        <v>3.07711801240908</v>
      </c>
      <c r="J76" s="3">
        <v>2.9500364486680781</v>
      </c>
      <c r="K76" s="3">
        <v>2.144569462243187</v>
      </c>
      <c r="L76" s="3">
        <v>1.6625782268761422</v>
      </c>
      <c r="M76" s="3">
        <v>1.743747313142501</v>
      </c>
      <c r="N76" s="3">
        <v>0.99657060437445233</v>
      </c>
      <c r="O76" s="3">
        <v>0.84687573385174619</v>
      </c>
      <c r="P76" s="3">
        <v>0.38307772373004251</v>
      </c>
      <c r="Q76" s="3">
        <v>0</v>
      </c>
    </row>
    <row r="77" spans="1:17" x14ac:dyDescent="0.2">
      <c r="A77" s="2">
        <v>73</v>
      </c>
      <c r="B77" s="2">
        <f t="shared" ca="1" si="3"/>
        <v>-0.79927974274773561</v>
      </c>
      <c r="F77" s="4">
        <v>73</v>
      </c>
      <c r="G77" s="3">
        <v>3.96</v>
      </c>
      <c r="H77" s="3">
        <v>3.5566175688688553</v>
      </c>
      <c r="I77" s="3">
        <v>3.0212596637357461</v>
      </c>
      <c r="J77" s="3">
        <v>2.7205255528581365</v>
      </c>
      <c r="K77" s="3">
        <v>2.6417899692432818</v>
      </c>
      <c r="L77" s="3">
        <v>1.7699602259584879</v>
      </c>
      <c r="M77" s="3">
        <v>1.6785508371861269</v>
      </c>
      <c r="N77" s="3">
        <v>1.2652169768726127</v>
      </c>
      <c r="O77" s="3">
        <v>0.73212382578221458</v>
      </c>
      <c r="P77" s="3">
        <v>0.30899379296091534</v>
      </c>
      <c r="Q77" s="3">
        <v>0</v>
      </c>
    </row>
    <row r="78" spans="1:17" x14ac:dyDescent="0.2">
      <c r="A78" s="2">
        <v>74</v>
      </c>
      <c r="B78" s="2">
        <f t="shared" ca="1" si="3"/>
        <v>-0.8446211540614621</v>
      </c>
      <c r="F78" s="4">
        <v>74</v>
      </c>
      <c r="G78" s="3">
        <v>3.96</v>
      </c>
      <c r="H78" s="3">
        <v>3.5563113493823728</v>
      </c>
      <c r="I78" s="3">
        <v>3.0403398087440778</v>
      </c>
      <c r="J78" s="3">
        <v>2.962740640787771</v>
      </c>
      <c r="K78" s="3">
        <v>2.4708690717941093</v>
      </c>
      <c r="L78" s="3">
        <v>2.0154823726221762</v>
      </c>
      <c r="M78" s="3">
        <v>1.3950739026367067</v>
      </c>
      <c r="N78" s="3">
        <v>1.1698575420803952</v>
      </c>
      <c r="O78" s="3">
        <v>1.0266891719973463</v>
      </c>
      <c r="P78" s="3">
        <v>0.53844470980229919</v>
      </c>
      <c r="Q78" s="3">
        <v>0</v>
      </c>
    </row>
    <row r="79" spans="1:17" x14ac:dyDescent="0.2">
      <c r="A79" s="2">
        <v>75</v>
      </c>
      <c r="B79" s="2">
        <f t="shared" ca="1" si="3"/>
        <v>-0.24983219727711495</v>
      </c>
      <c r="F79" s="4">
        <v>75</v>
      </c>
      <c r="G79" s="3">
        <v>3.96</v>
      </c>
      <c r="H79" s="3">
        <v>3.5243852281940358</v>
      </c>
      <c r="I79" s="3">
        <v>3.3532098804165478</v>
      </c>
      <c r="J79" s="3">
        <v>3.0000866543257851</v>
      </c>
      <c r="K79" s="3">
        <v>2.0974728011549075</v>
      </c>
      <c r="L79" s="3">
        <v>2.3236702968186549</v>
      </c>
      <c r="M79" s="3">
        <v>1.7299399138462681</v>
      </c>
      <c r="N79" s="3">
        <v>1.0550387714701144</v>
      </c>
      <c r="O79" s="3">
        <v>0.76063323571126606</v>
      </c>
      <c r="P79" s="3">
        <v>0.48035483300575765</v>
      </c>
      <c r="Q79" s="3">
        <v>0</v>
      </c>
    </row>
    <row r="80" spans="1:17" x14ac:dyDescent="0.2">
      <c r="A80" s="2">
        <v>76</v>
      </c>
      <c r="B80" s="2">
        <f t="shared" ca="1" si="3"/>
        <v>0.23980722606592175</v>
      </c>
      <c r="F80" s="4">
        <v>76</v>
      </c>
      <c r="G80" s="3">
        <v>3.96</v>
      </c>
      <c r="H80" s="3">
        <v>3.6603038718755334</v>
      </c>
      <c r="I80" s="3">
        <v>3.2689487892938818</v>
      </c>
      <c r="J80" s="3">
        <v>2.5952187261664772</v>
      </c>
      <c r="K80" s="3">
        <v>2.209708854301736</v>
      </c>
      <c r="L80" s="3">
        <v>2.1581838467185874</v>
      </c>
      <c r="M80" s="3">
        <v>1.6068955056865342</v>
      </c>
      <c r="N80" s="3">
        <v>0.99936384802845712</v>
      </c>
      <c r="O80" s="3">
        <v>0.60379564795519891</v>
      </c>
      <c r="P80" s="3">
        <v>0.47582912831017388</v>
      </c>
      <c r="Q80" s="3">
        <v>0</v>
      </c>
    </row>
    <row r="81" spans="1:17" x14ac:dyDescent="0.2">
      <c r="A81" s="2">
        <v>77</v>
      </c>
      <c r="B81" s="2">
        <f t="shared" ca="1" si="3"/>
        <v>1.2901767328902762</v>
      </c>
      <c r="F81" s="4">
        <v>77</v>
      </c>
      <c r="G81" s="3">
        <v>3.9599999999999995</v>
      </c>
      <c r="H81" s="3">
        <v>3.7473037070138053</v>
      </c>
      <c r="I81" s="3">
        <v>3.3906576498593672</v>
      </c>
      <c r="J81" s="3">
        <v>2.6675532573102121</v>
      </c>
      <c r="K81" s="3">
        <v>2.7046226813214296</v>
      </c>
      <c r="L81" s="3">
        <v>2.0038661560257656</v>
      </c>
      <c r="M81" s="3">
        <v>1.9380458433037175</v>
      </c>
      <c r="N81" s="3">
        <v>1.069232772915661</v>
      </c>
      <c r="O81" s="3">
        <v>0.79742453883731867</v>
      </c>
      <c r="P81" s="3">
        <v>0.4953966710117132</v>
      </c>
      <c r="Q81" s="3">
        <v>0</v>
      </c>
    </row>
    <row r="82" spans="1:17" x14ac:dyDescent="0.2">
      <c r="A82" s="2">
        <v>78</v>
      </c>
      <c r="B82" s="2">
        <f t="shared" ca="1" si="3"/>
        <v>1.0156590273392192</v>
      </c>
      <c r="F82" s="4">
        <v>78</v>
      </c>
      <c r="G82" s="3">
        <v>3.96</v>
      </c>
      <c r="H82" s="3">
        <v>3.476619695104433</v>
      </c>
      <c r="I82" s="3">
        <v>3.1381461998135487</v>
      </c>
      <c r="J82" s="3">
        <v>2.8740388509265489</v>
      </c>
      <c r="K82" s="3">
        <v>2.3507479783337311</v>
      </c>
      <c r="L82" s="3">
        <v>1.7091687865971623</v>
      </c>
      <c r="M82" s="3">
        <v>1.8845844552566235</v>
      </c>
      <c r="N82" s="3">
        <v>1.0725277845707708</v>
      </c>
      <c r="O82" s="3">
        <v>0.7107197838976389</v>
      </c>
      <c r="P82" s="3">
        <v>0.41389304564368007</v>
      </c>
      <c r="Q82" s="3">
        <v>0</v>
      </c>
    </row>
    <row r="83" spans="1:17" x14ac:dyDescent="0.2">
      <c r="A83" s="2">
        <v>79</v>
      </c>
      <c r="B83" s="2">
        <f t="shared" ca="1" si="3"/>
        <v>1.589133459797363</v>
      </c>
      <c r="F83" s="4">
        <v>79</v>
      </c>
      <c r="G83" s="3">
        <v>3.96</v>
      </c>
      <c r="H83" s="3">
        <v>3.555097048844265</v>
      </c>
      <c r="I83" s="3">
        <v>3.1029924728882117</v>
      </c>
      <c r="J83" s="3">
        <v>2.7038611161942749</v>
      </c>
      <c r="K83" s="3">
        <v>2.298458185352084</v>
      </c>
      <c r="L83" s="3">
        <v>2.0139826076224376</v>
      </c>
      <c r="M83" s="3">
        <v>1.5354316899883322</v>
      </c>
      <c r="N83" s="3">
        <v>1.3098858117957612</v>
      </c>
      <c r="O83" s="3">
        <v>0.84766478478323204</v>
      </c>
      <c r="P83" s="3">
        <v>0.35309886006898844</v>
      </c>
      <c r="Q83" s="3">
        <v>0</v>
      </c>
    </row>
    <row r="84" spans="1:17" x14ac:dyDescent="0.2">
      <c r="A84" s="2">
        <v>80</v>
      </c>
      <c r="B84" s="2">
        <f t="shared" ca="1" si="3"/>
        <v>0.35703610909660916</v>
      </c>
      <c r="F84" s="4">
        <v>80</v>
      </c>
      <c r="G84" s="3">
        <v>3.96</v>
      </c>
      <c r="H84" s="3">
        <v>3.1652917725745224</v>
      </c>
      <c r="I84" s="3">
        <v>3.0859947104473728</v>
      </c>
      <c r="J84" s="3">
        <v>2.5202044204302489</v>
      </c>
      <c r="K84" s="3">
        <v>2.4930439525513015</v>
      </c>
      <c r="L84" s="3">
        <v>2.0228996315840182</v>
      </c>
      <c r="M84" s="3">
        <v>1.5412904546911044</v>
      </c>
      <c r="N84" s="3">
        <v>1.3310269590264594</v>
      </c>
      <c r="O84" s="3">
        <v>0.83294142964533646</v>
      </c>
      <c r="P84" s="3">
        <v>0.2908168755934003</v>
      </c>
      <c r="Q84" s="3">
        <v>0</v>
      </c>
    </row>
    <row r="85" spans="1:17" x14ac:dyDescent="0.2">
      <c r="A85" s="2">
        <v>81</v>
      </c>
      <c r="B85" s="2">
        <f t="shared" ca="1" si="3"/>
        <v>-0.56480886054740453</v>
      </c>
      <c r="F85" s="4">
        <v>81</v>
      </c>
      <c r="G85" s="3">
        <v>3.96</v>
      </c>
      <c r="H85" s="3">
        <v>3.579592195356939</v>
      </c>
      <c r="I85" s="3">
        <v>2.532339398502228</v>
      </c>
      <c r="J85" s="3">
        <v>2.8045865390201996</v>
      </c>
      <c r="K85" s="3">
        <v>2.136896448600544</v>
      </c>
      <c r="L85" s="3">
        <v>1.9821757622175606</v>
      </c>
      <c r="M85" s="3">
        <v>1.6541712207740253</v>
      </c>
      <c r="N85" s="3">
        <v>1.0109396831301911</v>
      </c>
      <c r="O85" s="3">
        <v>0.98863472200889635</v>
      </c>
      <c r="P85" s="3">
        <v>0.36780676016946023</v>
      </c>
      <c r="Q85" s="3">
        <v>0</v>
      </c>
    </row>
    <row r="86" spans="1:17" x14ac:dyDescent="0.2">
      <c r="A86" s="2">
        <v>82</v>
      </c>
      <c r="B86" s="2">
        <f t="shared" ca="1" si="3"/>
        <v>-1.136624707183661</v>
      </c>
      <c r="F86" s="4">
        <v>82</v>
      </c>
      <c r="G86" s="3">
        <v>3.96</v>
      </c>
      <c r="H86" s="3">
        <v>3.2735275869961873</v>
      </c>
      <c r="I86" s="3">
        <v>3.077983652975032</v>
      </c>
      <c r="J86" s="3">
        <v>2.8414341360905917</v>
      </c>
      <c r="K86" s="3">
        <v>2.574596200692036</v>
      </c>
      <c r="L86" s="3">
        <v>2.2554454217754709</v>
      </c>
      <c r="M86" s="3">
        <v>1.4354599252936042</v>
      </c>
      <c r="N86" s="3">
        <v>1.2303634721830154</v>
      </c>
      <c r="O86" s="3">
        <v>0.75068263097414478</v>
      </c>
      <c r="P86" s="3">
        <v>0.68280630572432965</v>
      </c>
      <c r="Q86" s="3">
        <v>0</v>
      </c>
    </row>
    <row r="87" spans="1:17" x14ac:dyDescent="0.2">
      <c r="A87" s="2">
        <v>83</v>
      </c>
      <c r="B87" s="2">
        <f t="shared" ca="1" si="3"/>
        <v>-0.50324498116723315</v>
      </c>
      <c r="F87" s="4">
        <v>83</v>
      </c>
      <c r="G87" s="3">
        <v>3.96</v>
      </c>
      <c r="H87" s="3">
        <v>3.5079320519032886</v>
      </c>
      <c r="I87" s="3">
        <v>3.2694844530787552</v>
      </c>
      <c r="J87" s="3">
        <v>2.5478902999216859</v>
      </c>
      <c r="K87" s="3">
        <v>2.4132111028061938</v>
      </c>
      <c r="L87" s="3">
        <v>2.5626885033907505</v>
      </c>
      <c r="M87" s="3">
        <v>1.4481564730271461</v>
      </c>
      <c r="N87" s="3">
        <v>1.2776434950936184</v>
      </c>
      <c r="O87" s="3">
        <v>0.92918475267547729</v>
      </c>
      <c r="P87" s="3">
        <v>0.61939083912980386</v>
      </c>
      <c r="Q87" s="3">
        <v>0</v>
      </c>
    </row>
    <row r="88" spans="1:17" x14ac:dyDescent="0.2">
      <c r="A88" s="2">
        <v>84</v>
      </c>
      <c r="B88" s="2">
        <f t="shared" ca="1" si="3"/>
        <v>-0.12006590302332973</v>
      </c>
      <c r="F88" s="4">
        <v>84</v>
      </c>
      <c r="G88" s="3">
        <v>3.96</v>
      </c>
      <c r="H88" s="3">
        <v>3.6049752621228492</v>
      </c>
      <c r="I88" s="3">
        <v>3.2321681002737974</v>
      </c>
      <c r="J88" s="3">
        <v>2.5955670550462484</v>
      </c>
      <c r="K88" s="3">
        <v>2.6088038223524173</v>
      </c>
      <c r="L88" s="3">
        <v>2.0438102305055943</v>
      </c>
      <c r="M88" s="3">
        <v>1.4491842593642466</v>
      </c>
      <c r="N88" s="3">
        <v>1.1220819010574126</v>
      </c>
      <c r="O88" s="3">
        <v>0.82046338664674667</v>
      </c>
      <c r="P88" s="3">
        <v>0.45760234444744652</v>
      </c>
      <c r="Q88" s="3">
        <v>0</v>
      </c>
    </row>
    <row r="89" spans="1:17" x14ac:dyDescent="0.2">
      <c r="A89" s="2">
        <v>85</v>
      </c>
      <c r="B89" s="2">
        <f t="shared" ca="1" si="3"/>
        <v>2.1629774752941273</v>
      </c>
      <c r="F89" s="4">
        <v>85</v>
      </c>
      <c r="G89" s="3">
        <v>3.9600000000000004</v>
      </c>
      <c r="H89" s="3">
        <v>3.6828391084924506</v>
      </c>
      <c r="I89" s="3">
        <v>3.2320668964925763</v>
      </c>
      <c r="J89" s="3">
        <v>2.680177912039845</v>
      </c>
      <c r="K89" s="3">
        <v>2.347446092916246</v>
      </c>
      <c r="L89" s="3">
        <v>2.246757652296731</v>
      </c>
      <c r="M89" s="3">
        <v>1.8166099422539508</v>
      </c>
      <c r="N89" s="3">
        <v>0.87531512914091858</v>
      </c>
      <c r="O89" s="3">
        <v>0.69944473535425999</v>
      </c>
      <c r="P89" s="3">
        <v>0.30206385959215071</v>
      </c>
      <c r="Q89" s="3">
        <v>0</v>
      </c>
    </row>
    <row r="90" spans="1:17" x14ac:dyDescent="0.2">
      <c r="A90" s="2">
        <v>86</v>
      </c>
      <c r="B90" s="2">
        <f t="shared" ca="1" si="3"/>
        <v>2.1978276982405074</v>
      </c>
      <c r="F90" s="4">
        <v>86</v>
      </c>
      <c r="G90" s="3">
        <v>3.96</v>
      </c>
      <c r="H90" s="3">
        <v>3.4802316929495607</v>
      </c>
      <c r="I90" s="3">
        <v>3.4193573400147281</v>
      </c>
      <c r="J90" s="3">
        <v>2.9520591393524018</v>
      </c>
      <c r="K90" s="3">
        <v>2.2292463654013828</v>
      </c>
      <c r="L90" s="3">
        <v>2.2623718837273565</v>
      </c>
      <c r="M90" s="3">
        <v>1.2719256267175691</v>
      </c>
      <c r="N90" s="3">
        <v>1.1382381264994821</v>
      </c>
      <c r="O90" s="3">
        <v>1.0365184340012421</v>
      </c>
      <c r="P90" s="3">
        <v>0.2923565945041639</v>
      </c>
      <c r="Q90" s="3">
        <v>0</v>
      </c>
    </row>
    <row r="91" spans="1:17" x14ac:dyDescent="0.2">
      <c r="A91" s="2">
        <v>87</v>
      </c>
      <c r="B91" s="2">
        <f t="shared" ca="1" si="3"/>
        <v>1.8615301506843034</v>
      </c>
      <c r="F91" s="4">
        <v>87</v>
      </c>
      <c r="G91" s="3">
        <v>3.96</v>
      </c>
      <c r="H91" s="3">
        <v>3.6567804924004572</v>
      </c>
      <c r="I91" s="3">
        <v>3.1802735547766772</v>
      </c>
      <c r="J91" s="3">
        <v>2.7813815138917932</v>
      </c>
      <c r="K91" s="3">
        <v>2.6114432297620134</v>
      </c>
      <c r="L91" s="3">
        <v>2.0356739097440153</v>
      </c>
      <c r="M91" s="3">
        <v>1.7896364652385692</v>
      </c>
      <c r="N91" s="3">
        <v>1.13339681625066</v>
      </c>
      <c r="O91" s="3">
        <v>0.68762973352149492</v>
      </c>
      <c r="P91" s="3">
        <v>0.25475016039613846</v>
      </c>
      <c r="Q91" s="3">
        <v>0</v>
      </c>
    </row>
    <row r="92" spans="1:17" x14ac:dyDescent="0.2">
      <c r="A92" s="2">
        <v>88</v>
      </c>
      <c r="B92" s="2">
        <f t="shared" ca="1" si="3"/>
        <v>2.3166462143403441</v>
      </c>
      <c r="F92" s="4">
        <v>88</v>
      </c>
      <c r="G92" s="3">
        <v>3.96</v>
      </c>
      <c r="H92" s="3">
        <v>3.3751037957789269</v>
      </c>
      <c r="I92" s="3">
        <v>3.1106226790053699</v>
      </c>
      <c r="J92" s="3">
        <v>2.9356931633852681</v>
      </c>
      <c r="K92" s="3">
        <v>2.5267206808887401</v>
      </c>
      <c r="L92" s="3">
        <v>2.0029231433917305</v>
      </c>
      <c r="M92" s="3">
        <v>2.0116336059077899</v>
      </c>
      <c r="N92" s="3">
        <v>1.1744932880484233</v>
      </c>
      <c r="O92" s="3">
        <v>0.86299175981284781</v>
      </c>
      <c r="P92" s="3">
        <v>0.41934204303875999</v>
      </c>
      <c r="Q92" s="3">
        <v>0</v>
      </c>
    </row>
    <row r="93" spans="1:17" x14ac:dyDescent="0.2">
      <c r="A93" s="2">
        <v>89</v>
      </c>
      <c r="B93" s="2">
        <f t="shared" ca="1" si="3"/>
        <v>1.1630416965027333</v>
      </c>
      <c r="F93" s="4">
        <v>89</v>
      </c>
      <c r="G93" s="3">
        <v>3.96</v>
      </c>
      <c r="H93" s="3">
        <v>3.4790699761300421</v>
      </c>
      <c r="I93" s="3">
        <v>3.1889390997925577</v>
      </c>
      <c r="J93" s="3">
        <v>2.3691273760857956</v>
      </c>
      <c r="K93" s="3">
        <v>1.9868550206588009</v>
      </c>
      <c r="L93" s="3">
        <v>2.0502594802028327</v>
      </c>
      <c r="M93" s="3">
        <v>1.3909520120797751</v>
      </c>
      <c r="N93" s="3">
        <v>1.318860180528973</v>
      </c>
      <c r="O93" s="3">
        <v>0.63678666498543623</v>
      </c>
      <c r="P93" s="3">
        <v>0.4780212882107715</v>
      </c>
      <c r="Q93" s="3">
        <v>0</v>
      </c>
    </row>
    <row r="94" spans="1:17" x14ac:dyDescent="0.2">
      <c r="A94" s="2">
        <v>90</v>
      </c>
      <c r="B94" s="2">
        <f t="shared" ca="1" si="3"/>
        <v>0.60857097932734627</v>
      </c>
      <c r="F94" s="4">
        <v>90</v>
      </c>
      <c r="G94" s="3">
        <v>3.9600000000000004</v>
      </c>
      <c r="H94" s="3">
        <v>3.7280410805601405</v>
      </c>
      <c r="I94" s="3">
        <v>3.2094677243211809</v>
      </c>
      <c r="J94" s="3">
        <v>2.8803302749236206</v>
      </c>
      <c r="K94" s="3">
        <v>2.2427831135017122</v>
      </c>
      <c r="L94" s="3">
        <v>1.9014714301850819</v>
      </c>
      <c r="M94" s="3">
        <v>1.588244316961676</v>
      </c>
      <c r="N94" s="3">
        <v>1.2133098923053711</v>
      </c>
      <c r="O94" s="3">
        <v>0.97700612741844506</v>
      </c>
      <c r="P94" s="3">
        <v>0.49928322521337765</v>
      </c>
      <c r="Q94" s="3">
        <v>0</v>
      </c>
    </row>
    <row r="95" spans="1:17" x14ac:dyDescent="0.2">
      <c r="A95" s="2">
        <v>91</v>
      </c>
      <c r="B95" s="2">
        <f t="shared" ca="1" si="3"/>
        <v>1.6729660280567933</v>
      </c>
      <c r="F95" s="4">
        <v>91</v>
      </c>
      <c r="G95" s="3">
        <v>3.96</v>
      </c>
      <c r="H95" s="3">
        <v>3.5770012012967101</v>
      </c>
      <c r="I95" s="3">
        <v>3.2416942015450614</v>
      </c>
      <c r="J95" s="3">
        <v>2.7592321288675032</v>
      </c>
      <c r="K95" s="3">
        <v>2.2214947018363662</v>
      </c>
      <c r="L95" s="3">
        <v>1.9942716455837017</v>
      </c>
      <c r="M95" s="3">
        <v>1.4990016016000109</v>
      </c>
      <c r="N95" s="3">
        <v>1.3792296603680032</v>
      </c>
      <c r="O95" s="3">
        <v>0.69855622966315667</v>
      </c>
      <c r="P95" s="3">
        <v>0.21239908744239616</v>
      </c>
      <c r="Q95" s="3">
        <v>0</v>
      </c>
    </row>
    <row r="96" spans="1:17" x14ac:dyDescent="0.2">
      <c r="A96" s="2">
        <v>92</v>
      </c>
      <c r="B96" s="2">
        <f t="shared" ca="1" si="3"/>
        <v>0.8479207340386381</v>
      </c>
      <c r="F96" s="4">
        <v>92</v>
      </c>
      <c r="G96" s="3">
        <v>3.96</v>
      </c>
      <c r="H96" s="3">
        <v>3.3994221456372458</v>
      </c>
      <c r="I96" s="3">
        <v>2.9474732292759955</v>
      </c>
      <c r="J96" s="3">
        <v>2.7317704284973123</v>
      </c>
      <c r="K96" s="3">
        <v>2.3126849401934315</v>
      </c>
      <c r="L96" s="3">
        <v>2.1290682961340401</v>
      </c>
      <c r="M96" s="3">
        <v>1.992569339919799</v>
      </c>
      <c r="N96" s="3">
        <v>1.0170953174416801</v>
      </c>
      <c r="O96" s="3">
        <v>0.58542027614073811</v>
      </c>
      <c r="P96" s="3">
        <v>0.47811147988500013</v>
      </c>
      <c r="Q96" s="3">
        <v>0</v>
      </c>
    </row>
    <row r="97" spans="1:17" x14ac:dyDescent="0.2">
      <c r="A97" s="2">
        <v>93</v>
      </c>
      <c r="B97" s="2">
        <f t="shared" ca="1" si="3"/>
        <v>0.31587620886640833</v>
      </c>
      <c r="F97" s="4">
        <v>93</v>
      </c>
      <c r="G97" s="3">
        <v>3.9599999999999995</v>
      </c>
      <c r="H97" s="3">
        <v>3.3010610815965489</v>
      </c>
      <c r="I97" s="3">
        <v>3.354252359871686</v>
      </c>
      <c r="J97" s="3">
        <v>3.0702810854453073</v>
      </c>
      <c r="K97" s="3">
        <v>2.3011435392572364</v>
      </c>
      <c r="L97" s="3">
        <v>2.0061608334473009</v>
      </c>
      <c r="M97" s="3">
        <v>1.6369093225029374</v>
      </c>
      <c r="N97" s="3">
        <v>1.143252310448861</v>
      </c>
      <c r="O97" s="3">
        <v>0.55598712089289559</v>
      </c>
      <c r="P97" s="3">
        <v>0.27406059791525461</v>
      </c>
      <c r="Q97" s="3">
        <v>0</v>
      </c>
    </row>
    <row r="98" spans="1:17" x14ac:dyDescent="0.2">
      <c r="A98" s="2">
        <v>94</v>
      </c>
      <c r="B98" s="2">
        <f t="shared" ca="1" si="3"/>
        <v>-6.9545146356913418E-2</v>
      </c>
      <c r="F98" s="4">
        <v>94</v>
      </c>
      <c r="G98" s="3">
        <v>3.96</v>
      </c>
      <c r="H98" s="3">
        <v>3.7366020699581428</v>
      </c>
      <c r="I98" s="3">
        <v>3.1992544523157158</v>
      </c>
      <c r="J98" s="3">
        <v>3.0108378799182227</v>
      </c>
      <c r="K98" s="3">
        <v>1.9847237789509729</v>
      </c>
      <c r="L98" s="3">
        <v>2.0518849652066216</v>
      </c>
      <c r="M98" s="3">
        <v>1.6716073274859824</v>
      </c>
      <c r="N98" s="3">
        <v>1.0674624873245386</v>
      </c>
      <c r="O98" s="3">
        <v>0.81240491479570343</v>
      </c>
      <c r="P98" s="3">
        <v>0.49834003689028367</v>
      </c>
      <c r="Q98" s="3">
        <v>0</v>
      </c>
    </row>
    <row r="99" spans="1:17" x14ac:dyDescent="0.2">
      <c r="A99" s="2">
        <v>95</v>
      </c>
      <c r="B99" s="2">
        <f t="shared" ca="1" si="3"/>
        <v>-0.36053644587549699</v>
      </c>
      <c r="F99" s="4">
        <v>95</v>
      </c>
      <c r="G99" s="3">
        <v>3.96</v>
      </c>
      <c r="H99" s="3">
        <v>3.6925168696573731</v>
      </c>
      <c r="I99" s="3">
        <v>3.2900957673343134</v>
      </c>
      <c r="J99" s="3">
        <v>2.61238902434155</v>
      </c>
      <c r="K99" s="3">
        <v>2.4376090513756408</v>
      </c>
      <c r="L99" s="3">
        <v>1.9948039800561983</v>
      </c>
      <c r="M99" s="3">
        <v>1.8918121533816892</v>
      </c>
      <c r="N99" s="3">
        <v>1.2092461556427516</v>
      </c>
      <c r="O99" s="3">
        <v>1.0154558150761259</v>
      </c>
      <c r="P99" s="3">
        <v>0.57568049292705348</v>
      </c>
      <c r="Q99" s="3">
        <v>0</v>
      </c>
    </row>
    <row r="100" spans="1:17" x14ac:dyDescent="0.2">
      <c r="A100" s="2">
        <v>96</v>
      </c>
      <c r="B100" s="2">
        <f t="shared" ca="1" si="3"/>
        <v>0.28811531483354513</v>
      </c>
      <c r="F100" s="4">
        <v>96</v>
      </c>
      <c r="G100" s="3">
        <v>3.96</v>
      </c>
      <c r="H100" s="3">
        <v>3.5467746047507132</v>
      </c>
      <c r="I100" s="3">
        <v>3.0461360298296163</v>
      </c>
      <c r="J100" s="3">
        <v>2.8992534046059708</v>
      </c>
      <c r="K100" s="3">
        <v>2.2435993166774439</v>
      </c>
      <c r="L100" s="3">
        <v>1.8367302596061876</v>
      </c>
      <c r="M100" s="3">
        <v>1.2697764190996665</v>
      </c>
      <c r="N100" s="3">
        <v>1.0624910807342163</v>
      </c>
      <c r="O100" s="3">
        <v>0.91687906034003608</v>
      </c>
      <c r="P100" s="3">
        <v>0.46463623332498361</v>
      </c>
      <c r="Q100" s="3">
        <v>0</v>
      </c>
    </row>
    <row r="101" spans="1:17" x14ac:dyDescent="0.2">
      <c r="A101" s="2">
        <v>97</v>
      </c>
      <c r="B101" s="2">
        <f t="shared" ca="1" si="3"/>
        <v>2.2530458188784115</v>
      </c>
      <c r="F101" s="4">
        <v>97</v>
      </c>
      <c r="G101" s="3">
        <v>3.96</v>
      </c>
      <c r="H101" s="3">
        <v>3.558667881055892</v>
      </c>
      <c r="I101" s="3">
        <v>2.8107917843823937</v>
      </c>
      <c r="J101" s="3">
        <v>2.8832475013908048</v>
      </c>
      <c r="K101" s="3">
        <v>2.2419905726446552</v>
      </c>
      <c r="L101" s="3">
        <v>1.8816005878145905</v>
      </c>
      <c r="M101" s="3">
        <v>1.5083254714285179</v>
      </c>
      <c r="N101" s="3">
        <v>1.2182328500951487</v>
      </c>
      <c r="O101" s="3">
        <v>0.69468580106638589</v>
      </c>
      <c r="P101" s="3">
        <v>0.35134665564826323</v>
      </c>
      <c r="Q101" s="3">
        <v>0</v>
      </c>
    </row>
    <row r="102" spans="1:17" x14ac:dyDescent="0.2">
      <c r="A102" s="2">
        <v>98</v>
      </c>
      <c r="B102" s="2">
        <f t="shared" ca="1" si="3"/>
        <v>1.8782474292450022</v>
      </c>
      <c r="F102" s="4">
        <v>98</v>
      </c>
      <c r="G102" s="3">
        <v>3.96</v>
      </c>
      <c r="H102" s="3">
        <v>3.5302137524350381</v>
      </c>
      <c r="I102" s="3">
        <v>3.4884517262499477</v>
      </c>
      <c r="J102" s="3">
        <v>2.8306261047756727</v>
      </c>
      <c r="K102" s="3">
        <v>2.1850839371555195</v>
      </c>
      <c r="L102" s="3">
        <v>1.6938007375455446</v>
      </c>
      <c r="M102" s="3">
        <v>1.4127877354936815</v>
      </c>
      <c r="N102" s="3">
        <v>1.3990053516177123</v>
      </c>
      <c r="O102" s="3">
        <v>0.6905121540645407</v>
      </c>
      <c r="P102" s="3">
        <v>0.61137041443001328</v>
      </c>
      <c r="Q102" s="3">
        <v>0</v>
      </c>
    </row>
    <row r="103" spans="1:17" x14ac:dyDescent="0.2">
      <c r="A103" s="2">
        <v>99</v>
      </c>
      <c r="B103" s="2">
        <f t="shared" ca="1" si="3"/>
        <v>1.267962081327018</v>
      </c>
      <c r="F103" s="4">
        <v>99</v>
      </c>
      <c r="G103" s="3">
        <v>3.96</v>
      </c>
      <c r="H103" s="3">
        <v>3.6932153741241858</v>
      </c>
      <c r="I103" s="3">
        <v>3.2880635706913606</v>
      </c>
      <c r="J103" s="3">
        <v>2.879400586513341</v>
      </c>
      <c r="K103" s="3">
        <v>2.4054041228952676</v>
      </c>
      <c r="L103" s="3">
        <v>1.8105169154649061</v>
      </c>
      <c r="M103" s="3">
        <v>1.573451066128253</v>
      </c>
      <c r="N103" s="3">
        <v>0.97242058922961494</v>
      </c>
      <c r="O103" s="3">
        <v>0.7130450173201337</v>
      </c>
      <c r="P103" s="3">
        <v>0.40364307197564891</v>
      </c>
      <c r="Q103" s="3">
        <v>0</v>
      </c>
    </row>
    <row r="104" spans="1:17" x14ac:dyDescent="0.2">
      <c r="A104" s="2">
        <v>100</v>
      </c>
      <c r="B104" s="2">
        <f t="shared" ca="1" si="3"/>
        <v>0.74988427739661279</v>
      </c>
      <c r="F104" s="4">
        <v>100</v>
      </c>
      <c r="G104" s="3">
        <v>3.96</v>
      </c>
      <c r="H104" s="3">
        <v>3.6564422166057118</v>
      </c>
      <c r="I104" s="3">
        <v>3.1332976334512228</v>
      </c>
      <c r="J104" s="3">
        <v>2.5463611542178182</v>
      </c>
      <c r="K104" s="3">
        <v>2.0101114229273183</v>
      </c>
      <c r="L104" s="3">
        <v>1.828884872279213</v>
      </c>
      <c r="M104" s="3">
        <v>1.563390373166222</v>
      </c>
      <c r="N104" s="3">
        <v>1.2358826847975659</v>
      </c>
      <c r="O104" s="3">
        <v>0.56977561647145214</v>
      </c>
      <c r="P104" s="3">
        <v>0.42871593997214158</v>
      </c>
      <c r="Q104" s="3">
        <v>0</v>
      </c>
    </row>
  </sheetData>
  <hyperlinks>
    <hyperlink ref="A1" r:id="rId1" xr:uid="{D74C9D9C-9394-3E43-A8BE-2C72E3EA023A}"/>
    <hyperlink ref="A2" r:id="rId2" xr:uid="{69688835-204F-874A-8E89-38647B9F9ADF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00206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24</v>
      </c>
    </row>
    <row r="2" spans="1:5" x14ac:dyDescent="0.25">
      <c r="B2" s="8" t="s">
        <v>24</v>
      </c>
    </row>
    <row r="3" spans="1:5" x14ac:dyDescent="0.25">
      <c r="B3" s="9" t="s">
        <v>28</v>
      </c>
      <c r="C3" s="9"/>
    </row>
    <row r="4" spans="1:5" x14ac:dyDescent="0.25">
      <c r="B4" s="8" t="s">
        <v>25</v>
      </c>
    </row>
    <row r="5" spans="1:5" x14ac:dyDescent="0.25">
      <c r="B5" s="8" t="s">
        <v>26</v>
      </c>
    </row>
    <row r="7" spans="1:5" x14ac:dyDescent="0.25">
      <c r="B7" s="11" t="s">
        <v>20</v>
      </c>
      <c r="C7" s="11" t="s">
        <v>21</v>
      </c>
      <c r="E7" s="11" t="s">
        <v>24</v>
      </c>
    </row>
    <row r="8" spans="1:5" x14ac:dyDescent="0.25">
      <c r="B8" s="8" t="s">
        <v>22</v>
      </c>
      <c r="C8" s="8" t="s">
        <v>22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23</v>
      </c>
      <c r="C9" s="8" t="s">
        <v>22</v>
      </c>
    </row>
    <row r="10" spans="1:5" x14ac:dyDescent="0.25">
      <c r="B10" s="8" t="s">
        <v>23</v>
      </c>
      <c r="C10" s="8" t="s">
        <v>22</v>
      </c>
    </row>
    <row r="11" spans="1:5" x14ac:dyDescent="0.25">
      <c r="B11" s="8" t="s">
        <v>23</v>
      </c>
      <c r="C11" s="8" t="s">
        <v>23</v>
      </c>
    </row>
    <row r="12" spans="1:5" x14ac:dyDescent="0.25">
      <c r="B12" s="8" t="s">
        <v>22</v>
      </c>
      <c r="C12" s="8" t="s">
        <v>23</v>
      </c>
    </row>
    <row r="13" spans="1:5" x14ac:dyDescent="0.25">
      <c r="B13" s="8" t="s">
        <v>23</v>
      </c>
      <c r="C13" s="8" t="s">
        <v>23</v>
      </c>
    </row>
    <row r="14" spans="1:5" x14ac:dyDescent="0.25">
      <c r="B14" s="8" t="s">
        <v>22</v>
      </c>
      <c r="C14" s="8" t="s">
        <v>22</v>
      </c>
    </row>
    <row r="15" spans="1:5" x14ac:dyDescent="0.25">
      <c r="B15" s="8" t="s">
        <v>23</v>
      </c>
      <c r="C15" s="8" t="s">
        <v>23</v>
      </c>
    </row>
    <row r="16" spans="1:5" x14ac:dyDescent="0.25">
      <c r="B16" s="8" t="s">
        <v>22</v>
      </c>
      <c r="C16" s="8" t="s">
        <v>22</v>
      </c>
    </row>
    <row r="17" spans="2:3" x14ac:dyDescent="0.25">
      <c r="B17" s="8" t="s">
        <v>23</v>
      </c>
      <c r="C17" s="8" t="s">
        <v>22</v>
      </c>
    </row>
    <row r="18" spans="2:3" x14ac:dyDescent="0.25">
      <c r="B18" s="8" t="s">
        <v>22</v>
      </c>
      <c r="C18" s="8" t="s">
        <v>22</v>
      </c>
    </row>
    <row r="19" spans="2:3" x14ac:dyDescent="0.25">
      <c r="B19" s="8" t="s">
        <v>22</v>
      </c>
      <c r="C19" s="8" t="s">
        <v>22</v>
      </c>
    </row>
    <row r="20" spans="2:3" x14ac:dyDescent="0.25">
      <c r="B20" s="8" t="s">
        <v>22</v>
      </c>
      <c r="C20" s="8" t="s">
        <v>23</v>
      </c>
    </row>
    <row r="21" spans="2:3" x14ac:dyDescent="0.25">
      <c r="B21" s="8" t="s">
        <v>23</v>
      </c>
      <c r="C21" s="8" t="s">
        <v>23</v>
      </c>
    </row>
    <row r="22" spans="2:3" x14ac:dyDescent="0.25">
      <c r="B22" s="8" t="s">
        <v>23</v>
      </c>
      <c r="C22" s="8" t="s">
        <v>22</v>
      </c>
    </row>
    <row r="23" spans="2:3" x14ac:dyDescent="0.25">
      <c r="B23" s="8" t="s">
        <v>22</v>
      </c>
      <c r="C23" s="8" t="s">
        <v>22</v>
      </c>
    </row>
    <row r="24" spans="2:3" x14ac:dyDescent="0.25">
      <c r="B24" s="8" t="s">
        <v>23</v>
      </c>
      <c r="C24" s="8" t="s">
        <v>23</v>
      </c>
    </row>
    <row r="25" spans="2:3" x14ac:dyDescent="0.25">
      <c r="B25" s="8" t="s">
        <v>23</v>
      </c>
      <c r="C25" s="8" t="s">
        <v>23</v>
      </c>
    </row>
    <row r="26" spans="2:3" x14ac:dyDescent="0.25">
      <c r="B26" s="8" t="s">
        <v>22</v>
      </c>
      <c r="C26" s="8" t="s">
        <v>22</v>
      </c>
    </row>
    <row r="27" spans="2:3" x14ac:dyDescent="0.25">
      <c r="B27" s="8" t="s">
        <v>22</v>
      </c>
      <c r="C27" s="8" t="s">
        <v>22</v>
      </c>
    </row>
  </sheetData>
  <hyperlinks>
    <hyperlink ref="B3" r:id="rId1" xr:uid="{FF44839E-5187-E04A-B2FB-DF9FF4B73D53}"/>
    <hyperlink ref="A1" r:id="rId2" xr:uid="{C5755E74-93EB-E445-B79E-22FCC3D017A6}"/>
  </hyperlinks>
  <pageMargins left="0.7" right="0.7" top="0.75" bottom="0.75" header="0.3" footer="0.3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</v>
      </c>
    </row>
    <row r="2" spans="1:1" x14ac:dyDescent="0.3">
      <c r="A2" s="1" t="s">
        <v>73</v>
      </c>
    </row>
    <row r="3" spans="1:1" x14ac:dyDescent="0.3">
      <c r="A3" s="1" t="s">
        <v>74</v>
      </c>
    </row>
    <row r="4" spans="1:1" x14ac:dyDescent="0.3">
      <c r="A4" s="1" t="s">
        <v>75</v>
      </c>
    </row>
    <row r="5" spans="1:1" x14ac:dyDescent="0.3">
      <c r="A5" s="1" t="s">
        <v>76</v>
      </c>
    </row>
    <row r="6" spans="1:1" x14ac:dyDescent="0.3">
      <c r="A6" s="1" t="s">
        <v>77</v>
      </c>
    </row>
    <row r="7" spans="1:1" x14ac:dyDescent="0.3">
      <c r="A7" s="1" t="s">
        <v>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248</v>
      </c>
    </row>
    <row r="2" spans="1:5" x14ac:dyDescent="0.3">
      <c r="B2" s="17" t="s">
        <v>63</v>
      </c>
      <c r="C2" s="16" t="s">
        <v>62</v>
      </c>
      <c r="D2" s="16" t="s">
        <v>61</v>
      </c>
      <c r="E2" s="16" t="s">
        <v>60</v>
      </c>
    </row>
    <row r="3" spans="1:5" x14ac:dyDescent="0.3">
      <c r="B3" s="1" t="s">
        <v>59</v>
      </c>
      <c r="C3" s="15">
        <f t="shared" ref="C3:C22" ca="1" si="0">RAND()</f>
        <v>0.31935005959705609</v>
      </c>
      <c r="D3" s="15">
        <f ca="1">C3+RAND()*(1-C3)</f>
        <v>0.52519559048688336</v>
      </c>
      <c r="E3" s="15"/>
    </row>
    <row r="4" spans="1:5" x14ac:dyDescent="0.3">
      <c r="B4" s="1" t="s">
        <v>59</v>
      </c>
      <c r="C4" s="15">
        <f t="shared" ca="1" si="0"/>
        <v>0.53940344764383374</v>
      </c>
      <c r="D4" s="15">
        <f t="shared" ref="D4:D12" ca="1" si="1">C4+RAND()*(1-C4)</f>
        <v>0.94885556625681144</v>
      </c>
      <c r="E4" s="15"/>
    </row>
    <row r="5" spans="1:5" x14ac:dyDescent="0.3">
      <c r="B5" s="1" t="s">
        <v>59</v>
      </c>
      <c r="C5" s="15">
        <f t="shared" ca="1" si="0"/>
        <v>0.28801209751019208</v>
      </c>
      <c r="D5" s="15">
        <f t="shared" ca="1" si="1"/>
        <v>0.58555783409762263</v>
      </c>
      <c r="E5" s="15"/>
    </row>
    <row r="6" spans="1:5" x14ac:dyDescent="0.3">
      <c r="B6" s="1" t="s">
        <v>59</v>
      </c>
      <c r="C6" s="15">
        <f t="shared" ca="1" si="0"/>
        <v>0.6940098056057421</v>
      </c>
      <c r="D6" s="15">
        <f t="shared" ca="1" si="1"/>
        <v>0.94860615118617675</v>
      </c>
      <c r="E6" s="15"/>
    </row>
    <row r="7" spans="1:5" x14ac:dyDescent="0.3">
      <c r="B7" s="1" t="s">
        <v>59</v>
      </c>
      <c r="C7" s="15">
        <f t="shared" ca="1" si="0"/>
        <v>0.58591943974338667</v>
      </c>
      <c r="D7" s="15">
        <f t="shared" ca="1" si="1"/>
        <v>0.75375351432650761</v>
      </c>
      <c r="E7" s="15"/>
    </row>
    <row r="8" spans="1:5" x14ac:dyDescent="0.3">
      <c r="B8" s="1" t="s">
        <v>59</v>
      </c>
      <c r="C8" s="15">
        <f t="shared" ca="1" si="0"/>
        <v>0.11424546858679363</v>
      </c>
      <c r="D8" s="15">
        <f t="shared" ca="1" si="1"/>
        <v>0.68393484800006499</v>
      </c>
      <c r="E8" s="15"/>
    </row>
    <row r="9" spans="1:5" x14ac:dyDescent="0.3">
      <c r="B9" s="1" t="s">
        <v>59</v>
      </c>
      <c r="C9" s="15">
        <f t="shared" ca="1" si="0"/>
        <v>0.98539230692387159</v>
      </c>
      <c r="D9" s="15">
        <f t="shared" ca="1" si="1"/>
        <v>0.99832349611360527</v>
      </c>
      <c r="E9" s="15"/>
    </row>
    <row r="10" spans="1:5" x14ac:dyDescent="0.3">
      <c r="B10" s="1" t="s">
        <v>59</v>
      </c>
      <c r="C10" s="15">
        <f t="shared" ca="1" si="0"/>
        <v>0.4009368134414284</v>
      </c>
      <c r="D10" s="15">
        <f t="shared" ca="1" si="1"/>
        <v>0.8548015684808552</v>
      </c>
      <c r="E10" s="15"/>
    </row>
    <row r="11" spans="1:5" x14ac:dyDescent="0.3">
      <c r="B11" s="1" t="s">
        <v>59</v>
      </c>
      <c r="C11" s="15">
        <f t="shared" ca="1" si="0"/>
        <v>0.61757915951251807</v>
      </c>
      <c r="D11" s="15">
        <f t="shared" ca="1" si="1"/>
        <v>0.70639559289669529</v>
      </c>
      <c r="E11" s="15"/>
    </row>
    <row r="12" spans="1:5" x14ac:dyDescent="0.3">
      <c r="B12" s="1" t="s">
        <v>59</v>
      </c>
      <c r="C12" s="15">
        <f t="shared" ca="1" si="0"/>
        <v>0.15215941719496662</v>
      </c>
      <c r="D12" s="15">
        <f t="shared" ca="1" si="1"/>
        <v>0.24529056101611568</v>
      </c>
      <c r="E12" s="15"/>
    </row>
    <row r="13" spans="1:5" x14ac:dyDescent="0.3">
      <c r="B13" s="1" t="s">
        <v>58</v>
      </c>
      <c r="C13" s="15">
        <f t="shared" ca="1" si="0"/>
        <v>0.86011101305876625</v>
      </c>
      <c r="D13" s="15"/>
      <c r="E13" s="15">
        <f t="shared" ref="E13:E22" ca="1" si="2">RAND()*C13</f>
        <v>0.31972945283496107</v>
      </c>
    </row>
    <row r="14" spans="1:5" x14ac:dyDescent="0.3">
      <c r="B14" s="1" t="s">
        <v>58</v>
      </c>
      <c r="C14" s="15">
        <f t="shared" ca="1" si="0"/>
        <v>0.95376704665708345</v>
      </c>
      <c r="D14" s="15"/>
      <c r="E14" s="15">
        <f t="shared" ca="1" si="2"/>
        <v>0.64386802406428068</v>
      </c>
    </row>
    <row r="15" spans="1:5" x14ac:dyDescent="0.3">
      <c r="B15" s="1" t="s">
        <v>58</v>
      </c>
      <c r="C15" s="15">
        <f t="shared" ca="1" si="0"/>
        <v>0.49832861441265219</v>
      </c>
      <c r="D15" s="15"/>
      <c r="E15" s="15">
        <f t="shared" ca="1" si="2"/>
        <v>0.2117658005717403</v>
      </c>
    </row>
    <row r="16" spans="1:5" x14ac:dyDescent="0.3">
      <c r="B16" s="1" t="s">
        <v>58</v>
      </c>
      <c r="C16" s="15">
        <f t="shared" ca="1" si="0"/>
        <v>0.19059668596684731</v>
      </c>
      <c r="D16" s="15"/>
      <c r="E16" s="15">
        <f t="shared" ca="1" si="2"/>
        <v>0.10239074637688272</v>
      </c>
    </row>
    <row r="17" spans="2:5" x14ac:dyDescent="0.3">
      <c r="B17" s="1" t="s">
        <v>58</v>
      </c>
      <c r="C17" s="15">
        <f t="shared" ca="1" si="0"/>
        <v>4.4538464290775015E-2</v>
      </c>
      <c r="D17" s="15"/>
      <c r="E17" s="15">
        <f t="shared" ca="1" si="2"/>
        <v>3.1340744091701241E-2</v>
      </c>
    </row>
    <row r="18" spans="2:5" x14ac:dyDescent="0.3">
      <c r="B18" s="1" t="s">
        <v>58</v>
      </c>
      <c r="C18" s="15">
        <f t="shared" ca="1" si="0"/>
        <v>0.13175542718725397</v>
      </c>
      <c r="D18" s="15"/>
      <c r="E18" s="15">
        <f t="shared" ca="1" si="2"/>
        <v>0.1273637851014304</v>
      </c>
    </row>
    <row r="19" spans="2:5" x14ac:dyDescent="0.3">
      <c r="B19" s="1" t="s">
        <v>58</v>
      </c>
      <c r="C19" s="15">
        <f t="shared" ca="1" si="0"/>
        <v>0.22204138870746681</v>
      </c>
      <c r="D19" s="15"/>
      <c r="E19" s="15">
        <f t="shared" ca="1" si="2"/>
        <v>0.12178627420851383</v>
      </c>
    </row>
    <row r="20" spans="2:5" x14ac:dyDescent="0.3">
      <c r="B20" s="1" t="s">
        <v>58</v>
      </c>
      <c r="C20" s="15">
        <f t="shared" ca="1" si="0"/>
        <v>0.28000217479856659</v>
      </c>
      <c r="D20" s="15"/>
      <c r="E20" s="15">
        <f t="shared" ca="1" si="2"/>
        <v>3.214695484861517E-2</v>
      </c>
    </row>
    <row r="21" spans="2:5" x14ac:dyDescent="0.3">
      <c r="B21" s="1" t="s">
        <v>58</v>
      </c>
      <c r="C21" s="15">
        <f t="shared" ca="1" si="0"/>
        <v>4.7215128811871176E-2</v>
      </c>
      <c r="D21" s="15"/>
      <c r="E21" s="15">
        <f t="shared" ca="1" si="2"/>
        <v>5.8184644527453878E-3</v>
      </c>
    </row>
    <row r="22" spans="2:5" x14ac:dyDescent="0.3">
      <c r="B22" s="1" t="s">
        <v>58</v>
      </c>
      <c r="C22" s="15">
        <f t="shared" ca="1" si="0"/>
        <v>0.78227715464323133</v>
      </c>
      <c r="D22" s="15"/>
      <c r="E22" s="15">
        <f t="shared" ca="1" si="2"/>
        <v>6.5746252638331934E-2</v>
      </c>
    </row>
  </sheetData>
  <hyperlinks>
    <hyperlink ref="A1" r:id="rId1" xr:uid="{53B298E7-DA8E-2048-8255-4B6B8AEB0DB3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249</v>
      </c>
    </row>
    <row r="2" spans="1:6" x14ac:dyDescent="0.3">
      <c r="B2" s="17" t="s">
        <v>63</v>
      </c>
      <c r="C2" s="16" t="s">
        <v>62</v>
      </c>
      <c r="D2" s="16" t="s">
        <v>61</v>
      </c>
      <c r="E2" s="16" t="s">
        <v>60</v>
      </c>
      <c r="F2" s="1" t="s">
        <v>67</v>
      </c>
    </row>
    <row r="3" spans="1:6" x14ac:dyDescent="0.3">
      <c r="B3" s="1" t="s">
        <v>59</v>
      </c>
      <c r="C3" s="15">
        <f t="shared" ref="C3:C25" ca="1" si="0">RAND()</f>
        <v>0.43860580787009473</v>
      </c>
      <c r="D3" s="15">
        <f t="shared" ref="D3:D12" ca="1" si="1">C3+RAND()*(1-C3)</f>
        <v>0.61881662077594701</v>
      </c>
      <c r="E3" s="15"/>
    </row>
    <row r="4" spans="1:6" x14ac:dyDescent="0.3">
      <c r="B4" s="1" t="s">
        <v>59</v>
      </c>
      <c r="C4" s="15">
        <f t="shared" ca="1" si="0"/>
        <v>0.91932522292725993</v>
      </c>
      <c r="D4" s="15">
        <f t="shared" ca="1" si="1"/>
        <v>0.95886356556352292</v>
      </c>
      <c r="E4" s="15"/>
    </row>
    <row r="5" spans="1:6" x14ac:dyDescent="0.3">
      <c r="B5" s="1" t="s">
        <v>59</v>
      </c>
      <c r="C5" s="15">
        <f t="shared" ca="1" si="0"/>
        <v>0.19249371381576674</v>
      </c>
      <c r="D5" s="15">
        <f t="shared" ca="1" si="1"/>
        <v>0.838683098641956</v>
      </c>
      <c r="E5" s="15"/>
    </row>
    <row r="6" spans="1:6" x14ac:dyDescent="0.3">
      <c r="B6" s="1" t="s">
        <v>59</v>
      </c>
      <c r="C6" s="15">
        <f t="shared" ca="1" si="0"/>
        <v>0.41308186033197369</v>
      </c>
      <c r="D6" s="15">
        <f t="shared" ca="1" si="1"/>
        <v>0.97198352824570244</v>
      </c>
      <c r="E6" s="15"/>
    </row>
    <row r="7" spans="1:6" x14ac:dyDescent="0.3">
      <c r="B7" s="1" t="s">
        <v>59</v>
      </c>
      <c r="C7" s="15">
        <f t="shared" ca="1" si="0"/>
        <v>2.4033167277913492E-2</v>
      </c>
      <c r="D7" s="15">
        <f t="shared" ca="1" si="1"/>
        <v>0.13159186229311398</v>
      </c>
      <c r="E7" s="15"/>
    </row>
    <row r="8" spans="1:6" x14ac:dyDescent="0.3">
      <c r="B8" s="1" t="s">
        <v>59</v>
      </c>
      <c r="C8" s="15">
        <f t="shared" ca="1" si="0"/>
        <v>0.99283348333007015</v>
      </c>
      <c r="D8" s="15">
        <f t="shared" ca="1" si="1"/>
        <v>0.99448950152711213</v>
      </c>
      <c r="E8" s="15"/>
    </row>
    <row r="9" spans="1:6" x14ac:dyDescent="0.3">
      <c r="B9" s="1" t="s">
        <v>59</v>
      </c>
      <c r="C9" s="15">
        <f t="shared" ca="1" si="0"/>
        <v>0.54249842848318075</v>
      </c>
      <c r="D9" s="15">
        <f t="shared" ca="1" si="1"/>
        <v>0.99099642947926858</v>
      </c>
      <c r="E9" s="15"/>
    </row>
    <row r="10" spans="1:6" x14ac:dyDescent="0.3">
      <c r="B10" s="1" t="s">
        <v>59</v>
      </c>
      <c r="C10" s="15">
        <f t="shared" ca="1" si="0"/>
        <v>0.46654020675468544</v>
      </c>
      <c r="D10" s="15">
        <f t="shared" ca="1" si="1"/>
        <v>0.95103943422052839</v>
      </c>
      <c r="E10" s="15"/>
    </row>
    <row r="11" spans="1:6" x14ac:dyDescent="0.3">
      <c r="B11" s="1" t="s">
        <v>59</v>
      </c>
      <c r="C11" s="15">
        <f t="shared" ca="1" si="0"/>
        <v>9.279029301832098E-2</v>
      </c>
      <c r="D11" s="15">
        <f t="shared" ca="1" si="1"/>
        <v>0.63285270775682734</v>
      </c>
      <c r="E11" s="15"/>
    </row>
    <row r="12" spans="1:6" x14ac:dyDescent="0.3">
      <c r="B12" s="1" t="s">
        <v>59</v>
      </c>
      <c r="C12" s="15">
        <f t="shared" ca="1" si="0"/>
        <v>0.62362390535908152</v>
      </c>
      <c r="D12" s="15">
        <f t="shared" ca="1" si="1"/>
        <v>0.99141053677779212</v>
      </c>
      <c r="E12" s="15"/>
    </row>
    <row r="13" spans="1:6" x14ac:dyDescent="0.3">
      <c r="B13" s="1" t="s">
        <v>58</v>
      </c>
      <c r="C13" s="15">
        <f t="shared" ca="1" si="0"/>
        <v>0.58738120298932439</v>
      </c>
      <c r="D13" s="15"/>
      <c r="E13" s="15">
        <f t="shared" ref="E13:E22" ca="1" si="2">RAND()*C13</f>
        <v>0.29590267788952468</v>
      </c>
    </row>
    <row r="14" spans="1:6" x14ac:dyDescent="0.3">
      <c r="B14" s="1" t="s">
        <v>58</v>
      </c>
      <c r="C14" s="15">
        <f t="shared" ca="1" si="0"/>
        <v>0.54649287177333217</v>
      </c>
      <c r="D14" s="15"/>
      <c r="E14" s="15">
        <f t="shared" ca="1" si="2"/>
        <v>5.2369879392353665E-2</v>
      </c>
    </row>
    <row r="15" spans="1:6" x14ac:dyDescent="0.3">
      <c r="B15" s="1" t="s">
        <v>58</v>
      </c>
      <c r="C15" s="15">
        <f t="shared" ca="1" si="0"/>
        <v>0.66293751725261463</v>
      </c>
      <c r="D15" s="15"/>
      <c r="E15" s="15">
        <f t="shared" ca="1" si="2"/>
        <v>0.16568365586563882</v>
      </c>
    </row>
    <row r="16" spans="1:6" x14ac:dyDescent="0.3">
      <c r="B16" s="1" t="s">
        <v>58</v>
      </c>
      <c r="C16" s="15">
        <f t="shared" ca="1" si="0"/>
        <v>0.66552479992661073</v>
      </c>
      <c r="D16" s="15"/>
      <c r="E16" s="15">
        <f t="shared" ca="1" si="2"/>
        <v>0.35873887542531441</v>
      </c>
    </row>
    <row r="17" spans="2:6" x14ac:dyDescent="0.3">
      <c r="B17" s="1" t="s">
        <v>58</v>
      </c>
      <c r="C17" s="15">
        <f t="shared" ca="1" si="0"/>
        <v>9.3731373377650251E-2</v>
      </c>
      <c r="D17" s="15"/>
      <c r="E17" s="15">
        <f t="shared" ca="1" si="2"/>
        <v>8.7600555004660449E-2</v>
      </c>
    </row>
    <row r="18" spans="2:6" x14ac:dyDescent="0.3">
      <c r="B18" s="1" t="s">
        <v>58</v>
      </c>
      <c r="C18" s="15">
        <f t="shared" ca="1" si="0"/>
        <v>0.84177122958965689</v>
      </c>
      <c r="D18" s="15"/>
      <c r="E18" s="15">
        <f t="shared" ca="1" si="2"/>
        <v>0.16975064284137995</v>
      </c>
    </row>
    <row r="19" spans="2:6" x14ac:dyDescent="0.3">
      <c r="B19" s="1" t="s">
        <v>58</v>
      </c>
      <c r="C19" s="15">
        <f t="shared" ca="1" si="0"/>
        <v>0.79660738657327357</v>
      </c>
      <c r="D19" s="15"/>
      <c r="E19" s="15">
        <f t="shared" ca="1" si="2"/>
        <v>0.50502496309403888</v>
      </c>
    </row>
    <row r="20" spans="2:6" x14ac:dyDescent="0.3">
      <c r="B20" s="1" t="s">
        <v>58</v>
      </c>
      <c r="C20" s="15">
        <f t="shared" ca="1" si="0"/>
        <v>0.16197123538280955</v>
      </c>
      <c r="D20" s="15"/>
      <c r="E20" s="15">
        <f t="shared" ca="1" si="2"/>
        <v>0.13226265434065709</v>
      </c>
    </row>
    <row r="21" spans="2:6" x14ac:dyDescent="0.3">
      <c r="B21" s="1" t="s">
        <v>58</v>
      </c>
      <c r="C21" s="15">
        <f t="shared" ca="1" si="0"/>
        <v>0.39270637873144898</v>
      </c>
      <c r="D21" s="15"/>
      <c r="E21" s="15">
        <f t="shared" ca="1" si="2"/>
        <v>0.32675317639546159</v>
      </c>
    </row>
    <row r="22" spans="2:6" x14ac:dyDescent="0.3">
      <c r="B22" s="1" t="s">
        <v>58</v>
      </c>
      <c r="C22" s="15">
        <f t="shared" ca="1" si="0"/>
        <v>0.78850067432227255</v>
      </c>
      <c r="D22" s="15"/>
      <c r="E22" s="15">
        <f t="shared" ca="1" si="2"/>
        <v>0.3393809210879703</v>
      </c>
    </row>
    <row r="23" spans="2:6" x14ac:dyDescent="0.3">
      <c r="B23" s="1" t="s">
        <v>66</v>
      </c>
      <c r="C23" s="15">
        <f t="shared" ca="1" si="0"/>
        <v>0.49246415270573773</v>
      </c>
      <c r="F23" s="15">
        <f ca="1">RAND()</f>
        <v>0.549741134852893</v>
      </c>
    </row>
    <row r="24" spans="2:6" x14ac:dyDescent="0.3">
      <c r="B24" s="1" t="s">
        <v>65</v>
      </c>
      <c r="C24" s="15">
        <f t="shared" ca="1" si="0"/>
        <v>0.30659018836383756</v>
      </c>
      <c r="F24" s="15">
        <f ca="1">RAND()</f>
        <v>0.63921691301290873</v>
      </c>
    </row>
    <row r="25" spans="2:6" x14ac:dyDescent="0.3">
      <c r="B25" s="1" t="s">
        <v>64</v>
      </c>
      <c r="C25" s="15">
        <f t="shared" ca="1" si="0"/>
        <v>0.27219502121794625</v>
      </c>
      <c r="F25" s="15">
        <f ca="1">RAND()</f>
        <v>0.75348540820609677</v>
      </c>
    </row>
  </sheetData>
  <hyperlinks>
    <hyperlink ref="A1" r:id="rId1" xr:uid="{BBA9A4C7-DF97-314C-A7AA-C345E61153AB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A1:I25"/>
  <sheetViews>
    <sheetView workbookViewId="0">
      <selection activeCell="G3" sqref="G3"/>
    </sheetView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250</v>
      </c>
    </row>
    <row r="2" spans="1:9" x14ac:dyDescent="0.3">
      <c r="B2" s="17" t="s">
        <v>63</v>
      </c>
      <c r="C2" s="16" t="s">
        <v>62</v>
      </c>
      <c r="D2" s="16" t="s">
        <v>61</v>
      </c>
      <c r="E2" s="16" t="s">
        <v>60</v>
      </c>
      <c r="F2" s="1" t="s">
        <v>67</v>
      </c>
      <c r="G2" s="19" t="s">
        <v>70</v>
      </c>
      <c r="H2" s="19" t="s">
        <v>69</v>
      </c>
      <c r="I2" s="18" t="s">
        <v>68</v>
      </c>
    </row>
    <row r="3" spans="1:9" x14ac:dyDescent="0.3">
      <c r="B3" s="1" t="s">
        <v>59</v>
      </c>
      <c r="C3" s="15">
        <f t="shared" ref="C3:C25" ca="1" si="0">RAND()</f>
        <v>0.77324801007239119</v>
      </c>
      <c r="D3" s="15">
        <f t="shared" ref="D3:D12" ca="1" si="1">C3+RAND()*(1-C3)</f>
        <v>0.92300401204694271</v>
      </c>
      <c r="E3" s="15"/>
      <c r="G3" s="15">
        <f t="shared" ref="G3:G12" ca="1" si="2">SUMSQ($C3-$C$23,$D3-$F$23)</f>
        <v>0.28056180160049066</v>
      </c>
      <c r="H3" s="15">
        <f t="shared" ref="H3:H12" ca="1" si="3">SUMSQ($C3-$C$24,$D3-$F$24)</f>
        <v>0.90709034736718486</v>
      </c>
      <c r="I3" s="15">
        <f t="shared" ref="I3:I12" ca="1" si="4">SUMSQ($C3-$C$25,$D3-$F$25)</f>
        <v>1.0072436450276934</v>
      </c>
    </row>
    <row r="4" spans="1:9" x14ac:dyDescent="0.3">
      <c r="B4" s="1" t="s">
        <v>59</v>
      </c>
      <c r="C4" s="15">
        <f t="shared" ca="1" si="0"/>
        <v>0.14213648039591875</v>
      </c>
      <c r="D4" s="15">
        <f t="shared" ca="1" si="1"/>
        <v>0.51191016886256069</v>
      </c>
      <c r="E4" s="15"/>
      <c r="G4" s="15">
        <f t="shared" ca="1" si="2"/>
        <v>5.2642858980062324E-2</v>
      </c>
      <c r="H4" s="15">
        <f t="shared" ca="1" si="3"/>
        <v>0.11909863141400163</v>
      </c>
      <c r="I4" s="15">
        <f t="shared" ca="1" si="4"/>
        <v>0.24989692707951938</v>
      </c>
    </row>
    <row r="5" spans="1:9" x14ac:dyDescent="0.3">
      <c r="B5" s="1" t="s">
        <v>59</v>
      </c>
      <c r="C5" s="15">
        <f t="shared" ca="1" si="0"/>
        <v>0.95657922530406492</v>
      </c>
      <c r="D5" s="15">
        <f t="shared" ca="1" si="1"/>
        <v>0.98141100604730658</v>
      </c>
      <c r="E5" s="15"/>
      <c r="G5" s="15">
        <f t="shared" ca="1" si="2"/>
        <v>0.51786727630858886</v>
      </c>
      <c r="H5" s="15">
        <f t="shared" ca="1" si="3"/>
        <v>1.2459418587132474</v>
      </c>
      <c r="I5" s="15">
        <f t="shared" ca="1" si="4"/>
        <v>1.3210386866922255</v>
      </c>
    </row>
    <row r="6" spans="1:9" x14ac:dyDescent="0.3">
      <c r="B6" s="1" t="s">
        <v>59</v>
      </c>
      <c r="C6" s="15">
        <f t="shared" ca="1" si="0"/>
        <v>0.32887602184705145</v>
      </c>
      <c r="D6" s="15">
        <f t="shared" ca="1" si="1"/>
        <v>0.74721796095348514</v>
      </c>
      <c r="E6" s="15"/>
      <c r="G6" s="15">
        <f t="shared" ca="1" si="2"/>
        <v>6.2392064830288484E-3</v>
      </c>
      <c r="H6" s="15">
        <f t="shared" ca="1" si="3"/>
        <v>0.35234079087092207</v>
      </c>
      <c r="I6" s="15">
        <f t="shared" ca="1" si="4"/>
        <v>0.50416855403249028</v>
      </c>
    </row>
    <row r="7" spans="1:9" x14ac:dyDescent="0.3">
      <c r="B7" s="1" t="s">
        <v>59</v>
      </c>
      <c r="C7" s="15">
        <f t="shared" ca="1" si="0"/>
        <v>0.71440240573951841</v>
      </c>
      <c r="D7" s="15">
        <f t="shared" ca="1" si="1"/>
        <v>0.76762394250219312</v>
      </c>
      <c r="E7" s="15"/>
      <c r="G7" s="15">
        <f t="shared" ca="1" si="2"/>
        <v>0.17508682148318308</v>
      </c>
      <c r="H7" s="15">
        <f t="shared" ca="1" si="3"/>
        <v>0.63208003423096548</v>
      </c>
      <c r="I7" s="15">
        <f t="shared" ca="1" si="4"/>
        <v>0.70409877134005827</v>
      </c>
    </row>
    <row r="8" spans="1:9" x14ac:dyDescent="0.3">
      <c r="B8" s="1" t="s">
        <v>59</v>
      </c>
      <c r="C8" s="15">
        <f t="shared" ca="1" si="0"/>
        <v>0.24013901564886975</v>
      </c>
      <c r="D8" s="15">
        <f t="shared" ca="1" si="1"/>
        <v>0.64308775649564143</v>
      </c>
      <c r="E8" s="15"/>
      <c r="G8" s="15">
        <f t="shared" ca="1" si="2"/>
        <v>5.2929143885489076E-3</v>
      </c>
      <c r="H8" s="15">
        <f t="shared" ca="1" si="3"/>
        <v>0.22621260722568182</v>
      </c>
      <c r="I8" s="15">
        <f t="shared" ca="1" si="4"/>
        <v>0.37008242994418744</v>
      </c>
    </row>
    <row r="9" spans="1:9" x14ac:dyDescent="0.3">
      <c r="B9" s="1" t="s">
        <v>59</v>
      </c>
      <c r="C9" s="15">
        <f t="shared" ca="1" si="0"/>
        <v>0.61280137395991352</v>
      </c>
      <c r="D9" s="15">
        <f t="shared" ca="1" si="1"/>
        <v>0.98308171916035869</v>
      </c>
      <c r="E9" s="15"/>
      <c r="G9" s="15">
        <f t="shared" ca="1" si="2"/>
        <v>0.19061671120651724</v>
      </c>
      <c r="H9" s="15">
        <f t="shared" ca="1" si="3"/>
        <v>0.8397198804451349</v>
      </c>
      <c r="I9" s="15">
        <f t="shared" ca="1" si="4"/>
        <v>0.9912435489100464</v>
      </c>
    </row>
    <row r="10" spans="1:9" x14ac:dyDescent="0.3">
      <c r="B10" s="1" t="s">
        <v>59</v>
      </c>
      <c r="C10" s="15">
        <f t="shared" ca="1" si="0"/>
        <v>0.25462190693679587</v>
      </c>
      <c r="D10" s="15">
        <f t="shared" ca="1" si="1"/>
        <v>0.50968761629507031</v>
      </c>
      <c r="E10" s="15"/>
      <c r="G10" s="15">
        <f t="shared" ca="1" si="2"/>
        <v>2.8870850732702336E-2</v>
      </c>
      <c r="H10" s="15">
        <f t="shared" ca="1" si="3"/>
        <v>0.11948669843419077</v>
      </c>
      <c r="I10" s="15">
        <f t="shared" ca="1" si="4"/>
        <v>0.22483410295135747</v>
      </c>
    </row>
    <row r="11" spans="1:9" x14ac:dyDescent="0.3">
      <c r="B11" s="1" t="s">
        <v>59</v>
      </c>
      <c r="C11" s="15">
        <f t="shared" ca="1" si="0"/>
        <v>0.78923726258754512</v>
      </c>
      <c r="D11" s="15">
        <f t="shared" ca="1" si="1"/>
        <v>0.92534346198161321</v>
      </c>
      <c r="E11" s="15"/>
      <c r="G11" s="15">
        <f t="shared" ca="1" si="2"/>
        <v>0.2969038156282654</v>
      </c>
      <c r="H11" s="15">
        <f t="shared" ca="1" si="3"/>
        <v>0.92952796829134809</v>
      </c>
      <c r="I11" s="15">
        <f t="shared" ca="1" si="4"/>
        <v>1.026766628756407</v>
      </c>
    </row>
    <row r="12" spans="1:9" x14ac:dyDescent="0.3">
      <c r="B12" s="1" t="s">
        <v>59</v>
      </c>
      <c r="C12" s="15">
        <f t="shared" ca="1" si="0"/>
        <v>0.42859938812459841</v>
      </c>
      <c r="D12" s="15">
        <f t="shared" ca="1" si="1"/>
        <v>0.46310235356964957</v>
      </c>
      <c r="E12" s="15"/>
      <c r="G12" s="15">
        <f t="shared" ca="1" si="2"/>
        <v>5.8062088052919743E-2</v>
      </c>
      <c r="H12" s="15">
        <f t="shared" ca="1" si="3"/>
        <v>0.14280038514594434</v>
      </c>
      <c r="I12" s="15">
        <f t="shared" ca="1" si="4"/>
        <v>0.19735921514857305</v>
      </c>
    </row>
    <row r="13" spans="1:9" x14ac:dyDescent="0.3">
      <c r="B13" s="1" t="s">
        <v>58</v>
      </c>
      <c r="C13" s="15">
        <f t="shared" ca="1" si="0"/>
        <v>9.823353333132212E-2</v>
      </c>
      <c r="D13" s="15"/>
      <c r="E13" s="15">
        <f t="shared" ref="E13:E22" ca="1" si="5">RAND()*C13</f>
        <v>8.1590606322050813E-2</v>
      </c>
      <c r="G13" s="15">
        <f t="shared" ref="G13:G22" ca="1" si="6">SUMSQ(C13-$C$23,E13-$F$23)</f>
        <v>0.3913803193938663</v>
      </c>
      <c r="H13" s="15">
        <f t="shared" ref="H13:H22" ca="1" si="7">SUMSQ($C13-$C$24,$E13-$F$24)</f>
        <v>1.6245831959342101E-2</v>
      </c>
      <c r="I13" s="15">
        <f t="shared" ref="I13:I22" ca="1" si="8">SUMSQ($C13-$C$25,$E13-$F$25)</f>
        <v>4.2809154957327372E-2</v>
      </c>
    </row>
    <row r="14" spans="1:9" x14ac:dyDescent="0.3">
      <c r="B14" s="1" t="s">
        <v>58</v>
      </c>
      <c r="C14" s="15">
        <f t="shared" ca="1" si="0"/>
        <v>0.95950140658675009</v>
      </c>
      <c r="D14" s="15"/>
      <c r="E14" s="15">
        <f t="shared" ca="1" si="5"/>
        <v>0.84625672968814902</v>
      </c>
      <c r="G14" s="15">
        <f t="shared" ca="1" si="6"/>
        <v>0.45610030292206344</v>
      </c>
      <c r="H14" s="15">
        <f t="shared" ca="1" si="7"/>
        <v>1.049400948242128</v>
      </c>
      <c r="I14" s="15">
        <f t="shared" ca="1" si="8"/>
        <v>1.0880661417120003</v>
      </c>
    </row>
    <row r="15" spans="1:9" x14ac:dyDescent="0.3">
      <c r="B15" s="1" t="s">
        <v>58</v>
      </c>
      <c r="C15" s="15">
        <f t="shared" ca="1" si="0"/>
        <v>0.53053884175237265</v>
      </c>
      <c r="D15" s="15"/>
      <c r="E15" s="15">
        <f t="shared" ca="1" si="5"/>
        <v>0.24706910550696529</v>
      </c>
      <c r="G15" s="15">
        <f t="shared" ca="1" si="6"/>
        <v>0.22980809515574194</v>
      </c>
      <c r="H15" s="15">
        <f t="shared" ca="1" si="7"/>
        <v>0.12193905443516351</v>
      </c>
      <c r="I15" s="15">
        <f t="shared" ca="1" si="8"/>
        <v>9.676578081070733E-2</v>
      </c>
    </row>
    <row r="16" spans="1:9" x14ac:dyDescent="0.3">
      <c r="B16" s="1" t="s">
        <v>58</v>
      </c>
      <c r="C16" s="15">
        <f t="shared" ca="1" si="0"/>
        <v>0.35071922977753578</v>
      </c>
      <c r="D16" s="15"/>
      <c r="E16" s="15">
        <f t="shared" ca="1" si="5"/>
        <v>8.2144193640099214E-2</v>
      </c>
      <c r="G16" s="15">
        <f t="shared" ca="1" si="6"/>
        <v>0.34894628093773006</v>
      </c>
      <c r="H16" s="15">
        <f t="shared" ca="1" si="7"/>
        <v>3.3596554392725228E-2</v>
      </c>
      <c r="I16" s="15">
        <f t="shared" ca="1" si="8"/>
        <v>4.5000879126616215E-3</v>
      </c>
    </row>
    <row r="17" spans="2:9" x14ac:dyDescent="0.3">
      <c r="B17" s="1" t="s">
        <v>58</v>
      </c>
      <c r="C17" s="15">
        <f t="shared" ca="1" si="0"/>
        <v>0.91817779536508137</v>
      </c>
      <c r="D17" s="15"/>
      <c r="E17" s="15">
        <f t="shared" ca="1" si="5"/>
        <v>0.85749714094569374</v>
      </c>
      <c r="G17" s="15">
        <f t="shared" ca="1" si="6"/>
        <v>0.40795890889873282</v>
      </c>
      <c r="H17" s="15">
        <f t="shared" ca="1" si="7"/>
        <v>1.0028313533368121</v>
      </c>
      <c r="I17" s="15">
        <f t="shared" ca="1" si="8"/>
        <v>1.0536064180804727</v>
      </c>
    </row>
    <row r="18" spans="2:9" x14ac:dyDescent="0.3">
      <c r="B18" s="1" t="s">
        <v>58</v>
      </c>
      <c r="C18" s="15">
        <f t="shared" ca="1" si="0"/>
        <v>0.87683369462832028</v>
      </c>
      <c r="D18" s="15"/>
      <c r="E18" s="15">
        <f t="shared" ca="1" si="5"/>
        <v>0.3665746265307423</v>
      </c>
      <c r="G18" s="15">
        <f t="shared" ca="1" si="6"/>
        <v>0.41729485102486852</v>
      </c>
      <c r="H18" s="15">
        <f t="shared" ca="1" si="7"/>
        <v>0.51043751997402398</v>
      </c>
      <c r="I18" s="15">
        <f t="shared" ca="1" si="8"/>
        <v>0.44036576473635625</v>
      </c>
    </row>
    <row r="19" spans="2:9" x14ac:dyDescent="0.3">
      <c r="B19" s="1" t="s">
        <v>58</v>
      </c>
      <c r="C19" s="15">
        <f t="shared" ca="1" si="0"/>
        <v>0.62256220953724228</v>
      </c>
      <c r="D19" s="15"/>
      <c r="E19" s="15">
        <f t="shared" ca="1" si="5"/>
        <v>0.23889790178298478</v>
      </c>
      <c r="G19" s="15">
        <f t="shared" ca="1" si="6"/>
        <v>0.286377129839815</v>
      </c>
      <c r="H19" s="15">
        <f t="shared" ca="1" si="7"/>
        <v>0.19190594370281625</v>
      </c>
      <c r="I19" s="15">
        <f t="shared" ca="1" si="8"/>
        <v>0.14422939713623456</v>
      </c>
    </row>
    <row r="20" spans="2:9" x14ac:dyDescent="0.3">
      <c r="B20" s="1" t="s">
        <v>58</v>
      </c>
      <c r="C20" s="15">
        <f t="shared" ca="1" si="0"/>
        <v>0.91280812666190947</v>
      </c>
      <c r="D20" s="15"/>
      <c r="E20" s="15">
        <f t="shared" ca="1" si="5"/>
        <v>0.28534529083044757</v>
      </c>
      <c r="G20" s="15">
        <f t="shared" ca="1" si="6"/>
        <v>0.51566879445768632</v>
      </c>
      <c r="H20" s="15">
        <f t="shared" ca="1" si="7"/>
        <v>0.53583786144092205</v>
      </c>
      <c r="I20" s="15">
        <f t="shared" ca="1" si="8"/>
        <v>0.43630709120558725</v>
      </c>
    </row>
    <row r="21" spans="2:9" x14ac:dyDescent="0.3">
      <c r="B21" s="1" t="s">
        <v>58</v>
      </c>
      <c r="C21" s="15">
        <f t="shared" ca="1" si="0"/>
        <v>0.40497528653893111</v>
      </c>
      <c r="D21" s="15"/>
      <c r="E21" s="15">
        <f t="shared" ca="1" si="5"/>
        <v>0.16554267253118646</v>
      </c>
      <c r="G21" s="15">
        <f t="shared" ca="1" si="6"/>
        <v>0.26530364989691768</v>
      </c>
      <c r="H21" s="15">
        <f t="shared" ca="1" si="7"/>
        <v>4.6268487923711799E-2</v>
      </c>
      <c r="I21" s="15">
        <f t="shared" ca="1" si="8"/>
        <v>2.7261926251425948E-2</v>
      </c>
    </row>
    <row r="22" spans="2:9" x14ac:dyDescent="0.3">
      <c r="B22" s="1" t="s">
        <v>58</v>
      </c>
      <c r="C22" s="15">
        <f t="shared" ca="1" si="0"/>
        <v>5.110768542383648E-2</v>
      </c>
      <c r="D22" s="15"/>
      <c r="E22" s="15">
        <f t="shared" ca="1" si="5"/>
        <v>4.0347851193263257E-2</v>
      </c>
      <c r="G22" s="15">
        <f t="shared" ca="1" si="6"/>
        <v>0.46363807237031729</v>
      </c>
      <c r="H22" s="15">
        <f t="shared" ca="1" si="7"/>
        <v>3.6112584306568205E-2</v>
      </c>
      <c r="I22" s="15">
        <f t="shared" ca="1" si="8"/>
        <v>6.2171896215487264E-2</v>
      </c>
    </row>
    <row r="23" spans="2:9" x14ac:dyDescent="0.3">
      <c r="B23" s="1" t="s">
        <v>66</v>
      </c>
      <c r="C23" s="15">
        <f t="shared" ca="1" si="0"/>
        <v>0.30721667518850537</v>
      </c>
      <c r="F23" s="15">
        <f ca="1">RAND()</f>
        <v>0.67125692366887602</v>
      </c>
    </row>
    <row r="24" spans="2:9" x14ac:dyDescent="0.3">
      <c r="B24" s="1" t="s">
        <v>65</v>
      </c>
      <c r="C24" s="15">
        <f t="shared" ca="1" si="0"/>
        <v>0.18992305331058634</v>
      </c>
      <c r="F24" s="15">
        <f ca="1">RAND()</f>
        <v>0.17012796502059235</v>
      </c>
    </row>
    <row r="25" spans="2:9" x14ac:dyDescent="0.3">
      <c r="B25" s="1" t="s">
        <v>64</v>
      </c>
      <c r="C25" s="15">
        <f t="shared" ca="1" si="0"/>
        <v>0.30043697050005835</v>
      </c>
      <c r="F25" s="15">
        <f ca="1">RAND()</f>
        <v>3.7739438099570033E-2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7D85DEE9-86F8-7540-A027-420ABE74E899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A1:AA27"/>
  <sheetViews>
    <sheetView zoomScale="110" zoomScaleNormal="110" workbookViewId="0">
      <selection activeCell="A2" sqref="A2"/>
    </sheetView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9" t="s">
        <v>251</v>
      </c>
    </row>
    <row r="2" spans="1:10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1:10" x14ac:dyDescent="0.25">
      <c r="B3" s="8" t="s">
        <v>59</v>
      </c>
      <c r="C3" s="21">
        <f t="shared" ref="C3:C22" ca="1" si="0">RAND()</f>
        <v>0.80049779600096627</v>
      </c>
      <c r="D3" s="21">
        <f t="shared" ref="D3:D12" ca="1" si="1">C3+RAND()*(1-C3)</f>
        <v>0.89024518315917112</v>
      </c>
      <c r="E3" s="21"/>
      <c r="H3" s="21">
        <f t="shared" ref="H3:H12" ca="1" si="2">SUMSQ($C3-$C$24,$D3-$F$24)</f>
        <v>1.1704113035429142</v>
      </c>
      <c r="I3" s="21">
        <f t="shared" ref="I3:I12" ca="1" si="3">SUMSQ($C3-$C$25,$D3-$F$25)</f>
        <v>0.60752598970906291</v>
      </c>
      <c r="J3" s="21">
        <f t="shared" ref="J3:J12" ca="1" si="4">SUMSQ($C3-$C$26,$D3-$F$26)</f>
        <v>8.3308350128891113E-5</v>
      </c>
    </row>
    <row r="4" spans="1:10" x14ac:dyDescent="0.25">
      <c r="B4" s="8" t="s">
        <v>59</v>
      </c>
      <c r="C4" s="21">
        <f t="shared" ca="1" si="0"/>
        <v>0.24723896230821529</v>
      </c>
      <c r="D4" s="21">
        <f t="shared" ca="1" si="1"/>
        <v>0.62663823585437883</v>
      </c>
      <c r="E4" s="21"/>
      <c r="H4" s="21">
        <f t="shared" ca="1" si="2"/>
        <v>0.37335409631564576</v>
      </c>
      <c r="I4" s="21">
        <f t="shared" ca="1" si="3"/>
        <v>3.4273370487395184E-2</v>
      </c>
      <c r="J4" s="21">
        <f t="shared" ca="1" si="4"/>
        <v>0.36997630011216487</v>
      </c>
    </row>
    <row r="5" spans="1:10" x14ac:dyDescent="0.25">
      <c r="B5" s="8" t="s">
        <v>59</v>
      </c>
      <c r="C5" s="21">
        <f t="shared" ca="1" si="0"/>
        <v>0.27197819333175799</v>
      </c>
      <c r="D5" s="21">
        <f t="shared" ca="1" si="1"/>
        <v>0.85987057991837912</v>
      </c>
      <c r="E5" s="21"/>
      <c r="H5" s="21">
        <f t="shared" ca="1" si="2"/>
        <v>0.71466289228756208</v>
      </c>
      <c r="I5" s="21">
        <f t="shared" ca="1" si="3"/>
        <v>0.16519343962012967</v>
      </c>
      <c r="J5" s="21">
        <f t="shared" ca="1" si="4"/>
        <v>0.27264501936003216</v>
      </c>
    </row>
    <row r="6" spans="1:10" x14ac:dyDescent="0.25">
      <c r="B6" s="8" t="s">
        <v>59</v>
      </c>
      <c r="C6" s="21">
        <f t="shared" ca="1" si="0"/>
        <v>9.190457357518389E-2</v>
      </c>
      <c r="D6" s="21">
        <f t="shared" ca="1" si="1"/>
        <v>0.38545762442605669</v>
      </c>
      <c r="E6" s="21"/>
      <c r="H6" s="21">
        <f t="shared" ca="1" si="2"/>
        <v>0.13541576740490735</v>
      </c>
      <c r="I6" s="21">
        <f t="shared" ca="1" si="3"/>
        <v>1.0439474947503549E-2</v>
      </c>
      <c r="J6" s="21">
        <f t="shared" ca="1" si="4"/>
        <v>0.75141346960931288</v>
      </c>
    </row>
    <row r="7" spans="1:10" x14ac:dyDescent="0.25">
      <c r="B7" s="8" t="s">
        <v>59</v>
      </c>
      <c r="C7" s="21">
        <f t="shared" ca="1" si="0"/>
        <v>0.43329894221070953</v>
      </c>
      <c r="D7" s="21">
        <f t="shared" ca="1" si="1"/>
        <v>0.73586027497451334</v>
      </c>
      <c r="E7" s="21"/>
      <c r="H7" s="21">
        <f t="shared" ca="1" si="2"/>
        <v>0.58648805443403784</v>
      </c>
      <c r="I7" s="21">
        <f t="shared" ca="1" si="3"/>
        <v>0.15352751141985665</v>
      </c>
      <c r="J7" s="21">
        <f t="shared" ca="1" si="4"/>
        <v>0.15476619801797745</v>
      </c>
    </row>
    <row r="8" spans="1:10" x14ac:dyDescent="0.25">
      <c r="B8" s="8" t="s">
        <v>59</v>
      </c>
      <c r="C8" s="21">
        <f t="shared" ca="1" si="0"/>
        <v>0.70247136594693316</v>
      </c>
      <c r="D8" s="21">
        <f t="shared" ca="1" si="1"/>
        <v>0.90474651911058124</v>
      </c>
      <c r="E8" s="21"/>
      <c r="H8" s="21">
        <f t="shared" ca="1" si="2"/>
        <v>1.07865526101891</v>
      </c>
      <c r="I8" s="21">
        <f t="shared" ca="1" si="3"/>
        <v>0.50003845432421856</v>
      </c>
      <c r="J8" s="21">
        <f t="shared" ca="1" si="4"/>
        <v>8.2705134275257892E-3</v>
      </c>
    </row>
    <row r="9" spans="1:10" x14ac:dyDescent="0.25">
      <c r="B9" s="8" t="s">
        <v>59</v>
      </c>
      <c r="C9" s="21">
        <f t="shared" ca="1" si="0"/>
        <v>0.90379783852999773</v>
      </c>
      <c r="D9" s="21">
        <f t="shared" ca="1" si="1"/>
        <v>0.99769195100289376</v>
      </c>
      <c r="E9" s="21"/>
      <c r="H9" s="21">
        <f t="shared" ca="1" si="2"/>
        <v>1.5125977063221354</v>
      </c>
      <c r="I9" s="21">
        <f t="shared" ca="1" si="3"/>
        <v>0.8552358632355016</v>
      </c>
      <c r="J9" s="21">
        <f t="shared" ca="1" si="4"/>
        <v>2.2768016075514472E-2</v>
      </c>
    </row>
    <row r="10" spans="1:10" x14ac:dyDescent="0.25">
      <c r="B10" s="8" t="s">
        <v>59</v>
      </c>
      <c r="C10" s="21">
        <f t="shared" ca="1" si="0"/>
        <v>0.26210971294026097</v>
      </c>
      <c r="D10" s="21">
        <f t="shared" ca="1" si="1"/>
        <v>0.72382255757567338</v>
      </c>
      <c r="E10" s="21"/>
      <c r="H10" s="21">
        <f t="shared" ca="1" si="2"/>
        <v>0.50316676414716965</v>
      </c>
      <c r="I10" s="21">
        <f t="shared" ca="1" si="3"/>
        <v>7.6541750728412114E-2</v>
      </c>
      <c r="J10" s="21">
        <f t="shared" ca="1" si="4"/>
        <v>0.31118506583114453</v>
      </c>
    </row>
    <row r="11" spans="1:10" x14ac:dyDescent="0.25">
      <c r="B11" s="8" t="s">
        <v>59</v>
      </c>
      <c r="C11" s="21">
        <f t="shared" ca="1" si="0"/>
        <v>0.80272990261087085</v>
      </c>
      <c r="D11" s="21">
        <f t="shared" ca="1" si="1"/>
        <v>0.84504475538855073</v>
      </c>
      <c r="E11" s="21"/>
      <c r="H11" s="21">
        <f t="shared" ca="1" si="2"/>
        <v>1.0969234916255974</v>
      </c>
      <c r="I11" s="21">
        <f t="shared" ca="1" si="3"/>
        <v>0.57499856413136619</v>
      </c>
      <c r="J11" s="21">
        <f t="shared" ca="1" si="4"/>
        <v>2.6259380598534195E-3</v>
      </c>
    </row>
    <row r="12" spans="1:10" x14ac:dyDescent="0.25">
      <c r="B12" s="8" t="s">
        <v>59</v>
      </c>
      <c r="C12" s="21">
        <f t="shared" ca="1" si="0"/>
        <v>0.12589212092995439</v>
      </c>
      <c r="D12" s="21">
        <f t="shared" ca="1" si="1"/>
        <v>0.63841934144384749</v>
      </c>
      <c r="E12" s="21"/>
      <c r="H12" s="21">
        <f t="shared" ca="1" si="2"/>
        <v>0.37983400386294092</v>
      </c>
      <c r="I12" s="21">
        <f t="shared" ca="1" si="3"/>
        <v>2.686246394183343E-2</v>
      </c>
      <c r="J12" s="21">
        <f t="shared" ca="1" si="4"/>
        <v>0.51094372970797775</v>
      </c>
    </row>
    <row r="13" spans="1:10" x14ac:dyDescent="0.25">
      <c r="B13" s="8" t="s">
        <v>58</v>
      </c>
      <c r="C13" s="21">
        <f t="shared" ca="1" si="0"/>
        <v>0.60149212400951158</v>
      </c>
      <c r="D13" s="21"/>
      <c r="E13" s="21">
        <f t="shared" ref="E13:E22" ca="1" si="5">RAND()*C13</f>
        <v>0.18765844124489542</v>
      </c>
      <c r="H13" s="21">
        <f t="shared" ref="H13:H22" ca="1" si="6">SUMSQ(C13-$C$24,E13-$F$24)</f>
        <v>0.22738353049080212</v>
      </c>
      <c r="I13" s="21">
        <f t="shared" ref="I13:I22" ca="1" si="7">SUMSQ($C13-$C$25,$E13-$F$25)</f>
        <v>0.29495730632287831</v>
      </c>
      <c r="J13" s="21">
        <f t="shared" ref="J13:J22" ca="1" si="8">SUMSQ($C13-$C$26,$E13-$F$26)</f>
        <v>0.53746317990044001</v>
      </c>
    </row>
    <row r="14" spans="1:10" x14ac:dyDescent="0.25">
      <c r="B14" s="8" t="s">
        <v>58</v>
      </c>
      <c r="C14" s="21">
        <f t="shared" ca="1" si="0"/>
        <v>0.82000593548947942</v>
      </c>
      <c r="D14" s="21"/>
      <c r="E14" s="21">
        <f t="shared" ca="1" si="5"/>
        <v>0.17796247816158164</v>
      </c>
      <c r="H14" s="21">
        <f t="shared" ca="1" si="6"/>
        <v>0.46756606543599755</v>
      </c>
      <c r="I14" s="21">
        <f t="shared" ca="1" si="7"/>
        <v>0.54973049506583371</v>
      </c>
      <c r="J14" s="21">
        <f t="shared" ca="1" si="8"/>
        <v>0.51536686311298596</v>
      </c>
    </row>
    <row r="15" spans="1:10" x14ac:dyDescent="0.25">
      <c r="B15" s="8" t="s">
        <v>58</v>
      </c>
      <c r="C15" s="21">
        <f t="shared" ca="1" si="0"/>
        <v>0.46888961180692346</v>
      </c>
      <c r="D15" s="21"/>
      <c r="E15" s="21">
        <f t="shared" ca="1" si="5"/>
        <v>6.9785630124877818E-2</v>
      </c>
      <c r="H15" s="21">
        <f t="shared" ca="1" si="6"/>
        <v>0.10132621872538902</v>
      </c>
      <c r="I15" s="21">
        <f t="shared" ca="1" si="7"/>
        <v>0.27203079310155753</v>
      </c>
      <c r="J15" s="21">
        <f t="shared" ca="1" si="8"/>
        <v>0.78654320425031254</v>
      </c>
    </row>
    <row r="16" spans="1:10" x14ac:dyDescent="0.25">
      <c r="B16" s="8" t="s">
        <v>58</v>
      </c>
      <c r="C16" s="21">
        <f t="shared" ca="1" si="0"/>
        <v>0.18562812472247681</v>
      </c>
      <c r="D16" s="21"/>
      <c r="E16" s="21">
        <f t="shared" ca="1" si="5"/>
        <v>0.17556332924674997</v>
      </c>
      <c r="H16" s="21">
        <f t="shared" ca="1" si="6"/>
        <v>2.4346045529390667E-2</v>
      </c>
      <c r="I16" s="21">
        <f t="shared" ca="1" si="7"/>
        <v>9.1793895591882363E-2</v>
      </c>
      <c r="J16" s="21">
        <f t="shared" ca="1" si="8"/>
        <v>0.88689241606356828</v>
      </c>
    </row>
    <row r="17" spans="2:27" x14ac:dyDescent="0.25">
      <c r="B17" s="8" t="s">
        <v>58</v>
      </c>
      <c r="C17" s="21">
        <f t="shared" ca="1" si="0"/>
        <v>0.18981032349310634</v>
      </c>
      <c r="D17" s="21"/>
      <c r="E17" s="21">
        <f t="shared" ca="1" si="5"/>
        <v>7.5048814094427735E-2</v>
      </c>
      <c r="H17" s="21">
        <f t="shared" ca="1" si="6"/>
        <v>4.0121740122238212E-3</v>
      </c>
      <c r="I17" s="21">
        <f t="shared" ca="1" si="7"/>
        <v>0.16252493838972734</v>
      </c>
      <c r="J17" s="21">
        <f t="shared" ca="1" si="8"/>
        <v>1.0366298245169379</v>
      </c>
    </row>
    <row r="18" spans="2:27" x14ac:dyDescent="0.25">
      <c r="B18" s="8" t="s">
        <v>58</v>
      </c>
      <c r="C18" s="21">
        <f t="shared" ca="1" si="0"/>
        <v>0.3298931001168961</v>
      </c>
      <c r="D18" s="21"/>
      <c r="E18" s="21">
        <f t="shared" ca="1" si="5"/>
        <v>8.5912989326702108E-3</v>
      </c>
      <c r="H18" s="21">
        <f t="shared" ca="1" si="6"/>
        <v>3.1116171259093793E-2</v>
      </c>
      <c r="I18" s="21">
        <f t="shared" ca="1" si="7"/>
        <v>0.25349410507437203</v>
      </c>
      <c r="J18" s="21">
        <f t="shared" ca="1" si="8"/>
        <v>1.0007266362145715</v>
      </c>
    </row>
    <row r="19" spans="2:27" x14ac:dyDescent="0.25">
      <c r="B19" s="8" t="s">
        <v>58</v>
      </c>
      <c r="C19" s="21">
        <f t="shared" ca="1" si="0"/>
        <v>0.45165406410554354</v>
      </c>
      <c r="D19" s="21"/>
      <c r="E19" s="21">
        <f t="shared" ca="1" si="5"/>
        <v>0.26618555583071851</v>
      </c>
      <c r="H19" s="21">
        <f t="shared" ca="1" si="6"/>
        <v>0.14781675946868653</v>
      </c>
      <c r="I19" s="21">
        <f t="shared" ca="1" si="7"/>
        <v>0.14034413432370485</v>
      </c>
      <c r="J19" s="21">
        <f t="shared" ca="1" si="8"/>
        <v>0.51230462793606379</v>
      </c>
    </row>
    <row r="20" spans="2:27" x14ac:dyDescent="0.25">
      <c r="B20" s="8" t="s">
        <v>58</v>
      </c>
      <c r="C20" s="21">
        <f t="shared" ca="1" si="0"/>
        <v>0.28845590727298831</v>
      </c>
      <c r="D20" s="21"/>
      <c r="E20" s="21">
        <f t="shared" ca="1" si="5"/>
        <v>0.20945134992521727</v>
      </c>
      <c r="H20" s="21">
        <f t="shared" ca="1" si="6"/>
        <v>5.29157387472836E-2</v>
      </c>
      <c r="I20" s="21">
        <f t="shared" ca="1" si="7"/>
        <v>9.243633209912179E-2</v>
      </c>
      <c r="J20" s="21">
        <f t="shared" ca="1" si="8"/>
        <v>0.72493638817320827</v>
      </c>
    </row>
    <row r="21" spans="2:27" x14ac:dyDescent="0.25">
      <c r="B21" s="8" t="s">
        <v>58</v>
      </c>
      <c r="C21" s="21">
        <f t="shared" ca="1" si="0"/>
        <v>0.77304510123400461</v>
      </c>
      <c r="D21" s="21"/>
      <c r="E21" s="21">
        <f t="shared" ca="1" si="5"/>
        <v>0.13697255730651073</v>
      </c>
      <c r="H21" s="21">
        <f t="shared" ca="1" si="6"/>
        <v>0.39618154660508148</v>
      </c>
      <c r="I21" s="21">
        <f t="shared" ca="1" si="7"/>
        <v>0.51418681289068546</v>
      </c>
      <c r="J21" s="21">
        <f t="shared" ca="1" si="8"/>
        <v>0.57551964886458762</v>
      </c>
    </row>
    <row r="22" spans="2:27" x14ac:dyDescent="0.25">
      <c r="B22" s="8" t="s">
        <v>58</v>
      </c>
      <c r="C22" s="21">
        <f t="shared" ca="1" si="0"/>
        <v>0.86355706867729953</v>
      </c>
      <c r="D22" s="21"/>
      <c r="E22" s="21">
        <f t="shared" ca="1" si="5"/>
        <v>0.62827500108292667</v>
      </c>
      <c r="H22" s="21">
        <f t="shared" ca="1" si="6"/>
        <v>0.8700311632798936</v>
      </c>
      <c r="I22" s="21">
        <f t="shared" ca="1" si="7"/>
        <v>0.54587612255241158</v>
      </c>
      <c r="J22" s="21">
        <f t="shared" ca="1" si="8"/>
        <v>7.6313570036698836E-2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66</v>
      </c>
      <c r="C24" s="21">
        <f ca="1">RAND()</f>
        <v>0.15406503600038612</v>
      </c>
      <c r="F24" s="21">
        <f ca="1">RAND()</f>
        <v>2.2756860274680268E-2</v>
      </c>
      <c r="G24" s="23" t="s">
        <v>70</v>
      </c>
      <c r="H24" s="20" t="str">
        <f t="shared" ref="H24:AA24" ca="1" si="9">OFFSET($B$2,MATCH(SMALL($H$3:$H$22,H$27),$H$3:$H$22,0),0)</f>
        <v>Orange</v>
      </c>
      <c r="I24" s="20" t="str">
        <f t="shared" ca="1" si="9"/>
        <v>Orange</v>
      </c>
      <c r="J24" s="20" t="str">
        <f ca="1">OFFSET($B$2,MATCH(SMALL($H$3:$H$22,J$27),$H$3:$H$22,0),0)</f>
        <v>Orange</v>
      </c>
      <c r="K24" s="20" t="str">
        <f t="shared" ca="1" si="9"/>
        <v>Orange</v>
      </c>
      <c r="L24" s="20" t="str">
        <f t="shared" ca="1" si="9"/>
        <v>Orange</v>
      </c>
      <c r="M24" s="20" t="str">
        <f t="shared" ca="1" si="9"/>
        <v>Blue</v>
      </c>
      <c r="N24" s="20" t="str">
        <f t="shared" ca="1" si="9"/>
        <v>Orange</v>
      </c>
      <c r="O24" s="20" t="str">
        <f t="shared" ca="1" si="9"/>
        <v>Orange</v>
      </c>
      <c r="P24" s="20" t="str">
        <f t="shared" ca="1" si="9"/>
        <v>Blue</v>
      </c>
      <c r="Q24" s="20" t="str">
        <f t="shared" ca="1" si="9"/>
        <v>Blue</v>
      </c>
      <c r="R24" s="20" t="str">
        <f t="shared" ca="1" si="9"/>
        <v>Orange</v>
      </c>
      <c r="S24" s="20" t="str">
        <f t="shared" ca="1" si="9"/>
        <v>Orange</v>
      </c>
      <c r="T24" s="20" t="str">
        <f t="shared" ca="1" si="9"/>
        <v>Blue</v>
      </c>
      <c r="U24" s="20" t="str">
        <f t="shared" ca="1" si="9"/>
        <v>Blue</v>
      </c>
      <c r="V24" s="20" t="str">
        <f t="shared" ca="1" si="9"/>
        <v>Blue</v>
      </c>
      <c r="W24" s="20" t="str">
        <f t="shared" ca="1" si="9"/>
        <v>Orange</v>
      </c>
      <c r="X24" s="20" t="str">
        <f t="shared" ca="1" si="9"/>
        <v>Blue</v>
      </c>
      <c r="Y24" s="20" t="str">
        <f t="shared" ca="1" si="9"/>
        <v>Blue</v>
      </c>
      <c r="Z24" s="20" t="str">
        <f t="shared" ca="1" si="9"/>
        <v>Blue</v>
      </c>
      <c r="AA24" s="20" t="str">
        <f t="shared" ca="1" si="9"/>
        <v>Blue</v>
      </c>
    </row>
    <row r="25" spans="2:27" x14ac:dyDescent="0.25">
      <c r="B25" s="8" t="s">
        <v>65</v>
      </c>
      <c r="C25" s="21">
        <f ca="1">RAND()</f>
        <v>0.1407547331161012</v>
      </c>
      <c r="F25" s="21">
        <f ca="1">RAND()</f>
        <v>0.47519689598723258</v>
      </c>
      <c r="G25" s="22" t="s">
        <v>69</v>
      </c>
      <c r="H25" s="20" t="str">
        <f t="shared" ref="H25:Q25" ca="1" si="10">OFFSET($B$2,MATCH(SMALL($I$3:$I$22,H$27),$I$3:$I$22,0),0)</f>
        <v>Blue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>Orange</v>
      </c>
      <c r="M25" s="20" t="str">
        <f t="shared" ca="1" si="10"/>
        <v>Orange</v>
      </c>
      <c r="N25" s="20" t="str">
        <f t="shared" ca="1" si="10"/>
        <v>Orange</v>
      </c>
      <c r="O25" s="20" t="str">
        <f t="shared" ca="1" si="10"/>
        <v>Blue</v>
      </c>
      <c r="P25" s="20" t="str">
        <f t="shared" ca="1" si="10"/>
        <v>Orange</v>
      </c>
      <c r="Q25" s="20" t="str">
        <f t="shared" ca="1" si="10"/>
        <v>Blue</v>
      </c>
      <c r="R25" s="20" t="str">
        <f t="shared" ref="R25:AA25" ca="1" si="11">OFFSET($B$2,MATCH(SMALL($I$3:$I$22,R$27),$I$3:$I$22,0),0)</f>
        <v>Orange</v>
      </c>
      <c r="S25" s="20" t="str">
        <f t="shared" ca="1" si="11"/>
        <v>Orange</v>
      </c>
      <c r="T25" s="20" t="str">
        <f t="shared" ca="1" si="11"/>
        <v>Orange</v>
      </c>
      <c r="U25" s="20" t="str">
        <f t="shared" ca="1" si="11"/>
        <v>Blue</v>
      </c>
      <c r="V25" s="20" t="str">
        <f t="shared" ca="1" si="11"/>
        <v>Orange</v>
      </c>
      <c r="W25" s="20" t="str">
        <f t="shared" ca="1" si="11"/>
        <v>Orange</v>
      </c>
      <c r="X25" s="20" t="str">
        <f t="shared" ca="1" si="11"/>
        <v>Orange</v>
      </c>
      <c r="Y25" s="20" t="str">
        <f t="shared" ca="1" si="11"/>
        <v>Blue</v>
      </c>
      <c r="Z25" s="20" t="str">
        <f t="shared" ca="1" si="11"/>
        <v>Blue</v>
      </c>
      <c r="AA25" s="20" t="str">
        <f t="shared" ca="1" si="11"/>
        <v>Blue</v>
      </c>
    </row>
    <row r="26" spans="2:27" x14ac:dyDescent="0.25">
      <c r="B26" s="8" t="s">
        <v>64</v>
      </c>
      <c r="C26" s="21">
        <f ca="1">RAND()</f>
        <v>0.79292616508357405</v>
      </c>
      <c r="F26" s="21">
        <f ca="1">RAND()</f>
        <v>0.89534211904062788</v>
      </c>
      <c r="G26" s="19" t="s">
        <v>68</v>
      </c>
      <c r="H26" s="20" t="str">
        <f ca="1">OFFSET($B$2,MATCH(SMALL($J$3:$J$22,H$27),$J$3:$J$22,0),0)</f>
        <v>Blue</v>
      </c>
      <c r="I26" s="20" t="str">
        <f t="shared" ref="I26:AA26" ca="1" si="12">OFFSET($B$2,MATCH(SMALL($J$3:$J$22,I$27),$J$3:$J$22,0),0)</f>
        <v>Blue</v>
      </c>
      <c r="J26" s="20" t="str">
        <f t="shared" ca="1" si="12"/>
        <v>Blue</v>
      </c>
      <c r="K26" s="20" t="str">
        <f t="shared" ca="1" si="12"/>
        <v>Blue</v>
      </c>
      <c r="L26" s="20" t="str">
        <f t="shared" ca="1" si="12"/>
        <v>Orange</v>
      </c>
      <c r="M26" s="20" t="str">
        <f t="shared" ca="1" si="12"/>
        <v>Blue</v>
      </c>
      <c r="N26" s="20" t="str">
        <f t="shared" ca="1" si="12"/>
        <v>Blue</v>
      </c>
      <c r="O26" s="20" t="str">
        <f t="shared" ca="1" si="12"/>
        <v>Blue</v>
      </c>
      <c r="P26" s="20" t="str">
        <f t="shared" ca="1" si="12"/>
        <v>Blue</v>
      </c>
      <c r="Q26" s="20" t="str">
        <f t="shared" ca="1" si="12"/>
        <v>Blue</v>
      </c>
      <c r="R26" s="20" t="str">
        <f t="shared" ca="1" si="12"/>
        <v>Orange</v>
      </c>
      <c r="S26" s="20" t="str">
        <f t="shared" ca="1" si="12"/>
        <v>Orange</v>
      </c>
      <c r="T26" s="20" t="str">
        <f t="shared" ca="1" si="12"/>
        <v>Orange</v>
      </c>
      <c r="U26" s="20" t="str">
        <f t="shared" ca="1" si="12"/>
        <v>Orange</v>
      </c>
      <c r="V26" s="20" t="str">
        <f t="shared" ca="1" si="12"/>
        <v>Orange</v>
      </c>
      <c r="W26" s="20" t="str">
        <f t="shared" ca="1" si="12"/>
        <v>Blue</v>
      </c>
      <c r="X26" s="20" t="str">
        <f t="shared" ca="1" si="12"/>
        <v>Orange</v>
      </c>
      <c r="Y26" s="20" t="str">
        <f t="shared" ca="1" si="12"/>
        <v>Orange</v>
      </c>
      <c r="Z26" s="20" t="str">
        <f t="shared" ca="1" si="12"/>
        <v>Orange</v>
      </c>
      <c r="AA26" s="20" t="str">
        <f t="shared" ca="1" si="12"/>
        <v>Orange</v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386B2E1A-2615-5440-AE58-CC4B87256832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252</v>
      </c>
    </row>
    <row r="2" spans="1:28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1:28" x14ac:dyDescent="0.25">
      <c r="B3" s="8" t="s">
        <v>59</v>
      </c>
      <c r="C3" s="21">
        <f t="shared" ref="C3:C22" ca="1" si="0">RAND()</f>
        <v>4.3335162789442938E-3</v>
      </c>
      <c r="D3" s="21">
        <f t="shared" ref="D3:D12" ca="1" si="1">C3+RAND()*(1-C3)</f>
        <v>0.83113922294251108</v>
      </c>
      <c r="E3" s="21"/>
      <c r="H3" s="21">
        <f t="shared" ref="H3:H12" ca="1" si="2">SUMSQ($C3-$C$24,$D3-$F$24)</f>
        <v>1.479422421678303</v>
      </c>
      <c r="I3" s="21">
        <f t="shared" ref="I3:I12" ca="1" si="3">SUMSQ($C3-$C$25,$D3-$F$25)</f>
        <v>0.263170991998325</v>
      </c>
      <c r="J3" s="21">
        <f t="shared" ref="J3:J12" ca="1" si="4">SUMSQ($C3-$C$26,$D3-$F$26)</f>
        <v>0.14432210011925184</v>
      </c>
      <c r="AB3" s="22" t="s">
        <v>71</v>
      </c>
    </row>
    <row r="4" spans="1:28" x14ac:dyDescent="0.25">
      <c r="B4" s="8" t="s">
        <v>59</v>
      </c>
      <c r="C4" s="21">
        <f t="shared" ca="1" si="0"/>
        <v>0.71434507262537439</v>
      </c>
      <c r="D4" s="21">
        <f t="shared" ca="1" si="1"/>
        <v>0.73538873856354892</v>
      </c>
      <c r="E4" s="21"/>
      <c r="H4" s="21">
        <f t="shared" ca="1" si="2"/>
        <v>0.54872518156665062</v>
      </c>
      <c r="I4" s="21">
        <f t="shared" ca="1" si="3"/>
        <v>0.11201727450036988</v>
      </c>
      <c r="J4" s="21">
        <f t="shared" ca="1" si="4"/>
        <v>0.14918280767739178</v>
      </c>
      <c r="AB4" s="26">
        <v>6</v>
      </c>
    </row>
    <row r="5" spans="1:28" x14ac:dyDescent="0.25">
      <c r="B5" s="8" t="s">
        <v>59</v>
      </c>
      <c r="C5" s="21">
        <f t="shared" ca="1" si="0"/>
        <v>5.9136814921443071E-2</v>
      </c>
      <c r="D5" s="21">
        <f t="shared" ca="1" si="1"/>
        <v>0.30909224173406824</v>
      </c>
      <c r="E5" s="21"/>
      <c r="H5" s="21">
        <f t="shared" ca="1" si="2"/>
        <v>0.81012144275552478</v>
      </c>
      <c r="I5" s="21">
        <f t="shared" ca="1" si="3"/>
        <v>0.64745664131880787</v>
      </c>
      <c r="J5" s="21">
        <f t="shared" ca="1" si="4"/>
        <v>0.1933585241440374</v>
      </c>
    </row>
    <row r="6" spans="1:28" x14ac:dyDescent="0.25">
      <c r="B6" s="8" t="s">
        <v>59</v>
      </c>
      <c r="C6" s="21">
        <f t="shared" ca="1" si="0"/>
        <v>0.16187435922637972</v>
      </c>
      <c r="D6" s="21">
        <f t="shared" ca="1" si="1"/>
        <v>0.65248480330902847</v>
      </c>
      <c r="E6" s="21"/>
      <c r="H6" s="21">
        <f t="shared" ca="1" si="2"/>
        <v>0.96086950604026067</v>
      </c>
      <c r="I6" s="21">
        <f t="shared" ca="1" si="3"/>
        <v>0.22142572018840406</v>
      </c>
      <c r="J6" s="21">
        <f t="shared" ca="1" si="4"/>
        <v>3.0974184748640391E-2</v>
      </c>
    </row>
    <row r="7" spans="1:28" x14ac:dyDescent="0.25">
      <c r="B7" s="8" t="s">
        <v>59</v>
      </c>
      <c r="C7" s="21">
        <f t="shared" ca="1" si="0"/>
        <v>0.36889205765069022</v>
      </c>
      <c r="D7" s="21">
        <f t="shared" ca="1" si="1"/>
        <v>0.70974417734700279</v>
      </c>
      <c r="E7" s="21"/>
      <c r="H7" s="21">
        <f t="shared" ca="1" si="2"/>
        <v>0.76867900228784181</v>
      </c>
      <c r="I7" s="21">
        <f t="shared" ca="1" si="3"/>
        <v>9.2112678190691771E-2</v>
      </c>
      <c r="J7" s="21">
        <f t="shared" ca="1" si="4"/>
        <v>4.6280450914062644E-3</v>
      </c>
    </row>
    <row r="8" spans="1:28" x14ac:dyDescent="0.25">
      <c r="B8" s="8" t="s">
        <v>59</v>
      </c>
      <c r="C8" s="21">
        <f t="shared" ca="1" si="0"/>
        <v>0.37679434355472463</v>
      </c>
      <c r="D8" s="21">
        <f t="shared" ca="1" si="1"/>
        <v>0.74776734059516214</v>
      </c>
      <c r="E8" s="21"/>
      <c r="H8" s="21">
        <f t="shared" ca="1" si="2"/>
        <v>0.81394248528998392</v>
      </c>
      <c r="I8" s="21">
        <f t="shared" ca="1" si="3"/>
        <v>7.0601000805647476E-2</v>
      </c>
      <c r="J8" s="21">
        <f t="shared" ca="1" si="4"/>
        <v>1.1230032121109061E-2</v>
      </c>
    </row>
    <row r="9" spans="1:28" x14ac:dyDescent="0.25">
      <c r="B9" s="8" t="s">
        <v>59</v>
      </c>
      <c r="C9" s="21">
        <f t="shared" ca="1" si="0"/>
        <v>0.46344815234529857</v>
      </c>
      <c r="D9" s="21">
        <f t="shared" ca="1" si="1"/>
        <v>0.62733376475841995</v>
      </c>
      <c r="E9" s="21"/>
      <c r="H9" s="21">
        <f t="shared" ca="1" si="2"/>
        <v>0.56826103224541391</v>
      </c>
      <c r="I9" s="21">
        <f t="shared" ca="1" si="3"/>
        <v>0.12996978838251408</v>
      </c>
      <c r="J9" s="21">
        <f t="shared" ca="1" si="4"/>
        <v>1.6256504261905596E-2</v>
      </c>
    </row>
    <row r="10" spans="1:28" x14ac:dyDescent="0.25">
      <c r="B10" s="8" t="s">
        <v>59</v>
      </c>
      <c r="C10" s="21">
        <f t="shared" ca="1" si="0"/>
        <v>0.18901745910369239</v>
      </c>
      <c r="D10" s="21">
        <f t="shared" ca="1" si="1"/>
        <v>0.36391541537585292</v>
      </c>
      <c r="E10" s="21"/>
      <c r="H10" s="21">
        <f t="shared" ca="1" si="2"/>
        <v>0.63998488618261418</v>
      </c>
      <c r="I10" s="21">
        <f t="shared" ca="1" si="3"/>
        <v>0.48028837002020192</v>
      </c>
      <c r="J10" s="21">
        <f t="shared" ca="1" si="4"/>
        <v>0.10354383803448131</v>
      </c>
    </row>
    <row r="11" spans="1:28" x14ac:dyDescent="0.25">
      <c r="B11" s="8" t="s">
        <v>59</v>
      </c>
      <c r="C11" s="21">
        <f t="shared" ca="1" si="0"/>
        <v>0.24058854178520006</v>
      </c>
      <c r="D11" s="21">
        <f t="shared" ca="1" si="1"/>
        <v>0.55442778075316124</v>
      </c>
      <c r="E11" s="21"/>
      <c r="H11" s="21">
        <f t="shared" ca="1" si="2"/>
        <v>0.73483986268432</v>
      </c>
      <c r="I11" s="21">
        <f t="shared" ca="1" si="3"/>
        <v>0.25060352991971985</v>
      </c>
      <c r="J11" s="21">
        <f t="shared" ca="1" si="4"/>
        <v>1.8442296899889125E-2</v>
      </c>
    </row>
    <row r="12" spans="1:28" x14ac:dyDescent="0.25">
      <c r="B12" s="8" t="s">
        <v>59</v>
      </c>
      <c r="C12" s="21">
        <f t="shared" ca="1" si="0"/>
        <v>2.7957250855903615E-2</v>
      </c>
      <c r="D12" s="21">
        <f t="shared" ca="1" si="1"/>
        <v>0.96468364808588503</v>
      </c>
      <c r="E12" s="21"/>
      <c r="H12" s="21">
        <f t="shared" ca="1" si="2"/>
        <v>1.6711769174992686</v>
      </c>
      <c r="I12" s="21">
        <f t="shared" ca="1" si="3"/>
        <v>0.21693884882017445</v>
      </c>
      <c r="J12" s="21">
        <f t="shared" ca="1" si="4"/>
        <v>0.19554685762115259</v>
      </c>
    </row>
    <row r="13" spans="1:28" x14ac:dyDescent="0.25">
      <c r="B13" s="8" t="s">
        <v>58</v>
      </c>
      <c r="C13" s="21">
        <f t="shared" ca="1" si="0"/>
        <v>0.62191922626743545</v>
      </c>
      <c r="D13" s="21"/>
      <c r="E13" s="21">
        <f t="shared" ref="E13:E22" ca="1" si="5">RAND()*C13</f>
        <v>6.1263578726352484E-2</v>
      </c>
      <c r="H13" s="21">
        <f t="shared" ref="H13:H22" ca="1" si="6">SUMSQ(C13-$C$24,E13-$F$24)</f>
        <v>8.57393370076307E-2</v>
      </c>
      <c r="I13" s="21">
        <f t="shared" ref="I13:I22" ca="1" si="7">SUMSQ($C13-$C$25,$E13-$F$25)</f>
        <v>0.87284495861288225</v>
      </c>
      <c r="J13" s="21">
        <f t="shared" ref="J13:J22" ca="1" si="8">SUMSQ($C13-$C$26,$E13-$F$26)</f>
        <v>0.42638892485612945</v>
      </c>
    </row>
    <row r="14" spans="1:28" x14ac:dyDescent="0.25">
      <c r="B14" s="8" t="s">
        <v>58</v>
      </c>
      <c r="C14" s="21">
        <f t="shared" ca="1" si="0"/>
        <v>0.21732412902724652</v>
      </c>
      <c r="D14" s="21"/>
      <c r="E14" s="21">
        <f t="shared" ca="1" si="5"/>
        <v>0.16634022445180194</v>
      </c>
      <c r="H14" s="21">
        <f t="shared" ca="1" si="6"/>
        <v>0.50358133983688214</v>
      </c>
      <c r="I14" s="21">
        <f t="shared" ca="1" si="7"/>
        <v>0.74896499808981221</v>
      </c>
      <c r="J14" s="21">
        <f t="shared" ca="1" si="8"/>
        <v>0.2476921542668202</v>
      </c>
    </row>
    <row r="15" spans="1:28" x14ac:dyDescent="0.25">
      <c r="B15" s="8" t="s">
        <v>58</v>
      </c>
      <c r="C15" s="21">
        <f t="shared" ca="1" si="0"/>
        <v>0.24443501984403504</v>
      </c>
      <c r="D15" s="21"/>
      <c r="E15" s="21">
        <f t="shared" ca="1" si="5"/>
        <v>0.20377580194199857</v>
      </c>
      <c r="H15" s="21">
        <f t="shared" ca="1" si="6"/>
        <v>0.47889526462861204</v>
      </c>
      <c r="I15" s="21">
        <f t="shared" ca="1" si="7"/>
        <v>0.67472749200386906</v>
      </c>
      <c r="J15" s="21">
        <f t="shared" ca="1" si="8"/>
        <v>0.2071406389380839</v>
      </c>
    </row>
    <row r="16" spans="1:28" x14ac:dyDescent="0.25">
      <c r="B16" s="8" t="s">
        <v>58</v>
      </c>
      <c r="C16" s="21">
        <f t="shared" ca="1" si="0"/>
        <v>0.94120294840222163</v>
      </c>
      <c r="D16" s="21"/>
      <c r="E16" s="21">
        <f t="shared" ca="1" si="5"/>
        <v>0.13913066431443818</v>
      </c>
      <c r="H16" s="21">
        <f t="shared" ca="1" si="6"/>
        <v>1.4690920685258534E-2</v>
      </c>
      <c r="I16" s="21">
        <f t="shared" ca="1" si="7"/>
        <v>0.91893236661072741</v>
      </c>
      <c r="J16" s="21">
        <f t="shared" ca="1" si="8"/>
        <v>0.62423461760268606</v>
      </c>
    </row>
    <row r="17" spans="2:27" x14ac:dyDescent="0.25">
      <c r="B17" s="8" t="s">
        <v>58</v>
      </c>
      <c r="C17" s="21">
        <f t="shared" ca="1" si="0"/>
        <v>0.25375800844659591</v>
      </c>
      <c r="D17" s="21"/>
      <c r="E17" s="21">
        <f t="shared" ca="1" si="5"/>
        <v>0.15257672471250017</v>
      </c>
      <c r="H17" s="21">
        <f t="shared" ca="1" si="6"/>
        <v>0.4504901224117151</v>
      </c>
      <c r="I17" s="21">
        <f t="shared" ca="1" si="7"/>
        <v>0.75295860459547104</v>
      </c>
      <c r="J17" s="21">
        <f t="shared" ca="1" si="8"/>
        <v>0.25371948212753315</v>
      </c>
    </row>
    <row r="18" spans="2:27" x14ac:dyDescent="0.25">
      <c r="B18" s="8" t="s">
        <v>58</v>
      </c>
      <c r="C18" s="21">
        <f t="shared" ca="1" si="0"/>
        <v>0.35259409358815563</v>
      </c>
      <c r="D18" s="21"/>
      <c r="E18" s="21">
        <f t="shared" ca="1" si="5"/>
        <v>0.34458881569327504</v>
      </c>
      <c r="H18" s="21">
        <f t="shared" ca="1" si="6"/>
        <v>0.41734782982932817</v>
      </c>
      <c r="I18" s="21">
        <f t="shared" ca="1" si="7"/>
        <v>0.43197183060300343</v>
      </c>
      <c r="J18" s="21">
        <f t="shared" ca="1" si="8"/>
        <v>9.3015026817225441E-2</v>
      </c>
    </row>
    <row r="19" spans="2:27" x14ac:dyDescent="0.25">
      <c r="B19" s="8" t="s">
        <v>58</v>
      </c>
      <c r="C19" s="21">
        <f t="shared" ca="1" si="0"/>
        <v>0.50658030094207018</v>
      </c>
      <c r="D19" s="21"/>
      <c r="E19" s="21">
        <f t="shared" ca="1" si="5"/>
        <v>0.42329945065708025</v>
      </c>
      <c r="H19" s="21">
        <f t="shared" ca="1" si="6"/>
        <v>0.32583025870285609</v>
      </c>
      <c r="I19" s="21">
        <f t="shared" ca="1" si="7"/>
        <v>0.3175050644544854</v>
      </c>
      <c r="J19" s="21">
        <f t="shared" ca="1" si="8"/>
        <v>7.9511665191313835E-2</v>
      </c>
    </row>
    <row r="20" spans="2:27" x14ac:dyDescent="0.25">
      <c r="B20" s="8" t="s">
        <v>58</v>
      </c>
      <c r="C20" s="21">
        <f t="shared" ca="1" si="0"/>
        <v>0.80269583884488471</v>
      </c>
      <c r="D20" s="21"/>
      <c r="E20" s="21">
        <f t="shared" ca="1" si="5"/>
        <v>0.62543287813434445</v>
      </c>
      <c r="H20" s="21">
        <f t="shared" ca="1" si="6"/>
        <v>0.37669761636026983</v>
      </c>
      <c r="I20" s="21">
        <f t="shared" ca="1" si="7"/>
        <v>0.22623672734573491</v>
      </c>
      <c r="J20" s="21">
        <f t="shared" ca="1" si="8"/>
        <v>0.21665764264020773</v>
      </c>
    </row>
    <row r="21" spans="2:27" x14ac:dyDescent="0.25">
      <c r="B21" s="8" t="s">
        <v>58</v>
      </c>
      <c r="C21" s="21">
        <f t="shared" ca="1" si="0"/>
        <v>0.79304075941144259</v>
      </c>
      <c r="D21" s="21"/>
      <c r="E21" s="21">
        <f t="shared" ca="1" si="5"/>
        <v>0.74682700222659881</v>
      </c>
      <c r="H21" s="21">
        <f t="shared" ca="1" si="6"/>
        <v>0.54026848107080727</v>
      </c>
      <c r="I21" s="21">
        <f t="shared" ca="1" si="7"/>
        <v>0.14739904444225219</v>
      </c>
      <c r="J21" s="21">
        <f t="shared" ca="1" si="8"/>
        <v>0.21673683572758776</v>
      </c>
    </row>
    <row r="22" spans="2:27" x14ac:dyDescent="0.25">
      <c r="B22" s="8" t="s">
        <v>58</v>
      </c>
      <c r="C22" s="21">
        <f t="shared" ca="1" si="0"/>
        <v>0.67617397564537152</v>
      </c>
      <c r="D22" s="21"/>
      <c r="E22" s="21">
        <f t="shared" ca="1" si="5"/>
        <v>0.50794710408960919</v>
      </c>
      <c r="H22" s="21">
        <f t="shared" ca="1" si="6"/>
        <v>0.29226241657132879</v>
      </c>
      <c r="I22" s="21">
        <f t="shared" ca="1" si="7"/>
        <v>0.26260123641215316</v>
      </c>
      <c r="J22" s="21">
        <f t="shared" ca="1" si="8"/>
        <v>0.13442737996566817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66</v>
      </c>
      <c r="C24" s="21">
        <f ca="1">RAND()</f>
        <v>0.91201826201276892</v>
      </c>
      <c r="F24" s="21">
        <f ca="1">RAND()</f>
        <v>2.1490642359289658E-2</v>
      </c>
      <c r="G24" s="23" t="s">
        <v>70</v>
      </c>
      <c r="H24" s="20" t="str">
        <f t="shared" ref="H24:AA24" ca="1" si="9">IF(H27&lt;=k,OFFSET($B$2,MATCH(SMALL($H$3:$H$22,H$27),$H$3:$H$22,0),0),"")</f>
        <v>Orange</v>
      </c>
      <c r="I24" s="20" t="str">
        <f t="shared" ca="1" si="9"/>
        <v>Orange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>Orange</v>
      </c>
      <c r="M24" s="20" t="str">
        <f t="shared" ca="1" si="9"/>
        <v>Orange</v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</row>
    <row r="25" spans="2:27" x14ac:dyDescent="0.25">
      <c r="B25" s="8" t="s">
        <v>65</v>
      </c>
      <c r="C25" s="21">
        <f ca="1">RAND()</f>
        <v>0.49320749920450224</v>
      </c>
      <c r="F25" s="21">
        <f ca="1">RAND()</f>
        <v>0.98661661942452794</v>
      </c>
      <c r="G25" s="22" t="s">
        <v>69</v>
      </c>
      <c r="H25" s="20" t="str">
        <f t="shared" ref="H25:AA25" ca="1" si="10">IF(H27&lt;=k,OFFSET($B$2,MATCH(SMALL($I$3:$I$22,H$27),$I$3:$I$22,0),0),"")</f>
        <v>Blue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>Orange</v>
      </c>
      <c r="M25" s="20" t="str">
        <f t="shared" ca="1" si="10"/>
        <v>Blue</v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</row>
    <row r="26" spans="2:27" x14ac:dyDescent="0.25">
      <c r="B26" s="8" t="s">
        <v>64</v>
      </c>
      <c r="C26" s="21">
        <f ca="1">RAND()</f>
        <v>0.33783883077685173</v>
      </c>
      <c r="F26" s="21">
        <f ca="1">RAND()</f>
        <v>0.64921532313574104</v>
      </c>
      <c r="G26" s="19" t="s">
        <v>68</v>
      </c>
      <c r="H26" s="20" t="str">
        <f t="shared" ref="H26:AA26" ca="1" si="11">IF(H27&lt;=k,OFFSET($B$2,MATCH(SMALL($J$3:$J$22,H$27),$J$3:$J$22,0),0),"")</f>
        <v>Blue</v>
      </c>
      <c r="I26" s="20" t="str">
        <f t="shared" ca="1" si="11"/>
        <v>Blue</v>
      </c>
      <c r="J26" s="20" t="str">
        <f t="shared" ca="1" si="11"/>
        <v>Blue</v>
      </c>
      <c r="K26" s="20" t="str">
        <f t="shared" ca="1" si="11"/>
        <v>Blue</v>
      </c>
      <c r="L26" s="20" t="str">
        <f t="shared" ca="1" si="11"/>
        <v>Blue</v>
      </c>
      <c r="M26" s="20" t="str">
        <f t="shared" ca="1" si="11"/>
        <v>Orange</v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FFA3289B-F794-0349-98E9-1227D53F05ED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2:28" x14ac:dyDescent="0.25">
      <c r="B3" s="8" t="s">
        <v>59</v>
      </c>
      <c r="C3" s="21">
        <f t="shared" ref="C3:C22" ca="1" si="0">RAND()</f>
        <v>0.83200333432162121</v>
      </c>
      <c r="D3" s="21">
        <f t="shared" ref="D3:D12" ca="1" si="1">C3+RAND()*(1-C3)</f>
        <v>0.95768032911995049</v>
      </c>
      <c r="E3" s="21"/>
      <c r="H3" s="21">
        <f t="shared" ref="H3:H12" ca="1" si="2">SUMSQ($C3-$C$24,$D3-$F$24)</f>
        <v>1.1921633019467319</v>
      </c>
      <c r="I3" s="21">
        <f t="shared" ref="I3:I12" ca="1" si="3">SUMSQ($C3-$C$25,$D3-$F$25)</f>
        <v>7.9762168896032042E-4</v>
      </c>
      <c r="J3" s="21">
        <f t="shared" ref="J3:J12" ca="1" si="4">SUMSQ($C3-$C$26,$D3-$F$26)</f>
        <v>0.46148166962030218</v>
      </c>
      <c r="AB3" s="22" t="s">
        <v>71</v>
      </c>
    </row>
    <row r="4" spans="2:28" x14ac:dyDescent="0.25">
      <c r="B4" s="8" t="s">
        <v>59</v>
      </c>
      <c r="C4" s="21">
        <f t="shared" ca="1" si="0"/>
        <v>4.7667761690678323E-2</v>
      </c>
      <c r="D4" s="21">
        <f t="shared" ca="1" si="1"/>
        <v>0.26420042687226342</v>
      </c>
      <c r="E4" s="21"/>
      <c r="H4" s="21">
        <f t="shared" ca="1" si="2"/>
        <v>2.6839308921062059E-2</v>
      </c>
      <c r="I4" s="21">
        <f t="shared" ca="1" si="3"/>
        <v>1.0416835063781504</v>
      </c>
      <c r="J4" s="21">
        <f t="shared" ca="1" si="4"/>
        <v>0.58284704644060892</v>
      </c>
      <c r="AB4" s="26">
        <v>4</v>
      </c>
    </row>
    <row r="5" spans="2:28" x14ac:dyDescent="0.25">
      <c r="B5" s="8" t="s">
        <v>59</v>
      </c>
      <c r="C5" s="21">
        <f t="shared" ca="1" si="0"/>
        <v>0.73993976807580786</v>
      </c>
      <c r="D5" s="21">
        <f t="shared" ca="1" si="1"/>
        <v>0.7740968343817497</v>
      </c>
      <c r="E5" s="21"/>
      <c r="H5" s="21">
        <f t="shared" ca="1" si="2"/>
        <v>0.79813339201167088</v>
      </c>
      <c r="I5" s="21">
        <f t="shared" ca="1" si="3"/>
        <v>3.4475451682104946E-2</v>
      </c>
      <c r="J5" s="21">
        <f t="shared" ca="1" si="4"/>
        <v>0.25048234071917441</v>
      </c>
    </row>
    <row r="6" spans="2:28" x14ac:dyDescent="0.25">
      <c r="B6" s="8" t="s">
        <v>59</v>
      </c>
      <c r="C6" s="21">
        <f t="shared" ca="1" si="0"/>
        <v>0.87091400083833637</v>
      </c>
      <c r="D6" s="21">
        <f t="shared" ca="1" si="1"/>
        <v>0.88766769554392411</v>
      </c>
      <c r="E6" s="21"/>
      <c r="H6" s="21">
        <f t="shared" ca="1" si="2"/>
        <v>1.1362701600482104</v>
      </c>
      <c r="I6" s="21">
        <f t="shared" ca="1" si="3"/>
        <v>7.8880503225837954E-3</v>
      </c>
      <c r="J6" s="21">
        <f t="shared" ca="1" si="4"/>
        <v>0.37445696388310357</v>
      </c>
    </row>
    <row r="7" spans="2:28" x14ac:dyDescent="0.25">
      <c r="B7" s="8" t="s">
        <v>59</v>
      </c>
      <c r="C7" s="21">
        <f t="shared" ca="1" si="0"/>
        <v>0.79264885877721503</v>
      </c>
      <c r="D7" s="21">
        <f t="shared" ca="1" si="1"/>
        <v>0.84734170887572213</v>
      </c>
      <c r="E7" s="21"/>
      <c r="H7" s="21">
        <f t="shared" ca="1" si="2"/>
        <v>0.96617325578697733</v>
      </c>
      <c r="I7" s="21">
        <f t="shared" ca="1" si="3"/>
        <v>1.0257244165894111E-2</v>
      </c>
      <c r="J7" s="21">
        <f t="shared" ca="1" si="4"/>
        <v>0.32371031029047798</v>
      </c>
    </row>
    <row r="8" spans="2:28" x14ac:dyDescent="0.25">
      <c r="B8" s="8" t="s">
        <v>59</v>
      </c>
      <c r="C8" s="21">
        <f t="shared" ca="1" si="0"/>
        <v>0.40332988292438665</v>
      </c>
      <c r="D8" s="21">
        <f t="shared" ca="1" si="1"/>
        <v>0.56157911303602248</v>
      </c>
      <c r="E8" s="21"/>
      <c r="H8" s="21">
        <f t="shared" ca="1" si="2"/>
        <v>0.26830489205846475</v>
      </c>
      <c r="I8" s="21">
        <f t="shared" ca="1" si="3"/>
        <v>0.3109418654347047</v>
      </c>
      <c r="J8" s="21">
        <f t="shared" ca="1" si="4"/>
        <v>0.24620530558368009</v>
      </c>
    </row>
    <row r="9" spans="2:28" x14ac:dyDescent="0.25">
      <c r="B9" s="8" t="s">
        <v>59</v>
      </c>
      <c r="C9" s="21">
        <f t="shared" ca="1" si="0"/>
        <v>0.17034827069543357</v>
      </c>
      <c r="D9" s="21">
        <f t="shared" ca="1" si="1"/>
        <v>0.76279320893634828</v>
      </c>
      <c r="E9" s="21"/>
      <c r="H9" s="21">
        <f t="shared" ca="1" si="2"/>
        <v>0.41219171139392902</v>
      </c>
      <c r="I9" s="21">
        <f t="shared" ca="1" si="3"/>
        <v>0.43770394423255027</v>
      </c>
      <c r="J9" s="21">
        <f t="shared" ca="1" si="4"/>
        <v>0.64476629192623203</v>
      </c>
    </row>
    <row r="10" spans="2:28" x14ac:dyDescent="0.25">
      <c r="B10" s="8" t="s">
        <v>59</v>
      </c>
      <c r="C10" s="21">
        <f t="shared" ca="1" si="0"/>
        <v>0.5212418036948856</v>
      </c>
      <c r="D10" s="21">
        <f t="shared" ca="1" si="1"/>
        <v>0.52578575828692153</v>
      </c>
      <c r="E10" s="21"/>
      <c r="H10" s="21">
        <f t="shared" ca="1" si="2"/>
        <v>0.31667830118132528</v>
      </c>
      <c r="I10" s="21">
        <f t="shared" ca="1" si="3"/>
        <v>0.25892163144947666</v>
      </c>
      <c r="J10" s="21">
        <f t="shared" ca="1" si="4"/>
        <v>0.14500563313987505</v>
      </c>
    </row>
    <row r="11" spans="2:28" x14ac:dyDescent="0.25">
      <c r="B11" s="8" t="s">
        <v>59</v>
      </c>
      <c r="C11" s="21">
        <f t="shared" ca="1" si="0"/>
        <v>0.33558715756008983</v>
      </c>
      <c r="D11" s="21">
        <f t="shared" ca="1" si="1"/>
        <v>0.74337393808134644</v>
      </c>
      <c r="E11" s="21"/>
      <c r="H11" s="21">
        <f t="shared" ca="1" si="2"/>
        <v>0.42859309619940172</v>
      </c>
      <c r="I11" s="21">
        <f t="shared" ca="1" si="3"/>
        <v>0.26265085798399002</v>
      </c>
      <c r="J11" s="21">
        <f t="shared" ca="1" si="4"/>
        <v>0.44193232872887067</v>
      </c>
    </row>
    <row r="12" spans="2:28" x14ac:dyDescent="0.25">
      <c r="B12" s="8" t="s">
        <v>59</v>
      </c>
      <c r="C12" s="21">
        <f t="shared" ca="1" si="0"/>
        <v>0.24997171024391873</v>
      </c>
      <c r="D12" s="21">
        <f t="shared" ca="1" si="1"/>
        <v>0.66374245185651981</v>
      </c>
      <c r="E12" s="21"/>
      <c r="H12" s="21">
        <f t="shared" ca="1" si="2"/>
        <v>0.30797438495620832</v>
      </c>
      <c r="I12" s="21">
        <f t="shared" ca="1" si="3"/>
        <v>0.38935050255866155</v>
      </c>
      <c r="J12" s="21">
        <f t="shared" ca="1" si="4"/>
        <v>0.46299622096540272</v>
      </c>
    </row>
    <row r="13" spans="2:28" x14ac:dyDescent="0.25">
      <c r="B13" s="8" t="s">
        <v>58</v>
      </c>
      <c r="C13" s="21">
        <f t="shared" ca="1" si="0"/>
        <v>0.7813404539557296</v>
      </c>
      <c r="D13" s="21"/>
      <c r="E13" s="21">
        <f t="shared" ref="E13:E22" ca="1" si="5">RAND()*C13</f>
        <v>0.37927738593152566</v>
      </c>
      <c r="H13" s="21">
        <f t="shared" ref="H13:H22" ca="1" si="6">SUMSQ(C13-$C$24,E13-$F$24)</f>
        <v>0.49145350606414195</v>
      </c>
      <c r="I13" s="21">
        <f t="shared" ref="I13:I22" ca="1" si="7">SUMSQ($C13-$C$25,$E13-$F$25)</f>
        <v>0.3237982730462764</v>
      </c>
      <c r="J13" s="21">
        <f t="shared" ref="J13:J22" ca="1" si="8">SUMSQ($C13-$C$26,$E13-$F$26)</f>
        <v>1.0997723298371636E-2</v>
      </c>
    </row>
    <row r="14" spans="2:28" x14ac:dyDescent="0.25">
      <c r="B14" s="8" t="s">
        <v>58</v>
      </c>
      <c r="C14" s="21">
        <f t="shared" ca="1" si="0"/>
        <v>0.56651618294000927</v>
      </c>
      <c r="D14" s="21"/>
      <c r="E14" s="21">
        <f t="shared" ca="1" si="5"/>
        <v>0.34983077315902539</v>
      </c>
      <c r="H14" s="21">
        <f t="shared" ca="1" si="6"/>
        <v>0.2431250740524705</v>
      </c>
      <c r="I14" s="21">
        <f t="shared" ca="1" si="7"/>
        <v>0.41469727583770322</v>
      </c>
      <c r="J14" s="21">
        <f t="shared" ca="1" si="8"/>
        <v>6.4822147579275957E-2</v>
      </c>
    </row>
    <row r="15" spans="2:28" x14ac:dyDescent="0.25">
      <c r="B15" s="8" t="s">
        <v>58</v>
      </c>
      <c r="C15" s="21">
        <f t="shared" ca="1" si="0"/>
        <v>0.78396245475681881</v>
      </c>
      <c r="D15" s="21"/>
      <c r="E15" s="21">
        <f t="shared" ca="1" si="5"/>
        <v>0.12150559975194661</v>
      </c>
      <c r="H15" s="21">
        <f t="shared" ca="1" si="6"/>
        <v>0.42873668794561698</v>
      </c>
      <c r="I15" s="21">
        <f t="shared" ca="1" si="7"/>
        <v>0.68322010347935269</v>
      </c>
      <c r="J15" s="21">
        <f t="shared" ca="1" si="8"/>
        <v>2.5433908054420726E-2</v>
      </c>
    </row>
    <row r="16" spans="2:28" x14ac:dyDescent="0.25">
      <c r="B16" s="8" t="s">
        <v>58</v>
      </c>
      <c r="C16" s="21">
        <f t="shared" ca="1" si="0"/>
        <v>0.34577514468173698</v>
      </c>
      <c r="D16" s="21"/>
      <c r="E16" s="21">
        <f t="shared" ca="1" si="5"/>
        <v>0.12165316224004268</v>
      </c>
      <c r="H16" s="21">
        <f t="shared" ca="1" si="6"/>
        <v>4.6912419437327213E-2</v>
      </c>
      <c r="I16" s="21">
        <f t="shared" ca="1" si="7"/>
        <v>0.89390112197114346</v>
      </c>
      <c r="J16" s="21">
        <f t="shared" ca="1" si="8"/>
        <v>0.2410684301146063</v>
      </c>
    </row>
    <row r="17" spans="2:28" x14ac:dyDescent="0.25">
      <c r="B17" s="8" t="s">
        <v>58</v>
      </c>
      <c r="C17" s="21">
        <f t="shared" ca="1" si="0"/>
        <v>0.40712202693667299</v>
      </c>
      <c r="D17" s="21"/>
      <c r="E17" s="21">
        <f t="shared" ca="1" si="5"/>
        <v>0.23905430561473651</v>
      </c>
      <c r="H17" s="21">
        <f t="shared" ca="1" si="6"/>
        <v>9.0930204269576057E-2</v>
      </c>
      <c r="I17" s="21">
        <f t="shared" ca="1" si="7"/>
        <v>0.66105637424116881</v>
      </c>
      <c r="J17" s="21">
        <f t="shared" ca="1" si="8"/>
        <v>0.16466722106299458</v>
      </c>
    </row>
    <row r="18" spans="2:28" x14ac:dyDescent="0.25">
      <c r="B18" s="8" t="s">
        <v>58</v>
      </c>
      <c r="C18" s="21">
        <f t="shared" ca="1" si="0"/>
        <v>0.77248282142154456</v>
      </c>
      <c r="D18" s="21"/>
      <c r="E18" s="21">
        <f t="shared" ca="1" si="5"/>
        <v>0.26547870592311601</v>
      </c>
      <c r="H18" s="21">
        <f t="shared" ca="1" si="6"/>
        <v>0.43439440690274733</v>
      </c>
      <c r="I18" s="21">
        <f t="shared" ca="1" si="7"/>
        <v>0.4666488168700616</v>
      </c>
      <c r="J18" s="21">
        <f t="shared" ca="1" si="8"/>
        <v>1.655930610065235E-3</v>
      </c>
    </row>
    <row r="19" spans="2:28" x14ac:dyDescent="0.25">
      <c r="B19" s="8" t="s">
        <v>58</v>
      </c>
      <c r="C19" s="21">
        <f t="shared" ca="1" si="0"/>
        <v>5.6347737656150976E-2</v>
      </c>
      <c r="D19" s="21"/>
      <c r="E19" s="21">
        <f t="shared" ca="1" si="5"/>
        <v>3.166723768078579E-2</v>
      </c>
      <c r="H19" s="21">
        <f t="shared" ca="1" si="6"/>
        <v>1.3481719745465116E-2</v>
      </c>
      <c r="I19" s="21">
        <f t="shared" ca="1" si="7"/>
        <v>1.4005906285364271</v>
      </c>
      <c r="J19" s="21">
        <f t="shared" ca="1" si="8"/>
        <v>0.63047774455455385</v>
      </c>
    </row>
    <row r="20" spans="2:28" x14ac:dyDescent="0.25">
      <c r="B20" s="8" t="s">
        <v>58</v>
      </c>
      <c r="C20" s="21">
        <f t="shared" ca="1" si="0"/>
        <v>0.77188150690039536</v>
      </c>
      <c r="D20" s="21"/>
      <c r="E20" s="21">
        <f t="shared" ca="1" si="5"/>
        <v>0.19974571441804634</v>
      </c>
      <c r="H20" s="21">
        <f t="shared" ca="1" si="6"/>
        <v>0.4190915635963014</v>
      </c>
      <c r="I20" s="21">
        <f t="shared" ca="1" si="7"/>
        <v>0.56071115240453895</v>
      </c>
      <c r="J20" s="21">
        <f t="shared" ca="1" si="8"/>
        <v>7.759122927984443E-3</v>
      </c>
    </row>
    <row r="21" spans="2:28" x14ac:dyDescent="0.25">
      <c r="B21" s="8" t="s">
        <v>58</v>
      </c>
      <c r="C21" s="21">
        <f t="shared" ca="1" si="0"/>
        <v>0.47999799384248709</v>
      </c>
      <c r="D21" s="21"/>
      <c r="E21" s="21">
        <f t="shared" ca="1" si="5"/>
        <v>0.39741542193507273</v>
      </c>
      <c r="H21" s="21">
        <f t="shared" ca="1" si="6"/>
        <v>0.19887386296824153</v>
      </c>
      <c r="I21" s="21">
        <f t="shared" ca="1" si="7"/>
        <v>0.40890027889704894</v>
      </c>
      <c r="J21" s="21">
        <f t="shared" ca="1" si="8"/>
        <v>0.12364327444481388</v>
      </c>
    </row>
    <row r="22" spans="2:28" x14ac:dyDescent="0.25">
      <c r="B22" s="8" t="s">
        <v>58</v>
      </c>
      <c r="C22" s="21">
        <f t="shared" ca="1" si="0"/>
        <v>0.68514548214425586</v>
      </c>
      <c r="D22" s="21"/>
      <c r="E22" s="21">
        <f t="shared" ca="1" si="5"/>
        <v>0.57050119183245818</v>
      </c>
      <c r="H22" s="21">
        <f t="shared" ca="1" si="6"/>
        <v>0.51016461806701652</v>
      </c>
      <c r="I22" s="21">
        <f t="shared" ca="1" si="7"/>
        <v>0.15684730909516101</v>
      </c>
      <c r="J22" s="21">
        <f t="shared" ca="1" si="8"/>
        <v>0.10099172473855894</v>
      </c>
    </row>
    <row r="23" spans="2:28" x14ac:dyDescent="0.25">
      <c r="C23" s="21"/>
      <c r="D23" s="21"/>
      <c r="E23" s="21"/>
      <c r="H23" s="21"/>
      <c r="I23" s="21"/>
      <c r="J23" s="21"/>
    </row>
    <row r="24" spans="2:28" x14ac:dyDescent="0.25">
      <c r="B24" s="8" t="s">
        <v>66</v>
      </c>
      <c r="C24" s="21">
        <f ca="1">RAND()</f>
        <v>0.12918284050674689</v>
      </c>
      <c r="F24" s="21">
        <f ca="1">RAND()</f>
        <v>0.12209271826125179</v>
      </c>
      <c r="G24" s="23" t="s">
        <v>70</v>
      </c>
      <c r="H24" s="20" t="str">
        <f t="shared" ref="H24:AA24" ca="1" si="9">IF(H27&lt;=k,OFFSET($B$2,MATCH(SMALL($H$3:$H$22,H$27),$H$3:$H$22,0),0),"")</f>
        <v>Orange</v>
      </c>
      <c r="I24" s="20" t="str">
        <f t="shared" ca="1" si="9"/>
        <v>Blue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/>
      </c>
      <c r="M24" s="20" t="str">
        <f t="shared" ca="1" si="9"/>
        <v/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Orange</v>
      </c>
    </row>
    <row r="25" spans="2:28" x14ac:dyDescent="0.25">
      <c r="B25" s="8" t="s">
        <v>65</v>
      </c>
      <c r="C25" s="21">
        <f ca="1">RAND()</f>
        <v>0.80554767209708433</v>
      </c>
      <c r="F25" s="21">
        <f ca="1">RAND()</f>
        <v>0.94779500539123362</v>
      </c>
      <c r="G25" s="22" t="s">
        <v>69</v>
      </c>
      <c r="H25" s="20" t="str">
        <f t="shared" ref="H25:AA25" ca="1" si="10">IF(H27&lt;=k,OFFSET($B$2,MATCH(SMALL($I$3:$I$22,H$27),$I$3:$I$22,0),0),"")</f>
        <v>Blue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/>
      </c>
      <c r="M25" s="20" t="str">
        <f t="shared" ca="1" si="10"/>
        <v/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Blue</v>
      </c>
    </row>
    <row r="26" spans="2:28" x14ac:dyDescent="0.25">
      <c r="B26" s="8" t="s">
        <v>64</v>
      </c>
      <c r="C26" s="21">
        <f ca="1">RAND()</f>
        <v>0.81097461092015233</v>
      </c>
      <c r="F26" s="21">
        <f ca="1">RAND()</f>
        <v>0.27868146136507221</v>
      </c>
      <c r="G26" s="19" t="s">
        <v>68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Orange</v>
      </c>
      <c r="J26" s="20" t="str">
        <f t="shared" ca="1" si="11"/>
        <v>Orange</v>
      </c>
      <c r="K26" s="20" t="str">
        <f t="shared" ca="1" si="11"/>
        <v>Orange</v>
      </c>
      <c r="L26" s="20" t="str">
        <f t="shared" ca="1" si="11"/>
        <v/>
      </c>
      <c r="M26" s="20" t="str">
        <f t="shared" ca="1" si="11"/>
        <v/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253</v>
      </c>
    </row>
  </sheetData>
  <hyperlinks>
    <hyperlink ref="A1" r:id="rId1" xr:uid="{CB879A62-BF7A-644C-B6E1-3558C4DF1238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9"/>
  <sheetViews>
    <sheetView workbookViewId="0">
      <selection activeCell="A9" sqref="A9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53</v>
      </c>
    </row>
    <row r="2" spans="1:1" x14ac:dyDescent="0.3">
      <c r="A2" s="1" t="s">
        <v>54</v>
      </c>
    </row>
    <row r="3" spans="1:1" x14ac:dyDescent="0.3">
      <c r="A3" s="1" t="s">
        <v>55</v>
      </c>
    </row>
    <row r="4" spans="1:1" x14ac:dyDescent="0.3">
      <c r="A4" s="1" t="s">
        <v>56</v>
      </c>
    </row>
    <row r="5" spans="1:1" x14ac:dyDescent="0.3">
      <c r="A5" s="1" t="s">
        <v>57</v>
      </c>
    </row>
    <row r="6" spans="1:1" x14ac:dyDescent="0.3">
      <c r="A6" s="1" t="s">
        <v>44</v>
      </c>
    </row>
    <row r="7" spans="1:1" x14ac:dyDescent="0.3">
      <c r="A7" s="1" t="s">
        <v>42</v>
      </c>
    </row>
    <row r="8" spans="1:1" x14ac:dyDescent="0.3">
      <c r="A8" s="1" t="s">
        <v>40</v>
      </c>
    </row>
    <row r="9" spans="1:1" x14ac:dyDescent="0.3">
      <c r="A9" s="1" t="s">
        <v>38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BC7-B1C2-0D42-A855-16771E66F507}">
  <sheetPr codeName="Sheet14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16</v>
      </c>
    </row>
  </sheetData>
  <hyperlinks>
    <hyperlink ref="B2" r:id="rId1" xr:uid="{F7E071C6-C90C-6646-9FFE-126DABDAB769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2A115-039F-6447-B618-B6CAC2F1D267}">
  <sheetPr codeName="Sheet15">
    <tabColor rgb="FFFF0000"/>
  </sheetPr>
  <dimension ref="B2:C9"/>
  <sheetViews>
    <sheetView workbookViewId="0"/>
  </sheetViews>
  <sheetFormatPr baseColWidth="10" defaultRowHeight="26" x14ac:dyDescent="0.3"/>
  <cols>
    <col min="1" max="1" width="10.83203125" style="1"/>
    <col min="2" max="2" width="25.6640625" style="1" bestFit="1" customWidth="1"/>
    <col min="3" max="3" width="10.83203125" style="13"/>
    <col min="4" max="16384" width="10.83203125" style="1"/>
  </cols>
  <sheetData>
    <row r="2" spans="2:3" x14ac:dyDescent="0.3">
      <c r="B2" s="10" t="s">
        <v>48</v>
      </c>
      <c r="C2" s="14" t="s">
        <v>47</v>
      </c>
    </row>
    <row r="3" spans="2:3" x14ac:dyDescent="0.3">
      <c r="B3" s="10" t="s">
        <v>46</v>
      </c>
      <c r="C3" s="14" t="s">
        <v>45</v>
      </c>
    </row>
    <row r="4" spans="2:3" x14ac:dyDescent="0.3">
      <c r="B4" s="10" t="s">
        <v>44</v>
      </c>
      <c r="C4" s="14" t="s">
        <v>43</v>
      </c>
    </row>
    <row r="5" spans="2:3" x14ac:dyDescent="0.3">
      <c r="B5" s="10" t="s">
        <v>42</v>
      </c>
      <c r="C5" s="14" t="s">
        <v>41</v>
      </c>
    </row>
    <row r="6" spans="2:3" x14ac:dyDescent="0.3">
      <c r="B6" s="10" t="s">
        <v>40</v>
      </c>
      <c r="C6" s="14" t="s">
        <v>39</v>
      </c>
    </row>
    <row r="7" spans="2:3" x14ac:dyDescent="0.3">
      <c r="B7" s="10" t="s">
        <v>38</v>
      </c>
      <c r="C7" s="14" t="s">
        <v>37</v>
      </c>
    </row>
    <row r="8" spans="2:3" x14ac:dyDescent="0.3">
      <c r="B8" s="10" t="s">
        <v>36</v>
      </c>
      <c r="C8" s="14" t="s">
        <v>35</v>
      </c>
    </row>
    <row r="9" spans="2:3" x14ac:dyDescent="0.3">
      <c r="B9" s="10" t="s">
        <v>34</v>
      </c>
      <c r="C9" s="14" t="s">
        <v>33</v>
      </c>
    </row>
  </sheetData>
  <hyperlinks>
    <hyperlink ref="C2" r:id="rId1" xr:uid="{9FB16181-C2AE-AA43-A5DC-FC95E8E12DDD}"/>
    <hyperlink ref="C3" r:id="rId2" xr:uid="{FF675BD4-C76D-994F-8908-C9FD11C16DCA}"/>
    <hyperlink ref="C4" r:id="rId3" xr:uid="{F28F4DE4-86C0-D24B-8927-A5F18A9F7DEC}"/>
    <hyperlink ref="C5" r:id="rId4" xr:uid="{572D551A-589E-5048-9C1A-F535FB23EC38}"/>
    <hyperlink ref="C6" r:id="rId5" xr:uid="{F973134B-5C8D-C541-8B21-4347FBF4E995}"/>
    <hyperlink ref="C7" r:id="rId6" xr:uid="{F673910E-81BE-0340-8708-8D3F1233B80A}"/>
    <hyperlink ref="C8" r:id="rId7" xr:uid="{BCE10B39-66B4-334A-B964-339C74891499}"/>
    <hyperlink ref="C9" r:id="rId8" xr:uid="{DB32E371-C91B-5B49-BD09-D618BD40AFB6}"/>
    <hyperlink ref="B2:C2" r:id="rId9" display="Setup" xr:uid="{B5888879-E464-764A-AFE5-526D61B158AB}"/>
    <hyperlink ref="B3:C3" r:id="rId10" display="Exploration" xr:uid="{8552C58E-5249-6F48-BDC3-7776A0D4FD9E}"/>
    <hyperlink ref="B4:C4" r:id="rId11" display="Tools" xr:uid="{BCBFB0BB-5756-884F-B31B-AE4881C5C7F9}"/>
    <hyperlink ref="B5:C5" r:id="rId12" display="LM_InAndOut" xr:uid="{6563DE7C-EB07-D441-A4A4-3EECC4330888}"/>
    <hyperlink ref="B6:C6" r:id="rId13" display="Optim_InAndOut" xr:uid="{8B0B5558-D0F6-7347-AC76-D24A3A8A2269}"/>
    <hyperlink ref="B7:C7" r:id="rId14" display="Optim_Shrinkage" xr:uid="{71C4EA75-CF16-144C-BFFD-81C5ED29A2B3}"/>
    <hyperlink ref="B8:C8" r:id="rId15" display="Optim_LSearch" xr:uid="{5BF51BD4-3DBB-9E4A-AD0E-F2CA7CC06B91}"/>
    <hyperlink ref="B9:C9" r:id="rId16" display="CF_InAndOut" xr:uid="{58CE96B1-D0B2-2345-B826-4461600604CC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9FCC-D9B5-7A4A-BD7D-8ED3FA1D0D38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179</v>
      </c>
    </row>
    <row r="2" spans="1:1" x14ac:dyDescent="0.3">
      <c r="A2" s="1" t="s">
        <v>180</v>
      </c>
    </row>
    <row r="3" spans="1:1" x14ac:dyDescent="0.3">
      <c r="A3" s="1" t="s">
        <v>181</v>
      </c>
    </row>
    <row r="4" spans="1:1" x14ac:dyDescent="0.3">
      <c r="A4" s="1" t="s">
        <v>182</v>
      </c>
    </row>
  </sheetData>
  <phoneticPr fontId="9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0"/>
    <col min="2" max="2" width="20.83203125" style="20" bestFit="1" customWidth="1"/>
    <col min="3" max="16384" width="14.5" style="20"/>
  </cols>
  <sheetData>
    <row r="1" spans="1:11" x14ac:dyDescent="0.2">
      <c r="A1" s="27" t="s">
        <v>78</v>
      </c>
      <c r="B1" s="27" t="s">
        <v>79</v>
      </c>
      <c r="C1" s="27" t="s">
        <v>80</v>
      </c>
      <c r="D1" s="27" t="s">
        <v>81</v>
      </c>
      <c r="E1" s="27" t="s">
        <v>82</v>
      </c>
      <c r="F1" s="27" t="s">
        <v>83</v>
      </c>
      <c r="G1" s="27" t="s">
        <v>84</v>
      </c>
      <c r="H1" s="27" t="s">
        <v>85</v>
      </c>
      <c r="I1" s="27" t="s">
        <v>86</v>
      </c>
      <c r="J1" s="27" t="s">
        <v>87</v>
      </c>
      <c r="K1" s="27" t="s">
        <v>88</v>
      </c>
    </row>
    <row r="2" spans="1:11" x14ac:dyDescent="0.2">
      <c r="A2" s="27" t="s">
        <v>89</v>
      </c>
      <c r="B2" s="27" t="s">
        <v>90</v>
      </c>
      <c r="C2" s="27">
        <v>1.8</v>
      </c>
      <c r="D2" s="27">
        <v>1999</v>
      </c>
      <c r="E2" s="27">
        <v>4</v>
      </c>
      <c r="F2" s="27" t="s">
        <v>91</v>
      </c>
      <c r="G2" s="27" t="s">
        <v>92</v>
      </c>
      <c r="H2" s="27">
        <v>18</v>
      </c>
      <c r="I2" s="27">
        <v>29</v>
      </c>
      <c r="J2" s="27" t="s">
        <v>6</v>
      </c>
      <c r="K2" s="27" t="s">
        <v>93</v>
      </c>
    </row>
    <row r="3" spans="1:11" x14ac:dyDescent="0.2">
      <c r="A3" s="27" t="s">
        <v>89</v>
      </c>
      <c r="B3" s="27" t="s">
        <v>90</v>
      </c>
      <c r="C3" s="27">
        <v>1.8</v>
      </c>
      <c r="D3" s="27">
        <v>1999</v>
      </c>
      <c r="E3" s="27">
        <v>4</v>
      </c>
      <c r="F3" s="27" t="s">
        <v>94</v>
      </c>
      <c r="G3" s="27" t="s">
        <v>92</v>
      </c>
      <c r="H3" s="27">
        <v>21</v>
      </c>
      <c r="I3" s="27">
        <v>29</v>
      </c>
      <c r="J3" s="27" t="s">
        <v>6</v>
      </c>
      <c r="K3" s="27" t="s">
        <v>93</v>
      </c>
    </row>
    <row r="4" spans="1:11" x14ac:dyDescent="0.2">
      <c r="A4" s="27" t="s">
        <v>89</v>
      </c>
      <c r="B4" s="27" t="s">
        <v>90</v>
      </c>
      <c r="C4" s="27">
        <v>2</v>
      </c>
      <c r="D4" s="27">
        <v>2008</v>
      </c>
      <c r="E4" s="27">
        <v>4</v>
      </c>
      <c r="F4" s="27" t="s">
        <v>95</v>
      </c>
      <c r="G4" s="27" t="s">
        <v>92</v>
      </c>
      <c r="H4" s="27">
        <v>20</v>
      </c>
      <c r="I4" s="27">
        <v>31</v>
      </c>
      <c r="J4" s="27" t="s">
        <v>6</v>
      </c>
      <c r="K4" s="27" t="s">
        <v>93</v>
      </c>
    </row>
    <row r="5" spans="1:11" x14ac:dyDescent="0.2">
      <c r="A5" s="27" t="s">
        <v>89</v>
      </c>
      <c r="B5" s="27" t="s">
        <v>90</v>
      </c>
      <c r="C5" s="27">
        <v>2</v>
      </c>
      <c r="D5" s="27">
        <v>2008</v>
      </c>
      <c r="E5" s="27">
        <v>4</v>
      </c>
      <c r="F5" s="27" t="s">
        <v>96</v>
      </c>
      <c r="G5" s="27" t="s">
        <v>92</v>
      </c>
      <c r="H5" s="27">
        <v>21</v>
      </c>
      <c r="I5" s="27">
        <v>30</v>
      </c>
      <c r="J5" s="27" t="s">
        <v>6</v>
      </c>
      <c r="K5" s="27" t="s">
        <v>93</v>
      </c>
    </row>
    <row r="6" spans="1:11" x14ac:dyDescent="0.2">
      <c r="A6" s="27" t="s">
        <v>89</v>
      </c>
      <c r="B6" s="27" t="s">
        <v>90</v>
      </c>
      <c r="C6" s="27">
        <v>2.8</v>
      </c>
      <c r="D6" s="27">
        <v>1999</v>
      </c>
      <c r="E6" s="27">
        <v>6</v>
      </c>
      <c r="F6" s="27" t="s">
        <v>91</v>
      </c>
      <c r="G6" s="27" t="s">
        <v>92</v>
      </c>
      <c r="H6" s="27">
        <v>16</v>
      </c>
      <c r="I6" s="27">
        <v>26</v>
      </c>
      <c r="J6" s="27" t="s">
        <v>6</v>
      </c>
      <c r="K6" s="27" t="s">
        <v>93</v>
      </c>
    </row>
    <row r="7" spans="1:11" x14ac:dyDescent="0.2">
      <c r="A7" s="27" t="s">
        <v>89</v>
      </c>
      <c r="B7" s="27" t="s">
        <v>90</v>
      </c>
      <c r="C7" s="27">
        <v>2.8</v>
      </c>
      <c r="D7" s="27">
        <v>1999</v>
      </c>
      <c r="E7" s="27">
        <v>6</v>
      </c>
      <c r="F7" s="27" t="s">
        <v>94</v>
      </c>
      <c r="G7" s="27" t="s">
        <v>92</v>
      </c>
      <c r="H7" s="27">
        <v>18</v>
      </c>
      <c r="I7" s="27">
        <v>26</v>
      </c>
      <c r="J7" s="27" t="s">
        <v>6</v>
      </c>
      <c r="K7" s="27" t="s">
        <v>93</v>
      </c>
    </row>
    <row r="8" spans="1:11" x14ac:dyDescent="0.2">
      <c r="A8" s="27" t="s">
        <v>89</v>
      </c>
      <c r="B8" s="27" t="s">
        <v>90</v>
      </c>
      <c r="C8" s="27">
        <v>3.1</v>
      </c>
      <c r="D8" s="27">
        <v>2008</v>
      </c>
      <c r="E8" s="27">
        <v>6</v>
      </c>
      <c r="F8" s="27" t="s">
        <v>96</v>
      </c>
      <c r="G8" s="27" t="s">
        <v>92</v>
      </c>
      <c r="H8" s="27">
        <v>18</v>
      </c>
      <c r="I8" s="27">
        <v>27</v>
      </c>
      <c r="J8" s="27" t="s">
        <v>6</v>
      </c>
      <c r="K8" s="27" t="s">
        <v>93</v>
      </c>
    </row>
    <row r="9" spans="1:11" x14ac:dyDescent="0.2">
      <c r="A9" s="27" t="s">
        <v>89</v>
      </c>
      <c r="B9" s="27" t="s">
        <v>97</v>
      </c>
      <c r="C9" s="27">
        <v>1.8</v>
      </c>
      <c r="D9" s="27">
        <v>1999</v>
      </c>
      <c r="E9" s="27">
        <v>4</v>
      </c>
      <c r="F9" s="27" t="s">
        <v>94</v>
      </c>
      <c r="G9" s="27">
        <v>4</v>
      </c>
      <c r="H9" s="27">
        <v>18</v>
      </c>
      <c r="I9" s="27">
        <v>26</v>
      </c>
      <c r="J9" s="27" t="s">
        <v>6</v>
      </c>
      <c r="K9" s="27" t="s">
        <v>93</v>
      </c>
    </row>
    <row r="10" spans="1:11" x14ac:dyDescent="0.2">
      <c r="A10" s="27" t="s">
        <v>89</v>
      </c>
      <c r="B10" s="27" t="s">
        <v>97</v>
      </c>
      <c r="C10" s="27">
        <v>1.8</v>
      </c>
      <c r="D10" s="27">
        <v>1999</v>
      </c>
      <c r="E10" s="27">
        <v>4</v>
      </c>
      <c r="F10" s="27" t="s">
        <v>91</v>
      </c>
      <c r="G10" s="27">
        <v>4</v>
      </c>
      <c r="H10" s="27">
        <v>16</v>
      </c>
      <c r="I10" s="27">
        <v>25</v>
      </c>
      <c r="J10" s="27" t="s">
        <v>6</v>
      </c>
      <c r="K10" s="27" t="s">
        <v>93</v>
      </c>
    </row>
    <row r="11" spans="1:11" x14ac:dyDescent="0.2">
      <c r="A11" s="27" t="s">
        <v>89</v>
      </c>
      <c r="B11" s="27" t="s">
        <v>97</v>
      </c>
      <c r="C11" s="27">
        <v>2</v>
      </c>
      <c r="D11" s="27">
        <v>2008</v>
      </c>
      <c r="E11" s="27">
        <v>4</v>
      </c>
      <c r="F11" s="27" t="s">
        <v>95</v>
      </c>
      <c r="G11" s="27">
        <v>4</v>
      </c>
      <c r="H11" s="27">
        <v>20</v>
      </c>
      <c r="I11" s="27">
        <v>28</v>
      </c>
      <c r="J11" s="27" t="s">
        <v>6</v>
      </c>
      <c r="K11" s="27" t="s">
        <v>93</v>
      </c>
    </row>
    <row r="12" spans="1:11" x14ac:dyDescent="0.2">
      <c r="A12" s="27" t="s">
        <v>89</v>
      </c>
      <c r="B12" s="27" t="s">
        <v>97</v>
      </c>
      <c r="C12" s="27">
        <v>2</v>
      </c>
      <c r="D12" s="27">
        <v>2008</v>
      </c>
      <c r="E12" s="27">
        <v>4</v>
      </c>
      <c r="F12" s="27" t="s">
        <v>98</v>
      </c>
      <c r="G12" s="27">
        <v>4</v>
      </c>
      <c r="H12" s="27">
        <v>19</v>
      </c>
      <c r="I12" s="27">
        <v>27</v>
      </c>
      <c r="J12" s="27" t="s">
        <v>6</v>
      </c>
      <c r="K12" s="27" t="s">
        <v>93</v>
      </c>
    </row>
    <row r="13" spans="1:11" x14ac:dyDescent="0.2">
      <c r="A13" s="27" t="s">
        <v>89</v>
      </c>
      <c r="B13" s="27" t="s">
        <v>97</v>
      </c>
      <c r="C13" s="27">
        <v>2.8</v>
      </c>
      <c r="D13" s="27">
        <v>1999</v>
      </c>
      <c r="E13" s="27">
        <v>6</v>
      </c>
      <c r="F13" s="27" t="s">
        <v>91</v>
      </c>
      <c r="G13" s="27">
        <v>4</v>
      </c>
      <c r="H13" s="27">
        <v>15</v>
      </c>
      <c r="I13" s="27">
        <v>25</v>
      </c>
      <c r="J13" s="27" t="s">
        <v>6</v>
      </c>
      <c r="K13" s="27" t="s">
        <v>93</v>
      </c>
    </row>
    <row r="14" spans="1:11" x14ac:dyDescent="0.2">
      <c r="A14" s="27" t="s">
        <v>89</v>
      </c>
      <c r="B14" s="27" t="s">
        <v>97</v>
      </c>
      <c r="C14" s="27">
        <v>2.8</v>
      </c>
      <c r="D14" s="27">
        <v>1999</v>
      </c>
      <c r="E14" s="27">
        <v>6</v>
      </c>
      <c r="F14" s="27" t="s">
        <v>94</v>
      </c>
      <c r="G14" s="27">
        <v>4</v>
      </c>
      <c r="H14" s="27">
        <v>17</v>
      </c>
      <c r="I14" s="27">
        <v>25</v>
      </c>
      <c r="J14" s="27" t="s">
        <v>6</v>
      </c>
      <c r="K14" s="27" t="s">
        <v>93</v>
      </c>
    </row>
    <row r="15" spans="1:11" x14ac:dyDescent="0.2">
      <c r="A15" s="27" t="s">
        <v>89</v>
      </c>
      <c r="B15" s="27" t="s">
        <v>97</v>
      </c>
      <c r="C15" s="27">
        <v>3.1</v>
      </c>
      <c r="D15" s="27">
        <v>2008</v>
      </c>
      <c r="E15" s="27">
        <v>6</v>
      </c>
      <c r="F15" s="27" t="s">
        <v>98</v>
      </c>
      <c r="G15" s="27">
        <v>4</v>
      </c>
      <c r="H15" s="27">
        <v>17</v>
      </c>
      <c r="I15" s="27">
        <v>25</v>
      </c>
      <c r="J15" s="27" t="s">
        <v>6</v>
      </c>
      <c r="K15" s="27" t="s">
        <v>93</v>
      </c>
    </row>
    <row r="16" spans="1:11" x14ac:dyDescent="0.2">
      <c r="A16" s="27" t="s">
        <v>89</v>
      </c>
      <c r="B16" s="27" t="s">
        <v>97</v>
      </c>
      <c r="C16" s="27">
        <v>3.1</v>
      </c>
      <c r="D16" s="27">
        <v>2008</v>
      </c>
      <c r="E16" s="27">
        <v>6</v>
      </c>
      <c r="F16" s="27" t="s">
        <v>95</v>
      </c>
      <c r="G16" s="27">
        <v>4</v>
      </c>
      <c r="H16" s="27">
        <v>15</v>
      </c>
      <c r="I16" s="27">
        <v>25</v>
      </c>
      <c r="J16" s="27" t="s">
        <v>6</v>
      </c>
      <c r="K16" s="27" t="s">
        <v>93</v>
      </c>
    </row>
    <row r="17" spans="1:11" x14ac:dyDescent="0.2">
      <c r="A17" s="27" t="s">
        <v>89</v>
      </c>
      <c r="B17" s="27" t="s">
        <v>99</v>
      </c>
      <c r="C17" s="27">
        <v>2.8</v>
      </c>
      <c r="D17" s="27">
        <v>1999</v>
      </c>
      <c r="E17" s="27">
        <v>6</v>
      </c>
      <c r="F17" s="27" t="s">
        <v>91</v>
      </c>
      <c r="G17" s="27">
        <v>4</v>
      </c>
      <c r="H17" s="27">
        <v>15</v>
      </c>
      <c r="I17" s="27">
        <v>24</v>
      </c>
      <c r="J17" s="27" t="s">
        <v>6</v>
      </c>
      <c r="K17" s="27" t="s">
        <v>100</v>
      </c>
    </row>
    <row r="18" spans="1:11" x14ac:dyDescent="0.2">
      <c r="A18" s="27" t="s">
        <v>89</v>
      </c>
      <c r="B18" s="27" t="s">
        <v>99</v>
      </c>
      <c r="C18" s="27">
        <v>3.1</v>
      </c>
      <c r="D18" s="27">
        <v>2008</v>
      </c>
      <c r="E18" s="27">
        <v>6</v>
      </c>
      <c r="F18" s="27" t="s">
        <v>98</v>
      </c>
      <c r="G18" s="27">
        <v>4</v>
      </c>
      <c r="H18" s="27">
        <v>17</v>
      </c>
      <c r="I18" s="27">
        <v>25</v>
      </c>
      <c r="J18" s="27" t="s">
        <v>6</v>
      </c>
      <c r="K18" s="27" t="s">
        <v>100</v>
      </c>
    </row>
    <row r="19" spans="1:11" x14ac:dyDescent="0.2">
      <c r="A19" s="27" t="s">
        <v>89</v>
      </c>
      <c r="B19" s="27" t="s">
        <v>99</v>
      </c>
      <c r="C19" s="27">
        <v>4.2</v>
      </c>
      <c r="D19" s="27">
        <v>2008</v>
      </c>
      <c r="E19" s="27">
        <v>8</v>
      </c>
      <c r="F19" s="27" t="s">
        <v>98</v>
      </c>
      <c r="G19" s="27">
        <v>4</v>
      </c>
      <c r="H19" s="27">
        <v>16</v>
      </c>
      <c r="I19" s="27">
        <v>23</v>
      </c>
      <c r="J19" s="27" t="s">
        <v>6</v>
      </c>
      <c r="K19" s="27" t="s">
        <v>100</v>
      </c>
    </row>
    <row r="20" spans="1:11" x14ac:dyDescent="0.2">
      <c r="A20" s="27" t="s">
        <v>101</v>
      </c>
      <c r="B20" s="27" t="s">
        <v>102</v>
      </c>
      <c r="C20" s="27">
        <v>5.3</v>
      </c>
      <c r="D20" s="27">
        <v>2008</v>
      </c>
      <c r="E20" s="27">
        <v>8</v>
      </c>
      <c r="F20" s="27" t="s">
        <v>103</v>
      </c>
      <c r="G20" s="27" t="s">
        <v>104</v>
      </c>
      <c r="H20" s="27">
        <v>14</v>
      </c>
      <c r="I20" s="27">
        <v>20</v>
      </c>
      <c r="J20" s="27" t="s">
        <v>104</v>
      </c>
      <c r="K20" s="27" t="s">
        <v>105</v>
      </c>
    </row>
    <row r="21" spans="1:11" x14ac:dyDescent="0.2">
      <c r="A21" s="27" t="s">
        <v>101</v>
      </c>
      <c r="B21" s="27" t="s">
        <v>102</v>
      </c>
      <c r="C21" s="27">
        <v>5.3</v>
      </c>
      <c r="D21" s="27">
        <v>2008</v>
      </c>
      <c r="E21" s="27">
        <v>8</v>
      </c>
      <c r="F21" s="27" t="s">
        <v>103</v>
      </c>
      <c r="G21" s="27" t="s">
        <v>104</v>
      </c>
      <c r="H21" s="27">
        <v>11</v>
      </c>
      <c r="I21" s="27">
        <v>15</v>
      </c>
      <c r="J21" s="27" t="s">
        <v>106</v>
      </c>
      <c r="K21" s="27" t="s">
        <v>105</v>
      </c>
    </row>
    <row r="22" spans="1:11" x14ac:dyDescent="0.2">
      <c r="A22" s="27" t="s">
        <v>101</v>
      </c>
      <c r="B22" s="27" t="s">
        <v>102</v>
      </c>
      <c r="C22" s="27">
        <v>5.3</v>
      </c>
      <c r="D22" s="27">
        <v>2008</v>
      </c>
      <c r="E22" s="27">
        <v>8</v>
      </c>
      <c r="F22" s="27" t="s">
        <v>103</v>
      </c>
      <c r="G22" s="27" t="s">
        <v>104</v>
      </c>
      <c r="H22" s="27">
        <v>14</v>
      </c>
      <c r="I22" s="27">
        <v>20</v>
      </c>
      <c r="J22" s="27" t="s">
        <v>104</v>
      </c>
      <c r="K22" s="27" t="s">
        <v>105</v>
      </c>
    </row>
    <row r="23" spans="1:11" x14ac:dyDescent="0.2">
      <c r="A23" s="27" t="s">
        <v>101</v>
      </c>
      <c r="B23" s="27" t="s">
        <v>102</v>
      </c>
      <c r="C23" s="27">
        <v>5.7</v>
      </c>
      <c r="D23" s="27">
        <v>1999</v>
      </c>
      <c r="E23" s="27">
        <v>8</v>
      </c>
      <c r="F23" s="27" t="s">
        <v>103</v>
      </c>
      <c r="G23" s="27" t="s">
        <v>104</v>
      </c>
      <c r="H23" s="27">
        <v>13</v>
      </c>
      <c r="I23" s="27">
        <v>17</v>
      </c>
      <c r="J23" s="27" t="s">
        <v>104</v>
      </c>
      <c r="K23" s="27" t="s">
        <v>105</v>
      </c>
    </row>
    <row r="24" spans="1:11" x14ac:dyDescent="0.2">
      <c r="A24" s="27" t="s">
        <v>101</v>
      </c>
      <c r="B24" s="27" t="s">
        <v>102</v>
      </c>
      <c r="C24" s="27">
        <v>6</v>
      </c>
      <c r="D24" s="27">
        <v>2008</v>
      </c>
      <c r="E24" s="27">
        <v>8</v>
      </c>
      <c r="F24" s="27" t="s">
        <v>103</v>
      </c>
      <c r="G24" s="27" t="s">
        <v>104</v>
      </c>
      <c r="H24" s="27">
        <v>12</v>
      </c>
      <c r="I24" s="27">
        <v>17</v>
      </c>
      <c r="J24" s="27" t="s">
        <v>104</v>
      </c>
      <c r="K24" s="27" t="s">
        <v>105</v>
      </c>
    </row>
    <row r="25" spans="1:11" x14ac:dyDescent="0.2">
      <c r="A25" s="27" t="s">
        <v>101</v>
      </c>
      <c r="B25" s="27" t="s">
        <v>107</v>
      </c>
      <c r="C25" s="27">
        <v>5.7</v>
      </c>
      <c r="D25" s="27">
        <v>1999</v>
      </c>
      <c r="E25" s="27">
        <v>8</v>
      </c>
      <c r="F25" s="27" t="s">
        <v>95</v>
      </c>
      <c r="G25" s="27" t="s">
        <v>104</v>
      </c>
      <c r="H25" s="27">
        <v>16</v>
      </c>
      <c r="I25" s="27">
        <v>26</v>
      </c>
      <c r="J25" s="27" t="s">
        <v>6</v>
      </c>
      <c r="K25" s="27" t="s">
        <v>108</v>
      </c>
    </row>
    <row r="26" spans="1:11" x14ac:dyDescent="0.2">
      <c r="A26" s="27" t="s">
        <v>101</v>
      </c>
      <c r="B26" s="27" t="s">
        <v>107</v>
      </c>
      <c r="C26" s="27">
        <v>5.7</v>
      </c>
      <c r="D26" s="27">
        <v>1999</v>
      </c>
      <c r="E26" s="27">
        <v>8</v>
      </c>
      <c r="F26" s="27" t="s">
        <v>103</v>
      </c>
      <c r="G26" s="27" t="s">
        <v>104</v>
      </c>
      <c r="H26" s="27">
        <v>15</v>
      </c>
      <c r="I26" s="27">
        <v>23</v>
      </c>
      <c r="J26" s="27" t="s">
        <v>6</v>
      </c>
      <c r="K26" s="27" t="s">
        <v>108</v>
      </c>
    </row>
    <row r="27" spans="1:11" x14ac:dyDescent="0.2">
      <c r="A27" s="27" t="s">
        <v>101</v>
      </c>
      <c r="B27" s="27" t="s">
        <v>107</v>
      </c>
      <c r="C27" s="27">
        <v>6.2</v>
      </c>
      <c r="D27" s="27">
        <v>2008</v>
      </c>
      <c r="E27" s="27">
        <v>8</v>
      </c>
      <c r="F27" s="27" t="s">
        <v>95</v>
      </c>
      <c r="G27" s="27" t="s">
        <v>104</v>
      </c>
      <c r="H27" s="27">
        <v>16</v>
      </c>
      <c r="I27" s="27">
        <v>26</v>
      </c>
      <c r="J27" s="27" t="s">
        <v>6</v>
      </c>
      <c r="K27" s="27" t="s">
        <v>108</v>
      </c>
    </row>
    <row r="28" spans="1:11" x14ac:dyDescent="0.2">
      <c r="A28" s="27" t="s">
        <v>101</v>
      </c>
      <c r="B28" s="27" t="s">
        <v>107</v>
      </c>
      <c r="C28" s="27">
        <v>6.2</v>
      </c>
      <c r="D28" s="27">
        <v>2008</v>
      </c>
      <c r="E28" s="27">
        <v>8</v>
      </c>
      <c r="F28" s="27" t="s">
        <v>98</v>
      </c>
      <c r="G28" s="27" t="s">
        <v>104</v>
      </c>
      <c r="H28" s="27">
        <v>15</v>
      </c>
      <c r="I28" s="27">
        <v>25</v>
      </c>
      <c r="J28" s="27" t="s">
        <v>6</v>
      </c>
      <c r="K28" s="27" t="s">
        <v>108</v>
      </c>
    </row>
    <row r="29" spans="1:11" x14ac:dyDescent="0.2">
      <c r="A29" s="27" t="s">
        <v>101</v>
      </c>
      <c r="B29" s="27" t="s">
        <v>107</v>
      </c>
      <c r="C29" s="27">
        <v>7</v>
      </c>
      <c r="D29" s="27">
        <v>2008</v>
      </c>
      <c r="E29" s="27">
        <v>8</v>
      </c>
      <c r="F29" s="27" t="s">
        <v>95</v>
      </c>
      <c r="G29" s="27" t="s">
        <v>104</v>
      </c>
      <c r="H29" s="27">
        <v>15</v>
      </c>
      <c r="I29" s="27">
        <v>24</v>
      </c>
      <c r="J29" s="27" t="s">
        <v>6</v>
      </c>
      <c r="K29" s="27" t="s">
        <v>108</v>
      </c>
    </row>
    <row r="30" spans="1:11" x14ac:dyDescent="0.2">
      <c r="A30" s="27" t="s">
        <v>101</v>
      </c>
      <c r="B30" s="27" t="s">
        <v>109</v>
      </c>
      <c r="C30" s="27">
        <v>5.3</v>
      </c>
      <c r="D30" s="27">
        <v>2008</v>
      </c>
      <c r="E30" s="27">
        <v>8</v>
      </c>
      <c r="F30" s="27" t="s">
        <v>103</v>
      </c>
      <c r="G30" s="27">
        <v>4</v>
      </c>
      <c r="H30" s="27">
        <v>14</v>
      </c>
      <c r="I30" s="27">
        <v>19</v>
      </c>
      <c r="J30" s="27" t="s">
        <v>104</v>
      </c>
      <c r="K30" s="27" t="s">
        <v>105</v>
      </c>
    </row>
    <row r="31" spans="1:11" x14ac:dyDescent="0.2">
      <c r="A31" s="27" t="s">
        <v>101</v>
      </c>
      <c r="B31" s="27" t="s">
        <v>109</v>
      </c>
      <c r="C31" s="27">
        <v>5.3</v>
      </c>
      <c r="D31" s="27">
        <v>2008</v>
      </c>
      <c r="E31" s="27">
        <v>8</v>
      </c>
      <c r="F31" s="27" t="s">
        <v>103</v>
      </c>
      <c r="G31" s="27">
        <v>4</v>
      </c>
      <c r="H31" s="27">
        <v>11</v>
      </c>
      <c r="I31" s="27">
        <v>14</v>
      </c>
      <c r="J31" s="27" t="s">
        <v>106</v>
      </c>
      <c r="K31" s="27" t="s">
        <v>105</v>
      </c>
    </row>
    <row r="32" spans="1:11" x14ac:dyDescent="0.2">
      <c r="A32" s="27" t="s">
        <v>101</v>
      </c>
      <c r="B32" s="27" t="s">
        <v>109</v>
      </c>
      <c r="C32" s="27">
        <v>5.7</v>
      </c>
      <c r="D32" s="27">
        <v>1999</v>
      </c>
      <c r="E32" s="27">
        <v>8</v>
      </c>
      <c r="F32" s="27" t="s">
        <v>103</v>
      </c>
      <c r="G32" s="27">
        <v>4</v>
      </c>
      <c r="H32" s="27">
        <v>11</v>
      </c>
      <c r="I32" s="27">
        <v>15</v>
      </c>
      <c r="J32" s="27" t="s">
        <v>104</v>
      </c>
      <c r="K32" s="27" t="s">
        <v>105</v>
      </c>
    </row>
    <row r="33" spans="1:11" x14ac:dyDescent="0.2">
      <c r="A33" s="27" t="s">
        <v>101</v>
      </c>
      <c r="B33" s="27" t="s">
        <v>109</v>
      </c>
      <c r="C33" s="27">
        <v>6.5</v>
      </c>
      <c r="D33" s="27">
        <v>1999</v>
      </c>
      <c r="E33" s="27">
        <v>8</v>
      </c>
      <c r="F33" s="27" t="s">
        <v>103</v>
      </c>
      <c r="G33" s="27">
        <v>4</v>
      </c>
      <c r="H33" s="27">
        <v>14</v>
      </c>
      <c r="I33" s="27">
        <v>17</v>
      </c>
      <c r="J33" s="27" t="s">
        <v>110</v>
      </c>
      <c r="K33" s="27" t="s">
        <v>105</v>
      </c>
    </row>
    <row r="34" spans="1:11" x14ac:dyDescent="0.2">
      <c r="A34" s="27" t="s">
        <v>101</v>
      </c>
      <c r="B34" s="27" t="s">
        <v>111</v>
      </c>
      <c r="C34" s="27">
        <v>2.4</v>
      </c>
      <c r="D34" s="27">
        <v>1999</v>
      </c>
      <c r="E34" s="27">
        <v>4</v>
      </c>
      <c r="F34" s="27" t="s">
        <v>103</v>
      </c>
      <c r="G34" s="27" t="s">
        <v>92</v>
      </c>
      <c r="H34" s="27">
        <v>19</v>
      </c>
      <c r="I34" s="27">
        <v>27</v>
      </c>
      <c r="J34" s="27" t="s">
        <v>104</v>
      </c>
      <c r="K34" s="27" t="s">
        <v>100</v>
      </c>
    </row>
    <row r="35" spans="1:11" x14ac:dyDescent="0.2">
      <c r="A35" s="27" t="s">
        <v>101</v>
      </c>
      <c r="B35" s="27" t="s">
        <v>111</v>
      </c>
      <c r="C35" s="27">
        <v>2.4</v>
      </c>
      <c r="D35" s="27">
        <v>2008</v>
      </c>
      <c r="E35" s="27">
        <v>4</v>
      </c>
      <c r="F35" s="27" t="s">
        <v>103</v>
      </c>
      <c r="G35" s="27" t="s">
        <v>92</v>
      </c>
      <c r="H35" s="27">
        <v>22</v>
      </c>
      <c r="I35" s="27">
        <v>30</v>
      </c>
      <c r="J35" s="27" t="s">
        <v>104</v>
      </c>
      <c r="K35" s="27" t="s">
        <v>100</v>
      </c>
    </row>
    <row r="36" spans="1:11" x14ac:dyDescent="0.2">
      <c r="A36" s="27" t="s">
        <v>101</v>
      </c>
      <c r="B36" s="27" t="s">
        <v>111</v>
      </c>
      <c r="C36" s="27">
        <v>3.1</v>
      </c>
      <c r="D36" s="27">
        <v>1999</v>
      </c>
      <c r="E36" s="27">
        <v>6</v>
      </c>
      <c r="F36" s="27" t="s">
        <v>103</v>
      </c>
      <c r="G36" s="27" t="s">
        <v>92</v>
      </c>
      <c r="H36" s="27">
        <v>18</v>
      </c>
      <c r="I36" s="27">
        <v>26</v>
      </c>
      <c r="J36" s="27" t="s">
        <v>104</v>
      </c>
      <c r="K36" s="27" t="s">
        <v>100</v>
      </c>
    </row>
    <row r="37" spans="1:11" x14ac:dyDescent="0.2">
      <c r="A37" s="27" t="s">
        <v>101</v>
      </c>
      <c r="B37" s="27" t="s">
        <v>111</v>
      </c>
      <c r="C37" s="27">
        <v>3.5</v>
      </c>
      <c r="D37" s="27">
        <v>2008</v>
      </c>
      <c r="E37" s="27">
        <v>6</v>
      </c>
      <c r="F37" s="27" t="s">
        <v>103</v>
      </c>
      <c r="G37" s="27" t="s">
        <v>92</v>
      </c>
      <c r="H37" s="27">
        <v>18</v>
      </c>
      <c r="I37" s="27">
        <v>29</v>
      </c>
      <c r="J37" s="27" t="s">
        <v>104</v>
      </c>
      <c r="K37" s="27" t="s">
        <v>100</v>
      </c>
    </row>
    <row r="38" spans="1:11" x14ac:dyDescent="0.2">
      <c r="A38" s="27" t="s">
        <v>101</v>
      </c>
      <c r="B38" s="27" t="s">
        <v>111</v>
      </c>
      <c r="C38" s="27">
        <v>3.6</v>
      </c>
      <c r="D38" s="27">
        <v>2008</v>
      </c>
      <c r="E38" s="27">
        <v>6</v>
      </c>
      <c r="F38" s="27" t="s">
        <v>98</v>
      </c>
      <c r="G38" s="27" t="s">
        <v>92</v>
      </c>
      <c r="H38" s="27">
        <v>17</v>
      </c>
      <c r="I38" s="27">
        <v>26</v>
      </c>
      <c r="J38" s="27" t="s">
        <v>104</v>
      </c>
      <c r="K38" s="27" t="s">
        <v>100</v>
      </c>
    </row>
    <row r="39" spans="1:11" x14ac:dyDescent="0.2">
      <c r="A39" s="27" t="s">
        <v>112</v>
      </c>
      <c r="B39" s="27" t="s">
        <v>113</v>
      </c>
      <c r="C39" s="27">
        <v>2.4</v>
      </c>
      <c r="D39" s="27">
        <v>1999</v>
      </c>
      <c r="E39" s="27">
        <v>4</v>
      </c>
      <c r="F39" s="27" t="s">
        <v>114</v>
      </c>
      <c r="G39" s="27" t="s">
        <v>92</v>
      </c>
      <c r="H39" s="27">
        <v>18</v>
      </c>
      <c r="I39" s="27">
        <v>24</v>
      </c>
      <c r="J39" s="27" t="s">
        <v>104</v>
      </c>
      <c r="K39" s="27" t="s">
        <v>115</v>
      </c>
    </row>
    <row r="40" spans="1:11" x14ac:dyDescent="0.2">
      <c r="A40" s="27" t="s">
        <v>112</v>
      </c>
      <c r="B40" s="27" t="s">
        <v>113</v>
      </c>
      <c r="C40" s="27">
        <v>3</v>
      </c>
      <c r="D40" s="27">
        <v>1999</v>
      </c>
      <c r="E40" s="27">
        <v>6</v>
      </c>
      <c r="F40" s="27" t="s">
        <v>103</v>
      </c>
      <c r="G40" s="27" t="s">
        <v>92</v>
      </c>
      <c r="H40" s="27">
        <v>17</v>
      </c>
      <c r="I40" s="27">
        <v>24</v>
      </c>
      <c r="J40" s="27" t="s">
        <v>104</v>
      </c>
      <c r="K40" s="27" t="s">
        <v>115</v>
      </c>
    </row>
    <row r="41" spans="1:11" x14ac:dyDescent="0.2">
      <c r="A41" s="27" t="s">
        <v>112</v>
      </c>
      <c r="B41" s="27" t="s">
        <v>113</v>
      </c>
      <c r="C41" s="27">
        <v>3.3</v>
      </c>
      <c r="D41" s="27">
        <v>1999</v>
      </c>
      <c r="E41" s="27">
        <v>6</v>
      </c>
      <c r="F41" s="27" t="s">
        <v>103</v>
      </c>
      <c r="G41" s="27" t="s">
        <v>92</v>
      </c>
      <c r="H41" s="27">
        <v>16</v>
      </c>
      <c r="I41" s="27">
        <v>22</v>
      </c>
      <c r="J41" s="27" t="s">
        <v>104</v>
      </c>
      <c r="K41" s="27" t="s">
        <v>115</v>
      </c>
    </row>
    <row r="42" spans="1:11" x14ac:dyDescent="0.2">
      <c r="A42" s="27" t="s">
        <v>112</v>
      </c>
      <c r="B42" s="27" t="s">
        <v>113</v>
      </c>
      <c r="C42" s="27">
        <v>3.3</v>
      </c>
      <c r="D42" s="27">
        <v>1999</v>
      </c>
      <c r="E42" s="27">
        <v>6</v>
      </c>
      <c r="F42" s="27" t="s">
        <v>103</v>
      </c>
      <c r="G42" s="27" t="s">
        <v>92</v>
      </c>
      <c r="H42" s="27">
        <v>16</v>
      </c>
      <c r="I42" s="27">
        <v>22</v>
      </c>
      <c r="J42" s="27" t="s">
        <v>104</v>
      </c>
      <c r="K42" s="27" t="s">
        <v>115</v>
      </c>
    </row>
    <row r="43" spans="1:11" x14ac:dyDescent="0.2">
      <c r="A43" s="27" t="s">
        <v>112</v>
      </c>
      <c r="B43" s="27" t="s">
        <v>113</v>
      </c>
      <c r="C43" s="27">
        <v>3.3</v>
      </c>
      <c r="D43" s="27">
        <v>2008</v>
      </c>
      <c r="E43" s="27">
        <v>6</v>
      </c>
      <c r="F43" s="27" t="s">
        <v>103</v>
      </c>
      <c r="G43" s="27" t="s">
        <v>92</v>
      </c>
      <c r="H43" s="27">
        <v>17</v>
      </c>
      <c r="I43" s="27">
        <v>24</v>
      </c>
      <c r="J43" s="27" t="s">
        <v>104</v>
      </c>
      <c r="K43" s="27" t="s">
        <v>115</v>
      </c>
    </row>
    <row r="44" spans="1:11" x14ac:dyDescent="0.2">
      <c r="A44" s="27" t="s">
        <v>112</v>
      </c>
      <c r="B44" s="27" t="s">
        <v>113</v>
      </c>
      <c r="C44" s="27">
        <v>3.3</v>
      </c>
      <c r="D44" s="27">
        <v>2008</v>
      </c>
      <c r="E44" s="27">
        <v>6</v>
      </c>
      <c r="F44" s="27" t="s">
        <v>103</v>
      </c>
      <c r="G44" s="27" t="s">
        <v>92</v>
      </c>
      <c r="H44" s="27">
        <v>17</v>
      </c>
      <c r="I44" s="27">
        <v>24</v>
      </c>
      <c r="J44" s="27" t="s">
        <v>104</v>
      </c>
      <c r="K44" s="27" t="s">
        <v>115</v>
      </c>
    </row>
    <row r="45" spans="1:11" x14ac:dyDescent="0.2">
      <c r="A45" s="27" t="s">
        <v>112</v>
      </c>
      <c r="B45" s="27" t="s">
        <v>113</v>
      </c>
      <c r="C45" s="27">
        <v>3.3</v>
      </c>
      <c r="D45" s="27">
        <v>2008</v>
      </c>
      <c r="E45" s="27">
        <v>6</v>
      </c>
      <c r="F45" s="27" t="s">
        <v>103</v>
      </c>
      <c r="G45" s="27" t="s">
        <v>92</v>
      </c>
      <c r="H45" s="27">
        <v>11</v>
      </c>
      <c r="I45" s="27">
        <v>17</v>
      </c>
      <c r="J45" s="27" t="s">
        <v>106</v>
      </c>
      <c r="K45" s="27" t="s">
        <v>115</v>
      </c>
    </row>
    <row r="46" spans="1:11" x14ac:dyDescent="0.2">
      <c r="A46" s="27" t="s">
        <v>112</v>
      </c>
      <c r="B46" s="27" t="s">
        <v>113</v>
      </c>
      <c r="C46" s="27">
        <v>3.8</v>
      </c>
      <c r="D46" s="27">
        <v>1999</v>
      </c>
      <c r="E46" s="27">
        <v>6</v>
      </c>
      <c r="F46" s="27" t="s">
        <v>103</v>
      </c>
      <c r="G46" s="27" t="s">
        <v>92</v>
      </c>
      <c r="H46" s="27">
        <v>15</v>
      </c>
      <c r="I46" s="27">
        <v>22</v>
      </c>
      <c r="J46" s="27" t="s">
        <v>104</v>
      </c>
      <c r="K46" s="27" t="s">
        <v>115</v>
      </c>
    </row>
    <row r="47" spans="1:11" x14ac:dyDescent="0.2">
      <c r="A47" s="27" t="s">
        <v>112</v>
      </c>
      <c r="B47" s="27" t="s">
        <v>113</v>
      </c>
      <c r="C47" s="27">
        <v>3.8</v>
      </c>
      <c r="D47" s="27">
        <v>1999</v>
      </c>
      <c r="E47" s="27">
        <v>6</v>
      </c>
      <c r="F47" s="27" t="s">
        <v>103</v>
      </c>
      <c r="G47" s="27" t="s">
        <v>92</v>
      </c>
      <c r="H47" s="27">
        <v>15</v>
      </c>
      <c r="I47" s="27">
        <v>21</v>
      </c>
      <c r="J47" s="27" t="s">
        <v>104</v>
      </c>
      <c r="K47" s="27" t="s">
        <v>115</v>
      </c>
    </row>
    <row r="48" spans="1:11" x14ac:dyDescent="0.2">
      <c r="A48" s="27" t="s">
        <v>112</v>
      </c>
      <c r="B48" s="27" t="s">
        <v>113</v>
      </c>
      <c r="C48" s="27">
        <v>3.8</v>
      </c>
      <c r="D48" s="27">
        <v>2008</v>
      </c>
      <c r="E48" s="27">
        <v>6</v>
      </c>
      <c r="F48" s="27" t="s">
        <v>116</v>
      </c>
      <c r="G48" s="27" t="s">
        <v>92</v>
      </c>
      <c r="H48" s="27">
        <v>16</v>
      </c>
      <c r="I48" s="27">
        <v>23</v>
      </c>
      <c r="J48" s="27" t="s">
        <v>104</v>
      </c>
      <c r="K48" s="27" t="s">
        <v>115</v>
      </c>
    </row>
    <row r="49" spans="1:11" x14ac:dyDescent="0.2">
      <c r="A49" s="27" t="s">
        <v>112</v>
      </c>
      <c r="B49" s="27" t="s">
        <v>113</v>
      </c>
      <c r="C49" s="27">
        <v>4</v>
      </c>
      <c r="D49" s="27">
        <v>2008</v>
      </c>
      <c r="E49" s="27">
        <v>6</v>
      </c>
      <c r="F49" s="27" t="s">
        <v>116</v>
      </c>
      <c r="G49" s="27" t="s">
        <v>92</v>
      </c>
      <c r="H49" s="27">
        <v>16</v>
      </c>
      <c r="I49" s="27">
        <v>23</v>
      </c>
      <c r="J49" s="27" t="s">
        <v>104</v>
      </c>
      <c r="K49" s="27" t="s">
        <v>115</v>
      </c>
    </row>
    <row r="50" spans="1:11" x14ac:dyDescent="0.2">
      <c r="A50" s="27" t="s">
        <v>112</v>
      </c>
      <c r="B50" s="27" t="s">
        <v>117</v>
      </c>
      <c r="C50" s="27">
        <v>3.7</v>
      </c>
      <c r="D50" s="27">
        <v>2008</v>
      </c>
      <c r="E50" s="27">
        <v>6</v>
      </c>
      <c r="F50" s="27" t="s">
        <v>95</v>
      </c>
      <c r="G50" s="27">
        <v>4</v>
      </c>
      <c r="H50" s="27">
        <v>15</v>
      </c>
      <c r="I50" s="27">
        <v>19</v>
      </c>
      <c r="J50" s="27" t="s">
        <v>104</v>
      </c>
      <c r="K50" s="27" t="s">
        <v>118</v>
      </c>
    </row>
    <row r="51" spans="1:11" x14ac:dyDescent="0.2">
      <c r="A51" s="27" t="s">
        <v>112</v>
      </c>
      <c r="B51" s="27" t="s">
        <v>117</v>
      </c>
      <c r="C51" s="27">
        <v>3.7</v>
      </c>
      <c r="D51" s="27">
        <v>2008</v>
      </c>
      <c r="E51" s="27">
        <v>6</v>
      </c>
      <c r="F51" s="27" t="s">
        <v>103</v>
      </c>
      <c r="G51" s="27">
        <v>4</v>
      </c>
      <c r="H51" s="27">
        <v>14</v>
      </c>
      <c r="I51" s="27">
        <v>18</v>
      </c>
      <c r="J51" s="27" t="s">
        <v>104</v>
      </c>
      <c r="K51" s="27" t="s">
        <v>118</v>
      </c>
    </row>
    <row r="52" spans="1:11" x14ac:dyDescent="0.2">
      <c r="A52" s="27" t="s">
        <v>112</v>
      </c>
      <c r="B52" s="27" t="s">
        <v>117</v>
      </c>
      <c r="C52" s="27">
        <v>3.9</v>
      </c>
      <c r="D52" s="27">
        <v>1999</v>
      </c>
      <c r="E52" s="27">
        <v>6</v>
      </c>
      <c r="F52" s="27" t="s">
        <v>103</v>
      </c>
      <c r="G52" s="27">
        <v>4</v>
      </c>
      <c r="H52" s="27">
        <v>13</v>
      </c>
      <c r="I52" s="27">
        <v>17</v>
      </c>
      <c r="J52" s="27" t="s">
        <v>104</v>
      </c>
      <c r="K52" s="27" t="s">
        <v>118</v>
      </c>
    </row>
    <row r="53" spans="1:11" x14ac:dyDescent="0.2">
      <c r="A53" s="27" t="s">
        <v>112</v>
      </c>
      <c r="B53" s="27" t="s">
        <v>117</v>
      </c>
      <c r="C53" s="27">
        <v>3.9</v>
      </c>
      <c r="D53" s="27">
        <v>1999</v>
      </c>
      <c r="E53" s="27">
        <v>6</v>
      </c>
      <c r="F53" s="27" t="s">
        <v>94</v>
      </c>
      <c r="G53" s="27">
        <v>4</v>
      </c>
      <c r="H53" s="27">
        <v>14</v>
      </c>
      <c r="I53" s="27">
        <v>17</v>
      </c>
      <c r="J53" s="27" t="s">
        <v>104</v>
      </c>
      <c r="K53" s="27" t="s">
        <v>118</v>
      </c>
    </row>
    <row r="54" spans="1:11" x14ac:dyDescent="0.2">
      <c r="A54" s="27" t="s">
        <v>112</v>
      </c>
      <c r="B54" s="27" t="s">
        <v>117</v>
      </c>
      <c r="C54" s="27">
        <v>4.7</v>
      </c>
      <c r="D54" s="27">
        <v>2008</v>
      </c>
      <c r="E54" s="27">
        <v>8</v>
      </c>
      <c r="F54" s="27" t="s">
        <v>91</v>
      </c>
      <c r="G54" s="27">
        <v>4</v>
      </c>
      <c r="H54" s="27">
        <v>14</v>
      </c>
      <c r="I54" s="27">
        <v>19</v>
      </c>
      <c r="J54" s="27" t="s">
        <v>104</v>
      </c>
      <c r="K54" s="27" t="s">
        <v>118</v>
      </c>
    </row>
    <row r="55" spans="1:11" x14ac:dyDescent="0.2">
      <c r="A55" s="27" t="s">
        <v>112</v>
      </c>
      <c r="B55" s="27" t="s">
        <v>117</v>
      </c>
      <c r="C55" s="27">
        <v>4.7</v>
      </c>
      <c r="D55" s="27">
        <v>2008</v>
      </c>
      <c r="E55" s="27">
        <v>8</v>
      </c>
      <c r="F55" s="27" t="s">
        <v>91</v>
      </c>
      <c r="G55" s="27">
        <v>4</v>
      </c>
      <c r="H55" s="27">
        <v>14</v>
      </c>
      <c r="I55" s="27">
        <v>19</v>
      </c>
      <c r="J55" s="27" t="s">
        <v>104</v>
      </c>
      <c r="K55" s="27" t="s">
        <v>118</v>
      </c>
    </row>
    <row r="56" spans="1:11" x14ac:dyDescent="0.2">
      <c r="A56" s="27" t="s">
        <v>112</v>
      </c>
      <c r="B56" s="27" t="s">
        <v>117</v>
      </c>
      <c r="C56" s="27">
        <v>4.7</v>
      </c>
      <c r="D56" s="27">
        <v>2008</v>
      </c>
      <c r="E56" s="27">
        <v>8</v>
      </c>
      <c r="F56" s="27" t="s">
        <v>91</v>
      </c>
      <c r="G56" s="27">
        <v>4</v>
      </c>
      <c r="H56" s="27">
        <v>9</v>
      </c>
      <c r="I56" s="27">
        <v>12</v>
      </c>
      <c r="J56" s="27" t="s">
        <v>106</v>
      </c>
      <c r="K56" s="27" t="s">
        <v>118</v>
      </c>
    </row>
    <row r="57" spans="1:11" x14ac:dyDescent="0.2">
      <c r="A57" s="27" t="s">
        <v>112</v>
      </c>
      <c r="B57" s="27" t="s">
        <v>117</v>
      </c>
      <c r="C57" s="27">
        <v>5.2</v>
      </c>
      <c r="D57" s="27">
        <v>1999</v>
      </c>
      <c r="E57" s="27">
        <v>8</v>
      </c>
      <c r="F57" s="27" t="s">
        <v>94</v>
      </c>
      <c r="G57" s="27">
        <v>4</v>
      </c>
      <c r="H57" s="27">
        <v>11</v>
      </c>
      <c r="I57" s="27">
        <v>17</v>
      </c>
      <c r="J57" s="27" t="s">
        <v>104</v>
      </c>
      <c r="K57" s="27" t="s">
        <v>118</v>
      </c>
    </row>
    <row r="58" spans="1:11" x14ac:dyDescent="0.2">
      <c r="A58" s="27" t="s">
        <v>112</v>
      </c>
      <c r="B58" s="27" t="s">
        <v>117</v>
      </c>
      <c r="C58" s="27">
        <v>5.2</v>
      </c>
      <c r="D58" s="27">
        <v>1999</v>
      </c>
      <c r="E58" s="27">
        <v>8</v>
      </c>
      <c r="F58" s="27" t="s">
        <v>103</v>
      </c>
      <c r="G58" s="27">
        <v>4</v>
      </c>
      <c r="H58" s="27">
        <v>11</v>
      </c>
      <c r="I58" s="27">
        <v>15</v>
      </c>
      <c r="J58" s="27" t="s">
        <v>104</v>
      </c>
      <c r="K58" s="27" t="s">
        <v>118</v>
      </c>
    </row>
    <row r="59" spans="1:11" x14ac:dyDescent="0.2">
      <c r="A59" s="27" t="s">
        <v>112</v>
      </c>
      <c r="B59" s="27" t="s">
        <v>119</v>
      </c>
      <c r="C59" s="27">
        <v>3.9</v>
      </c>
      <c r="D59" s="27">
        <v>1999</v>
      </c>
      <c r="E59" s="27">
        <v>6</v>
      </c>
      <c r="F59" s="27" t="s">
        <v>103</v>
      </c>
      <c r="G59" s="27">
        <v>4</v>
      </c>
      <c r="H59" s="27">
        <v>13</v>
      </c>
      <c r="I59" s="27">
        <v>17</v>
      </c>
      <c r="J59" s="27" t="s">
        <v>104</v>
      </c>
      <c r="K59" s="27" t="s">
        <v>105</v>
      </c>
    </row>
    <row r="60" spans="1:11" x14ac:dyDescent="0.2">
      <c r="A60" s="27" t="s">
        <v>112</v>
      </c>
      <c r="B60" s="27" t="s">
        <v>119</v>
      </c>
      <c r="C60" s="27">
        <v>4.7</v>
      </c>
      <c r="D60" s="27">
        <v>2008</v>
      </c>
      <c r="E60" s="27">
        <v>8</v>
      </c>
      <c r="F60" s="27" t="s">
        <v>91</v>
      </c>
      <c r="G60" s="27">
        <v>4</v>
      </c>
      <c r="H60" s="27">
        <v>13</v>
      </c>
      <c r="I60" s="27">
        <v>17</v>
      </c>
      <c r="J60" s="27" t="s">
        <v>104</v>
      </c>
      <c r="K60" s="27" t="s">
        <v>105</v>
      </c>
    </row>
    <row r="61" spans="1:11" x14ac:dyDescent="0.2">
      <c r="A61" s="27" t="s">
        <v>112</v>
      </c>
      <c r="B61" s="27" t="s">
        <v>119</v>
      </c>
      <c r="C61" s="27">
        <v>4.7</v>
      </c>
      <c r="D61" s="27">
        <v>2008</v>
      </c>
      <c r="E61" s="27">
        <v>8</v>
      </c>
      <c r="F61" s="27" t="s">
        <v>91</v>
      </c>
      <c r="G61" s="27">
        <v>4</v>
      </c>
      <c r="H61" s="27">
        <v>9</v>
      </c>
      <c r="I61" s="27">
        <v>12</v>
      </c>
      <c r="J61" s="27" t="s">
        <v>106</v>
      </c>
      <c r="K61" s="27" t="s">
        <v>105</v>
      </c>
    </row>
    <row r="62" spans="1:11" x14ac:dyDescent="0.2">
      <c r="A62" s="27" t="s">
        <v>112</v>
      </c>
      <c r="B62" s="27" t="s">
        <v>119</v>
      </c>
      <c r="C62" s="27">
        <v>4.7</v>
      </c>
      <c r="D62" s="27">
        <v>2008</v>
      </c>
      <c r="E62" s="27">
        <v>8</v>
      </c>
      <c r="F62" s="27" t="s">
        <v>91</v>
      </c>
      <c r="G62" s="27">
        <v>4</v>
      </c>
      <c r="H62" s="27">
        <v>13</v>
      </c>
      <c r="I62" s="27">
        <v>17</v>
      </c>
      <c r="J62" s="27" t="s">
        <v>104</v>
      </c>
      <c r="K62" s="27" t="s">
        <v>105</v>
      </c>
    </row>
    <row r="63" spans="1:11" x14ac:dyDescent="0.2">
      <c r="A63" s="27" t="s">
        <v>112</v>
      </c>
      <c r="B63" s="27" t="s">
        <v>119</v>
      </c>
      <c r="C63" s="27">
        <v>5.2</v>
      </c>
      <c r="D63" s="27">
        <v>1999</v>
      </c>
      <c r="E63" s="27">
        <v>8</v>
      </c>
      <c r="F63" s="27" t="s">
        <v>103</v>
      </c>
      <c r="G63" s="27">
        <v>4</v>
      </c>
      <c r="H63" s="27">
        <v>11</v>
      </c>
      <c r="I63" s="27">
        <v>16</v>
      </c>
      <c r="J63" s="27" t="s">
        <v>104</v>
      </c>
      <c r="K63" s="27" t="s">
        <v>105</v>
      </c>
    </row>
    <row r="64" spans="1:11" x14ac:dyDescent="0.2">
      <c r="A64" s="27" t="s">
        <v>112</v>
      </c>
      <c r="B64" s="27" t="s">
        <v>119</v>
      </c>
      <c r="C64" s="27">
        <v>5.7</v>
      </c>
      <c r="D64" s="27">
        <v>2008</v>
      </c>
      <c r="E64" s="27">
        <v>8</v>
      </c>
      <c r="F64" s="27" t="s">
        <v>91</v>
      </c>
      <c r="G64" s="27">
        <v>4</v>
      </c>
      <c r="H64" s="27">
        <v>13</v>
      </c>
      <c r="I64" s="27">
        <v>18</v>
      </c>
      <c r="J64" s="27" t="s">
        <v>104</v>
      </c>
      <c r="K64" s="27" t="s">
        <v>105</v>
      </c>
    </row>
    <row r="65" spans="1:11" x14ac:dyDescent="0.2">
      <c r="A65" s="27" t="s">
        <v>112</v>
      </c>
      <c r="B65" s="27" t="s">
        <v>119</v>
      </c>
      <c r="C65" s="27">
        <v>5.9</v>
      </c>
      <c r="D65" s="27">
        <v>1999</v>
      </c>
      <c r="E65" s="27">
        <v>8</v>
      </c>
      <c r="F65" s="27" t="s">
        <v>103</v>
      </c>
      <c r="G65" s="27">
        <v>4</v>
      </c>
      <c r="H65" s="27">
        <v>11</v>
      </c>
      <c r="I65" s="27">
        <v>15</v>
      </c>
      <c r="J65" s="27" t="s">
        <v>104</v>
      </c>
      <c r="K65" s="27" t="s">
        <v>105</v>
      </c>
    </row>
    <row r="66" spans="1:11" x14ac:dyDescent="0.2">
      <c r="A66" s="27" t="s">
        <v>112</v>
      </c>
      <c r="B66" s="27" t="s">
        <v>120</v>
      </c>
      <c r="C66" s="27">
        <v>4.7</v>
      </c>
      <c r="D66" s="27">
        <v>2008</v>
      </c>
      <c r="E66" s="27">
        <v>8</v>
      </c>
      <c r="F66" s="27" t="s">
        <v>95</v>
      </c>
      <c r="G66" s="27">
        <v>4</v>
      </c>
      <c r="H66" s="27">
        <v>12</v>
      </c>
      <c r="I66" s="27">
        <v>16</v>
      </c>
      <c r="J66" s="27" t="s">
        <v>104</v>
      </c>
      <c r="K66" s="27" t="s">
        <v>118</v>
      </c>
    </row>
    <row r="67" spans="1:11" x14ac:dyDescent="0.2">
      <c r="A67" s="27" t="s">
        <v>112</v>
      </c>
      <c r="B67" s="27" t="s">
        <v>120</v>
      </c>
      <c r="C67" s="27">
        <v>4.7</v>
      </c>
      <c r="D67" s="27">
        <v>2008</v>
      </c>
      <c r="E67" s="27">
        <v>8</v>
      </c>
      <c r="F67" s="27" t="s">
        <v>91</v>
      </c>
      <c r="G67" s="27">
        <v>4</v>
      </c>
      <c r="H67" s="27">
        <v>9</v>
      </c>
      <c r="I67" s="27">
        <v>12</v>
      </c>
      <c r="J67" s="27" t="s">
        <v>106</v>
      </c>
      <c r="K67" s="27" t="s">
        <v>118</v>
      </c>
    </row>
    <row r="68" spans="1:11" x14ac:dyDescent="0.2">
      <c r="A68" s="27" t="s">
        <v>112</v>
      </c>
      <c r="B68" s="27" t="s">
        <v>120</v>
      </c>
      <c r="C68" s="27">
        <v>4.7</v>
      </c>
      <c r="D68" s="27">
        <v>2008</v>
      </c>
      <c r="E68" s="27">
        <v>8</v>
      </c>
      <c r="F68" s="27" t="s">
        <v>91</v>
      </c>
      <c r="G68" s="27">
        <v>4</v>
      </c>
      <c r="H68" s="27">
        <v>13</v>
      </c>
      <c r="I68" s="27">
        <v>17</v>
      </c>
      <c r="J68" s="27" t="s">
        <v>104</v>
      </c>
      <c r="K68" s="27" t="s">
        <v>118</v>
      </c>
    </row>
    <row r="69" spans="1:11" x14ac:dyDescent="0.2">
      <c r="A69" s="27" t="s">
        <v>112</v>
      </c>
      <c r="B69" s="27" t="s">
        <v>120</v>
      </c>
      <c r="C69" s="27">
        <v>4.7</v>
      </c>
      <c r="D69" s="27">
        <v>2008</v>
      </c>
      <c r="E69" s="27">
        <v>8</v>
      </c>
      <c r="F69" s="27" t="s">
        <v>91</v>
      </c>
      <c r="G69" s="27">
        <v>4</v>
      </c>
      <c r="H69" s="27">
        <v>13</v>
      </c>
      <c r="I69" s="27">
        <v>17</v>
      </c>
      <c r="J69" s="27" t="s">
        <v>104</v>
      </c>
      <c r="K69" s="27" t="s">
        <v>118</v>
      </c>
    </row>
    <row r="70" spans="1:11" x14ac:dyDescent="0.2">
      <c r="A70" s="27" t="s">
        <v>112</v>
      </c>
      <c r="B70" s="27" t="s">
        <v>120</v>
      </c>
      <c r="C70" s="27">
        <v>4.7</v>
      </c>
      <c r="D70" s="27">
        <v>2008</v>
      </c>
      <c r="E70" s="27">
        <v>8</v>
      </c>
      <c r="F70" s="27" t="s">
        <v>95</v>
      </c>
      <c r="G70" s="27">
        <v>4</v>
      </c>
      <c r="H70" s="27">
        <v>12</v>
      </c>
      <c r="I70" s="27">
        <v>16</v>
      </c>
      <c r="J70" s="27" t="s">
        <v>104</v>
      </c>
      <c r="K70" s="27" t="s">
        <v>118</v>
      </c>
    </row>
    <row r="71" spans="1:11" x14ac:dyDescent="0.2">
      <c r="A71" s="27" t="s">
        <v>112</v>
      </c>
      <c r="B71" s="27" t="s">
        <v>120</v>
      </c>
      <c r="C71" s="27">
        <v>4.7</v>
      </c>
      <c r="D71" s="27">
        <v>2008</v>
      </c>
      <c r="E71" s="27">
        <v>8</v>
      </c>
      <c r="F71" s="27" t="s">
        <v>95</v>
      </c>
      <c r="G71" s="27">
        <v>4</v>
      </c>
      <c r="H71" s="27">
        <v>9</v>
      </c>
      <c r="I71" s="27">
        <v>12</v>
      </c>
      <c r="J71" s="27" t="s">
        <v>106</v>
      </c>
      <c r="K71" s="27" t="s">
        <v>118</v>
      </c>
    </row>
    <row r="72" spans="1:11" x14ac:dyDescent="0.2">
      <c r="A72" s="27" t="s">
        <v>112</v>
      </c>
      <c r="B72" s="27" t="s">
        <v>120</v>
      </c>
      <c r="C72" s="27">
        <v>5.2</v>
      </c>
      <c r="D72" s="27">
        <v>1999</v>
      </c>
      <c r="E72" s="27">
        <v>8</v>
      </c>
      <c r="F72" s="27" t="s">
        <v>103</v>
      </c>
      <c r="G72" s="27">
        <v>4</v>
      </c>
      <c r="H72" s="27">
        <v>11</v>
      </c>
      <c r="I72" s="27">
        <v>15</v>
      </c>
      <c r="J72" s="27" t="s">
        <v>104</v>
      </c>
      <c r="K72" s="27" t="s">
        <v>118</v>
      </c>
    </row>
    <row r="73" spans="1:11" x14ac:dyDescent="0.2">
      <c r="A73" s="27" t="s">
        <v>112</v>
      </c>
      <c r="B73" s="27" t="s">
        <v>120</v>
      </c>
      <c r="C73" s="27">
        <v>5.2</v>
      </c>
      <c r="D73" s="27">
        <v>1999</v>
      </c>
      <c r="E73" s="27">
        <v>8</v>
      </c>
      <c r="F73" s="27" t="s">
        <v>94</v>
      </c>
      <c r="G73" s="27">
        <v>4</v>
      </c>
      <c r="H73" s="27">
        <v>11</v>
      </c>
      <c r="I73" s="27">
        <v>16</v>
      </c>
      <c r="J73" s="27" t="s">
        <v>104</v>
      </c>
      <c r="K73" s="27" t="s">
        <v>118</v>
      </c>
    </row>
    <row r="74" spans="1:11" x14ac:dyDescent="0.2">
      <c r="A74" s="27" t="s">
        <v>112</v>
      </c>
      <c r="B74" s="27" t="s">
        <v>120</v>
      </c>
      <c r="C74" s="27">
        <v>5.7</v>
      </c>
      <c r="D74" s="27">
        <v>2008</v>
      </c>
      <c r="E74" s="27">
        <v>8</v>
      </c>
      <c r="F74" s="27" t="s">
        <v>91</v>
      </c>
      <c r="G74" s="27">
        <v>4</v>
      </c>
      <c r="H74" s="27">
        <v>13</v>
      </c>
      <c r="I74" s="27">
        <v>17</v>
      </c>
      <c r="J74" s="27" t="s">
        <v>104</v>
      </c>
      <c r="K74" s="27" t="s">
        <v>118</v>
      </c>
    </row>
    <row r="75" spans="1:11" x14ac:dyDescent="0.2">
      <c r="A75" s="27" t="s">
        <v>112</v>
      </c>
      <c r="B75" s="27" t="s">
        <v>120</v>
      </c>
      <c r="C75" s="27">
        <v>5.9</v>
      </c>
      <c r="D75" s="27">
        <v>1999</v>
      </c>
      <c r="E75" s="27">
        <v>8</v>
      </c>
      <c r="F75" s="27" t="s">
        <v>103</v>
      </c>
      <c r="G75" s="27">
        <v>4</v>
      </c>
      <c r="H75" s="27">
        <v>11</v>
      </c>
      <c r="I75" s="27">
        <v>15</v>
      </c>
      <c r="J75" s="27" t="s">
        <v>104</v>
      </c>
      <c r="K75" s="27" t="s">
        <v>118</v>
      </c>
    </row>
    <row r="76" spans="1:11" x14ac:dyDescent="0.2">
      <c r="A76" s="27" t="s">
        <v>121</v>
      </c>
      <c r="B76" s="27" t="s">
        <v>122</v>
      </c>
      <c r="C76" s="27">
        <v>4.5999999999999996</v>
      </c>
      <c r="D76" s="27">
        <v>1999</v>
      </c>
      <c r="E76" s="27">
        <v>8</v>
      </c>
      <c r="F76" s="27" t="s">
        <v>103</v>
      </c>
      <c r="G76" s="27" t="s">
        <v>104</v>
      </c>
      <c r="H76" s="27">
        <v>11</v>
      </c>
      <c r="I76" s="27">
        <v>17</v>
      </c>
      <c r="J76" s="27" t="s">
        <v>104</v>
      </c>
      <c r="K76" s="27" t="s">
        <v>105</v>
      </c>
    </row>
    <row r="77" spans="1:11" x14ac:dyDescent="0.2">
      <c r="A77" s="27" t="s">
        <v>121</v>
      </c>
      <c r="B77" s="27" t="s">
        <v>122</v>
      </c>
      <c r="C77" s="27">
        <v>5.4</v>
      </c>
      <c r="D77" s="27">
        <v>1999</v>
      </c>
      <c r="E77" s="27">
        <v>8</v>
      </c>
      <c r="F77" s="27" t="s">
        <v>103</v>
      </c>
      <c r="G77" s="27" t="s">
        <v>104</v>
      </c>
      <c r="H77" s="27">
        <v>11</v>
      </c>
      <c r="I77" s="27">
        <v>17</v>
      </c>
      <c r="J77" s="27" t="s">
        <v>104</v>
      </c>
      <c r="K77" s="27" t="s">
        <v>105</v>
      </c>
    </row>
    <row r="78" spans="1:11" x14ac:dyDescent="0.2">
      <c r="A78" s="27" t="s">
        <v>121</v>
      </c>
      <c r="B78" s="27" t="s">
        <v>122</v>
      </c>
      <c r="C78" s="27">
        <v>5.4</v>
      </c>
      <c r="D78" s="27">
        <v>2008</v>
      </c>
      <c r="E78" s="27">
        <v>8</v>
      </c>
      <c r="F78" s="27" t="s">
        <v>116</v>
      </c>
      <c r="G78" s="27" t="s">
        <v>104</v>
      </c>
      <c r="H78" s="27">
        <v>12</v>
      </c>
      <c r="I78" s="27">
        <v>18</v>
      </c>
      <c r="J78" s="27" t="s">
        <v>104</v>
      </c>
      <c r="K78" s="27" t="s">
        <v>105</v>
      </c>
    </row>
    <row r="79" spans="1:11" x14ac:dyDescent="0.2">
      <c r="A79" s="27" t="s">
        <v>121</v>
      </c>
      <c r="B79" s="27" t="s">
        <v>123</v>
      </c>
      <c r="C79" s="27">
        <v>4</v>
      </c>
      <c r="D79" s="27">
        <v>1999</v>
      </c>
      <c r="E79" s="27">
        <v>6</v>
      </c>
      <c r="F79" s="27" t="s">
        <v>91</v>
      </c>
      <c r="G79" s="27">
        <v>4</v>
      </c>
      <c r="H79" s="27">
        <v>14</v>
      </c>
      <c r="I79" s="27">
        <v>17</v>
      </c>
      <c r="J79" s="27" t="s">
        <v>104</v>
      </c>
      <c r="K79" s="27" t="s">
        <v>105</v>
      </c>
    </row>
    <row r="80" spans="1:11" x14ac:dyDescent="0.2">
      <c r="A80" s="27" t="s">
        <v>121</v>
      </c>
      <c r="B80" s="27" t="s">
        <v>123</v>
      </c>
      <c r="C80" s="27">
        <v>4</v>
      </c>
      <c r="D80" s="27">
        <v>1999</v>
      </c>
      <c r="E80" s="27">
        <v>6</v>
      </c>
      <c r="F80" s="27" t="s">
        <v>94</v>
      </c>
      <c r="G80" s="27">
        <v>4</v>
      </c>
      <c r="H80" s="27">
        <v>15</v>
      </c>
      <c r="I80" s="27">
        <v>19</v>
      </c>
      <c r="J80" s="27" t="s">
        <v>104</v>
      </c>
      <c r="K80" s="27" t="s">
        <v>105</v>
      </c>
    </row>
    <row r="81" spans="1:11" x14ac:dyDescent="0.2">
      <c r="A81" s="27" t="s">
        <v>121</v>
      </c>
      <c r="B81" s="27" t="s">
        <v>123</v>
      </c>
      <c r="C81" s="27">
        <v>4</v>
      </c>
      <c r="D81" s="27">
        <v>1999</v>
      </c>
      <c r="E81" s="27">
        <v>6</v>
      </c>
      <c r="F81" s="27" t="s">
        <v>91</v>
      </c>
      <c r="G81" s="27">
        <v>4</v>
      </c>
      <c r="H81" s="27">
        <v>14</v>
      </c>
      <c r="I81" s="27">
        <v>17</v>
      </c>
      <c r="J81" s="27" t="s">
        <v>104</v>
      </c>
      <c r="K81" s="27" t="s">
        <v>105</v>
      </c>
    </row>
    <row r="82" spans="1:11" x14ac:dyDescent="0.2">
      <c r="A82" s="27" t="s">
        <v>121</v>
      </c>
      <c r="B82" s="27" t="s">
        <v>123</v>
      </c>
      <c r="C82" s="27">
        <v>4</v>
      </c>
      <c r="D82" s="27">
        <v>2008</v>
      </c>
      <c r="E82" s="27">
        <v>6</v>
      </c>
      <c r="F82" s="27" t="s">
        <v>91</v>
      </c>
      <c r="G82" s="27">
        <v>4</v>
      </c>
      <c r="H82" s="27">
        <v>13</v>
      </c>
      <c r="I82" s="27">
        <v>19</v>
      </c>
      <c r="J82" s="27" t="s">
        <v>104</v>
      </c>
      <c r="K82" s="27" t="s">
        <v>105</v>
      </c>
    </row>
    <row r="83" spans="1:11" x14ac:dyDescent="0.2">
      <c r="A83" s="27" t="s">
        <v>121</v>
      </c>
      <c r="B83" s="27" t="s">
        <v>123</v>
      </c>
      <c r="C83" s="27">
        <v>4.5999999999999996</v>
      </c>
      <c r="D83" s="27">
        <v>2008</v>
      </c>
      <c r="E83" s="27">
        <v>8</v>
      </c>
      <c r="F83" s="27" t="s">
        <v>116</v>
      </c>
      <c r="G83" s="27">
        <v>4</v>
      </c>
      <c r="H83" s="27">
        <v>13</v>
      </c>
      <c r="I83" s="27">
        <v>19</v>
      </c>
      <c r="J83" s="27" t="s">
        <v>104</v>
      </c>
      <c r="K83" s="27" t="s">
        <v>105</v>
      </c>
    </row>
    <row r="84" spans="1:11" x14ac:dyDescent="0.2">
      <c r="A84" s="27" t="s">
        <v>121</v>
      </c>
      <c r="B84" s="27" t="s">
        <v>123</v>
      </c>
      <c r="C84" s="27">
        <v>5</v>
      </c>
      <c r="D84" s="27">
        <v>1999</v>
      </c>
      <c r="E84" s="27">
        <v>8</v>
      </c>
      <c r="F84" s="27" t="s">
        <v>103</v>
      </c>
      <c r="G84" s="27">
        <v>4</v>
      </c>
      <c r="H84" s="27">
        <v>13</v>
      </c>
      <c r="I84" s="27">
        <v>17</v>
      </c>
      <c r="J84" s="27" t="s">
        <v>104</v>
      </c>
      <c r="K84" s="27" t="s">
        <v>105</v>
      </c>
    </row>
    <row r="85" spans="1:11" x14ac:dyDescent="0.2">
      <c r="A85" s="27" t="s">
        <v>121</v>
      </c>
      <c r="B85" s="27" t="s">
        <v>124</v>
      </c>
      <c r="C85" s="27">
        <v>4.2</v>
      </c>
      <c r="D85" s="27">
        <v>1999</v>
      </c>
      <c r="E85" s="27">
        <v>6</v>
      </c>
      <c r="F85" s="27" t="s">
        <v>103</v>
      </c>
      <c r="G85" s="27">
        <v>4</v>
      </c>
      <c r="H85" s="27">
        <v>14</v>
      </c>
      <c r="I85" s="27">
        <v>17</v>
      </c>
      <c r="J85" s="27" t="s">
        <v>104</v>
      </c>
      <c r="K85" s="27" t="s">
        <v>118</v>
      </c>
    </row>
    <row r="86" spans="1:11" x14ac:dyDescent="0.2">
      <c r="A86" s="27" t="s">
        <v>121</v>
      </c>
      <c r="B86" s="27" t="s">
        <v>124</v>
      </c>
      <c r="C86" s="27">
        <v>4.2</v>
      </c>
      <c r="D86" s="27">
        <v>1999</v>
      </c>
      <c r="E86" s="27">
        <v>6</v>
      </c>
      <c r="F86" s="27" t="s">
        <v>94</v>
      </c>
      <c r="G86" s="27">
        <v>4</v>
      </c>
      <c r="H86" s="27">
        <v>14</v>
      </c>
      <c r="I86" s="27">
        <v>17</v>
      </c>
      <c r="J86" s="27" t="s">
        <v>104</v>
      </c>
      <c r="K86" s="27" t="s">
        <v>118</v>
      </c>
    </row>
    <row r="87" spans="1:11" x14ac:dyDescent="0.2">
      <c r="A87" s="27" t="s">
        <v>121</v>
      </c>
      <c r="B87" s="27" t="s">
        <v>124</v>
      </c>
      <c r="C87" s="27">
        <v>4.5999999999999996</v>
      </c>
      <c r="D87" s="27">
        <v>1999</v>
      </c>
      <c r="E87" s="27">
        <v>8</v>
      </c>
      <c r="F87" s="27" t="s">
        <v>94</v>
      </c>
      <c r="G87" s="27">
        <v>4</v>
      </c>
      <c r="H87" s="27">
        <v>13</v>
      </c>
      <c r="I87" s="27">
        <v>16</v>
      </c>
      <c r="J87" s="27" t="s">
        <v>104</v>
      </c>
      <c r="K87" s="27" t="s">
        <v>118</v>
      </c>
    </row>
    <row r="88" spans="1:11" x14ac:dyDescent="0.2">
      <c r="A88" s="27" t="s">
        <v>121</v>
      </c>
      <c r="B88" s="27" t="s">
        <v>124</v>
      </c>
      <c r="C88" s="27">
        <v>4.5999999999999996</v>
      </c>
      <c r="D88" s="27">
        <v>1999</v>
      </c>
      <c r="E88" s="27">
        <v>8</v>
      </c>
      <c r="F88" s="27" t="s">
        <v>103</v>
      </c>
      <c r="G88" s="27">
        <v>4</v>
      </c>
      <c r="H88" s="27">
        <v>13</v>
      </c>
      <c r="I88" s="27">
        <v>16</v>
      </c>
      <c r="J88" s="27" t="s">
        <v>104</v>
      </c>
      <c r="K88" s="27" t="s">
        <v>118</v>
      </c>
    </row>
    <row r="89" spans="1:11" x14ac:dyDescent="0.2">
      <c r="A89" s="27" t="s">
        <v>121</v>
      </c>
      <c r="B89" s="27" t="s">
        <v>124</v>
      </c>
      <c r="C89" s="27">
        <v>4.5999999999999996</v>
      </c>
      <c r="D89" s="27">
        <v>2008</v>
      </c>
      <c r="E89" s="27">
        <v>8</v>
      </c>
      <c r="F89" s="27" t="s">
        <v>103</v>
      </c>
      <c r="G89" s="27">
        <v>4</v>
      </c>
      <c r="H89" s="27">
        <v>13</v>
      </c>
      <c r="I89" s="27">
        <v>17</v>
      </c>
      <c r="J89" s="27" t="s">
        <v>104</v>
      </c>
      <c r="K89" s="27" t="s">
        <v>118</v>
      </c>
    </row>
    <row r="90" spans="1:11" x14ac:dyDescent="0.2">
      <c r="A90" s="27" t="s">
        <v>121</v>
      </c>
      <c r="B90" s="27" t="s">
        <v>124</v>
      </c>
      <c r="C90" s="27">
        <v>5.4</v>
      </c>
      <c r="D90" s="27">
        <v>1999</v>
      </c>
      <c r="E90" s="27">
        <v>8</v>
      </c>
      <c r="F90" s="27" t="s">
        <v>103</v>
      </c>
      <c r="G90" s="27">
        <v>4</v>
      </c>
      <c r="H90" s="27">
        <v>11</v>
      </c>
      <c r="I90" s="27">
        <v>15</v>
      </c>
      <c r="J90" s="27" t="s">
        <v>104</v>
      </c>
      <c r="K90" s="27" t="s">
        <v>118</v>
      </c>
    </row>
    <row r="91" spans="1:11" x14ac:dyDescent="0.2">
      <c r="A91" s="27" t="s">
        <v>121</v>
      </c>
      <c r="B91" s="27" t="s">
        <v>124</v>
      </c>
      <c r="C91" s="27">
        <v>5.4</v>
      </c>
      <c r="D91" s="27">
        <v>2008</v>
      </c>
      <c r="E91" s="27">
        <v>8</v>
      </c>
      <c r="F91" s="27" t="s">
        <v>103</v>
      </c>
      <c r="G91" s="27">
        <v>4</v>
      </c>
      <c r="H91" s="27">
        <v>13</v>
      </c>
      <c r="I91" s="27">
        <v>17</v>
      </c>
      <c r="J91" s="27" t="s">
        <v>104</v>
      </c>
      <c r="K91" s="27" t="s">
        <v>118</v>
      </c>
    </row>
    <row r="92" spans="1:11" x14ac:dyDescent="0.2">
      <c r="A92" s="27" t="s">
        <v>121</v>
      </c>
      <c r="B92" s="27" t="s">
        <v>125</v>
      </c>
      <c r="C92" s="27">
        <v>3.8</v>
      </c>
      <c r="D92" s="27">
        <v>1999</v>
      </c>
      <c r="E92" s="27">
        <v>6</v>
      </c>
      <c r="F92" s="27" t="s">
        <v>94</v>
      </c>
      <c r="G92" s="27" t="s">
        <v>104</v>
      </c>
      <c r="H92" s="27">
        <v>18</v>
      </c>
      <c r="I92" s="27">
        <v>26</v>
      </c>
      <c r="J92" s="27" t="s">
        <v>104</v>
      </c>
      <c r="K92" s="27" t="s">
        <v>126</v>
      </c>
    </row>
    <row r="93" spans="1:11" x14ac:dyDescent="0.2">
      <c r="A93" s="27" t="s">
        <v>121</v>
      </c>
      <c r="B93" s="27" t="s">
        <v>125</v>
      </c>
      <c r="C93" s="27">
        <v>3.8</v>
      </c>
      <c r="D93" s="27">
        <v>1999</v>
      </c>
      <c r="E93" s="27">
        <v>6</v>
      </c>
      <c r="F93" s="27" t="s">
        <v>103</v>
      </c>
      <c r="G93" s="27" t="s">
        <v>104</v>
      </c>
      <c r="H93" s="27">
        <v>18</v>
      </c>
      <c r="I93" s="27">
        <v>25</v>
      </c>
      <c r="J93" s="27" t="s">
        <v>104</v>
      </c>
      <c r="K93" s="27" t="s">
        <v>126</v>
      </c>
    </row>
    <row r="94" spans="1:11" x14ac:dyDescent="0.2">
      <c r="A94" s="27" t="s">
        <v>121</v>
      </c>
      <c r="B94" s="27" t="s">
        <v>125</v>
      </c>
      <c r="C94" s="27">
        <v>4</v>
      </c>
      <c r="D94" s="27">
        <v>2008</v>
      </c>
      <c r="E94" s="27">
        <v>6</v>
      </c>
      <c r="F94" s="27" t="s">
        <v>94</v>
      </c>
      <c r="G94" s="27" t="s">
        <v>104</v>
      </c>
      <c r="H94" s="27">
        <v>17</v>
      </c>
      <c r="I94" s="27">
        <v>26</v>
      </c>
      <c r="J94" s="27" t="s">
        <v>104</v>
      </c>
      <c r="K94" s="27" t="s">
        <v>126</v>
      </c>
    </row>
    <row r="95" spans="1:11" x14ac:dyDescent="0.2">
      <c r="A95" s="27" t="s">
        <v>121</v>
      </c>
      <c r="B95" s="27" t="s">
        <v>125</v>
      </c>
      <c r="C95" s="27">
        <v>4</v>
      </c>
      <c r="D95" s="27">
        <v>2008</v>
      </c>
      <c r="E95" s="27">
        <v>6</v>
      </c>
      <c r="F95" s="27" t="s">
        <v>91</v>
      </c>
      <c r="G95" s="27" t="s">
        <v>104</v>
      </c>
      <c r="H95" s="27">
        <v>16</v>
      </c>
      <c r="I95" s="27">
        <v>24</v>
      </c>
      <c r="J95" s="27" t="s">
        <v>104</v>
      </c>
      <c r="K95" s="27" t="s">
        <v>126</v>
      </c>
    </row>
    <row r="96" spans="1:11" x14ac:dyDescent="0.2">
      <c r="A96" s="27" t="s">
        <v>121</v>
      </c>
      <c r="B96" s="27" t="s">
        <v>125</v>
      </c>
      <c r="C96" s="27">
        <v>4.5999999999999996</v>
      </c>
      <c r="D96" s="27">
        <v>1999</v>
      </c>
      <c r="E96" s="27">
        <v>8</v>
      </c>
      <c r="F96" s="27" t="s">
        <v>103</v>
      </c>
      <c r="G96" s="27" t="s">
        <v>104</v>
      </c>
      <c r="H96" s="27">
        <v>15</v>
      </c>
      <c r="I96" s="27">
        <v>21</v>
      </c>
      <c r="J96" s="27" t="s">
        <v>104</v>
      </c>
      <c r="K96" s="27" t="s">
        <v>126</v>
      </c>
    </row>
    <row r="97" spans="1:11" x14ac:dyDescent="0.2">
      <c r="A97" s="27" t="s">
        <v>121</v>
      </c>
      <c r="B97" s="27" t="s">
        <v>125</v>
      </c>
      <c r="C97" s="27">
        <v>4.5999999999999996</v>
      </c>
      <c r="D97" s="27">
        <v>1999</v>
      </c>
      <c r="E97" s="27">
        <v>8</v>
      </c>
      <c r="F97" s="27" t="s">
        <v>94</v>
      </c>
      <c r="G97" s="27" t="s">
        <v>104</v>
      </c>
      <c r="H97" s="27">
        <v>15</v>
      </c>
      <c r="I97" s="27">
        <v>22</v>
      </c>
      <c r="J97" s="27" t="s">
        <v>104</v>
      </c>
      <c r="K97" s="27" t="s">
        <v>126</v>
      </c>
    </row>
    <row r="98" spans="1:11" x14ac:dyDescent="0.2">
      <c r="A98" s="27" t="s">
        <v>121</v>
      </c>
      <c r="B98" s="27" t="s">
        <v>125</v>
      </c>
      <c r="C98" s="27">
        <v>4.5999999999999996</v>
      </c>
      <c r="D98" s="27">
        <v>2008</v>
      </c>
      <c r="E98" s="27">
        <v>8</v>
      </c>
      <c r="F98" s="27" t="s">
        <v>94</v>
      </c>
      <c r="G98" s="27" t="s">
        <v>104</v>
      </c>
      <c r="H98" s="27">
        <v>15</v>
      </c>
      <c r="I98" s="27">
        <v>23</v>
      </c>
      <c r="J98" s="27" t="s">
        <v>104</v>
      </c>
      <c r="K98" s="27" t="s">
        <v>126</v>
      </c>
    </row>
    <row r="99" spans="1:11" x14ac:dyDescent="0.2">
      <c r="A99" s="27" t="s">
        <v>121</v>
      </c>
      <c r="B99" s="27" t="s">
        <v>125</v>
      </c>
      <c r="C99" s="27">
        <v>4.5999999999999996</v>
      </c>
      <c r="D99" s="27">
        <v>2008</v>
      </c>
      <c r="E99" s="27">
        <v>8</v>
      </c>
      <c r="F99" s="27" t="s">
        <v>91</v>
      </c>
      <c r="G99" s="27" t="s">
        <v>104</v>
      </c>
      <c r="H99" s="27">
        <v>15</v>
      </c>
      <c r="I99" s="27">
        <v>22</v>
      </c>
      <c r="J99" s="27" t="s">
        <v>104</v>
      </c>
      <c r="K99" s="27" t="s">
        <v>126</v>
      </c>
    </row>
    <row r="100" spans="1:11" x14ac:dyDescent="0.2">
      <c r="A100" s="27" t="s">
        <v>121</v>
      </c>
      <c r="B100" s="27" t="s">
        <v>125</v>
      </c>
      <c r="C100" s="27">
        <v>5.4</v>
      </c>
      <c r="D100" s="27">
        <v>2008</v>
      </c>
      <c r="E100" s="27">
        <v>8</v>
      </c>
      <c r="F100" s="27" t="s">
        <v>95</v>
      </c>
      <c r="G100" s="27" t="s">
        <v>104</v>
      </c>
      <c r="H100" s="27">
        <v>14</v>
      </c>
      <c r="I100" s="27">
        <v>20</v>
      </c>
      <c r="J100" s="27" t="s">
        <v>6</v>
      </c>
      <c r="K100" s="27" t="s">
        <v>126</v>
      </c>
    </row>
    <row r="101" spans="1:11" x14ac:dyDescent="0.2">
      <c r="A101" s="27" t="s">
        <v>127</v>
      </c>
      <c r="B101" s="27" t="s">
        <v>128</v>
      </c>
      <c r="C101" s="27">
        <v>1.6</v>
      </c>
      <c r="D101" s="27">
        <v>1999</v>
      </c>
      <c r="E101" s="27">
        <v>4</v>
      </c>
      <c r="F101" s="27" t="s">
        <v>94</v>
      </c>
      <c r="G101" s="27" t="s">
        <v>92</v>
      </c>
      <c r="H101" s="27">
        <v>28</v>
      </c>
      <c r="I101" s="27">
        <v>33</v>
      </c>
      <c r="J101" s="27" t="s">
        <v>104</v>
      </c>
      <c r="K101" s="27" t="s">
        <v>126</v>
      </c>
    </row>
    <row r="102" spans="1:11" x14ac:dyDescent="0.2">
      <c r="A102" s="27" t="s">
        <v>127</v>
      </c>
      <c r="B102" s="27" t="s">
        <v>128</v>
      </c>
      <c r="C102" s="27">
        <v>1.6</v>
      </c>
      <c r="D102" s="27">
        <v>1999</v>
      </c>
      <c r="E102" s="27">
        <v>4</v>
      </c>
      <c r="F102" s="27" t="s">
        <v>103</v>
      </c>
      <c r="G102" s="27" t="s">
        <v>92</v>
      </c>
      <c r="H102" s="27">
        <v>24</v>
      </c>
      <c r="I102" s="27">
        <v>32</v>
      </c>
      <c r="J102" s="27" t="s">
        <v>104</v>
      </c>
      <c r="K102" s="27" t="s">
        <v>126</v>
      </c>
    </row>
    <row r="103" spans="1:11" x14ac:dyDescent="0.2">
      <c r="A103" s="27" t="s">
        <v>127</v>
      </c>
      <c r="B103" s="27" t="s">
        <v>128</v>
      </c>
      <c r="C103" s="27">
        <v>1.6</v>
      </c>
      <c r="D103" s="27">
        <v>1999</v>
      </c>
      <c r="E103" s="27">
        <v>4</v>
      </c>
      <c r="F103" s="27" t="s">
        <v>94</v>
      </c>
      <c r="G103" s="27" t="s">
        <v>92</v>
      </c>
      <c r="H103" s="27">
        <v>25</v>
      </c>
      <c r="I103" s="27">
        <v>32</v>
      </c>
      <c r="J103" s="27" t="s">
        <v>104</v>
      </c>
      <c r="K103" s="27" t="s">
        <v>126</v>
      </c>
    </row>
    <row r="104" spans="1:11" x14ac:dyDescent="0.2">
      <c r="A104" s="27" t="s">
        <v>127</v>
      </c>
      <c r="B104" s="27" t="s">
        <v>128</v>
      </c>
      <c r="C104" s="27">
        <v>1.6</v>
      </c>
      <c r="D104" s="27">
        <v>1999</v>
      </c>
      <c r="E104" s="27">
        <v>4</v>
      </c>
      <c r="F104" s="27" t="s">
        <v>94</v>
      </c>
      <c r="G104" s="27" t="s">
        <v>92</v>
      </c>
      <c r="H104" s="27">
        <v>23</v>
      </c>
      <c r="I104" s="27">
        <v>29</v>
      </c>
      <c r="J104" s="27" t="s">
        <v>6</v>
      </c>
      <c r="K104" s="27" t="s">
        <v>126</v>
      </c>
    </row>
    <row r="105" spans="1:11" x14ac:dyDescent="0.2">
      <c r="A105" s="27" t="s">
        <v>127</v>
      </c>
      <c r="B105" s="27" t="s">
        <v>128</v>
      </c>
      <c r="C105" s="27">
        <v>1.6</v>
      </c>
      <c r="D105" s="27">
        <v>1999</v>
      </c>
      <c r="E105" s="27">
        <v>4</v>
      </c>
      <c r="F105" s="27" t="s">
        <v>103</v>
      </c>
      <c r="G105" s="27" t="s">
        <v>92</v>
      </c>
      <c r="H105" s="27">
        <v>24</v>
      </c>
      <c r="I105" s="27">
        <v>32</v>
      </c>
      <c r="J105" s="27" t="s">
        <v>104</v>
      </c>
      <c r="K105" s="27" t="s">
        <v>126</v>
      </c>
    </row>
    <row r="106" spans="1:11" x14ac:dyDescent="0.2">
      <c r="A106" s="27" t="s">
        <v>127</v>
      </c>
      <c r="B106" s="27" t="s">
        <v>128</v>
      </c>
      <c r="C106" s="27">
        <v>1.8</v>
      </c>
      <c r="D106" s="27">
        <v>2008</v>
      </c>
      <c r="E106" s="27">
        <v>4</v>
      </c>
      <c r="F106" s="27" t="s">
        <v>94</v>
      </c>
      <c r="G106" s="27" t="s">
        <v>92</v>
      </c>
      <c r="H106" s="27">
        <v>26</v>
      </c>
      <c r="I106" s="27">
        <v>34</v>
      </c>
      <c r="J106" s="27" t="s">
        <v>104</v>
      </c>
      <c r="K106" s="27" t="s">
        <v>126</v>
      </c>
    </row>
    <row r="107" spans="1:11" x14ac:dyDescent="0.2">
      <c r="A107" s="27" t="s">
        <v>127</v>
      </c>
      <c r="B107" s="27" t="s">
        <v>128</v>
      </c>
      <c r="C107" s="27">
        <v>1.8</v>
      </c>
      <c r="D107" s="27">
        <v>2008</v>
      </c>
      <c r="E107" s="27">
        <v>4</v>
      </c>
      <c r="F107" s="27" t="s">
        <v>91</v>
      </c>
      <c r="G107" s="27" t="s">
        <v>92</v>
      </c>
      <c r="H107" s="27">
        <v>25</v>
      </c>
      <c r="I107" s="27">
        <v>36</v>
      </c>
      <c r="J107" s="27" t="s">
        <v>104</v>
      </c>
      <c r="K107" s="27" t="s">
        <v>126</v>
      </c>
    </row>
    <row r="108" spans="1:11" x14ac:dyDescent="0.2">
      <c r="A108" s="27" t="s">
        <v>127</v>
      </c>
      <c r="B108" s="27" t="s">
        <v>128</v>
      </c>
      <c r="C108" s="27">
        <v>1.8</v>
      </c>
      <c r="D108" s="27">
        <v>2008</v>
      </c>
      <c r="E108" s="27">
        <v>4</v>
      </c>
      <c r="F108" s="27" t="s">
        <v>91</v>
      </c>
      <c r="G108" s="27" t="s">
        <v>92</v>
      </c>
      <c r="H108" s="27">
        <v>24</v>
      </c>
      <c r="I108" s="27">
        <v>36</v>
      </c>
      <c r="J108" s="27" t="s">
        <v>129</v>
      </c>
      <c r="K108" s="27" t="s">
        <v>126</v>
      </c>
    </row>
    <row r="109" spans="1:11" x14ac:dyDescent="0.2">
      <c r="A109" s="27" t="s">
        <v>127</v>
      </c>
      <c r="B109" s="27" t="s">
        <v>128</v>
      </c>
      <c r="C109" s="27">
        <v>2</v>
      </c>
      <c r="D109" s="27">
        <v>2008</v>
      </c>
      <c r="E109" s="27">
        <v>4</v>
      </c>
      <c r="F109" s="27" t="s">
        <v>95</v>
      </c>
      <c r="G109" s="27" t="s">
        <v>92</v>
      </c>
      <c r="H109" s="27">
        <v>21</v>
      </c>
      <c r="I109" s="27">
        <v>29</v>
      </c>
      <c r="J109" s="27" t="s">
        <v>6</v>
      </c>
      <c r="K109" s="27" t="s">
        <v>126</v>
      </c>
    </row>
    <row r="110" spans="1:11" x14ac:dyDescent="0.2">
      <c r="A110" s="27" t="s">
        <v>130</v>
      </c>
      <c r="B110" s="27" t="s">
        <v>131</v>
      </c>
      <c r="C110" s="27">
        <v>2.4</v>
      </c>
      <c r="D110" s="27">
        <v>1999</v>
      </c>
      <c r="E110" s="27">
        <v>4</v>
      </c>
      <c r="F110" s="27" t="s">
        <v>103</v>
      </c>
      <c r="G110" s="27" t="s">
        <v>92</v>
      </c>
      <c r="H110" s="27">
        <v>18</v>
      </c>
      <c r="I110" s="27">
        <v>26</v>
      </c>
      <c r="J110" s="27" t="s">
        <v>104</v>
      </c>
      <c r="K110" s="27" t="s">
        <v>100</v>
      </c>
    </row>
    <row r="111" spans="1:11" x14ac:dyDescent="0.2">
      <c r="A111" s="27" t="s">
        <v>130</v>
      </c>
      <c r="B111" s="27" t="s">
        <v>131</v>
      </c>
      <c r="C111" s="27">
        <v>2.4</v>
      </c>
      <c r="D111" s="27">
        <v>1999</v>
      </c>
      <c r="E111" s="27">
        <v>4</v>
      </c>
      <c r="F111" s="27" t="s">
        <v>94</v>
      </c>
      <c r="G111" s="27" t="s">
        <v>92</v>
      </c>
      <c r="H111" s="27">
        <v>18</v>
      </c>
      <c r="I111" s="27">
        <v>27</v>
      </c>
      <c r="J111" s="27" t="s">
        <v>104</v>
      </c>
      <c r="K111" s="27" t="s">
        <v>100</v>
      </c>
    </row>
    <row r="112" spans="1:11" x14ac:dyDescent="0.2">
      <c r="A112" s="27" t="s">
        <v>130</v>
      </c>
      <c r="B112" s="27" t="s">
        <v>131</v>
      </c>
      <c r="C112" s="27">
        <v>2.4</v>
      </c>
      <c r="D112" s="27">
        <v>2008</v>
      </c>
      <c r="E112" s="27">
        <v>4</v>
      </c>
      <c r="F112" s="27" t="s">
        <v>103</v>
      </c>
      <c r="G112" s="27" t="s">
        <v>92</v>
      </c>
      <c r="H112" s="27">
        <v>21</v>
      </c>
      <c r="I112" s="27">
        <v>30</v>
      </c>
      <c r="J112" s="27" t="s">
        <v>104</v>
      </c>
      <c r="K112" s="27" t="s">
        <v>100</v>
      </c>
    </row>
    <row r="113" spans="1:11" x14ac:dyDescent="0.2">
      <c r="A113" s="27" t="s">
        <v>130</v>
      </c>
      <c r="B113" s="27" t="s">
        <v>131</v>
      </c>
      <c r="C113" s="27">
        <v>2.4</v>
      </c>
      <c r="D113" s="27">
        <v>2008</v>
      </c>
      <c r="E113" s="27">
        <v>4</v>
      </c>
      <c r="F113" s="27" t="s">
        <v>94</v>
      </c>
      <c r="G113" s="27" t="s">
        <v>92</v>
      </c>
      <c r="H113" s="27">
        <v>21</v>
      </c>
      <c r="I113" s="27">
        <v>31</v>
      </c>
      <c r="J113" s="27" t="s">
        <v>104</v>
      </c>
      <c r="K113" s="27" t="s">
        <v>100</v>
      </c>
    </row>
    <row r="114" spans="1:11" x14ac:dyDescent="0.2">
      <c r="A114" s="27" t="s">
        <v>130</v>
      </c>
      <c r="B114" s="27" t="s">
        <v>131</v>
      </c>
      <c r="C114" s="27">
        <v>2.5</v>
      </c>
      <c r="D114" s="27">
        <v>1999</v>
      </c>
      <c r="E114" s="27">
        <v>6</v>
      </c>
      <c r="F114" s="27" t="s">
        <v>103</v>
      </c>
      <c r="G114" s="27" t="s">
        <v>92</v>
      </c>
      <c r="H114" s="27">
        <v>18</v>
      </c>
      <c r="I114" s="27">
        <v>26</v>
      </c>
      <c r="J114" s="27" t="s">
        <v>104</v>
      </c>
      <c r="K114" s="27" t="s">
        <v>100</v>
      </c>
    </row>
    <row r="115" spans="1:11" x14ac:dyDescent="0.2">
      <c r="A115" s="27" t="s">
        <v>130</v>
      </c>
      <c r="B115" s="27" t="s">
        <v>131</v>
      </c>
      <c r="C115" s="27">
        <v>2.5</v>
      </c>
      <c r="D115" s="27">
        <v>1999</v>
      </c>
      <c r="E115" s="27">
        <v>6</v>
      </c>
      <c r="F115" s="27" t="s">
        <v>94</v>
      </c>
      <c r="G115" s="27" t="s">
        <v>92</v>
      </c>
      <c r="H115" s="27">
        <v>18</v>
      </c>
      <c r="I115" s="27">
        <v>26</v>
      </c>
      <c r="J115" s="27" t="s">
        <v>104</v>
      </c>
      <c r="K115" s="27" t="s">
        <v>100</v>
      </c>
    </row>
    <row r="116" spans="1:11" x14ac:dyDescent="0.2">
      <c r="A116" s="27" t="s">
        <v>130</v>
      </c>
      <c r="B116" s="27" t="s">
        <v>131</v>
      </c>
      <c r="C116" s="27">
        <v>3.3</v>
      </c>
      <c r="D116" s="27">
        <v>2008</v>
      </c>
      <c r="E116" s="27">
        <v>6</v>
      </c>
      <c r="F116" s="27" t="s">
        <v>91</v>
      </c>
      <c r="G116" s="27" t="s">
        <v>92</v>
      </c>
      <c r="H116" s="27">
        <v>19</v>
      </c>
      <c r="I116" s="27">
        <v>28</v>
      </c>
      <c r="J116" s="27" t="s">
        <v>104</v>
      </c>
      <c r="K116" s="27" t="s">
        <v>100</v>
      </c>
    </row>
    <row r="117" spans="1:11" x14ac:dyDescent="0.2">
      <c r="A117" s="27" t="s">
        <v>130</v>
      </c>
      <c r="B117" s="27" t="s">
        <v>132</v>
      </c>
      <c r="C117" s="27">
        <v>2</v>
      </c>
      <c r="D117" s="27">
        <v>1999</v>
      </c>
      <c r="E117" s="27">
        <v>4</v>
      </c>
      <c r="F117" s="27" t="s">
        <v>103</v>
      </c>
      <c r="G117" s="27" t="s">
        <v>92</v>
      </c>
      <c r="H117" s="27">
        <v>19</v>
      </c>
      <c r="I117" s="27">
        <v>26</v>
      </c>
      <c r="J117" s="27" t="s">
        <v>104</v>
      </c>
      <c r="K117" s="27" t="s">
        <v>126</v>
      </c>
    </row>
    <row r="118" spans="1:11" x14ac:dyDescent="0.2">
      <c r="A118" s="27" t="s">
        <v>130</v>
      </c>
      <c r="B118" s="27" t="s">
        <v>132</v>
      </c>
      <c r="C118" s="27">
        <v>2</v>
      </c>
      <c r="D118" s="27">
        <v>1999</v>
      </c>
      <c r="E118" s="27">
        <v>4</v>
      </c>
      <c r="F118" s="27" t="s">
        <v>94</v>
      </c>
      <c r="G118" s="27" t="s">
        <v>92</v>
      </c>
      <c r="H118" s="27">
        <v>19</v>
      </c>
      <c r="I118" s="27">
        <v>29</v>
      </c>
      <c r="J118" s="27" t="s">
        <v>104</v>
      </c>
      <c r="K118" s="27" t="s">
        <v>126</v>
      </c>
    </row>
    <row r="119" spans="1:11" x14ac:dyDescent="0.2">
      <c r="A119" s="27" t="s">
        <v>130</v>
      </c>
      <c r="B119" s="27" t="s">
        <v>132</v>
      </c>
      <c r="C119" s="27">
        <v>2</v>
      </c>
      <c r="D119" s="27">
        <v>2008</v>
      </c>
      <c r="E119" s="27">
        <v>4</v>
      </c>
      <c r="F119" s="27" t="s">
        <v>94</v>
      </c>
      <c r="G119" s="27" t="s">
        <v>92</v>
      </c>
      <c r="H119" s="27">
        <v>20</v>
      </c>
      <c r="I119" s="27">
        <v>28</v>
      </c>
      <c r="J119" s="27" t="s">
        <v>104</v>
      </c>
      <c r="K119" s="27" t="s">
        <v>126</v>
      </c>
    </row>
    <row r="120" spans="1:11" x14ac:dyDescent="0.2">
      <c r="A120" s="27" t="s">
        <v>130</v>
      </c>
      <c r="B120" s="27" t="s">
        <v>132</v>
      </c>
      <c r="C120" s="27">
        <v>2</v>
      </c>
      <c r="D120" s="27">
        <v>2008</v>
      </c>
      <c r="E120" s="27">
        <v>4</v>
      </c>
      <c r="F120" s="27" t="s">
        <v>103</v>
      </c>
      <c r="G120" s="27" t="s">
        <v>92</v>
      </c>
      <c r="H120" s="27">
        <v>20</v>
      </c>
      <c r="I120" s="27">
        <v>27</v>
      </c>
      <c r="J120" s="27" t="s">
        <v>104</v>
      </c>
      <c r="K120" s="27" t="s">
        <v>126</v>
      </c>
    </row>
    <row r="121" spans="1:11" x14ac:dyDescent="0.2">
      <c r="A121" s="27" t="s">
        <v>130</v>
      </c>
      <c r="B121" s="27" t="s">
        <v>132</v>
      </c>
      <c r="C121" s="27">
        <v>2.7</v>
      </c>
      <c r="D121" s="27">
        <v>2008</v>
      </c>
      <c r="E121" s="27">
        <v>6</v>
      </c>
      <c r="F121" s="27" t="s">
        <v>103</v>
      </c>
      <c r="G121" s="27" t="s">
        <v>92</v>
      </c>
      <c r="H121" s="27">
        <v>17</v>
      </c>
      <c r="I121" s="27">
        <v>24</v>
      </c>
      <c r="J121" s="27" t="s">
        <v>104</v>
      </c>
      <c r="K121" s="27" t="s">
        <v>126</v>
      </c>
    </row>
    <row r="122" spans="1:11" x14ac:dyDescent="0.2">
      <c r="A122" s="27" t="s">
        <v>130</v>
      </c>
      <c r="B122" s="27" t="s">
        <v>132</v>
      </c>
      <c r="C122" s="27">
        <v>2.7</v>
      </c>
      <c r="D122" s="27">
        <v>2008</v>
      </c>
      <c r="E122" s="27">
        <v>6</v>
      </c>
      <c r="F122" s="27" t="s">
        <v>95</v>
      </c>
      <c r="G122" s="27" t="s">
        <v>92</v>
      </c>
      <c r="H122" s="27">
        <v>16</v>
      </c>
      <c r="I122" s="27">
        <v>24</v>
      </c>
      <c r="J122" s="27" t="s">
        <v>104</v>
      </c>
      <c r="K122" s="27" t="s">
        <v>126</v>
      </c>
    </row>
    <row r="123" spans="1:11" x14ac:dyDescent="0.2">
      <c r="A123" s="27" t="s">
        <v>130</v>
      </c>
      <c r="B123" s="27" t="s">
        <v>132</v>
      </c>
      <c r="C123" s="27">
        <v>2.7</v>
      </c>
      <c r="D123" s="27">
        <v>2008</v>
      </c>
      <c r="E123" s="27">
        <v>6</v>
      </c>
      <c r="F123" s="27" t="s">
        <v>94</v>
      </c>
      <c r="G123" s="27" t="s">
        <v>92</v>
      </c>
      <c r="H123" s="27">
        <v>17</v>
      </c>
      <c r="I123" s="27">
        <v>24</v>
      </c>
      <c r="J123" s="27" t="s">
        <v>104</v>
      </c>
      <c r="K123" s="27" t="s">
        <v>126</v>
      </c>
    </row>
    <row r="124" spans="1:11" x14ac:dyDescent="0.2">
      <c r="A124" s="27" t="s">
        <v>133</v>
      </c>
      <c r="B124" s="27" t="s">
        <v>134</v>
      </c>
      <c r="C124" s="27">
        <v>3</v>
      </c>
      <c r="D124" s="27">
        <v>2008</v>
      </c>
      <c r="E124" s="27">
        <v>6</v>
      </c>
      <c r="F124" s="27" t="s">
        <v>91</v>
      </c>
      <c r="G124" s="27">
        <v>4</v>
      </c>
      <c r="H124" s="27">
        <v>17</v>
      </c>
      <c r="I124" s="27">
        <v>22</v>
      </c>
      <c r="J124" s="27" t="s">
        <v>110</v>
      </c>
      <c r="K124" s="27" t="s">
        <v>105</v>
      </c>
    </row>
    <row r="125" spans="1:11" x14ac:dyDescent="0.2">
      <c r="A125" s="27" t="s">
        <v>133</v>
      </c>
      <c r="B125" s="27" t="s">
        <v>134</v>
      </c>
      <c r="C125" s="27">
        <v>3.7</v>
      </c>
      <c r="D125" s="27">
        <v>2008</v>
      </c>
      <c r="E125" s="27">
        <v>6</v>
      </c>
      <c r="F125" s="27" t="s">
        <v>91</v>
      </c>
      <c r="G125" s="27">
        <v>4</v>
      </c>
      <c r="H125" s="27">
        <v>15</v>
      </c>
      <c r="I125" s="27">
        <v>19</v>
      </c>
      <c r="J125" s="27" t="s">
        <v>104</v>
      </c>
      <c r="K125" s="27" t="s">
        <v>105</v>
      </c>
    </row>
    <row r="126" spans="1:11" x14ac:dyDescent="0.2">
      <c r="A126" s="27" t="s">
        <v>133</v>
      </c>
      <c r="B126" s="27" t="s">
        <v>134</v>
      </c>
      <c r="C126" s="27">
        <v>4</v>
      </c>
      <c r="D126" s="27">
        <v>1999</v>
      </c>
      <c r="E126" s="27">
        <v>6</v>
      </c>
      <c r="F126" s="27" t="s">
        <v>103</v>
      </c>
      <c r="G126" s="27">
        <v>4</v>
      </c>
      <c r="H126" s="27">
        <v>15</v>
      </c>
      <c r="I126" s="27">
        <v>20</v>
      </c>
      <c r="J126" s="27" t="s">
        <v>104</v>
      </c>
      <c r="K126" s="27" t="s">
        <v>105</v>
      </c>
    </row>
    <row r="127" spans="1:11" x14ac:dyDescent="0.2">
      <c r="A127" s="27" t="s">
        <v>133</v>
      </c>
      <c r="B127" s="27" t="s">
        <v>134</v>
      </c>
      <c r="C127" s="27">
        <v>4.7</v>
      </c>
      <c r="D127" s="27">
        <v>1999</v>
      </c>
      <c r="E127" s="27">
        <v>8</v>
      </c>
      <c r="F127" s="27" t="s">
        <v>103</v>
      </c>
      <c r="G127" s="27">
        <v>4</v>
      </c>
      <c r="H127" s="27">
        <v>14</v>
      </c>
      <c r="I127" s="27">
        <v>17</v>
      </c>
      <c r="J127" s="27" t="s">
        <v>104</v>
      </c>
      <c r="K127" s="27" t="s">
        <v>105</v>
      </c>
    </row>
    <row r="128" spans="1:11" x14ac:dyDescent="0.2">
      <c r="A128" s="27" t="s">
        <v>133</v>
      </c>
      <c r="B128" s="27" t="s">
        <v>134</v>
      </c>
      <c r="C128" s="27">
        <v>4.7</v>
      </c>
      <c r="D128" s="27">
        <v>2008</v>
      </c>
      <c r="E128" s="27">
        <v>8</v>
      </c>
      <c r="F128" s="27" t="s">
        <v>91</v>
      </c>
      <c r="G128" s="27">
        <v>4</v>
      </c>
      <c r="H128" s="27">
        <v>9</v>
      </c>
      <c r="I128" s="27">
        <v>12</v>
      </c>
      <c r="J128" s="27" t="s">
        <v>106</v>
      </c>
      <c r="K128" s="27" t="s">
        <v>105</v>
      </c>
    </row>
    <row r="129" spans="1:11" x14ac:dyDescent="0.2">
      <c r="A129" s="27" t="s">
        <v>133</v>
      </c>
      <c r="B129" s="27" t="s">
        <v>134</v>
      </c>
      <c r="C129" s="27">
        <v>4.7</v>
      </c>
      <c r="D129" s="27">
        <v>2008</v>
      </c>
      <c r="E129" s="27">
        <v>8</v>
      </c>
      <c r="F129" s="27" t="s">
        <v>91</v>
      </c>
      <c r="G129" s="27">
        <v>4</v>
      </c>
      <c r="H129" s="27">
        <v>14</v>
      </c>
      <c r="I129" s="27">
        <v>19</v>
      </c>
      <c r="J129" s="27" t="s">
        <v>104</v>
      </c>
      <c r="K129" s="27" t="s">
        <v>105</v>
      </c>
    </row>
    <row r="130" spans="1:11" x14ac:dyDescent="0.2">
      <c r="A130" s="27" t="s">
        <v>133</v>
      </c>
      <c r="B130" s="27" t="s">
        <v>134</v>
      </c>
      <c r="C130" s="27">
        <v>5.7</v>
      </c>
      <c r="D130" s="27">
        <v>2008</v>
      </c>
      <c r="E130" s="27">
        <v>8</v>
      </c>
      <c r="F130" s="27" t="s">
        <v>91</v>
      </c>
      <c r="G130" s="27">
        <v>4</v>
      </c>
      <c r="H130" s="27">
        <v>13</v>
      </c>
      <c r="I130" s="27">
        <v>18</v>
      </c>
      <c r="J130" s="27" t="s">
        <v>104</v>
      </c>
      <c r="K130" s="27" t="s">
        <v>105</v>
      </c>
    </row>
    <row r="131" spans="1:11" x14ac:dyDescent="0.2">
      <c r="A131" s="27" t="s">
        <v>133</v>
      </c>
      <c r="B131" s="27" t="s">
        <v>134</v>
      </c>
      <c r="C131" s="27">
        <v>6.1</v>
      </c>
      <c r="D131" s="27">
        <v>2008</v>
      </c>
      <c r="E131" s="27">
        <v>8</v>
      </c>
      <c r="F131" s="27" t="s">
        <v>91</v>
      </c>
      <c r="G131" s="27">
        <v>4</v>
      </c>
      <c r="H131" s="27">
        <v>11</v>
      </c>
      <c r="I131" s="27">
        <v>14</v>
      </c>
      <c r="J131" s="27" t="s">
        <v>6</v>
      </c>
      <c r="K131" s="27" t="s">
        <v>105</v>
      </c>
    </row>
    <row r="132" spans="1:11" x14ac:dyDescent="0.2">
      <c r="A132" s="27" t="s">
        <v>135</v>
      </c>
      <c r="B132" s="27" t="s">
        <v>136</v>
      </c>
      <c r="C132" s="27">
        <v>4</v>
      </c>
      <c r="D132" s="27">
        <v>1999</v>
      </c>
      <c r="E132" s="27">
        <v>8</v>
      </c>
      <c r="F132" s="27" t="s">
        <v>103</v>
      </c>
      <c r="G132" s="27">
        <v>4</v>
      </c>
      <c r="H132" s="27">
        <v>11</v>
      </c>
      <c r="I132" s="27">
        <v>15</v>
      </c>
      <c r="J132" s="27" t="s">
        <v>6</v>
      </c>
      <c r="K132" s="27" t="s">
        <v>105</v>
      </c>
    </row>
    <row r="133" spans="1:11" x14ac:dyDescent="0.2">
      <c r="A133" s="27" t="s">
        <v>135</v>
      </c>
      <c r="B133" s="27" t="s">
        <v>136</v>
      </c>
      <c r="C133" s="27">
        <v>4.2</v>
      </c>
      <c r="D133" s="27">
        <v>2008</v>
      </c>
      <c r="E133" s="27">
        <v>8</v>
      </c>
      <c r="F133" s="27" t="s">
        <v>98</v>
      </c>
      <c r="G133" s="27">
        <v>4</v>
      </c>
      <c r="H133" s="27">
        <v>12</v>
      </c>
      <c r="I133" s="27">
        <v>18</v>
      </c>
      <c r="J133" s="27" t="s">
        <v>104</v>
      </c>
      <c r="K133" s="27" t="s">
        <v>105</v>
      </c>
    </row>
    <row r="134" spans="1:11" x14ac:dyDescent="0.2">
      <c r="A134" s="27" t="s">
        <v>135</v>
      </c>
      <c r="B134" s="27" t="s">
        <v>136</v>
      </c>
      <c r="C134" s="27">
        <v>4.4000000000000004</v>
      </c>
      <c r="D134" s="27">
        <v>2008</v>
      </c>
      <c r="E134" s="27">
        <v>8</v>
      </c>
      <c r="F134" s="27" t="s">
        <v>98</v>
      </c>
      <c r="G134" s="27">
        <v>4</v>
      </c>
      <c r="H134" s="27">
        <v>12</v>
      </c>
      <c r="I134" s="27">
        <v>18</v>
      </c>
      <c r="J134" s="27" t="s">
        <v>104</v>
      </c>
      <c r="K134" s="27" t="s">
        <v>105</v>
      </c>
    </row>
    <row r="135" spans="1:11" x14ac:dyDescent="0.2">
      <c r="A135" s="27" t="s">
        <v>135</v>
      </c>
      <c r="B135" s="27" t="s">
        <v>136</v>
      </c>
      <c r="C135" s="27">
        <v>4.5999999999999996</v>
      </c>
      <c r="D135" s="27">
        <v>1999</v>
      </c>
      <c r="E135" s="27">
        <v>8</v>
      </c>
      <c r="F135" s="27" t="s">
        <v>103</v>
      </c>
      <c r="G135" s="27">
        <v>4</v>
      </c>
      <c r="H135" s="27">
        <v>11</v>
      </c>
      <c r="I135" s="27">
        <v>15</v>
      </c>
      <c r="J135" s="27" t="s">
        <v>6</v>
      </c>
      <c r="K135" s="27" t="s">
        <v>105</v>
      </c>
    </row>
    <row r="136" spans="1:11" x14ac:dyDescent="0.2">
      <c r="A136" s="27" t="s">
        <v>137</v>
      </c>
      <c r="B136" s="27" t="s">
        <v>138</v>
      </c>
      <c r="C136" s="27">
        <v>5.4</v>
      </c>
      <c r="D136" s="27">
        <v>1999</v>
      </c>
      <c r="E136" s="27">
        <v>8</v>
      </c>
      <c r="F136" s="27" t="s">
        <v>103</v>
      </c>
      <c r="G136" s="27" t="s">
        <v>104</v>
      </c>
      <c r="H136" s="27">
        <v>11</v>
      </c>
      <c r="I136" s="27">
        <v>17</v>
      </c>
      <c r="J136" s="27" t="s">
        <v>104</v>
      </c>
      <c r="K136" s="27" t="s">
        <v>105</v>
      </c>
    </row>
    <row r="137" spans="1:11" x14ac:dyDescent="0.2">
      <c r="A137" s="27" t="s">
        <v>137</v>
      </c>
      <c r="B137" s="27" t="s">
        <v>138</v>
      </c>
      <c r="C137" s="27">
        <v>5.4</v>
      </c>
      <c r="D137" s="27">
        <v>1999</v>
      </c>
      <c r="E137" s="27">
        <v>8</v>
      </c>
      <c r="F137" s="27" t="s">
        <v>103</v>
      </c>
      <c r="G137" s="27" t="s">
        <v>104</v>
      </c>
      <c r="H137" s="27">
        <v>11</v>
      </c>
      <c r="I137" s="27">
        <v>16</v>
      </c>
      <c r="J137" s="27" t="s">
        <v>6</v>
      </c>
      <c r="K137" s="27" t="s">
        <v>105</v>
      </c>
    </row>
    <row r="138" spans="1:11" x14ac:dyDescent="0.2">
      <c r="A138" s="27" t="s">
        <v>137</v>
      </c>
      <c r="B138" s="27" t="s">
        <v>138</v>
      </c>
      <c r="C138" s="27">
        <v>5.4</v>
      </c>
      <c r="D138" s="27">
        <v>2008</v>
      </c>
      <c r="E138" s="27">
        <v>8</v>
      </c>
      <c r="F138" s="27" t="s">
        <v>116</v>
      </c>
      <c r="G138" s="27" t="s">
        <v>104</v>
      </c>
      <c r="H138" s="27">
        <v>12</v>
      </c>
      <c r="I138" s="27">
        <v>18</v>
      </c>
      <c r="J138" s="27" t="s">
        <v>104</v>
      </c>
      <c r="K138" s="27" t="s">
        <v>105</v>
      </c>
    </row>
    <row r="139" spans="1:11" x14ac:dyDescent="0.2">
      <c r="A139" s="27" t="s">
        <v>139</v>
      </c>
      <c r="B139" s="27" t="s">
        <v>140</v>
      </c>
      <c r="C139" s="27">
        <v>4</v>
      </c>
      <c r="D139" s="27">
        <v>1999</v>
      </c>
      <c r="E139" s="27">
        <v>6</v>
      </c>
      <c r="F139" s="27" t="s">
        <v>91</v>
      </c>
      <c r="G139" s="27">
        <v>4</v>
      </c>
      <c r="H139" s="27">
        <v>14</v>
      </c>
      <c r="I139" s="27">
        <v>17</v>
      </c>
      <c r="J139" s="27" t="s">
        <v>104</v>
      </c>
      <c r="K139" s="27" t="s">
        <v>105</v>
      </c>
    </row>
    <row r="140" spans="1:11" x14ac:dyDescent="0.2">
      <c r="A140" s="27" t="s">
        <v>139</v>
      </c>
      <c r="B140" s="27" t="s">
        <v>140</v>
      </c>
      <c r="C140" s="27">
        <v>4</v>
      </c>
      <c r="D140" s="27">
        <v>2008</v>
      </c>
      <c r="E140" s="27">
        <v>6</v>
      </c>
      <c r="F140" s="27" t="s">
        <v>91</v>
      </c>
      <c r="G140" s="27">
        <v>4</v>
      </c>
      <c r="H140" s="27">
        <v>13</v>
      </c>
      <c r="I140" s="27">
        <v>19</v>
      </c>
      <c r="J140" s="27" t="s">
        <v>104</v>
      </c>
      <c r="K140" s="27" t="s">
        <v>105</v>
      </c>
    </row>
    <row r="141" spans="1:11" x14ac:dyDescent="0.2">
      <c r="A141" s="27" t="s">
        <v>139</v>
      </c>
      <c r="B141" s="27" t="s">
        <v>140</v>
      </c>
      <c r="C141" s="27">
        <v>4.5999999999999996</v>
      </c>
      <c r="D141" s="27">
        <v>2008</v>
      </c>
      <c r="E141" s="27">
        <v>8</v>
      </c>
      <c r="F141" s="27" t="s">
        <v>116</v>
      </c>
      <c r="G141" s="27">
        <v>4</v>
      </c>
      <c r="H141" s="27">
        <v>13</v>
      </c>
      <c r="I141" s="27">
        <v>19</v>
      </c>
      <c r="J141" s="27" t="s">
        <v>104</v>
      </c>
      <c r="K141" s="27" t="s">
        <v>105</v>
      </c>
    </row>
    <row r="142" spans="1:11" x14ac:dyDescent="0.2">
      <c r="A142" s="27" t="s">
        <v>139</v>
      </c>
      <c r="B142" s="27" t="s">
        <v>140</v>
      </c>
      <c r="C142" s="27">
        <v>5</v>
      </c>
      <c r="D142" s="27">
        <v>1999</v>
      </c>
      <c r="E142" s="27">
        <v>8</v>
      </c>
      <c r="F142" s="27" t="s">
        <v>103</v>
      </c>
      <c r="G142" s="27">
        <v>4</v>
      </c>
      <c r="H142" s="27">
        <v>13</v>
      </c>
      <c r="I142" s="27">
        <v>17</v>
      </c>
      <c r="J142" s="27" t="s">
        <v>104</v>
      </c>
      <c r="K142" s="27" t="s">
        <v>105</v>
      </c>
    </row>
    <row r="143" spans="1:11" x14ac:dyDescent="0.2">
      <c r="A143" s="27" t="s">
        <v>141</v>
      </c>
      <c r="B143" s="27" t="s">
        <v>142</v>
      </c>
      <c r="C143" s="27">
        <v>2.4</v>
      </c>
      <c r="D143" s="27">
        <v>1999</v>
      </c>
      <c r="E143" s="27">
        <v>4</v>
      </c>
      <c r="F143" s="27" t="s">
        <v>94</v>
      </c>
      <c r="G143" s="27" t="s">
        <v>92</v>
      </c>
      <c r="H143" s="27">
        <v>21</v>
      </c>
      <c r="I143" s="27">
        <v>29</v>
      </c>
      <c r="J143" s="27" t="s">
        <v>104</v>
      </c>
      <c r="K143" s="27" t="s">
        <v>93</v>
      </c>
    </row>
    <row r="144" spans="1:11" x14ac:dyDescent="0.2">
      <c r="A144" s="27" t="s">
        <v>141</v>
      </c>
      <c r="B144" s="27" t="s">
        <v>142</v>
      </c>
      <c r="C144" s="27">
        <v>2.4</v>
      </c>
      <c r="D144" s="27">
        <v>1999</v>
      </c>
      <c r="E144" s="27">
        <v>4</v>
      </c>
      <c r="F144" s="27" t="s">
        <v>103</v>
      </c>
      <c r="G144" s="27" t="s">
        <v>92</v>
      </c>
      <c r="H144" s="27">
        <v>19</v>
      </c>
      <c r="I144" s="27">
        <v>27</v>
      </c>
      <c r="J144" s="27" t="s">
        <v>104</v>
      </c>
      <c r="K144" s="27" t="s">
        <v>93</v>
      </c>
    </row>
    <row r="145" spans="1:11" x14ac:dyDescent="0.2">
      <c r="A145" s="27" t="s">
        <v>141</v>
      </c>
      <c r="B145" s="27" t="s">
        <v>142</v>
      </c>
      <c r="C145" s="27">
        <v>2.5</v>
      </c>
      <c r="D145" s="27">
        <v>2008</v>
      </c>
      <c r="E145" s="27">
        <v>4</v>
      </c>
      <c r="F145" s="27" t="s">
        <v>96</v>
      </c>
      <c r="G145" s="27" t="s">
        <v>92</v>
      </c>
      <c r="H145" s="27">
        <v>23</v>
      </c>
      <c r="I145" s="27">
        <v>31</v>
      </c>
      <c r="J145" s="27" t="s">
        <v>104</v>
      </c>
      <c r="K145" s="27" t="s">
        <v>100</v>
      </c>
    </row>
    <row r="146" spans="1:11" x14ac:dyDescent="0.2">
      <c r="A146" s="27" t="s">
        <v>141</v>
      </c>
      <c r="B146" s="27" t="s">
        <v>142</v>
      </c>
      <c r="C146" s="27">
        <v>2.5</v>
      </c>
      <c r="D146" s="27">
        <v>2008</v>
      </c>
      <c r="E146" s="27">
        <v>4</v>
      </c>
      <c r="F146" s="27" t="s">
        <v>95</v>
      </c>
      <c r="G146" s="27" t="s">
        <v>92</v>
      </c>
      <c r="H146" s="27">
        <v>23</v>
      </c>
      <c r="I146" s="27">
        <v>32</v>
      </c>
      <c r="J146" s="27" t="s">
        <v>104</v>
      </c>
      <c r="K146" s="27" t="s">
        <v>100</v>
      </c>
    </row>
    <row r="147" spans="1:11" x14ac:dyDescent="0.2">
      <c r="A147" s="27" t="s">
        <v>141</v>
      </c>
      <c r="B147" s="27" t="s">
        <v>142</v>
      </c>
      <c r="C147" s="27">
        <v>3.5</v>
      </c>
      <c r="D147" s="27">
        <v>2008</v>
      </c>
      <c r="E147" s="27">
        <v>6</v>
      </c>
      <c r="F147" s="27" t="s">
        <v>95</v>
      </c>
      <c r="G147" s="27" t="s">
        <v>92</v>
      </c>
      <c r="H147" s="27">
        <v>19</v>
      </c>
      <c r="I147" s="27">
        <v>27</v>
      </c>
      <c r="J147" s="27" t="s">
        <v>6</v>
      </c>
      <c r="K147" s="27" t="s">
        <v>100</v>
      </c>
    </row>
    <row r="148" spans="1:11" x14ac:dyDescent="0.2">
      <c r="A148" s="27" t="s">
        <v>141</v>
      </c>
      <c r="B148" s="27" t="s">
        <v>142</v>
      </c>
      <c r="C148" s="27">
        <v>3.5</v>
      </c>
      <c r="D148" s="27">
        <v>2008</v>
      </c>
      <c r="E148" s="27">
        <v>6</v>
      </c>
      <c r="F148" s="27" t="s">
        <v>96</v>
      </c>
      <c r="G148" s="27" t="s">
        <v>92</v>
      </c>
      <c r="H148" s="27">
        <v>19</v>
      </c>
      <c r="I148" s="27">
        <v>26</v>
      </c>
      <c r="J148" s="27" t="s">
        <v>6</v>
      </c>
      <c r="K148" s="27" t="s">
        <v>100</v>
      </c>
    </row>
    <row r="149" spans="1:11" x14ac:dyDescent="0.2">
      <c r="A149" s="27" t="s">
        <v>141</v>
      </c>
      <c r="B149" s="27" t="s">
        <v>143</v>
      </c>
      <c r="C149" s="27">
        <v>3</v>
      </c>
      <c r="D149" s="27">
        <v>1999</v>
      </c>
      <c r="E149" s="27">
        <v>6</v>
      </c>
      <c r="F149" s="27" t="s">
        <v>103</v>
      </c>
      <c r="G149" s="27" t="s">
        <v>92</v>
      </c>
      <c r="H149" s="27">
        <v>18</v>
      </c>
      <c r="I149" s="27">
        <v>26</v>
      </c>
      <c r="J149" s="27" t="s">
        <v>104</v>
      </c>
      <c r="K149" s="27" t="s">
        <v>100</v>
      </c>
    </row>
    <row r="150" spans="1:11" x14ac:dyDescent="0.2">
      <c r="A150" s="27" t="s">
        <v>141</v>
      </c>
      <c r="B150" s="27" t="s">
        <v>143</v>
      </c>
      <c r="C150" s="27">
        <v>3</v>
      </c>
      <c r="D150" s="27">
        <v>1999</v>
      </c>
      <c r="E150" s="27">
        <v>6</v>
      </c>
      <c r="F150" s="27" t="s">
        <v>94</v>
      </c>
      <c r="G150" s="27" t="s">
        <v>92</v>
      </c>
      <c r="H150" s="27">
        <v>19</v>
      </c>
      <c r="I150" s="27">
        <v>25</v>
      </c>
      <c r="J150" s="27" t="s">
        <v>104</v>
      </c>
      <c r="K150" s="27" t="s">
        <v>100</v>
      </c>
    </row>
    <row r="151" spans="1:11" x14ac:dyDescent="0.2">
      <c r="A151" s="27" t="s">
        <v>141</v>
      </c>
      <c r="B151" s="27" t="s">
        <v>143</v>
      </c>
      <c r="C151" s="27">
        <v>3.5</v>
      </c>
      <c r="D151" s="27">
        <v>2008</v>
      </c>
      <c r="E151" s="27">
        <v>6</v>
      </c>
      <c r="F151" s="27" t="s">
        <v>96</v>
      </c>
      <c r="G151" s="27" t="s">
        <v>92</v>
      </c>
      <c r="H151" s="27">
        <v>19</v>
      </c>
      <c r="I151" s="27">
        <v>25</v>
      </c>
      <c r="J151" s="27" t="s">
        <v>6</v>
      </c>
      <c r="K151" s="27" t="s">
        <v>100</v>
      </c>
    </row>
    <row r="152" spans="1:11" x14ac:dyDescent="0.2">
      <c r="A152" s="27" t="s">
        <v>141</v>
      </c>
      <c r="B152" s="27" t="s">
        <v>144</v>
      </c>
      <c r="C152" s="27">
        <v>3.3</v>
      </c>
      <c r="D152" s="27">
        <v>1999</v>
      </c>
      <c r="E152" s="27">
        <v>6</v>
      </c>
      <c r="F152" s="27" t="s">
        <v>103</v>
      </c>
      <c r="G152" s="27">
        <v>4</v>
      </c>
      <c r="H152" s="27">
        <v>14</v>
      </c>
      <c r="I152" s="27">
        <v>17</v>
      </c>
      <c r="J152" s="27" t="s">
        <v>104</v>
      </c>
      <c r="K152" s="27" t="s">
        <v>105</v>
      </c>
    </row>
    <row r="153" spans="1:11" x14ac:dyDescent="0.2">
      <c r="A153" s="27" t="s">
        <v>141</v>
      </c>
      <c r="B153" s="27" t="s">
        <v>144</v>
      </c>
      <c r="C153" s="27">
        <v>3.3</v>
      </c>
      <c r="D153" s="27">
        <v>1999</v>
      </c>
      <c r="E153" s="27">
        <v>6</v>
      </c>
      <c r="F153" s="27" t="s">
        <v>94</v>
      </c>
      <c r="G153" s="27">
        <v>4</v>
      </c>
      <c r="H153" s="27">
        <v>15</v>
      </c>
      <c r="I153" s="27">
        <v>17</v>
      </c>
      <c r="J153" s="27" t="s">
        <v>104</v>
      </c>
      <c r="K153" s="27" t="s">
        <v>105</v>
      </c>
    </row>
    <row r="154" spans="1:11" x14ac:dyDescent="0.2">
      <c r="A154" s="27" t="s">
        <v>141</v>
      </c>
      <c r="B154" s="27" t="s">
        <v>144</v>
      </c>
      <c r="C154" s="27">
        <v>4</v>
      </c>
      <c r="D154" s="27">
        <v>2008</v>
      </c>
      <c r="E154" s="27">
        <v>6</v>
      </c>
      <c r="F154" s="27" t="s">
        <v>91</v>
      </c>
      <c r="G154" s="27">
        <v>4</v>
      </c>
      <c r="H154" s="27">
        <v>14</v>
      </c>
      <c r="I154" s="27">
        <v>20</v>
      </c>
      <c r="J154" s="27" t="s">
        <v>6</v>
      </c>
      <c r="K154" s="27" t="s">
        <v>105</v>
      </c>
    </row>
    <row r="155" spans="1:11" x14ac:dyDescent="0.2">
      <c r="A155" s="27" t="s">
        <v>141</v>
      </c>
      <c r="B155" s="27" t="s">
        <v>144</v>
      </c>
      <c r="C155" s="27">
        <v>5.6</v>
      </c>
      <c r="D155" s="27">
        <v>2008</v>
      </c>
      <c r="E155" s="27">
        <v>8</v>
      </c>
      <c r="F155" s="27" t="s">
        <v>145</v>
      </c>
      <c r="G155" s="27">
        <v>4</v>
      </c>
      <c r="H155" s="27">
        <v>12</v>
      </c>
      <c r="I155" s="27">
        <v>18</v>
      </c>
      <c r="J155" s="27" t="s">
        <v>6</v>
      </c>
      <c r="K155" s="27" t="s">
        <v>105</v>
      </c>
    </row>
    <row r="156" spans="1:11" x14ac:dyDescent="0.2">
      <c r="A156" s="27" t="s">
        <v>146</v>
      </c>
      <c r="B156" s="27" t="s">
        <v>147</v>
      </c>
      <c r="C156" s="27">
        <v>3.1</v>
      </c>
      <c r="D156" s="27">
        <v>1999</v>
      </c>
      <c r="E156" s="27">
        <v>6</v>
      </c>
      <c r="F156" s="27" t="s">
        <v>103</v>
      </c>
      <c r="G156" s="27" t="s">
        <v>92</v>
      </c>
      <c r="H156" s="27">
        <v>18</v>
      </c>
      <c r="I156" s="27">
        <v>26</v>
      </c>
      <c r="J156" s="27" t="s">
        <v>104</v>
      </c>
      <c r="K156" s="27" t="s">
        <v>100</v>
      </c>
    </row>
    <row r="157" spans="1:11" x14ac:dyDescent="0.2">
      <c r="A157" s="27" t="s">
        <v>146</v>
      </c>
      <c r="B157" s="27" t="s">
        <v>147</v>
      </c>
      <c r="C157" s="27">
        <v>3.8</v>
      </c>
      <c r="D157" s="27">
        <v>1999</v>
      </c>
      <c r="E157" s="27">
        <v>6</v>
      </c>
      <c r="F157" s="27" t="s">
        <v>103</v>
      </c>
      <c r="G157" s="27" t="s">
        <v>92</v>
      </c>
      <c r="H157" s="27">
        <v>16</v>
      </c>
      <c r="I157" s="27">
        <v>26</v>
      </c>
      <c r="J157" s="27" t="s">
        <v>6</v>
      </c>
      <c r="K157" s="27" t="s">
        <v>100</v>
      </c>
    </row>
    <row r="158" spans="1:11" x14ac:dyDescent="0.2">
      <c r="A158" s="27" t="s">
        <v>146</v>
      </c>
      <c r="B158" s="27" t="s">
        <v>147</v>
      </c>
      <c r="C158" s="27">
        <v>3.8</v>
      </c>
      <c r="D158" s="27">
        <v>1999</v>
      </c>
      <c r="E158" s="27">
        <v>6</v>
      </c>
      <c r="F158" s="27" t="s">
        <v>103</v>
      </c>
      <c r="G158" s="27" t="s">
        <v>92</v>
      </c>
      <c r="H158" s="27">
        <v>17</v>
      </c>
      <c r="I158" s="27">
        <v>27</v>
      </c>
      <c r="J158" s="27" t="s">
        <v>104</v>
      </c>
      <c r="K158" s="27" t="s">
        <v>100</v>
      </c>
    </row>
    <row r="159" spans="1:11" x14ac:dyDescent="0.2">
      <c r="A159" s="27" t="s">
        <v>146</v>
      </c>
      <c r="B159" s="27" t="s">
        <v>147</v>
      </c>
      <c r="C159" s="27">
        <v>3.8</v>
      </c>
      <c r="D159" s="27">
        <v>2008</v>
      </c>
      <c r="E159" s="27">
        <v>6</v>
      </c>
      <c r="F159" s="27" t="s">
        <v>103</v>
      </c>
      <c r="G159" s="27" t="s">
        <v>92</v>
      </c>
      <c r="H159" s="27">
        <v>18</v>
      </c>
      <c r="I159" s="27">
        <v>28</v>
      </c>
      <c r="J159" s="27" t="s">
        <v>104</v>
      </c>
      <c r="K159" s="27" t="s">
        <v>100</v>
      </c>
    </row>
    <row r="160" spans="1:11" x14ac:dyDescent="0.2">
      <c r="A160" s="27" t="s">
        <v>146</v>
      </c>
      <c r="B160" s="27" t="s">
        <v>147</v>
      </c>
      <c r="C160" s="27">
        <v>5.3</v>
      </c>
      <c r="D160" s="27">
        <v>2008</v>
      </c>
      <c r="E160" s="27">
        <v>8</v>
      </c>
      <c r="F160" s="27" t="s">
        <v>148</v>
      </c>
      <c r="G160" s="27" t="s">
        <v>92</v>
      </c>
      <c r="H160" s="27">
        <v>16</v>
      </c>
      <c r="I160" s="27">
        <v>25</v>
      </c>
      <c r="J160" s="27" t="s">
        <v>6</v>
      </c>
      <c r="K160" s="27" t="s">
        <v>100</v>
      </c>
    </row>
    <row r="161" spans="1:11" x14ac:dyDescent="0.2">
      <c r="A161" s="27" t="s">
        <v>149</v>
      </c>
      <c r="B161" s="27" t="s">
        <v>150</v>
      </c>
      <c r="C161" s="27">
        <v>2.5</v>
      </c>
      <c r="D161" s="27">
        <v>1999</v>
      </c>
      <c r="E161" s="27">
        <v>4</v>
      </c>
      <c r="F161" s="27" t="s">
        <v>94</v>
      </c>
      <c r="G161" s="27">
        <v>4</v>
      </c>
      <c r="H161" s="27">
        <v>18</v>
      </c>
      <c r="I161" s="27">
        <v>25</v>
      </c>
      <c r="J161" s="27" t="s">
        <v>104</v>
      </c>
      <c r="K161" s="27" t="s">
        <v>105</v>
      </c>
    </row>
    <row r="162" spans="1:11" x14ac:dyDescent="0.2">
      <c r="A162" s="27" t="s">
        <v>149</v>
      </c>
      <c r="B162" s="27" t="s">
        <v>150</v>
      </c>
      <c r="C162" s="27">
        <v>2.5</v>
      </c>
      <c r="D162" s="27">
        <v>1999</v>
      </c>
      <c r="E162" s="27">
        <v>4</v>
      </c>
      <c r="F162" s="27" t="s">
        <v>103</v>
      </c>
      <c r="G162" s="27">
        <v>4</v>
      </c>
      <c r="H162" s="27">
        <v>18</v>
      </c>
      <c r="I162" s="27">
        <v>24</v>
      </c>
      <c r="J162" s="27" t="s">
        <v>104</v>
      </c>
      <c r="K162" s="27" t="s">
        <v>105</v>
      </c>
    </row>
    <row r="163" spans="1:11" x14ac:dyDescent="0.2">
      <c r="A163" s="27" t="s">
        <v>149</v>
      </c>
      <c r="B163" s="27" t="s">
        <v>150</v>
      </c>
      <c r="C163" s="27">
        <v>2.5</v>
      </c>
      <c r="D163" s="27">
        <v>2008</v>
      </c>
      <c r="E163" s="27">
        <v>4</v>
      </c>
      <c r="F163" s="27" t="s">
        <v>94</v>
      </c>
      <c r="G163" s="27">
        <v>4</v>
      </c>
      <c r="H163" s="27">
        <v>20</v>
      </c>
      <c r="I163" s="27">
        <v>27</v>
      </c>
      <c r="J163" s="27" t="s">
        <v>104</v>
      </c>
      <c r="K163" s="27" t="s">
        <v>105</v>
      </c>
    </row>
    <row r="164" spans="1:11" x14ac:dyDescent="0.2">
      <c r="A164" s="27" t="s">
        <v>149</v>
      </c>
      <c r="B164" s="27" t="s">
        <v>150</v>
      </c>
      <c r="C164" s="27">
        <v>2.5</v>
      </c>
      <c r="D164" s="27">
        <v>2008</v>
      </c>
      <c r="E164" s="27">
        <v>4</v>
      </c>
      <c r="F164" s="27" t="s">
        <v>94</v>
      </c>
      <c r="G164" s="27">
        <v>4</v>
      </c>
      <c r="H164" s="27">
        <v>19</v>
      </c>
      <c r="I164" s="27">
        <v>25</v>
      </c>
      <c r="J164" s="27" t="s">
        <v>6</v>
      </c>
      <c r="K164" s="27" t="s">
        <v>105</v>
      </c>
    </row>
    <row r="165" spans="1:11" x14ac:dyDescent="0.2">
      <c r="A165" s="27" t="s">
        <v>149</v>
      </c>
      <c r="B165" s="27" t="s">
        <v>150</v>
      </c>
      <c r="C165" s="27">
        <v>2.5</v>
      </c>
      <c r="D165" s="27">
        <v>2008</v>
      </c>
      <c r="E165" s="27">
        <v>4</v>
      </c>
      <c r="F165" s="27" t="s">
        <v>103</v>
      </c>
      <c r="G165" s="27">
        <v>4</v>
      </c>
      <c r="H165" s="27">
        <v>20</v>
      </c>
      <c r="I165" s="27">
        <v>26</v>
      </c>
      <c r="J165" s="27" t="s">
        <v>104</v>
      </c>
      <c r="K165" s="27" t="s">
        <v>105</v>
      </c>
    </row>
    <row r="166" spans="1:11" x14ac:dyDescent="0.2">
      <c r="A166" s="27" t="s">
        <v>149</v>
      </c>
      <c r="B166" s="27" t="s">
        <v>150</v>
      </c>
      <c r="C166" s="27">
        <v>2.5</v>
      </c>
      <c r="D166" s="27">
        <v>2008</v>
      </c>
      <c r="E166" s="27">
        <v>4</v>
      </c>
      <c r="F166" s="27" t="s">
        <v>103</v>
      </c>
      <c r="G166" s="27">
        <v>4</v>
      </c>
      <c r="H166" s="27">
        <v>18</v>
      </c>
      <c r="I166" s="27">
        <v>23</v>
      </c>
      <c r="J166" s="27" t="s">
        <v>6</v>
      </c>
      <c r="K166" s="27" t="s">
        <v>105</v>
      </c>
    </row>
    <row r="167" spans="1:11" x14ac:dyDescent="0.2">
      <c r="A167" s="27" t="s">
        <v>149</v>
      </c>
      <c r="B167" s="27" t="s">
        <v>151</v>
      </c>
      <c r="C167" s="27">
        <v>2.2000000000000002</v>
      </c>
      <c r="D167" s="27">
        <v>1999</v>
      </c>
      <c r="E167" s="27">
        <v>4</v>
      </c>
      <c r="F167" s="27" t="s">
        <v>103</v>
      </c>
      <c r="G167" s="27">
        <v>4</v>
      </c>
      <c r="H167" s="27">
        <v>21</v>
      </c>
      <c r="I167" s="27">
        <v>26</v>
      </c>
      <c r="J167" s="27" t="s">
        <v>104</v>
      </c>
      <c r="K167" s="27" t="s">
        <v>126</v>
      </c>
    </row>
    <row r="168" spans="1:11" x14ac:dyDescent="0.2">
      <c r="A168" s="27" t="s">
        <v>149</v>
      </c>
      <c r="B168" s="27" t="s">
        <v>151</v>
      </c>
      <c r="C168" s="27">
        <v>2.2000000000000002</v>
      </c>
      <c r="D168" s="27">
        <v>1999</v>
      </c>
      <c r="E168" s="27">
        <v>4</v>
      </c>
      <c r="F168" s="27" t="s">
        <v>94</v>
      </c>
      <c r="G168" s="27">
        <v>4</v>
      </c>
      <c r="H168" s="27">
        <v>19</v>
      </c>
      <c r="I168" s="27">
        <v>26</v>
      </c>
      <c r="J168" s="27" t="s">
        <v>104</v>
      </c>
      <c r="K168" s="27" t="s">
        <v>126</v>
      </c>
    </row>
    <row r="169" spans="1:11" x14ac:dyDescent="0.2">
      <c r="A169" s="27" t="s">
        <v>149</v>
      </c>
      <c r="B169" s="27" t="s">
        <v>151</v>
      </c>
      <c r="C169" s="27">
        <v>2.5</v>
      </c>
      <c r="D169" s="27">
        <v>1999</v>
      </c>
      <c r="E169" s="27">
        <v>4</v>
      </c>
      <c r="F169" s="27" t="s">
        <v>94</v>
      </c>
      <c r="G169" s="27">
        <v>4</v>
      </c>
      <c r="H169" s="27">
        <v>19</v>
      </c>
      <c r="I169" s="27">
        <v>26</v>
      </c>
      <c r="J169" s="27" t="s">
        <v>104</v>
      </c>
      <c r="K169" s="27" t="s">
        <v>126</v>
      </c>
    </row>
    <row r="170" spans="1:11" x14ac:dyDescent="0.2">
      <c r="A170" s="27" t="s">
        <v>149</v>
      </c>
      <c r="B170" s="27" t="s">
        <v>151</v>
      </c>
      <c r="C170" s="27">
        <v>2.5</v>
      </c>
      <c r="D170" s="27">
        <v>1999</v>
      </c>
      <c r="E170" s="27">
        <v>4</v>
      </c>
      <c r="F170" s="27" t="s">
        <v>103</v>
      </c>
      <c r="G170" s="27">
        <v>4</v>
      </c>
      <c r="H170" s="27">
        <v>19</v>
      </c>
      <c r="I170" s="27">
        <v>26</v>
      </c>
      <c r="J170" s="27" t="s">
        <v>104</v>
      </c>
      <c r="K170" s="27" t="s">
        <v>126</v>
      </c>
    </row>
    <row r="171" spans="1:11" x14ac:dyDescent="0.2">
      <c r="A171" s="27" t="s">
        <v>149</v>
      </c>
      <c r="B171" s="27" t="s">
        <v>151</v>
      </c>
      <c r="C171" s="27">
        <v>2.5</v>
      </c>
      <c r="D171" s="27">
        <v>2008</v>
      </c>
      <c r="E171" s="27">
        <v>4</v>
      </c>
      <c r="F171" s="27" t="s">
        <v>148</v>
      </c>
      <c r="G171" s="27">
        <v>4</v>
      </c>
      <c r="H171" s="27">
        <v>20</v>
      </c>
      <c r="I171" s="27">
        <v>25</v>
      </c>
      <c r="J171" s="27" t="s">
        <v>6</v>
      </c>
      <c r="K171" s="27" t="s">
        <v>93</v>
      </c>
    </row>
    <row r="172" spans="1:11" x14ac:dyDescent="0.2">
      <c r="A172" s="27" t="s">
        <v>149</v>
      </c>
      <c r="B172" s="27" t="s">
        <v>151</v>
      </c>
      <c r="C172" s="27">
        <v>2.5</v>
      </c>
      <c r="D172" s="27">
        <v>2008</v>
      </c>
      <c r="E172" s="27">
        <v>4</v>
      </c>
      <c r="F172" s="27" t="s">
        <v>148</v>
      </c>
      <c r="G172" s="27">
        <v>4</v>
      </c>
      <c r="H172" s="27">
        <v>20</v>
      </c>
      <c r="I172" s="27">
        <v>27</v>
      </c>
      <c r="J172" s="27" t="s">
        <v>104</v>
      </c>
      <c r="K172" s="27" t="s">
        <v>93</v>
      </c>
    </row>
    <row r="173" spans="1:11" x14ac:dyDescent="0.2">
      <c r="A173" s="27" t="s">
        <v>149</v>
      </c>
      <c r="B173" s="27" t="s">
        <v>151</v>
      </c>
      <c r="C173" s="27">
        <v>2.5</v>
      </c>
      <c r="D173" s="27">
        <v>2008</v>
      </c>
      <c r="E173" s="27">
        <v>4</v>
      </c>
      <c r="F173" s="27" t="s">
        <v>94</v>
      </c>
      <c r="G173" s="27">
        <v>4</v>
      </c>
      <c r="H173" s="27">
        <v>19</v>
      </c>
      <c r="I173" s="27">
        <v>25</v>
      </c>
      <c r="J173" s="27" t="s">
        <v>6</v>
      </c>
      <c r="K173" s="27" t="s">
        <v>93</v>
      </c>
    </row>
    <row r="174" spans="1:11" x14ac:dyDescent="0.2">
      <c r="A174" s="27" t="s">
        <v>149</v>
      </c>
      <c r="B174" s="27" t="s">
        <v>151</v>
      </c>
      <c r="C174" s="27">
        <v>2.5</v>
      </c>
      <c r="D174" s="27">
        <v>2008</v>
      </c>
      <c r="E174" s="27">
        <v>4</v>
      </c>
      <c r="F174" s="27" t="s">
        <v>94</v>
      </c>
      <c r="G174" s="27">
        <v>4</v>
      </c>
      <c r="H174" s="27">
        <v>20</v>
      </c>
      <c r="I174" s="27">
        <v>27</v>
      </c>
      <c r="J174" s="27" t="s">
        <v>104</v>
      </c>
      <c r="K174" s="27" t="s">
        <v>93</v>
      </c>
    </row>
    <row r="175" spans="1:11" x14ac:dyDescent="0.2">
      <c r="A175" s="27" t="s">
        <v>152</v>
      </c>
      <c r="B175" s="27" t="s">
        <v>153</v>
      </c>
      <c r="C175" s="27">
        <v>2.7</v>
      </c>
      <c r="D175" s="27">
        <v>1999</v>
      </c>
      <c r="E175" s="27">
        <v>4</v>
      </c>
      <c r="F175" s="27" t="s">
        <v>94</v>
      </c>
      <c r="G175" s="27">
        <v>4</v>
      </c>
      <c r="H175" s="27">
        <v>15</v>
      </c>
      <c r="I175" s="27">
        <v>20</v>
      </c>
      <c r="J175" s="27" t="s">
        <v>104</v>
      </c>
      <c r="K175" s="27" t="s">
        <v>105</v>
      </c>
    </row>
    <row r="176" spans="1:11" x14ac:dyDescent="0.2">
      <c r="A176" s="27" t="s">
        <v>152</v>
      </c>
      <c r="B176" s="27" t="s">
        <v>153</v>
      </c>
      <c r="C176" s="27">
        <v>2.7</v>
      </c>
      <c r="D176" s="27">
        <v>1999</v>
      </c>
      <c r="E176" s="27">
        <v>4</v>
      </c>
      <c r="F176" s="27" t="s">
        <v>103</v>
      </c>
      <c r="G176" s="27">
        <v>4</v>
      </c>
      <c r="H176" s="27">
        <v>16</v>
      </c>
      <c r="I176" s="27">
        <v>20</v>
      </c>
      <c r="J176" s="27" t="s">
        <v>104</v>
      </c>
      <c r="K176" s="27" t="s">
        <v>105</v>
      </c>
    </row>
    <row r="177" spans="1:11" x14ac:dyDescent="0.2">
      <c r="A177" s="27" t="s">
        <v>152</v>
      </c>
      <c r="B177" s="27" t="s">
        <v>153</v>
      </c>
      <c r="C177" s="27">
        <v>3.4</v>
      </c>
      <c r="D177" s="27">
        <v>1999</v>
      </c>
      <c r="E177" s="27">
        <v>6</v>
      </c>
      <c r="F177" s="27" t="s">
        <v>103</v>
      </c>
      <c r="G177" s="27">
        <v>4</v>
      </c>
      <c r="H177" s="27">
        <v>15</v>
      </c>
      <c r="I177" s="27">
        <v>19</v>
      </c>
      <c r="J177" s="27" t="s">
        <v>104</v>
      </c>
      <c r="K177" s="27" t="s">
        <v>105</v>
      </c>
    </row>
    <row r="178" spans="1:11" x14ac:dyDescent="0.2">
      <c r="A178" s="27" t="s">
        <v>152</v>
      </c>
      <c r="B178" s="27" t="s">
        <v>153</v>
      </c>
      <c r="C178" s="27">
        <v>3.4</v>
      </c>
      <c r="D178" s="27">
        <v>1999</v>
      </c>
      <c r="E178" s="27">
        <v>6</v>
      </c>
      <c r="F178" s="27" t="s">
        <v>94</v>
      </c>
      <c r="G178" s="27">
        <v>4</v>
      </c>
      <c r="H178" s="27">
        <v>15</v>
      </c>
      <c r="I178" s="27">
        <v>17</v>
      </c>
      <c r="J178" s="27" t="s">
        <v>104</v>
      </c>
      <c r="K178" s="27" t="s">
        <v>105</v>
      </c>
    </row>
    <row r="179" spans="1:11" x14ac:dyDescent="0.2">
      <c r="A179" s="27" t="s">
        <v>152</v>
      </c>
      <c r="B179" s="27" t="s">
        <v>153</v>
      </c>
      <c r="C179" s="27">
        <v>4</v>
      </c>
      <c r="D179" s="27">
        <v>2008</v>
      </c>
      <c r="E179" s="27">
        <v>6</v>
      </c>
      <c r="F179" s="27" t="s">
        <v>91</v>
      </c>
      <c r="G179" s="27">
        <v>4</v>
      </c>
      <c r="H179" s="27">
        <v>16</v>
      </c>
      <c r="I179" s="27">
        <v>20</v>
      </c>
      <c r="J179" s="27" t="s">
        <v>104</v>
      </c>
      <c r="K179" s="27" t="s">
        <v>105</v>
      </c>
    </row>
    <row r="180" spans="1:11" x14ac:dyDescent="0.2">
      <c r="A180" s="27" t="s">
        <v>152</v>
      </c>
      <c r="B180" s="27" t="s">
        <v>153</v>
      </c>
      <c r="C180" s="27">
        <v>4.7</v>
      </c>
      <c r="D180" s="27">
        <v>2008</v>
      </c>
      <c r="E180" s="27">
        <v>8</v>
      </c>
      <c r="F180" s="27" t="s">
        <v>91</v>
      </c>
      <c r="G180" s="27">
        <v>4</v>
      </c>
      <c r="H180" s="27">
        <v>14</v>
      </c>
      <c r="I180" s="27">
        <v>17</v>
      </c>
      <c r="J180" s="27" t="s">
        <v>104</v>
      </c>
      <c r="K180" s="27" t="s">
        <v>105</v>
      </c>
    </row>
    <row r="181" spans="1:11" x14ac:dyDescent="0.2">
      <c r="A181" s="27" t="s">
        <v>152</v>
      </c>
      <c r="B181" s="27" t="s">
        <v>154</v>
      </c>
      <c r="C181" s="27">
        <v>2.2000000000000002</v>
      </c>
      <c r="D181" s="27">
        <v>1999</v>
      </c>
      <c r="E181" s="27">
        <v>4</v>
      </c>
      <c r="F181" s="27" t="s">
        <v>94</v>
      </c>
      <c r="G181" s="27" t="s">
        <v>92</v>
      </c>
      <c r="H181" s="27">
        <v>21</v>
      </c>
      <c r="I181" s="27">
        <v>29</v>
      </c>
      <c r="J181" s="27" t="s">
        <v>104</v>
      </c>
      <c r="K181" s="27" t="s">
        <v>100</v>
      </c>
    </row>
    <row r="182" spans="1:11" x14ac:dyDescent="0.2">
      <c r="A182" s="27" t="s">
        <v>152</v>
      </c>
      <c r="B182" s="27" t="s">
        <v>154</v>
      </c>
      <c r="C182" s="27">
        <v>2.2000000000000002</v>
      </c>
      <c r="D182" s="27">
        <v>1999</v>
      </c>
      <c r="E182" s="27">
        <v>4</v>
      </c>
      <c r="F182" s="27" t="s">
        <v>103</v>
      </c>
      <c r="G182" s="27" t="s">
        <v>92</v>
      </c>
      <c r="H182" s="27">
        <v>21</v>
      </c>
      <c r="I182" s="27">
        <v>27</v>
      </c>
      <c r="J182" s="27" t="s">
        <v>104</v>
      </c>
      <c r="K182" s="27" t="s">
        <v>100</v>
      </c>
    </row>
    <row r="183" spans="1:11" x14ac:dyDescent="0.2">
      <c r="A183" s="27" t="s">
        <v>152</v>
      </c>
      <c r="B183" s="27" t="s">
        <v>154</v>
      </c>
      <c r="C183" s="27">
        <v>2.4</v>
      </c>
      <c r="D183" s="27">
        <v>2008</v>
      </c>
      <c r="E183" s="27">
        <v>4</v>
      </c>
      <c r="F183" s="27" t="s">
        <v>94</v>
      </c>
      <c r="G183" s="27" t="s">
        <v>92</v>
      </c>
      <c r="H183" s="27">
        <v>21</v>
      </c>
      <c r="I183" s="27">
        <v>31</v>
      </c>
      <c r="J183" s="27" t="s">
        <v>104</v>
      </c>
      <c r="K183" s="27" t="s">
        <v>100</v>
      </c>
    </row>
    <row r="184" spans="1:11" x14ac:dyDescent="0.2">
      <c r="A184" s="27" t="s">
        <v>152</v>
      </c>
      <c r="B184" s="27" t="s">
        <v>154</v>
      </c>
      <c r="C184" s="27">
        <v>2.4</v>
      </c>
      <c r="D184" s="27">
        <v>2008</v>
      </c>
      <c r="E184" s="27">
        <v>4</v>
      </c>
      <c r="F184" s="27" t="s">
        <v>91</v>
      </c>
      <c r="G184" s="27" t="s">
        <v>92</v>
      </c>
      <c r="H184" s="27">
        <v>21</v>
      </c>
      <c r="I184" s="27">
        <v>31</v>
      </c>
      <c r="J184" s="27" t="s">
        <v>104</v>
      </c>
      <c r="K184" s="27" t="s">
        <v>100</v>
      </c>
    </row>
    <row r="185" spans="1:11" x14ac:dyDescent="0.2">
      <c r="A185" s="27" t="s">
        <v>152</v>
      </c>
      <c r="B185" s="27" t="s">
        <v>154</v>
      </c>
      <c r="C185" s="27">
        <v>3</v>
      </c>
      <c r="D185" s="27">
        <v>1999</v>
      </c>
      <c r="E185" s="27">
        <v>6</v>
      </c>
      <c r="F185" s="27" t="s">
        <v>103</v>
      </c>
      <c r="G185" s="27" t="s">
        <v>92</v>
      </c>
      <c r="H185" s="27">
        <v>18</v>
      </c>
      <c r="I185" s="27">
        <v>26</v>
      </c>
      <c r="J185" s="27" t="s">
        <v>104</v>
      </c>
      <c r="K185" s="27" t="s">
        <v>100</v>
      </c>
    </row>
    <row r="186" spans="1:11" x14ac:dyDescent="0.2">
      <c r="A186" s="27" t="s">
        <v>152</v>
      </c>
      <c r="B186" s="27" t="s">
        <v>154</v>
      </c>
      <c r="C186" s="27">
        <v>3</v>
      </c>
      <c r="D186" s="27">
        <v>1999</v>
      </c>
      <c r="E186" s="27">
        <v>6</v>
      </c>
      <c r="F186" s="27" t="s">
        <v>94</v>
      </c>
      <c r="G186" s="27" t="s">
        <v>92</v>
      </c>
      <c r="H186" s="27">
        <v>18</v>
      </c>
      <c r="I186" s="27">
        <v>26</v>
      </c>
      <c r="J186" s="27" t="s">
        <v>104</v>
      </c>
      <c r="K186" s="27" t="s">
        <v>100</v>
      </c>
    </row>
    <row r="187" spans="1:11" x14ac:dyDescent="0.2">
      <c r="A187" s="27" t="s">
        <v>152</v>
      </c>
      <c r="B187" s="27" t="s">
        <v>154</v>
      </c>
      <c r="C187" s="27">
        <v>3.5</v>
      </c>
      <c r="D187" s="27">
        <v>2008</v>
      </c>
      <c r="E187" s="27">
        <v>6</v>
      </c>
      <c r="F187" s="27" t="s">
        <v>98</v>
      </c>
      <c r="G187" s="27" t="s">
        <v>92</v>
      </c>
      <c r="H187" s="27">
        <v>19</v>
      </c>
      <c r="I187" s="27">
        <v>28</v>
      </c>
      <c r="J187" s="27" t="s">
        <v>104</v>
      </c>
      <c r="K187" s="27" t="s">
        <v>100</v>
      </c>
    </row>
    <row r="188" spans="1:11" x14ac:dyDescent="0.2">
      <c r="A188" s="27" t="s">
        <v>152</v>
      </c>
      <c r="B188" s="27" t="s">
        <v>155</v>
      </c>
      <c r="C188" s="27">
        <v>2.2000000000000002</v>
      </c>
      <c r="D188" s="27">
        <v>1999</v>
      </c>
      <c r="E188" s="27">
        <v>4</v>
      </c>
      <c r="F188" s="27" t="s">
        <v>103</v>
      </c>
      <c r="G188" s="27" t="s">
        <v>92</v>
      </c>
      <c r="H188" s="27">
        <v>21</v>
      </c>
      <c r="I188" s="27">
        <v>27</v>
      </c>
      <c r="J188" s="27" t="s">
        <v>104</v>
      </c>
      <c r="K188" s="27" t="s">
        <v>93</v>
      </c>
    </row>
    <row r="189" spans="1:11" x14ac:dyDescent="0.2">
      <c r="A189" s="27" t="s">
        <v>152</v>
      </c>
      <c r="B189" s="27" t="s">
        <v>155</v>
      </c>
      <c r="C189" s="27">
        <v>2.2000000000000002</v>
      </c>
      <c r="D189" s="27">
        <v>1999</v>
      </c>
      <c r="E189" s="27">
        <v>4</v>
      </c>
      <c r="F189" s="27" t="s">
        <v>94</v>
      </c>
      <c r="G189" s="27" t="s">
        <v>92</v>
      </c>
      <c r="H189" s="27">
        <v>21</v>
      </c>
      <c r="I189" s="27">
        <v>29</v>
      </c>
      <c r="J189" s="27" t="s">
        <v>104</v>
      </c>
      <c r="K189" s="27" t="s">
        <v>93</v>
      </c>
    </row>
    <row r="190" spans="1:11" x14ac:dyDescent="0.2">
      <c r="A190" s="27" t="s">
        <v>152</v>
      </c>
      <c r="B190" s="27" t="s">
        <v>155</v>
      </c>
      <c r="C190" s="27">
        <v>2.4</v>
      </c>
      <c r="D190" s="27">
        <v>2008</v>
      </c>
      <c r="E190" s="27">
        <v>4</v>
      </c>
      <c r="F190" s="27" t="s">
        <v>94</v>
      </c>
      <c r="G190" s="27" t="s">
        <v>92</v>
      </c>
      <c r="H190" s="27">
        <v>21</v>
      </c>
      <c r="I190" s="27">
        <v>31</v>
      </c>
      <c r="J190" s="27" t="s">
        <v>104</v>
      </c>
      <c r="K190" s="27" t="s">
        <v>93</v>
      </c>
    </row>
    <row r="191" spans="1:11" x14ac:dyDescent="0.2">
      <c r="A191" s="27" t="s">
        <v>152</v>
      </c>
      <c r="B191" s="27" t="s">
        <v>155</v>
      </c>
      <c r="C191" s="27">
        <v>2.4</v>
      </c>
      <c r="D191" s="27">
        <v>2008</v>
      </c>
      <c r="E191" s="27">
        <v>4</v>
      </c>
      <c r="F191" s="27" t="s">
        <v>145</v>
      </c>
      <c r="G191" s="27" t="s">
        <v>92</v>
      </c>
      <c r="H191" s="27">
        <v>22</v>
      </c>
      <c r="I191" s="27">
        <v>31</v>
      </c>
      <c r="J191" s="27" t="s">
        <v>104</v>
      </c>
      <c r="K191" s="27" t="s">
        <v>93</v>
      </c>
    </row>
    <row r="192" spans="1:11" x14ac:dyDescent="0.2">
      <c r="A192" s="27" t="s">
        <v>152</v>
      </c>
      <c r="B192" s="27" t="s">
        <v>155</v>
      </c>
      <c r="C192" s="27">
        <v>3</v>
      </c>
      <c r="D192" s="27">
        <v>1999</v>
      </c>
      <c r="E192" s="27">
        <v>6</v>
      </c>
      <c r="F192" s="27" t="s">
        <v>103</v>
      </c>
      <c r="G192" s="27" t="s">
        <v>92</v>
      </c>
      <c r="H192" s="27">
        <v>18</v>
      </c>
      <c r="I192" s="27">
        <v>26</v>
      </c>
      <c r="J192" s="27" t="s">
        <v>104</v>
      </c>
      <c r="K192" s="27" t="s">
        <v>93</v>
      </c>
    </row>
    <row r="193" spans="1:11" x14ac:dyDescent="0.2">
      <c r="A193" s="27" t="s">
        <v>152</v>
      </c>
      <c r="B193" s="27" t="s">
        <v>155</v>
      </c>
      <c r="C193" s="27">
        <v>3</v>
      </c>
      <c r="D193" s="27">
        <v>1999</v>
      </c>
      <c r="E193" s="27">
        <v>6</v>
      </c>
      <c r="F193" s="27" t="s">
        <v>94</v>
      </c>
      <c r="G193" s="27" t="s">
        <v>92</v>
      </c>
      <c r="H193" s="27">
        <v>18</v>
      </c>
      <c r="I193" s="27">
        <v>26</v>
      </c>
      <c r="J193" s="27" t="s">
        <v>104</v>
      </c>
      <c r="K193" s="27" t="s">
        <v>93</v>
      </c>
    </row>
    <row r="194" spans="1:11" x14ac:dyDescent="0.2">
      <c r="A194" s="27" t="s">
        <v>152</v>
      </c>
      <c r="B194" s="27" t="s">
        <v>155</v>
      </c>
      <c r="C194" s="27">
        <v>3.3</v>
      </c>
      <c r="D194" s="27">
        <v>2008</v>
      </c>
      <c r="E194" s="27">
        <v>6</v>
      </c>
      <c r="F194" s="27" t="s">
        <v>145</v>
      </c>
      <c r="G194" s="27" t="s">
        <v>92</v>
      </c>
      <c r="H194" s="27">
        <v>18</v>
      </c>
      <c r="I194" s="27">
        <v>27</v>
      </c>
      <c r="J194" s="27" t="s">
        <v>104</v>
      </c>
      <c r="K194" s="27" t="s">
        <v>93</v>
      </c>
    </row>
    <row r="195" spans="1:11" x14ac:dyDescent="0.2">
      <c r="A195" s="27" t="s">
        <v>152</v>
      </c>
      <c r="B195" s="27" t="s">
        <v>156</v>
      </c>
      <c r="C195" s="27">
        <v>1.8</v>
      </c>
      <c r="D195" s="27">
        <v>1999</v>
      </c>
      <c r="E195" s="27">
        <v>4</v>
      </c>
      <c r="F195" s="27" t="s">
        <v>114</v>
      </c>
      <c r="G195" s="27" t="s">
        <v>92</v>
      </c>
      <c r="H195" s="27">
        <v>24</v>
      </c>
      <c r="I195" s="27">
        <v>30</v>
      </c>
      <c r="J195" s="27" t="s">
        <v>104</v>
      </c>
      <c r="K195" s="27" t="s">
        <v>93</v>
      </c>
    </row>
    <row r="196" spans="1:11" x14ac:dyDescent="0.2">
      <c r="A196" s="27" t="s">
        <v>152</v>
      </c>
      <c r="B196" s="27" t="s">
        <v>156</v>
      </c>
      <c r="C196" s="27">
        <v>1.8</v>
      </c>
      <c r="D196" s="27">
        <v>1999</v>
      </c>
      <c r="E196" s="27">
        <v>4</v>
      </c>
      <c r="F196" s="27" t="s">
        <v>103</v>
      </c>
      <c r="G196" s="27" t="s">
        <v>92</v>
      </c>
      <c r="H196" s="27">
        <v>24</v>
      </c>
      <c r="I196" s="27">
        <v>33</v>
      </c>
      <c r="J196" s="27" t="s">
        <v>104</v>
      </c>
      <c r="K196" s="27" t="s">
        <v>93</v>
      </c>
    </row>
    <row r="197" spans="1:11" x14ac:dyDescent="0.2">
      <c r="A197" s="27" t="s">
        <v>152</v>
      </c>
      <c r="B197" s="27" t="s">
        <v>156</v>
      </c>
      <c r="C197" s="27">
        <v>1.8</v>
      </c>
      <c r="D197" s="27">
        <v>1999</v>
      </c>
      <c r="E197" s="27">
        <v>4</v>
      </c>
      <c r="F197" s="27" t="s">
        <v>94</v>
      </c>
      <c r="G197" s="27" t="s">
        <v>92</v>
      </c>
      <c r="H197" s="27">
        <v>26</v>
      </c>
      <c r="I197" s="27">
        <v>35</v>
      </c>
      <c r="J197" s="27" t="s">
        <v>104</v>
      </c>
      <c r="K197" s="27" t="s">
        <v>93</v>
      </c>
    </row>
    <row r="198" spans="1:11" x14ac:dyDescent="0.2">
      <c r="A198" s="27" t="s">
        <v>152</v>
      </c>
      <c r="B198" s="27" t="s">
        <v>156</v>
      </c>
      <c r="C198" s="27">
        <v>1.8</v>
      </c>
      <c r="D198" s="27">
        <v>2008</v>
      </c>
      <c r="E198" s="27">
        <v>4</v>
      </c>
      <c r="F198" s="27" t="s">
        <v>94</v>
      </c>
      <c r="G198" s="27" t="s">
        <v>92</v>
      </c>
      <c r="H198" s="27">
        <v>28</v>
      </c>
      <c r="I198" s="27">
        <v>37</v>
      </c>
      <c r="J198" s="27" t="s">
        <v>104</v>
      </c>
      <c r="K198" s="27" t="s">
        <v>93</v>
      </c>
    </row>
    <row r="199" spans="1:11" x14ac:dyDescent="0.2">
      <c r="A199" s="27" t="s">
        <v>152</v>
      </c>
      <c r="B199" s="27" t="s">
        <v>156</v>
      </c>
      <c r="C199" s="27">
        <v>1.8</v>
      </c>
      <c r="D199" s="27">
        <v>2008</v>
      </c>
      <c r="E199" s="27">
        <v>4</v>
      </c>
      <c r="F199" s="27" t="s">
        <v>103</v>
      </c>
      <c r="G199" s="27" t="s">
        <v>92</v>
      </c>
      <c r="H199" s="27">
        <v>26</v>
      </c>
      <c r="I199" s="27">
        <v>35</v>
      </c>
      <c r="J199" s="27" t="s">
        <v>104</v>
      </c>
      <c r="K199" s="27" t="s">
        <v>93</v>
      </c>
    </row>
    <row r="200" spans="1:11" x14ac:dyDescent="0.2">
      <c r="A200" s="27" t="s">
        <v>152</v>
      </c>
      <c r="B200" s="27" t="s">
        <v>157</v>
      </c>
      <c r="C200" s="27">
        <v>4.7</v>
      </c>
      <c r="D200" s="27">
        <v>1999</v>
      </c>
      <c r="E200" s="27">
        <v>8</v>
      </c>
      <c r="F200" s="27" t="s">
        <v>103</v>
      </c>
      <c r="G200" s="27">
        <v>4</v>
      </c>
      <c r="H200" s="27">
        <v>11</v>
      </c>
      <c r="I200" s="27">
        <v>15</v>
      </c>
      <c r="J200" s="27" t="s">
        <v>104</v>
      </c>
      <c r="K200" s="27" t="s">
        <v>105</v>
      </c>
    </row>
    <row r="201" spans="1:11" x14ac:dyDescent="0.2">
      <c r="A201" s="27" t="s">
        <v>152</v>
      </c>
      <c r="B201" s="27" t="s">
        <v>157</v>
      </c>
      <c r="C201" s="27">
        <v>5.7</v>
      </c>
      <c r="D201" s="27">
        <v>2008</v>
      </c>
      <c r="E201" s="27">
        <v>8</v>
      </c>
      <c r="F201" s="27" t="s">
        <v>98</v>
      </c>
      <c r="G201" s="27">
        <v>4</v>
      </c>
      <c r="H201" s="27">
        <v>13</v>
      </c>
      <c r="I201" s="27">
        <v>18</v>
      </c>
      <c r="J201" s="27" t="s">
        <v>104</v>
      </c>
      <c r="K201" s="27" t="s">
        <v>105</v>
      </c>
    </row>
    <row r="202" spans="1:11" x14ac:dyDescent="0.2">
      <c r="A202" s="27" t="s">
        <v>152</v>
      </c>
      <c r="B202" s="27" t="s">
        <v>158</v>
      </c>
      <c r="C202" s="27">
        <v>2.7</v>
      </c>
      <c r="D202" s="27">
        <v>1999</v>
      </c>
      <c r="E202" s="27">
        <v>4</v>
      </c>
      <c r="F202" s="27" t="s">
        <v>94</v>
      </c>
      <c r="G202" s="27">
        <v>4</v>
      </c>
      <c r="H202" s="27">
        <v>15</v>
      </c>
      <c r="I202" s="27">
        <v>20</v>
      </c>
      <c r="J202" s="27" t="s">
        <v>104</v>
      </c>
      <c r="K202" s="27" t="s">
        <v>118</v>
      </c>
    </row>
    <row r="203" spans="1:11" x14ac:dyDescent="0.2">
      <c r="A203" s="27" t="s">
        <v>152</v>
      </c>
      <c r="B203" s="27" t="s">
        <v>158</v>
      </c>
      <c r="C203" s="27">
        <v>2.7</v>
      </c>
      <c r="D203" s="27">
        <v>1999</v>
      </c>
      <c r="E203" s="27">
        <v>4</v>
      </c>
      <c r="F203" s="27" t="s">
        <v>103</v>
      </c>
      <c r="G203" s="27">
        <v>4</v>
      </c>
      <c r="H203" s="27">
        <v>16</v>
      </c>
      <c r="I203" s="27">
        <v>20</v>
      </c>
      <c r="J203" s="27" t="s">
        <v>104</v>
      </c>
      <c r="K203" s="27" t="s">
        <v>118</v>
      </c>
    </row>
    <row r="204" spans="1:11" x14ac:dyDescent="0.2">
      <c r="A204" s="27" t="s">
        <v>152</v>
      </c>
      <c r="B204" s="27" t="s">
        <v>158</v>
      </c>
      <c r="C204" s="27">
        <v>2.7</v>
      </c>
      <c r="D204" s="27">
        <v>2008</v>
      </c>
      <c r="E204" s="27">
        <v>4</v>
      </c>
      <c r="F204" s="27" t="s">
        <v>94</v>
      </c>
      <c r="G204" s="27">
        <v>4</v>
      </c>
      <c r="H204" s="27">
        <v>17</v>
      </c>
      <c r="I204" s="27">
        <v>22</v>
      </c>
      <c r="J204" s="27" t="s">
        <v>104</v>
      </c>
      <c r="K204" s="27" t="s">
        <v>118</v>
      </c>
    </row>
    <row r="205" spans="1:11" x14ac:dyDescent="0.2">
      <c r="A205" s="27" t="s">
        <v>152</v>
      </c>
      <c r="B205" s="27" t="s">
        <v>158</v>
      </c>
      <c r="C205" s="27">
        <v>3.4</v>
      </c>
      <c r="D205" s="27">
        <v>1999</v>
      </c>
      <c r="E205" s="27">
        <v>6</v>
      </c>
      <c r="F205" s="27" t="s">
        <v>94</v>
      </c>
      <c r="G205" s="27">
        <v>4</v>
      </c>
      <c r="H205" s="27">
        <v>15</v>
      </c>
      <c r="I205" s="27">
        <v>17</v>
      </c>
      <c r="J205" s="27" t="s">
        <v>104</v>
      </c>
      <c r="K205" s="27" t="s">
        <v>118</v>
      </c>
    </row>
    <row r="206" spans="1:11" x14ac:dyDescent="0.2">
      <c r="A206" s="27" t="s">
        <v>152</v>
      </c>
      <c r="B206" s="27" t="s">
        <v>158</v>
      </c>
      <c r="C206" s="27">
        <v>3.4</v>
      </c>
      <c r="D206" s="27">
        <v>1999</v>
      </c>
      <c r="E206" s="27">
        <v>6</v>
      </c>
      <c r="F206" s="27" t="s">
        <v>103</v>
      </c>
      <c r="G206" s="27">
        <v>4</v>
      </c>
      <c r="H206" s="27">
        <v>15</v>
      </c>
      <c r="I206" s="27">
        <v>19</v>
      </c>
      <c r="J206" s="27" t="s">
        <v>104</v>
      </c>
      <c r="K206" s="27" t="s">
        <v>118</v>
      </c>
    </row>
    <row r="207" spans="1:11" x14ac:dyDescent="0.2">
      <c r="A207" s="27" t="s">
        <v>152</v>
      </c>
      <c r="B207" s="27" t="s">
        <v>158</v>
      </c>
      <c r="C207" s="27">
        <v>4</v>
      </c>
      <c r="D207" s="27">
        <v>2008</v>
      </c>
      <c r="E207" s="27">
        <v>6</v>
      </c>
      <c r="F207" s="27" t="s">
        <v>95</v>
      </c>
      <c r="G207" s="27">
        <v>4</v>
      </c>
      <c r="H207" s="27">
        <v>15</v>
      </c>
      <c r="I207" s="27">
        <v>18</v>
      </c>
      <c r="J207" s="27" t="s">
        <v>104</v>
      </c>
      <c r="K207" s="27" t="s">
        <v>118</v>
      </c>
    </row>
    <row r="208" spans="1:11" x14ac:dyDescent="0.2">
      <c r="A208" s="27" t="s">
        <v>152</v>
      </c>
      <c r="B208" s="27" t="s">
        <v>158</v>
      </c>
      <c r="C208" s="27">
        <v>4</v>
      </c>
      <c r="D208" s="27">
        <v>2008</v>
      </c>
      <c r="E208" s="27">
        <v>6</v>
      </c>
      <c r="F208" s="27" t="s">
        <v>91</v>
      </c>
      <c r="G208" s="27">
        <v>4</v>
      </c>
      <c r="H208" s="27">
        <v>16</v>
      </c>
      <c r="I208" s="27">
        <v>20</v>
      </c>
      <c r="J208" s="27" t="s">
        <v>104</v>
      </c>
      <c r="K208" s="27" t="s">
        <v>118</v>
      </c>
    </row>
    <row r="209" spans="1:11" x14ac:dyDescent="0.2">
      <c r="A209" s="27" t="s">
        <v>159</v>
      </c>
      <c r="B209" s="27" t="s">
        <v>160</v>
      </c>
      <c r="C209" s="27">
        <v>2</v>
      </c>
      <c r="D209" s="27">
        <v>1999</v>
      </c>
      <c r="E209" s="27">
        <v>4</v>
      </c>
      <c r="F209" s="27" t="s">
        <v>94</v>
      </c>
      <c r="G209" s="27" t="s">
        <v>92</v>
      </c>
      <c r="H209" s="27">
        <v>21</v>
      </c>
      <c r="I209" s="27">
        <v>29</v>
      </c>
      <c r="J209" s="27" t="s">
        <v>104</v>
      </c>
      <c r="K209" s="27" t="s">
        <v>93</v>
      </c>
    </row>
    <row r="210" spans="1:11" x14ac:dyDescent="0.2">
      <c r="A210" s="27" t="s">
        <v>159</v>
      </c>
      <c r="B210" s="27" t="s">
        <v>160</v>
      </c>
      <c r="C210" s="27">
        <v>2</v>
      </c>
      <c r="D210" s="27">
        <v>1999</v>
      </c>
      <c r="E210" s="27">
        <v>4</v>
      </c>
      <c r="F210" s="27" t="s">
        <v>103</v>
      </c>
      <c r="G210" s="27" t="s">
        <v>92</v>
      </c>
      <c r="H210" s="27">
        <v>19</v>
      </c>
      <c r="I210" s="27">
        <v>26</v>
      </c>
      <c r="J210" s="27" t="s">
        <v>104</v>
      </c>
      <c r="K210" s="27" t="s">
        <v>93</v>
      </c>
    </row>
    <row r="211" spans="1:11" x14ac:dyDescent="0.2">
      <c r="A211" s="27" t="s">
        <v>159</v>
      </c>
      <c r="B211" s="27" t="s">
        <v>160</v>
      </c>
      <c r="C211" s="27">
        <v>2</v>
      </c>
      <c r="D211" s="27">
        <v>2008</v>
      </c>
      <c r="E211" s="27">
        <v>4</v>
      </c>
      <c r="F211" s="27" t="s">
        <v>95</v>
      </c>
      <c r="G211" s="27" t="s">
        <v>92</v>
      </c>
      <c r="H211" s="27">
        <v>21</v>
      </c>
      <c r="I211" s="27">
        <v>29</v>
      </c>
      <c r="J211" s="27" t="s">
        <v>6</v>
      </c>
      <c r="K211" s="27" t="s">
        <v>93</v>
      </c>
    </row>
    <row r="212" spans="1:11" x14ac:dyDescent="0.2">
      <c r="A212" s="27" t="s">
        <v>159</v>
      </c>
      <c r="B212" s="27" t="s">
        <v>160</v>
      </c>
      <c r="C212" s="27">
        <v>2</v>
      </c>
      <c r="D212" s="27">
        <v>2008</v>
      </c>
      <c r="E212" s="27">
        <v>4</v>
      </c>
      <c r="F212" s="27" t="s">
        <v>98</v>
      </c>
      <c r="G212" s="27" t="s">
        <v>92</v>
      </c>
      <c r="H212" s="27">
        <v>22</v>
      </c>
      <c r="I212" s="27">
        <v>29</v>
      </c>
      <c r="J212" s="27" t="s">
        <v>6</v>
      </c>
      <c r="K212" s="27" t="s">
        <v>93</v>
      </c>
    </row>
    <row r="213" spans="1:11" x14ac:dyDescent="0.2">
      <c r="A213" s="27" t="s">
        <v>159</v>
      </c>
      <c r="B213" s="27" t="s">
        <v>160</v>
      </c>
      <c r="C213" s="27">
        <v>2.8</v>
      </c>
      <c r="D213" s="27">
        <v>1999</v>
      </c>
      <c r="E213" s="27">
        <v>6</v>
      </c>
      <c r="F213" s="27" t="s">
        <v>94</v>
      </c>
      <c r="G213" s="27" t="s">
        <v>92</v>
      </c>
      <c r="H213" s="27">
        <v>17</v>
      </c>
      <c r="I213" s="27">
        <v>24</v>
      </c>
      <c r="J213" s="27" t="s">
        <v>104</v>
      </c>
      <c r="K213" s="27" t="s">
        <v>93</v>
      </c>
    </row>
    <row r="214" spans="1:11" x14ac:dyDescent="0.2">
      <c r="A214" s="27" t="s">
        <v>159</v>
      </c>
      <c r="B214" s="27" t="s">
        <v>161</v>
      </c>
      <c r="C214" s="27">
        <v>1.9</v>
      </c>
      <c r="D214" s="27">
        <v>1999</v>
      </c>
      <c r="E214" s="27">
        <v>4</v>
      </c>
      <c r="F214" s="27" t="s">
        <v>94</v>
      </c>
      <c r="G214" s="27" t="s">
        <v>92</v>
      </c>
      <c r="H214" s="27">
        <v>33</v>
      </c>
      <c r="I214" s="27">
        <v>44</v>
      </c>
      <c r="J214" s="27" t="s">
        <v>110</v>
      </c>
      <c r="K214" s="27" t="s">
        <v>93</v>
      </c>
    </row>
    <row r="215" spans="1:11" x14ac:dyDescent="0.2">
      <c r="A215" s="27" t="s">
        <v>159</v>
      </c>
      <c r="B215" s="27" t="s">
        <v>161</v>
      </c>
      <c r="C215" s="27">
        <v>2</v>
      </c>
      <c r="D215" s="27">
        <v>1999</v>
      </c>
      <c r="E215" s="27">
        <v>4</v>
      </c>
      <c r="F215" s="27" t="s">
        <v>94</v>
      </c>
      <c r="G215" s="27" t="s">
        <v>92</v>
      </c>
      <c r="H215" s="27">
        <v>21</v>
      </c>
      <c r="I215" s="27">
        <v>29</v>
      </c>
      <c r="J215" s="27" t="s">
        <v>104</v>
      </c>
      <c r="K215" s="27" t="s">
        <v>93</v>
      </c>
    </row>
    <row r="216" spans="1:11" x14ac:dyDescent="0.2">
      <c r="A216" s="27" t="s">
        <v>159</v>
      </c>
      <c r="B216" s="27" t="s">
        <v>161</v>
      </c>
      <c r="C216" s="27">
        <v>2</v>
      </c>
      <c r="D216" s="27">
        <v>1999</v>
      </c>
      <c r="E216" s="27">
        <v>4</v>
      </c>
      <c r="F216" s="27" t="s">
        <v>103</v>
      </c>
      <c r="G216" s="27" t="s">
        <v>92</v>
      </c>
      <c r="H216" s="27">
        <v>19</v>
      </c>
      <c r="I216" s="27">
        <v>26</v>
      </c>
      <c r="J216" s="27" t="s">
        <v>104</v>
      </c>
      <c r="K216" s="27" t="s">
        <v>93</v>
      </c>
    </row>
    <row r="217" spans="1:11" x14ac:dyDescent="0.2">
      <c r="A217" s="27" t="s">
        <v>159</v>
      </c>
      <c r="B217" s="27" t="s">
        <v>161</v>
      </c>
      <c r="C217" s="27">
        <v>2</v>
      </c>
      <c r="D217" s="27">
        <v>2008</v>
      </c>
      <c r="E217" s="27">
        <v>4</v>
      </c>
      <c r="F217" s="27" t="s">
        <v>98</v>
      </c>
      <c r="G217" s="27" t="s">
        <v>92</v>
      </c>
      <c r="H217" s="27">
        <v>22</v>
      </c>
      <c r="I217" s="27">
        <v>29</v>
      </c>
      <c r="J217" s="27" t="s">
        <v>6</v>
      </c>
      <c r="K217" s="27" t="s">
        <v>93</v>
      </c>
    </row>
    <row r="218" spans="1:11" x14ac:dyDescent="0.2">
      <c r="A218" s="27" t="s">
        <v>159</v>
      </c>
      <c r="B218" s="27" t="s">
        <v>161</v>
      </c>
      <c r="C218" s="27">
        <v>2</v>
      </c>
      <c r="D218" s="27">
        <v>2008</v>
      </c>
      <c r="E218" s="27">
        <v>4</v>
      </c>
      <c r="F218" s="27" t="s">
        <v>95</v>
      </c>
      <c r="G218" s="27" t="s">
        <v>92</v>
      </c>
      <c r="H218" s="27">
        <v>21</v>
      </c>
      <c r="I218" s="27">
        <v>29</v>
      </c>
      <c r="J218" s="27" t="s">
        <v>6</v>
      </c>
      <c r="K218" s="27" t="s">
        <v>93</v>
      </c>
    </row>
    <row r="219" spans="1:11" x14ac:dyDescent="0.2">
      <c r="A219" s="27" t="s">
        <v>159</v>
      </c>
      <c r="B219" s="27" t="s">
        <v>161</v>
      </c>
      <c r="C219" s="27">
        <v>2.5</v>
      </c>
      <c r="D219" s="27">
        <v>2008</v>
      </c>
      <c r="E219" s="27">
        <v>5</v>
      </c>
      <c r="F219" s="27" t="s">
        <v>98</v>
      </c>
      <c r="G219" s="27" t="s">
        <v>92</v>
      </c>
      <c r="H219" s="27">
        <v>21</v>
      </c>
      <c r="I219" s="27">
        <v>29</v>
      </c>
      <c r="J219" s="27" t="s">
        <v>104</v>
      </c>
      <c r="K219" s="27" t="s">
        <v>93</v>
      </c>
    </row>
    <row r="220" spans="1:11" x14ac:dyDescent="0.2">
      <c r="A220" s="27" t="s">
        <v>159</v>
      </c>
      <c r="B220" s="27" t="s">
        <v>161</v>
      </c>
      <c r="C220" s="27">
        <v>2.5</v>
      </c>
      <c r="D220" s="27">
        <v>2008</v>
      </c>
      <c r="E220" s="27">
        <v>5</v>
      </c>
      <c r="F220" s="27" t="s">
        <v>94</v>
      </c>
      <c r="G220" s="27" t="s">
        <v>92</v>
      </c>
      <c r="H220" s="27">
        <v>21</v>
      </c>
      <c r="I220" s="27">
        <v>29</v>
      </c>
      <c r="J220" s="27" t="s">
        <v>104</v>
      </c>
      <c r="K220" s="27" t="s">
        <v>93</v>
      </c>
    </row>
    <row r="221" spans="1:11" x14ac:dyDescent="0.2">
      <c r="A221" s="27" t="s">
        <v>159</v>
      </c>
      <c r="B221" s="27" t="s">
        <v>161</v>
      </c>
      <c r="C221" s="27">
        <v>2.8</v>
      </c>
      <c r="D221" s="27">
        <v>1999</v>
      </c>
      <c r="E221" s="27">
        <v>6</v>
      </c>
      <c r="F221" s="27" t="s">
        <v>103</v>
      </c>
      <c r="G221" s="27" t="s">
        <v>92</v>
      </c>
      <c r="H221" s="27">
        <v>16</v>
      </c>
      <c r="I221" s="27">
        <v>23</v>
      </c>
      <c r="J221" s="27" t="s">
        <v>104</v>
      </c>
      <c r="K221" s="27" t="s">
        <v>93</v>
      </c>
    </row>
    <row r="222" spans="1:11" x14ac:dyDescent="0.2">
      <c r="A222" s="27" t="s">
        <v>159</v>
      </c>
      <c r="B222" s="27" t="s">
        <v>161</v>
      </c>
      <c r="C222" s="27">
        <v>2.8</v>
      </c>
      <c r="D222" s="27">
        <v>1999</v>
      </c>
      <c r="E222" s="27">
        <v>6</v>
      </c>
      <c r="F222" s="27" t="s">
        <v>94</v>
      </c>
      <c r="G222" s="27" t="s">
        <v>92</v>
      </c>
      <c r="H222" s="27">
        <v>17</v>
      </c>
      <c r="I222" s="27">
        <v>24</v>
      </c>
      <c r="J222" s="27" t="s">
        <v>104</v>
      </c>
      <c r="K222" s="27" t="s">
        <v>93</v>
      </c>
    </row>
    <row r="223" spans="1:11" x14ac:dyDescent="0.2">
      <c r="A223" s="27" t="s">
        <v>159</v>
      </c>
      <c r="B223" s="27" t="s">
        <v>162</v>
      </c>
      <c r="C223" s="27">
        <v>1.9</v>
      </c>
      <c r="D223" s="27">
        <v>1999</v>
      </c>
      <c r="E223" s="27">
        <v>4</v>
      </c>
      <c r="F223" s="27" t="s">
        <v>94</v>
      </c>
      <c r="G223" s="27" t="s">
        <v>92</v>
      </c>
      <c r="H223" s="27">
        <v>35</v>
      </c>
      <c r="I223" s="27">
        <v>44</v>
      </c>
      <c r="J223" s="27" t="s">
        <v>110</v>
      </c>
      <c r="K223" s="27" t="s">
        <v>126</v>
      </c>
    </row>
    <row r="224" spans="1:11" x14ac:dyDescent="0.2">
      <c r="A224" s="27" t="s">
        <v>159</v>
      </c>
      <c r="B224" s="27" t="s">
        <v>162</v>
      </c>
      <c r="C224" s="27">
        <v>1.9</v>
      </c>
      <c r="D224" s="27">
        <v>1999</v>
      </c>
      <c r="E224" s="27">
        <v>4</v>
      </c>
      <c r="F224" s="27" t="s">
        <v>103</v>
      </c>
      <c r="G224" s="27" t="s">
        <v>92</v>
      </c>
      <c r="H224" s="27">
        <v>29</v>
      </c>
      <c r="I224" s="27">
        <v>41</v>
      </c>
      <c r="J224" s="27" t="s">
        <v>110</v>
      </c>
      <c r="K224" s="27" t="s">
        <v>126</v>
      </c>
    </row>
    <row r="225" spans="1:11" x14ac:dyDescent="0.2">
      <c r="A225" s="27" t="s">
        <v>159</v>
      </c>
      <c r="B225" s="27" t="s">
        <v>162</v>
      </c>
      <c r="C225" s="27">
        <v>2</v>
      </c>
      <c r="D225" s="27">
        <v>1999</v>
      </c>
      <c r="E225" s="27">
        <v>4</v>
      </c>
      <c r="F225" s="27" t="s">
        <v>94</v>
      </c>
      <c r="G225" s="27" t="s">
        <v>92</v>
      </c>
      <c r="H225" s="27">
        <v>21</v>
      </c>
      <c r="I225" s="27">
        <v>29</v>
      </c>
      <c r="J225" s="27" t="s">
        <v>104</v>
      </c>
      <c r="K225" s="27" t="s">
        <v>126</v>
      </c>
    </row>
    <row r="226" spans="1:11" x14ac:dyDescent="0.2">
      <c r="A226" s="27" t="s">
        <v>159</v>
      </c>
      <c r="B226" s="27" t="s">
        <v>162</v>
      </c>
      <c r="C226" s="27">
        <v>2</v>
      </c>
      <c r="D226" s="27">
        <v>1999</v>
      </c>
      <c r="E226" s="27">
        <v>4</v>
      </c>
      <c r="F226" s="27" t="s">
        <v>103</v>
      </c>
      <c r="G226" s="27" t="s">
        <v>92</v>
      </c>
      <c r="H226" s="27">
        <v>19</v>
      </c>
      <c r="I226" s="27">
        <v>26</v>
      </c>
      <c r="J226" s="27" t="s">
        <v>104</v>
      </c>
      <c r="K226" s="27" t="s">
        <v>126</v>
      </c>
    </row>
    <row r="227" spans="1:11" x14ac:dyDescent="0.2">
      <c r="A227" s="27" t="s">
        <v>159</v>
      </c>
      <c r="B227" s="27" t="s">
        <v>162</v>
      </c>
      <c r="C227" s="27">
        <v>2.5</v>
      </c>
      <c r="D227" s="27">
        <v>2008</v>
      </c>
      <c r="E227" s="27">
        <v>5</v>
      </c>
      <c r="F227" s="27" t="s">
        <v>94</v>
      </c>
      <c r="G227" s="27" t="s">
        <v>92</v>
      </c>
      <c r="H227" s="27">
        <v>20</v>
      </c>
      <c r="I227" s="27">
        <v>28</v>
      </c>
      <c r="J227" s="27" t="s">
        <v>104</v>
      </c>
      <c r="K227" s="27" t="s">
        <v>126</v>
      </c>
    </row>
    <row r="228" spans="1:11" x14ac:dyDescent="0.2">
      <c r="A228" s="27" t="s">
        <v>159</v>
      </c>
      <c r="B228" s="27" t="s">
        <v>162</v>
      </c>
      <c r="C228" s="27">
        <v>2.5</v>
      </c>
      <c r="D228" s="27">
        <v>2008</v>
      </c>
      <c r="E228" s="27">
        <v>5</v>
      </c>
      <c r="F228" s="27" t="s">
        <v>98</v>
      </c>
      <c r="G228" s="27" t="s">
        <v>92</v>
      </c>
      <c r="H228" s="27">
        <v>20</v>
      </c>
      <c r="I228" s="27">
        <v>29</v>
      </c>
      <c r="J228" s="27" t="s">
        <v>104</v>
      </c>
      <c r="K228" s="27" t="s">
        <v>126</v>
      </c>
    </row>
    <row r="229" spans="1:11" x14ac:dyDescent="0.2">
      <c r="A229" s="27" t="s">
        <v>159</v>
      </c>
      <c r="B229" s="27" t="s">
        <v>163</v>
      </c>
      <c r="C229" s="27">
        <v>1.8</v>
      </c>
      <c r="D229" s="27">
        <v>1999</v>
      </c>
      <c r="E229" s="27">
        <v>4</v>
      </c>
      <c r="F229" s="27" t="s">
        <v>94</v>
      </c>
      <c r="G229" s="27" t="s">
        <v>92</v>
      </c>
      <c r="H229" s="27">
        <v>21</v>
      </c>
      <c r="I229" s="27">
        <v>29</v>
      </c>
      <c r="J229" s="27" t="s">
        <v>6</v>
      </c>
      <c r="K229" s="27" t="s">
        <v>100</v>
      </c>
    </row>
    <row r="230" spans="1:11" x14ac:dyDescent="0.2">
      <c r="A230" s="27" t="s">
        <v>159</v>
      </c>
      <c r="B230" s="27" t="s">
        <v>163</v>
      </c>
      <c r="C230" s="27">
        <v>1.8</v>
      </c>
      <c r="D230" s="27">
        <v>1999</v>
      </c>
      <c r="E230" s="27">
        <v>4</v>
      </c>
      <c r="F230" s="27" t="s">
        <v>91</v>
      </c>
      <c r="G230" s="27" t="s">
        <v>92</v>
      </c>
      <c r="H230" s="27">
        <v>18</v>
      </c>
      <c r="I230" s="27">
        <v>29</v>
      </c>
      <c r="J230" s="27" t="s">
        <v>6</v>
      </c>
      <c r="K230" s="27" t="s">
        <v>100</v>
      </c>
    </row>
    <row r="231" spans="1:11" x14ac:dyDescent="0.2">
      <c r="A231" s="27" t="s">
        <v>159</v>
      </c>
      <c r="B231" s="27" t="s">
        <v>163</v>
      </c>
      <c r="C231" s="27">
        <v>2</v>
      </c>
      <c r="D231" s="27">
        <v>2008</v>
      </c>
      <c r="E231" s="27">
        <v>4</v>
      </c>
      <c r="F231" s="27" t="s">
        <v>98</v>
      </c>
      <c r="G231" s="27" t="s">
        <v>92</v>
      </c>
      <c r="H231" s="27">
        <v>19</v>
      </c>
      <c r="I231" s="27">
        <v>28</v>
      </c>
      <c r="J231" s="27" t="s">
        <v>6</v>
      </c>
      <c r="K231" s="27" t="s">
        <v>100</v>
      </c>
    </row>
    <row r="232" spans="1:11" x14ac:dyDescent="0.2">
      <c r="A232" s="27" t="s">
        <v>159</v>
      </c>
      <c r="B232" s="27" t="s">
        <v>163</v>
      </c>
      <c r="C232" s="27">
        <v>2</v>
      </c>
      <c r="D232" s="27">
        <v>2008</v>
      </c>
      <c r="E232" s="27">
        <v>4</v>
      </c>
      <c r="F232" s="27" t="s">
        <v>95</v>
      </c>
      <c r="G232" s="27" t="s">
        <v>92</v>
      </c>
      <c r="H232" s="27">
        <v>21</v>
      </c>
      <c r="I232" s="27">
        <v>29</v>
      </c>
      <c r="J232" s="27" t="s">
        <v>6</v>
      </c>
      <c r="K232" s="27" t="s">
        <v>100</v>
      </c>
    </row>
    <row r="233" spans="1:11" x14ac:dyDescent="0.2">
      <c r="A233" s="27" t="s">
        <v>159</v>
      </c>
      <c r="B233" s="27" t="s">
        <v>163</v>
      </c>
      <c r="C233" s="27">
        <v>2.8</v>
      </c>
      <c r="D233" s="27">
        <v>1999</v>
      </c>
      <c r="E233" s="27">
        <v>6</v>
      </c>
      <c r="F233" s="27" t="s">
        <v>91</v>
      </c>
      <c r="G233" s="27" t="s">
        <v>92</v>
      </c>
      <c r="H233" s="27">
        <v>16</v>
      </c>
      <c r="I233" s="27">
        <v>26</v>
      </c>
      <c r="J233" s="27" t="s">
        <v>6</v>
      </c>
      <c r="K233" s="27" t="s">
        <v>100</v>
      </c>
    </row>
    <row r="234" spans="1:11" x14ac:dyDescent="0.2">
      <c r="A234" s="27" t="s">
        <v>159</v>
      </c>
      <c r="B234" s="27" t="s">
        <v>163</v>
      </c>
      <c r="C234" s="27">
        <v>2.8</v>
      </c>
      <c r="D234" s="27">
        <v>1999</v>
      </c>
      <c r="E234" s="27">
        <v>6</v>
      </c>
      <c r="F234" s="27" t="s">
        <v>94</v>
      </c>
      <c r="G234" s="27" t="s">
        <v>92</v>
      </c>
      <c r="H234" s="27">
        <v>18</v>
      </c>
      <c r="I234" s="27">
        <v>26</v>
      </c>
      <c r="J234" s="27" t="s">
        <v>6</v>
      </c>
      <c r="K234" s="27" t="s">
        <v>100</v>
      </c>
    </row>
    <row r="235" spans="1:11" x14ac:dyDescent="0.2">
      <c r="A235" s="27" t="s">
        <v>159</v>
      </c>
      <c r="B235" s="27" t="s">
        <v>163</v>
      </c>
      <c r="C235" s="27">
        <v>3.6</v>
      </c>
      <c r="D235" s="27">
        <v>2008</v>
      </c>
      <c r="E235" s="27">
        <v>6</v>
      </c>
      <c r="F235" s="27" t="s">
        <v>98</v>
      </c>
      <c r="G235" s="27" t="s">
        <v>92</v>
      </c>
      <c r="H235" s="27">
        <v>17</v>
      </c>
      <c r="I235" s="27">
        <v>26</v>
      </c>
      <c r="J235" s="27" t="s">
        <v>6</v>
      </c>
      <c r="K235" s="27" t="s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>
      <selection activeCell="H14" sqref="H14"/>
    </sheetView>
  </sheetViews>
  <sheetFormatPr baseColWidth="10" defaultColWidth="14.5" defaultRowHeight="16" x14ac:dyDescent="0.2"/>
  <cols>
    <col min="1" max="11" width="14.5" style="20"/>
    <col min="13" max="16384" width="14.5" style="20"/>
  </cols>
  <sheetData>
    <row r="1" spans="1:12" x14ac:dyDescent="0.2">
      <c r="A1" s="27" t="s">
        <v>85</v>
      </c>
      <c r="B1" s="27" t="s">
        <v>164</v>
      </c>
      <c r="C1" s="27"/>
      <c r="D1" s="20" t="s">
        <v>165</v>
      </c>
      <c r="E1" s="20" t="s">
        <v>166</v>
      </c>
      <c r="F1" s="20" t="s">
        <v>167</v>
      </c>
      <c r="G1" s="20" t="s">
        <v>169</v>
      </c>
      <c r="H1" s="20" t="s">
        <v>168</v>
      </c>
      <c r="I1" s="20" t="s">
        <v>171</v>
      </c>
      <c r="J1" s="20" t="s">
        <v>6</v>
      </c>
      <c r="K1" s="20" t="s">
        <v>170</v>
      </c>
      <c r="L1" s="20"/>
    </row>
    <row r="2" spans="1:12" x14ac:dyDescent="0.2">
      <c r="A2" s="27">
        <v>18</v>
      </c>
      <c r="B2" s="27">
        <v>1</v>
      </c>
      <c r="C2" s="27"/>
      <c r="D2" s="20" cm="1">
        <f t="array" ref="D2:D235">TREND(A2:A235,B2:B235,B2:B235,FALSE)</f>
        <v>16.858974358974358</v>
      </c>
      <c r="E2" s="20">
        <f>D2-A2</f>
        <v>-1.1410256410256423</v>
      </c>
      <c r="F2" s="20">
        <f>STDEV(E2:E235)</f>
        <v>4.2559456788893932</v>
      </c>
      <c r="G2" s="20">
        <f>_xlfn.NORM.DIST(E2,0,$F$2,FALSE)</f>
        <v>9.0428595220514676E-2</v>
      </c>
      <c r="H2" s="20" cm="1">
        <f t="array" ref="H2">SUM(LN(G2:G235))</f>
        <v>-670.43779208802937</v>
      </c>
      <c r="I2" s="20">
        <f>COUNT(A2:A235)</f>
        <v>234</v>
      </c>
      <c r="J2" s="20">
        <v>1</v>
      </c>
      <c r="K2" s="20">
        <f>-2*H2+2*J2</f>
        <v>1342.8755841760587</v>
      </c>
      <c r="L2" s="20"/>
    </row>
    <row r="3" spans="1:12" x14ac:dyDescent="0.2">
      <c r="A3" s="27">
        <v>21</v>
      </c>
      <c r="B3" s="27">
        <v>1</v>
      </c>
      <c r="C3" s="27"/>
      <c r="D3" s="20">
        <v>16.858974358974358</v>
      </c>
      <c r="E3" s="20">
        <f t="shared" ref="E3:E66" si="0">D3-A3</f>
        <v>-4.1410256410256423</v>
      </c>
      <c r="G3" s="20">
        <f t="shared" ref="G3:G66" si="1">_xlfn.NORM.DIST(E3,0,$F$2,FALSE)</f>
        <v>5.8389578885814829E-2</v>
      </c>
      <c r="L3" s="20"/>
    </row>
    <row r="4" spans="1:12" x14ac:dyDescent="0.2">
      <c r="A4" s="27">
        <v>20</v>
      </c>
      <c r="B4" s="27">
        <v>1</v>
      </c>
      <c r="C4" s="27"/>
      <c r="D4" s="20">
        <v>16.858974358974358</v>
      </c>
      <c r="E4" s="20">
        <f t="shared" si="0"/>
        <v>-3.1410256410256423</v>
      </c>
      <c r="G4" s="20">
        <f t="shared" si="1"/>
        <v>7.138971945227178E-2</v>
      </c>
      <c r="H4" s="20" t="s">
        <v>172</v>
      </c>
      <c r="I4" s="20" t="s">
        <v>173</v>
      </c>
      <c r="L4" s="20"/>
    </row>
    <row r="5" spans="1:12" x14ac:dyDescent="0.2">
      <c r="A5" s="27">
        <v>21</v>
      </c>
      <c r="B5" s="27">
        <v>1</v>
      </c>
      <c r="C5" s="27"/>
      <c r="D5" s="20">
        <v>16.858974358974358</v>
      </c>
      <c r="E5" s="20">
        <f t="shared" si="0"/>
        <v>-4.1410256410256423</v>
      </c>
      <c r="G5" s="20">
        <f t="shared" si="1"/>
        <v>5.8389578885814829E-2</v>
      </c>
      <c r="H5" s="20">
        <f>SUMSQ(E2:E235)</f>
        <v>4220.3461538461506</v>
      </c>
      <c r="I5" s="20">
        <f>H5/I2</f>
        <v>18.035667324128848</v>
      </c>
      <c r="L5" s="20"/>
    </row>
    <row r="6" spans="1:12" x14ac:dyDescent="0.2">
      <c r="A6" s="27">
        <v>16</v>
      </c>
      <c r="B6" s="27">
        <v>1</v>
      </c>
      <c r="C6" s="27"/>
      <c r="D6" s="20">
        <v>16.858974358974358</v>
      </c>
      <c r="E6" s="20">
        <f t="shared" si="0"/>
        <v>0.8589743589743577</v>
      </c>
      <c r="G6" s="20">
        <f t="shared" si="1"/>
        <v>9.1847742433773194E-2</v>
      </c>
      <c r="L6" s="20"/>
    </row>
    <row r="7" spans="1:12" x14ac:dyDescent="0.2">
      <c r="A7" s="27">
        <v>18</v>
      </c>
      <c r="B7" s="27">
        <v>1</v>
      </c>
      <c r="C7" s="27"/>
      <c r="D7" s="20">
        <v>16.858974358974358</v>
      </c>
      <c r="E7" s="20">
        <f t="shared" si="0"/>
        <v>-1.1410256410256423</v>
      </c>
      <c r="G7" s="20">
        <f t="shared" si="1"/>
        <v>9.0428595220514676E-2</v>
      </c>
      <c r="H7" s="20" t="s">
        <v>175</v>
      </c>
      <c r="K7" s="20" t="s">
        <v>177</v>
      </c>
      <c r="L7" s="20"/>
    </row>
    <row r="8" spans="1:12" x14ac:dyDescent="0.2">
      <c r="A8" s="27">
        <v>18</v>
      </c>
      <c r="B8" s="27">
        <v>1</v>
      </c>
      <c r="C8" s="27"/>
      <c r="D8" s="20">
        <v>16.858974358974358</v>
      </c>
      <c r="E8" s="20">
        <f t="shared" si="0"/>
        <v>-1.1410256410256423</v>
      </c>
      <c r="G8" s="20">
        <f t="shared" si="1"/>
        <v>9.0428595220514676E-2</v>
      </c>
      <c r="H8" s="20">
        <f>I2*LN(I5)</f>
        <v>676.81020777694471</v>
      </c>
      <c r="K8" s="20">
        <f>H8+2*J2</f>
        <v>678.81020777694471</v>
      </c>
      <c r="L8" s="20"/>
    </row>
    <row r="9" spans="1:12" x14ac:dyDescent="0.2">
      <c r="A9" s="27">
        <v>18</v>
      </c>
      <c r="B9" s="27">
        <v>1</v>
      </c>
      <c r="C9" s="27"/>
      <c r="D9" s="20">
        <v>16.858974358974358</v>
      </c>
      <c r="E9" s="20">
        <f t="shared" si="0"/>
        <v>-1.1410256410256423</v>
      </c>
      <c r="G9" s="20">
        <f t="shared" si="1"/>
        <v>9.0428595220514676E-2</v>
      </c>
      <c r="L9" s="20"/>
    </row>
    <row r="10" spans="1:12" x14ac:dyDescent="0.2">
      <c r="A10" s="27">
        <v>16</v>
      </c>
      <c r="B10" s="27">
        <v>1</v>
      </c>
      <c r="C10" s="27"/>
      <c r="D10" s="20">
        <v>16.858974358974358</v>
      </c>
      <c r="E10" s="20">
        <f t="shared" si="0"/>
        <v>0.8589743589743577</v>
      </c>
      <c r="G10" s="20">
        <f t="shared" si="1"/>
        <v>9.1847742433773194E-2</v>
      </c>
      <c r="H10" s="20" t="s">
        <v>176</v>
      </c>
      <c r="L10" s="20"/>
    </row>
    <row r="11" spans="1:12" x14ac:dyDescent="0.2">
      <c r="A11" s="27">
        <v>20</v>
      </c>
      <c r="B11" s="27">
        <v>1</v>
      </c>
      <c r="C11" s="27"/>
      <c r="D11" s="20">
        <v>16.858974358974358</v>
      </c>
      <c r="E11" s="20">
        <f t="shared" si="0"/>
        <v>-3.1410256410256423</v>
      </c>
      <c r="G11" s="20">
        <f t="shared" si="1"/>
        <v>7.138971945227178E-2</v>
      </c>
      <c r="H11" s="20">
        <f>I2*LN(2*PI())</f>
        <v>430.06323353978684</v>
      </c>
      <c r="L11" s="20"/>
    </row>
    <row r="12" spans="1:12" x14ac:dyDescent="0.2">
      <c r="A12" s="27">
        <v>19</v>
      </c>
      <c r="B12" s="27">
        <v>1</v>
      </c>
      <c r="C12" s="27"/>
      <c r="D12" s="20">
        <v>16.858974358974358</v>
      </c>
      <c r="E12" s="20">
        <f t="shared" si="0"/>
        <v>-2.1410256410256423</v>
      </c>
      <c r="G12" s="20">
        <f t="shared" si="1"/>
        <v>8.2596026638649928E-2</v>
      </c>
      <c r="L12" s="20"/>
    </row>
    <row r="13" spans="1:12" x14ac:dyDescent="0.2">
      <c r="A13" s="27">
        <v>15</v>
      </c>
      <c r="B13" s="27">
        <v>1</v>
      </c>
      <c r="C13" s="27"/>
      <c r="D13" s="20">
        <v>16.858974358974358</v>
      </c>
      <c r="E13" s="20">
        <f t="shared" si="0"/>
        <v>1.8589743589743577</v>
      </c>
      <c r="G13" s="20">
        <f t="shared" si="1"/>
        <v>8.5208821600122359E-2</v>
      </c>
      <c r="H13" s="20" t="s">
        <v>174</v>
      </c>
      <c r="K13" s="20" t="s">
        <v>170</v>
      </c>
      <c r="L13" s="20"/>
    </row>
    <row r="14" spans="1:12" x14ac:dyDescent="0.2">
      <c r="A14" s="27">
        <v>17</v>
      </c>
      <c r="B14" s="27">
        <v>1</v>
      </c>
      <c r="C14" s="27"/>
      <c r="D14" s="20">
        <v>16.858974358974358</v>
      </c>
      <c r="E14" s="20">
        <f t="shared" si="0"/>
        <v>-0.1410256410256423</v>
      </c>
      <c r="G14" s="20">
        <f t="shared" si="1"/>
        <v>9.3686186441259228E-2</v>
      </c>
      <c r="H14" s="20">
        <f>H8+H11+I2</f>
        <v>1340.8734413167315</v>
      </c>
      <c r="K14" s="20">
        <f>H14+2*J2</f>
        <v>1342.8734413167315</v>
      </c>
      <c r="L14" s="20"/>
    </row>
    <row r="15" spans="1:12" x14ac:dyDescent="0.2">
      <c r="A15" s="27">
        <v>17</v>
      </c>
      <c r="B15" s="27">
        <v>1</v>
      </c>
      <c r="C15" s="27"/>
      <c r="D15" s="20">
        <v>16.858974358974358</v>
      </c>
      <c r="E15" s="20">
        <f t="shared" si="0"/>
        <v>-0.1410256410256423</v>
      </c>
      <c r="G15" s="20">
        <f t="shared" si="1"/>
        <v>9.3686186441259228E-2</v>
      </c>
      <c r="L15" s="20"/>
    </row>
    <row r="16" spans="1:12" x14ac:dyDescent="0.2">
      <c r="A16" s="27">
        <v>15</v>
      </c>
      <c r="B16" s="27">
        <v>1</v>
      </c>
      <c r="C16" s="27"/>
      <c r="D16" s="20">
        <v>16.858974358974358</v>
      </c>
      <c r="E16" s="20">
        <f t="shared" si="0"/>
        <v>1.8589743589743577</v>
      </c>
      <c r="G16" s="20">
        <f t="shared" si="1"/>
        <v>8.5208821600122359E-2</v>
      </c>
      <c r="L16" s="20"/>
    </row>
    <row r="17" spans="1:12" x14ac:dyDescent="0.2">
      <c r="A17" s="27">
        <v>15</v>
      </c>
      <c r="B17" s="27">
        <v>1</v>
      </c>
      <c r="C17" s="27"/>
      <c r="D17" s="20">
        <v>16.858974358974358</v>
      </c>
      <c r="E17" s="20">
        <f t="shared" si="0"/>
        <v>1.8589743589743577</v>
      </c>
      <c r="G17" s="20">
        <f t="shared" si="1"/>
        <v>8.5208821600122359E-2</v>
      </c>
      <c r="L17" s="20"/>
    </row>
    <row r="18" spans="1:12" x14ac:dyDescent="0.2">
      <c r="A18" s="27">
        <v>17</v>
      </c>
      <c r="B18" s="27">
        <v>1</v>
      </c>
      <c r="C18" s="27"/>
      <c r="D18" s="20">
        <v>16.858974358974358</v>
      </c>
      <c r="E18" s="20">
        <f t="shared" si="0"/>
        <v>-0.1410256410256423</v>
      </c>
      <c r="G18" s="20">
        <f t="shared" si="1"/>
        <v>9.3686186441259228E-2</v>
      </c>
      <c r="L18" s="20"/>
    </row>
    <row r="19" spans="1:12" x14ac:dyDescent="0.2">
      <c r="A19" s="27">
        <v>16</v>
      </c>
      <c r="B19" s="27">
        <v>1</v>
      </c>
      <c r="C19" s="27"/>
      <c r="D19" s="20">
        <v>16.858974358974358</v>
      </c>
      <c r="E19" s="20">
        <f t="shared" si="0"/>
        <v>0.8589743589743577</v>
      </c>
      <c r="G19" s="20">
        <f t="shared" si="1"/>
        <v>9.1847742433773194E-2</v>
      </c>
      <c r="L19" s="20"/>
    </row>
    <row r="20" spans="1:12" x14ac:dyDescent="0.2">
      <c r="A20" s="27">
        <v>14</v>
      </c>
      <c r="B20" s="27">
        <v>1</v>
      </c>
      <c r="C20" s="27"/>
      <c r="D20" s="20">
        <v>16.858974358974358</v>
      </c>
      <c r="E20" s="20">
        <f t="shared" si="0"/>
        <v>2.8589743589743577</v>
      </c>
      <c r="G20" s="20">
        <f t="shared" si="1"/>
        <v>7.4803820711623142E-2</v>
      </c>
      <c r="L20" s="20"/>
    </row>
    <row r="21" spans="1:12" x14ac:dyDescent="0.2">
      <c r="A21" s="27">
        <v>11</v>
      </c>
      <c r="B21" s="27">
        <v>1</v>
      </c>
      <c r="C21" s="27"/>
      <c r="D21" s="20">
        <v>16.858974358974358</v>
      </c>
      <c r="E21" s="20">
        <f t="shared" si="0"/>
        <v>5.8589743589743577</v>
      </c>
      <c r="G21" s="20">
        <f t="shared" si="1"/>
        <v>3.6339616015446226E-2</v>
      </c>
      <c r="L21" s="20"/>
    </row>
    <row r="22" spans="1:12" x14ac:dyDescent="0.2">
      <c r="A22" s="27">
        <v>14</v>
      </c>
      <c r="B22" s="27">
        <v>1</v>
      </c>
      <c r="C22" s="27"/>
      <c r="D22" s="20">
        <v>16.858974358974358</v>
      </c>
      <c r="E22" s="20">
        <f t="shared" si="0"/>
        <v>2.8589743589743577</v>
      </c>
      <c r="G22" s="20">
        <f t="shared" si="1"/>
        <v>7.4803820711623142E-2</v>
      </c>
      <c r="L22" s="20"/>
    </row>
    <row r="23" spans="1:12" x14ac:dyDescent="0.2">
      <c r="A23" s="27">
        <v>13</v>
      </c>
      <c r="B23" s="27">
        <v>1</v>
      </c>
      <c r="C23" s="27"/>
      <c r="D23" s="20">
        <v>16.858974358974358</v>
      </c>
      <c r="E23" s="20">
        <f t="shared" si="0"/>
        <v>3.8589743589743577</v>
      </c>
      <c r="G23" s="20">
        <f t="shared" si="1"/>
        <v>6.2142132155231941E-2</v>
      </c>
      <c r="L23" s="20"/>
    </row>
    <row r="24" spans="1:12" x14ac:dyDescent="0.2">
      <c r="A24" s="27">
        <v>12</v>
      </c>
      <c r="B24" s="27">
        <v>1</v>
      </c>
      <c r="C24" s="27"/>
      <c r="D24" s="20">
        <v>16.858974358974358</v>
      </c>
      <c r="E24" s="20">
        <f t="shared" si="0"/>
        <v>4.8589743589743577</v>
      </c>
      <c r="G24" s="20">
        <f t="shared" si="1"/>
        <v>4.8850798619149906E-2</v>
      </c>
      <c r="L24" s="20"/>
    </row>
    <row r="25" spans="1:12" x14ac:dyDescent="0.2">
      <c r="A25" s="27">
        <v>16</v>
      </c>
      <c r="B25" s="27">
        <v>1</v>
      </c>
      <c r="C25" s="27"/>
      <c r="D25" s="20">
        <v>16.858974358974358</v>
      </c>
      <c r="E25" s="20">
        <f t="shared" si="0"/>
        <v>0.8589743589743577</v>
      </c>
      <c r="G25" s="20">
        <f t="shared" si="1"/>
        <v>9.1847742433773194E-2</v>
      </c>
      <c r="L25" s="20"/>
    </row>
    <row r="26" spans="1:12" x14ac:dyDescent="0.2">
      <c r="A26" s="27">
        <v>15</v>
      </c>
      <c r="B26" s="27">
        <v>1</v>
      </c>
      <c r="C26" s="27"/>
      <c r="D26" s="20">
        <v>16.858974358974358</v>
      </c>
      <c r="E26" s="20">
        <f t="shared" si="0"/>
        <v>1.8589743589743577</v>
      </c>
      <c r="G26" s="20">
        <f t="shared" si="1"/>
        <v>8.5208821600122359E-2</v>
      </c>
      <c r="L26" s="20"/>
    </row>
    <row r="27" spans="1:12" x14ac:dyDescent="0.2">
      <c r="A27" s="27">
        <v>16</v>
      </c>
      <c r="B27" s="27">
        <v>1</v>
      </c>
      <c r="C27" s="27"/>
      <c r="D27" s="20">
        <v>16.858974358974358</v>
      </c>
      <c r="E27" s="20">
        <f t="shared" si="0"/>
        <v>0.8589743589743577</v>
      </c>
      <c r="G27" s="20">
        <f t="shared" si="1"/>
        <v>9.1847742433773194E-2</v>
      </c>
      <c r="L27" s="20"/>
    </row>
    <row r="28" spans="1:12" x14ac:dyDescent="0.2">
      <c r="A28" s="27">
        <v>15</v>
      </c>
      <c r="B28" s="27">
        <v>1</v>
      </c>
      <c r="C28" s="27"/>
      <c r="D28" s="20">
        <v>16.858974358974358</v>
      </c>
      <c r="E28" s="20">
        <f t="shared" si="0"/>
        <v>1.8589743589743577</v>
      </c>
      <c r="G28" s="20">
        <f t="shared" si="1"/>
        <v>8.5208821600122359E-2</v>
      </c>
      <c r="L28" s="20"/>
    </row>
    <row r="29" spans="1:12" x14ac:dyDescent="0.2">
      <c r="A29" s="27">
        <v>15</v>
      </c>
      <c r="B29" s="27">
        <v>1</v>
      </c>
      <c r="C29" s="27"/>
      <c r="D29" s="20">
        <v>16.858974358974358</v>
      </c>
      <c r="E29" s="20">
        <f t="shared" si="0"/>
        <v>1.8589743589743577</v>
      </c>
      <c r="G29" s="20">
        <f t="shared" si="1"/>
        <v>8.5208821600122359E-2</v>
      </c>
      <c r="L29" s="20"/>
    </row>
    <row r="30" spans="1:12" x14ac:dyDescent="0.2">
      <c r="A30" s="27">
        <v>14</v>
      </c>
      <c r="B30" s="27">
        <v>1</v>
      </c>
      <c r="C30" s="27"/>
      <c r="D30" s="20">
        <v>16.858974358974358</v>
      </c>
      <c r="E30" s="20">
        <f t="shared" si="0"/>
        <v>2.8589743589743577</v>
      </c>
      <c r="G30" s="20">
        <f t="shared" si="1"/>
        <v>7.4803820711623142E-2</v>
      </c>
      <c r="L30" s="20"/>
    </row>
    <row r="31" spans="1:12" x14ac:dyDescent="0.2">
      <c r="A31" s="27">
        <v>11</v>
      </c>
      <c r="B31" s="27">
        <v>1</v>
      </c>
      <c r="C31" s="27"/>
      <c r="D31" s="20">
        <v>16.858974358974358</v>
      </c>
      <c r="E31" s="20">
        <f t="shared" si="0"/>
        <v>5.8589743589743577</v>
      </c>
      <c r="G31" s="20">
        <f t="shared" si="1"/>
        <v>3.6339616015446226E-2</v>
      </c>
      <c r="L31" s="20"/>
    </row>
    <row r="32" spans="1:12" x14ac:dyDescent="0.2">
      <c r="A32" s="27">
        <v>11</v>
      </c>
      <c r="B32" s="27">
        <v>1</v>
      </c>
      <c r="C32" s="27"/>
      <c r="D32" s="20">
        <v>16.858974358974358</v>
      </c>
      <c r="E32" s="20">
        <f t="shared" si="0"/>
        <v>5.8589743589743577</v>
      </c>
      <c r="G32" s="20">
        <f t="shared" si="1"/>
        <v>3.6339616015446226E-2</v>
      </c>
      <c r="L32" s="20"/>
    </row>
    <row r="33" spans="1:12" x14ac:dyDescent="0.2">
      <c r="A33" s="27">
        <v>14</v>
      </c>
      <c r="B33" s="27">
        <v>1</v>
      </c>
      <c r="C33" s="27"/>
      <c r="D33" s="20">
        <v>16.858974358974358</v>
      </c>
      <c r="E33" s="20">
        <f t="shared" si="0"/>
        <v>2.8589743589743577</v>
      </c>
      <c r="G33" s="20">
        <f t="shared" si="1"/>
        <v>7.4803820711623142E-2</v>
      </c>
      <c r="L33" s="20"/>
    </row>
    <row r="34" spans="1:12" x14ac:dyDescent="0.2">
      <c r="A34" s="27">
        <v>19</v>
      </c>
      <c r="B34" s="27">
        <v>1</v>
      </c>
      <c r="C34" s="27"/>
      <c r="D34" s="20">
        <v>16.858974358974358</v>
      </c>
      <c r="E34" s="20">
        <f t="shared" si="0"/>
        <v>-2.1410256410256423</v>
      </c>
      <c r="G34" s="20">
        <f t="shared" si="1"/>
        <v>8.2596026638649928E-2</v>
      </c>
      <c r="L34" s="20"/>
    </row>
    <row r="35" spans="1:12" x14ac:dyDescent="0.2">
      <c r="A35" s="27">
        <v>22</v>
      </c>
      <c r="B35" s="27">
        <v>1</v>
      </c>
      <c r="C35" s="27"/>
      <c r="D35" s="20">
        <v>16.858974358974358</v>
      </c>
      <c r="E35" s="20">
        <f t="shared" si="0"/>
        <v>-5.1410256410256423</v>
      </c>
      <c r="G35" s="20">
        <f t="shared" si="1"/>
        <v>4.5191645925457373E-2</v>
      </c>
      <c r="L35" s="20"/>
    </row>
    <row r="36" spans="1:12" x14ac:dyDescent="0.2">
      <c r="A36" s="27">
        <v>18</v>
      </c>
      <c r="B36" s="27">
        <v>1</v>
      </c>
      <c r="C36" s="27"/>
      <c r="D36" s="20">
        <v>16.858974358974358</v>
      </c>
      <c r="E36" s="20">
        <f t="shared" si="0"/>
        <v>-1.1410256410256423</v>
      </c>
      <c r="G36" s="20">
        <f t="shared" si="1"/>
        <v>9.0428595220514676E-2</v>
      </c>
      <c r="L36" s="20"/>
    </row>
    <row r="37" spans="1:12" x14ac:dyDescent="0.2">
      <c r="A37" s="27">
        <v>18</v>
      </c>
      <c r="B37" s="27">
        <v>1</v>
      </c>
      <c r="C37" s="27"/>
      <c r="D37" s="20">
        <v>16.858974358974358</v>
      </c>
      <c r="E37" s="20">
        <f t="shared" si="0"/>
        <v>-1.1410256410256423</v>
      </c>
      <c r="G37" s="20">
        <f t="shared" si="1"/>
        <v>9.0428595220514676E-2</v>
      </c>
      <c r="L37" s="20"/>
    </row>
    <row r="38" spans="1:12" x14ac:dyDescent="0.2">
      <c r="A38" s="27">
        <v>17</v>
      </c>
      <c r="B38" s="27">
        <v>1</v>
      </c>
      <c r="C38" s="27"/>
      <c r="D38" s="20">
        <v>16.858974358974358</v>
      </c>
      <c r="E38" s="20">
        <f t="shared" si="0"/>
        <v>-0.1410256410256423</v>
      </c>
      <c r="G38" s="20">
        <f t="shared" si="1"/>
        <v>9.3686186441259228E-2</v>
      </c>
      <c r="L38" s="20"/>
    </row>
    <row r="39" spans="1:12" x14ac:dyDescent="0.2">
      <c r="A39" s="27">
        <v>18</v>
      </c>
      <c r="B39" s="27">
        <v>1</v>
      </c>
      <c r="C39" s="27"/>
      <c r="D39" s="20">
        <v>16.858974358974358</v>
      </c>
      <c r="E39" s="20">
        <f t="shared" si="0"/>
        <v>-1.1410256410256423</v>
      </c>
      <c r="G39" s="20">
        <f t="shared" si="1"/>
        <v>9.0428595220514676E-2</v>
      </c>
      <c r="L39" s="20"/>
    </row>
    <row r="40" spans="1:12" x14ac:dyDescent="0.2">
      <c r="A40" s="27">
        <v>17</v>
      </c>
      <c r="B40" s="27">
        <v>1</v>
      </c>
      <c r="C40" s="27"/>
      <c r="D40" s="20">
        <v>16.858974358974358</v>
      </c>
      <c r="E40" s="20">
        <f t="shared" si="0"/>
        <v>-0.1410256410256423</v>
      </c>
      <c r="G40" s="20">
        <f t="shared" si="1"/>
        <v>9.3686186441259228E-2</v>
      </c>
      <c r="L40" s="20"/>
    </row>
    <row r="41" spans="1:12" x14ac:dyDescent="0.2">
      <c r="A41" s="27">
        <v>16</v>
      </c>
      <c r="B41" s="27">
        <v>1</v>
      </c>
      <c r="C41" s="27"/>
      <c r="D41" s="20">
        <v>16.858974358974358</v>
      </c>
      <c r="E41" s="20">
        <f t="shared" si="0"/>
        <v>0.8589743589743577</v>
      </c>
      <c r="G41" s="20">
        <f t="shared" si="1"/>
        <v>9.1847742433773194E-2</v>
      </c>
      <c r="L41" s="20"/>
    </row>
    <row r="42" spans="1:12" x14ac:dyDescent="0.2">
      <c r="A42" s="27">
        <v>16</v>
      </c>
      <c r="B42" s="27">
        <v>1</v>
      </c>
      <c r="C42" s="27"/>
      <c r="D42" s="20">
        <v>16.858974358974358</v>
      </c>
      <c r="E42" s="20">
        <f t="shared" si="0"/>
        <v>0.8589743589743577</v>
      </c>
      <c r="G42" s="20">
        <f t="shared" si="1"/>
        <v>9.1847742433773194E-2</v>
      </c>
      <c r="L42" s="20"/>
    </row>
    <row r="43" spans="1:12" x14ac:dyDescent="0.2">
      <c r="A43" s="27">
        <v>17</v>
      </c>
      <c r="B43" s="27">
        <v>1</v>
      </c>
      <c r="C43" s="27"/>
      <c r="D43" s="20">
        <v>16.858974358974358</v>
      </c>
      <c r="E43" s="20">
        <f t="shared" si="0"/>
        <v>-0.1410256410256423</v>
      </c>
      <c r="G43" s="20">
        <f t="shared" si="1"/>
        <v>9.3686186441259228E-2</v>
      </c>
      <c r="L43" s="20"/>
    </row>
    <row r="44" spans="1:12" x14ac:dyDescent="0.2">
      <c r="A44" s="27">
        <v>17</v>
      </c>
      <c r="B44" s="27">
        <v>1</v>
      </c>
      <c r="C44" s="27"/>
      <c r="D44" s="20">
        <v>16.858974358974358</v>
      </c>
      <c r="E44" s="20">
        <f t="shared" si="0"/>
        <v>-0.1410256410256423</v>
      </c>
      <c r="G44" s="20">
        <f t="shared" si="1"/>
        <v>9.3686186441259228E-2</v>
      </c>
      <c r="L44" s="20"/>
    </row>
    <row r="45" spans="1:12" x14ac:dyDescent="0.2">
      <c r="A45" s="27">
        <v>11</v>
      </c>
      <c r="B45" s="27">
        <v>1</v>
      </c>
      <c r="C45" s="27"/>
      <c r="D45" s="20">
        <v>16.858974358974358</v>
      </c>
      <c r="E45" s="20">
        <f t="shared" si="0"/>
        <v>5.8589743589743577</v>
      </c>
      <c r="G45" s="20">
        <f t="shared" si="1"/>
        <v>3.6339616015446226E-2</v>
      </c>
      <c r="L45" s="20"/>
    </row>
    <row r="46" spans="1:12" x14ac:dyDescent="0.2">
      <c r="A46" s="27">
        <v>15</v>
      </c>
      <c r="B46" s="27">
        <v>1</v>
      </c>
      <c r="C46" s="27"/>
      <c r="D46" s="20">
        <v>16.858974358974358</v>
      </c>
      <c r="E46" s="20">
        <f t="shared" si="0"/>
        <v>1.8589743589743577</v>
      </c>
      <c r="G46" s="20">
        <f t="shared" si="1"/>
        <v>8.5208821600122359E-2</v>
      </c>
      <c r="L46" s="20"/>
    </row>
    <row r="47" spans="1:12" x14ac:dyDescent="0.2">
      <c r="A47" s="27">
        <v>15</v>
      </c>
      <c r="B47" s="27">
        <v>1</v>
      </c>
      <c r="C47" s="27"/>
      <c r="D47" s="20">
        <v>16.858974358974358</v>
      </c>
      <c r="E47" s="20">
        <f t="shared" si="0"/>
        <v>1.8589743589743577</v>
      </c>
      <c r="G47" s="20">
        <f t="shared" si="1"/>
        <v>8.5208821600122359E-2</v>
      </c>
      <c r="L47" s="20"/>
    </row>
    <row r="48" spans="1:12" x14ac:dyDescent="0.2">
      <c r="A48" s="27">
        <v>16</v>
      </c>
      <c r="B48" s="27">
        <v>1</v>
      </c>
      <c r="C48" s="27"/>
      <c r="D48" s="20">
        <v>16.858974358974358</v>
      </c>
      <c r="E48" s="20">
        <f t="shared" si="0"/>
        <v>0.8589743589743577</v>
      </c>
      <c r="G48" s="20">
        <f t="shared" si="1"/>
        <v>9.1847742433773194E-2</v>
      </c>
      <c r="L48" s="20"/>
    </row>
    <row r="49" spans="1:12" x14ac:dyDescent="0.2">
      <c r="A49" s="27">
        <v>16</v>
      </c>
      <c r="B49" s="27">
        <v>1</v>
      </c>
      <c r="C49" s="27"/>
      <c r="D49" s="20">
        <v>16.858974358974358</v>
      </c>
      <c r="E49" s="20">
        <f t="shared" si="0"/>
        <v>0.8589743589743577</v>
      </c>
      <c r="G49" s="20">
        <f t="shared" si="1"/>
        <v>9.1847742433773194E-2</v>
      </c>
      <c r="L49" s="20"/>
    </row>
    <row r="50" spans="1:12" x14ac:dyDescent="0.2">
      <c r="A50" s="27">
        <v>15</v>
      </c>
      <c r="B50" s="27">
        <v>1</v>
      </c>
      <c r="C50" s="27"/>
      <c r="D50" s="20">
        <v>16.858974358974358</v>
      </c>
      <c r="E50" s="20">
        <f t="shared" si="0"/>
        <v>1.8589743589743577</v>
      </c>
      <c r="G50" s="20">
        <f t="shared" si="1"/>
        <v>8.5208821600122359E-2</v>
      </c>
      <c r="L50" s="20"/>
    </row>
    <row r="51" spans="1:12" x14ac:dyDescent="0.2">
      <c r="A51" s="27">
        <v>14</v>
      </c>
      <c r="B51" s="27">
        <v>1</v>
      </c>
      <c r="C51" s="27"/>
      <c r="D51" s="20">
        <v>16.858974358974358</v>
      </c>
      <c r="E51" s="20">
        <f t="shared" si="0"/>
        <v>2.8589743589743577</v>
      </c>
      <c r="G51" s="20">
        <f t="shared" si="1"/>
        <v>7.4803820711623142E-2</v>
      </c>
      <c r="L51" s="20"/>
    </row>
    <row r="52" spans="1:12" x14ac:dyDescent="0.2">
      <c r="A52" s="27">
        <v>13</v>
      </c>
      <c r="B52" s="27">
        <v>1</v>
      </c>
      <c r="C52" s="27"/>
      <c r="D52" s="20">
        <v>16.858974358974358</v>
      </c>
      <c r="E52" s="20">
        <f t="shared" si="0"/>
        <v>3.8589743589743577</v>
      </c>
      <c r="G52" s="20">
        <f t="shared" si="1"/>
        <v>6.2142132155231941E-2</v>
      </c>
      <c r="L52" s="20"/>
    </row>
    <row r="53" spans="1:12" x14ac:dyDescent="0.2">
      <c r="A53" s="27">
        <v>14</v>
      </c>
      <c r="B53" s="27">
        <v>1</v>
      </c>
      <c r="C53" s="27"/>
      <c r="D53" s="20">
        <v>16.858974358974358</v>
      </c>
      <c r="E53" s="20">
        <f t="shared" si="0"/>
        <v>2.8589743589743577</v>
      </c>
      <c r="G53" s="20">
        <f t="shared" si="1"/>
        <v>7.4803820711623142E-2</v>
      </c>
      <c r="L53" s="20"/>
    </row>
    <row r="54" spans="1:12" x14ac:dyDescent="0.2">
      <c r="A54" s="27">
        <v>14</v>
      </c>
      <c r="B54" s="27">
        <v>1</v>
      </c>
      <c r="C54" s="27"/>
      <c r="D54" s="20">
        <v>16.858974358974358</v>
      </c>
      <c r="E54" s="20">
        <f t="shared" si="0"/>
        <v>2.8589743589743577</v>
      </c>
      <c r="G54" s="20">
        <f t="shared" si="1"/>
        <v>7.4803820711623142E-2</v>
      </c>
      <c r="L54" s="20"/>
    </row>
    <row r="55" spans="1:12" x14ac:dyDescent="0.2">
      <c r="A55" s="27">
        <v>14</v>
      </c>
      <c r="B55" s="27">
        <v>1</v>
      </c>
      <c r="C55" s="27"/>
      <c r="D55" s="20">
        <v>16.858974358974358</v>
      </c>
      <c r="E55" s="20">
        <f t="shared" si="0"/>
        <v>2.8589743589743577</v>
      </c>
      <c r="G55" s="20">
        <f t="shared" si="1"/>
        <v>7.4803820711623142E-2</v>
      </c>
      <c r="L55" s="20"/>
    </row>
    <row r="56" spans="1:12" x14ac:dyDescent="0.2">
      <c r="A56" s="27">
        <v>9</v>
      </c>
      <c r="B56" s="27">
        <v>1</v>
      </c>
      <c r="C56" s="27"/>
      <c r="D56" s="20">
        <v>16.858974358974358</v>
      </c>
      <c r="E56" s="20">
        <f t="shared" si="0"/>
        <v>7.8589743589743577</v>
      </c>
      <c r="G56" s="20">
        <f t="shared" si="1"/>
        <v>1.7039902700084295E-2</v>
      </c>
      <c r="L56" s="20"/>
    </row>
    <row r="57" spans="1:12" x14ac:dyDescent="0.2">
      <c r="A57" s="27">
        <v>11</v>
      </c>
      <c r="B57" s="27">
        <v>1</v>
      </c>
      <c r="C57" s="27"/>
      <c r="D57" s="20">
        <v>16.858974358974358</v>
      </c>
      <c r="E57" s="20">
        <f t="shared" si="0"/>
        <v>5.8589743589743577</v>
      </c>
      <c r="G57" s="20">
        <f t="shared" si="1"/>
        <v>3.6339616015446226E-2</v>
      </c>
      <c r="L57" s="20"/>
    </row>
    <row r="58" spans="1:12" x14ac:dyDescent="0.2">
      <c r="A58" s="27">
        <v>11</v>
      </c>
      <c r="B58" s="27">
        <v>1</v>
      </c>
      <c r="C58" s="27"/>
      <c r="D58" s="20">
        <v>16.858974358974358</v>
      </c>
      <c r="E58" s="20">
        <f t="shared" si="0"/>
        <v>5.8589743589743577</v>
      </c>
      <c r="G58" s="20">
        <f t="shared" si="1"/>
        <v>3.6339616015446226E-2</v>
      </c>
      <c r="L58" s="20"/>
    </row>
    <row r="59" spans="1:12" x14ac:dyDescent="0.2">
      <c r="A59" s="27">
        <v>13</v>
      </c>
      <c r="B59" s="27">
        <v>1</v>
      </c>
      <c r="C59" s="27"/>
      <c r="D59" s="20">
        <v>16.858974358974358</v>
      </c>
      <c r="E59" s="20">
        <f t="shared" si="0"/>
        <v>3.8589743589743577</v>
      </c>
      <c r="G59" s="20">
        <f t="shared" si="1"/>
        <v>6.2142132155231941E-2</v>
      </c>
      <c r="L59" s="20"/>
    </row>
    <row r="60" spans="1:12" x14ac:dyDescent="0.2">
      <c r="A60" s="27">
        <v>13</v>
      </c>
      <c r="B60" s="27">
        <v>1</v>
      </c>
      <c r="C60" s="27"/>
      <c r="D60" s="20">
        <v>16.858974358974358</v>
      </c>
      <c r="E60" s="20">
        <f t="shared" si="0"/>
        <v>3.8589743589743577</v>
      </c>
      <c r="G60" s="20">
        <f t="shared" si="1"/>
        <v>6.2142132155231941E-2</v>
      </c>
      <c r="L60" s="20"/>
    </row>
    <row r="61" spans="1:12" x14ac:dyDescent="0.2">
      <c r="A61" s="27">
        <v>9</v>
      </c>
      <c r="B61" s="27">
        <v>1</v>
      </c>
      <c r="C61" s="27"/>
      <c r="D61" s="20">
        <v>16.858974358974358</v>
      </c>
      <c r="E61" s="20">
        <f t="shared" si="0"/>
        <v>7.8589743589743577</v>
      </c>
      <c r="G61" s="20">
        <f t="shared" si="1"/>
        <v>1.7039902700084295E-2</v>
      </c>
      <c r="L61" s="20"/>
    </row>
    <row r="62" spans="1:12" x14ac:dyDescent="0.2">
      <c r="A62" s="27">
        <v>13</v>
      </c>
      <c r="B62" s="27">
        <v>1</v>
      </c>
      <c r="C62" s="27"/>
      <c r="D62" s="20">
        <v>16.858974358974358</v>
      </c>
      <c r="E62" s="20">
        <f t="shared" si="0"/>
        <v>3.8589743589743577</v>
      </c>
      <c r="G62" s="20">
        <f t="shared" si="1"/>
        <v>6.2142132155231941E-2</v>
      </c>
      <c r="L62" s="20"/>
    </row>
    <row r="63" spans="1:12" x14ac:dyDescent="0.2">
      <c r="A63" s="27">
        <v>11</v>
      </c>
      <c r="B63" s="27">
        <v>1</v>
      </c>
      <c r="C63" s="27"/>
      <c r="D63" s="20">
        <v>16.858974358974358</v>
      </c>
      <c r="E63" s="20">
        <f t="shared" si="0"/>
        <v>5.8589743589743577</v>
      </c>
      <c r="G63" s="20">
        <f t="shared" si="1"/>
        <v>3.6339616015446226E-2</v>
      </c>
      <c r="L63" s="20"/>
    </row>
    <row r="64" spans="1:12" x14ac:dyDescent="0.2">
      <c r="A64" s="27">
        <v>13</v>
      </c>
      <c r="B64" s="27">
        <v>1</v>
      </c>
      <c r="C64" s="27"/>
      <c r="D64" s="20">
        <v>16.858974358974358</v>
      </c>
      <c r="E64" s="20">
        <f t="shared" si="0"/>
        <v>3.8589743589743577</v>
      </c>
      <c r="G64" s="20">
        <f t="shared" si="1"/>
        <v>6.2142132155231941E-2</v>
      </c>
      <c r="L64" s="20"/>
    </row>
    <row r="65" spans="1:12" x14ac:dyDescent="0.2">
      <c r="A65" s="27">
        <v>11</v>
      </c>
      <c r="B65" s="27">
        <v>1</v>
      </c>
      <c r="C65" s="27"/>
      <c r="D65" s="20">
        <v>16.858974358974358</v>
      </c>
      <c r="E65" s="20">
        <f t="shared" si="0"/>
        <v>5.8589743589743577</v>
      </c>
      <c r="G65" s="20">
        <f t="shared" si="1"/>
        <v>3.6339616015446226E-2</v>
      </c>
      <c r="L65" s="20"/>
    </row>
    <row r="66" spans="1:12" x14ac:dyDescent="0.2">
      <c r="A66" s="27">
        <v>12</v>
      </c>
      <c r="B66" s="27">
        <v>1</v>
      </c>
      <c r="C66" s="27"/>
      <c r="D66" s="20">
        <v>16.858974358974358</v>
      </c>
      <c r="E66" s="20">
        <f t="shared" si="0"/>
        <v>4.8589743589743577</v>
      </c>
      <c r="G66" s="20">
        <f t="shared" si="1"/>
        <v>4.8850798619149906E-2</v>
      </c>
      <c r="L66" s="20"/>
    </row>
    <row r="67" spans="1:12" x14ac:dyDescent="0.2">
      <c r="A67" s="27">
        <v>9</v>
      </c>
      <c r="B67" s="27">
        <v>1</v>
      </c>
      <c r="C67" s="27"/>
      <c r="D67" s="20">
        <v>16.858974358974358</v>
      </c>
      <c r="E67" s="20">
        <f t="shared" ref="E67:E130" si="2">D67-A67</f>
        <v>7.8589743589743577</v>
      </c>
      <c r="G67" s="20">
        <f t="shared" ref="G67:G130" si="3">_xlfn.NORM.DIST(E67,0,$F$2,FALSE)</f>
        <v>1.7039902700084295E-2</v>
      </c>
      <c r="L67" s="20"/>
    </row>
    <row r="68" spans="1:12" x14ac:dyDescent="0.2">
      <c r="A68" s="27">
        <v>13</v>
      </c>
      <c r="B68" s="27">
        <v>1</v>
      </c>
      <c r="C68" s="27"/>
      <c r="D68" s="20">
        <v>16.858974358974358</v>
      </c>
      <c r="E68" s="20">
        <f t="shared" si="2"/>
        <v>3.8589743589743577</v>
      </c>
      <c r="G68" s="20">
        <f t="shared" si="3"/>
        <v>6.2142132155231941E-2</v>
      </c>
      <c r="L68" s="20"/>
    </row>
    <row r="69" spans="1:12" x14ac:dyDescent="0.2">
      <c r="A69" s="27">
        <v>13</v>
      </c>
      <c r="B69" s="27">
        <v>1</v>
      </c>
      <c r="C69" s="27"/>
      <c r="D69" s="20">
        <v>16.858974358974358</v>
      </c>
      <c r="E69" s="20">
        <f t="shared" si="2"/>
        <v>3.8589743589743577</v>
      </c>
      <c r="G69" s="20">
        <f t="shared" si="3"/>
        <v>6.2142132155231941E-2</v>
      </c>
      <c r="L69" s="20"/>
    </row>
    <row r="70" spans="1:12" x14ac:dyDescent="0.2">
      <c r="A70" s="27">
        <v>12</v>
      </c>
      <c r="B70" s="27">
        <v>1</v>
      </c>
      <c r="C70" s="27"/>
      <c r="D70" s="20">
        <v>16.858974358974358</v>
      </c>
      <c r="E70" s="20">
        <f t="shared" si="2"/>
        <v>4.8589743589743577</v>
      </c>
      <c r="G70" s="20">
        <f t="shared" si="3"/>
        <v>4.8850798619149906E-2</v>
      </c>
      <c r="L70" s="20"/>
    </row>
    <row r="71" spans="1:12" x14ac:dyDescent="0.2">
      <c r="A71" s="27">
        <v>9</v>
      </c>
      <c r="B71" s="27">
        <v>1</v>
      </c>
      <c r="C71" s="27"/>
      <c r="D71" s="20">
        <v>16.858974358974358</v>
      </c>
      <c r="E71" s="20">
        <f t="shared" si="2"/>
        <v>7.8589743589743577</v>
      </c>
      <c r="G71" s="20">
        <f t="shared" si="3"/>
        <v>1.7039902700084295E-2</v>
      </c>
      <c r="L71" s="20"/>
    </row>
    <row r="72" spans="1:12" x14ac:dyDescent="0.2">
      <c r="A72" s="27">
        <v>11</v>
      </c>
      <c r="B72" s="27">
        <v>1</v>
      </c>
      <c r="C72" s="27"/>
      <c r="D72" s="20">
        <v>16.858974358974358</v>
      </c>
      <c r="E72" s="20">
        <f t="shared" si="2"/>
        <v>5.8589743589743577</v>
      </c>
      <c r="G72" s="20">
        <f t="shared" si="3"/>
        <v>3.6339616015446226E-2</v>
      </c>
      <c r="L72" s="20"/>
    </row>
    <row r="73" spans="1:12" x14ac:dyDescent="0.2">
      <c r="A73" s="27">
        <v>11</v>
      </c>
      <c r="B73" s="27">
        <v>1</v>
      </c>
      <c r="C73" s="27"/>
      <c r="D73" s="20">
        <v>16.858974358974358</v>
      </c>
      <c r="E73" s="20">
        <f t="shared" si="2"/>
        <v>5.8589743589743577</v>
      </c>
      <c r="G73" s="20">
        <f t="shared" si="3"/>
        <v>3.6339616015446226E-2</v>
      </c>
      <c r="L73" s="20"/>
    </row>
    <row r="74" spans="1:12" x14ac:dyDescent="0.2">
      <c r="A74" s="27">
        <v>13</v>
      </c>
      <c r="B74" s="27">
        <v>1</v>
      </c>
      <c r="C74" s="27"/>
      <c r="D74" s="20">
        <v>16.858974358974358</v>
      </c>
      <c r="E74" s="20">
        <f t="shared" si="2"/>
        <v>3.8589743589743577</v>
      </c>
      <c r="G74" s="20">
        <f t="shared" si="3"/>
        <v>6.2142132155231941E-2</v>
      </c>
      <c r="L74" s="20"/>
    </row>
    <row r="75" spans="1:12" x14ac:dyDescent="0.2">
      <c r="A75" s="27">
        <v>11</v>
      </c>
      <c r="B75" s="27">
        <v>1</v>
      </c>
      <c r="C75" s="27"/>
      <c r="D75" s="20">
        <v>16.858974358974358</v>
      </c>
      <c r="E75" s="20">
        <f t="shared" si="2"/>
        <v>5.8589743589743577</v>
      </c>
      <c r="G75" s="20">
        <f t="shared" si="3"/>
        <v>3.6339616015446226E-2</v>
      </c>
      <c r="L75" s="20"/>
    </row>
    <row r="76" spans="1:12" x14ac:dyDescent="0.2">
      <c r="A76" s="27">
        <v>11</v>
      </c>
      <c r="B76" s="27">
        <v>1</v>
      </c>
      <c r="C76" s="27"/>
      <c r="D76" s="20">
        <v>16.858974358974358</v>
      </c>
      <c r="E76" s="20">
        <f t="shared" si="2"/>
        <v>5.8589743589743577</v>
      </c>
      <c r="G76" s="20">
        <f t="shared" si="3"/>
        <v>3.6339616015446226E-2</v>
      </c>
      <c r="L76" s="20"/>
    </row>
    <row r="77" spans="1:12" x14ac:dyDescent="0.2">
      <c r="A77" s="27">
        <v>11</v>
      </c>
      <c r="B77" s="27">
        <v>1</v>
      </c>
      <c r="C77" s="27"/>
      <c r="D77" s="20">
        <v>16.858974358974358</v>
      </c>
      <c r="E77" s="20">
        <f t="shared" si="2"/>
        <v>5.8589743589743577</v>
      </c>
      <c r="G77" s="20">
        <f t="shared" si="3"/>
        <v>3.6339616015446226E-2</v>
      </c>
      <c r="L77" s="20"/>
    </row>
    <row r="78" spans="1:12" x14ac:dyDescent="0.2">
      <c r="A78" s="27">
        <v>12</v>
      </c>
      <c r="B78" s="27">
        <v>1</v>
      </c>
      <c r="C78" s="27"/>
      <c r="D78" s="20">
        <v>16.858974358974358</v>
      </c>
      <c r="E78" s="20">
        <f t="shared" si="2"/>
        <v>4.8589743589743577</v>
      </c>
      <c r="G78" s="20">
        <f t="shared" si="3"/>
        <v>4.8850798619149906E-2</v>
      </c>
      <c r="L78" s="20"/>
    </row>
    <row r="79" spans="1:12" x14ac:dyDescent="0.2">
      <c r="A79" s="27">
        <v>14</v>
      </c>
      <c r="B79" s="27">
        <v>1</v>
      </c>
      <c r="C79" s="27"/>
      <c r="D79" s="20">
        <v>16.858974358974358</v>
      </c>
      <c r="E79" s="20">
        <f t="shared" si="2"/>
        <v>2.8589743589743577</v>
      </c>
      <c r="G79" s="20">
        <f t="shared" si="3"/>
        <v>7.4803820711623142E-2</v>
      </c>
      <c r="L79" s="20"/>
    </row>
    <row r="80" spans="1:12" x14ac:dyDescent="0.2">
      <c r="A80" s="27">
        <v>15</v>
      </c>
      <c r="B80" s="27">
        <v>1</v>
      </c>
      <c r="C80" s="27"/>
      <c r="D80" s="20">
        <v>16.858974358974358</v>
      </c>
      <c r="E80" s="20">
        <f t="shared" si="2"/>
        <v>1.8589743589743577</v>
      </c>
      <c r="G80" s="20">
        <f t="shared" si="3"/>
        <v>8.5208821600122359E-2</v>
      </c>
      <c r="L80" s="20"/>
    </row>
    <row r="81" spans="1:12" x14ac:dyDescent="0.2">
      <c r="A81" s="27">
        <v>14</v>
      </c>
      <c r="B81" s="27">
        <v>1</v>
      </c>
      <c r="C81" s="27"/>
      <c r="D81" s="20">
        <v>16.858974358974358</v>
      </c>
      <c r="E81" s="20">
        <f t="shared" si="2"/>
        <v>2.8589743589743577</v>
      </c>
      <c r="G81" s="20">
        <f t="shared" si="3"/>
        <v>7.4803820711623142E-2</v>
      </c>
      <c r="L81" s="20"/>
    </row>
    <row r="82" spans="1:12" x14ac:dyDescent="0.2">
      <c r="A82" s="27">
        <v>13</v>
      </c>
      <c r="B82" s="27">
        <v>1</v>
      </c>
      <c r="C82" s="27"/>
      <c r="D82" s="20">
        <v>16.858974358974358</v>
      </c>
      <c r="E82" s="20">
        <f t="shared" si="2"/>
        <v>3.8589743589743577</v>
      </c>
      <c r="G82" s="20">
        <f t="shared" si="3"/>
        <v>6.2142132155231941E-2</v>
      </c>
      <c r="L82" s="20"/>
    </row>
    <row r="83" spans="1:12" x14ac:dyDescent="0.2">
      <c r="A83" s="27">
        <v>13</v>
      </c>
      <c r="B83" s="27">
        <v>1</v>
      </c>
      <c r="C83" s="27"/>
      <c r="D83" s="20">
        <v>16.858974358974358</v>
      </c>
      <c r="E83" s="20">
        <f t="shared" si="2"/>
        <v>3.8589743589743577</v>
      </c>
      <c r="G83" s="20">
        <f t="shared" si="3"/>
        <v>6.2142132155231941E-2</v>
      </c>
      <c r="L83" s="20"/>
    </row>
    <row r="84" spans="1:12" x14ac:dyDescent="0.2">
      <c r="A84" s="27">
        <v>13</v>
      </c>
      <c r="B84" s="27">
        <v>1</v>
      </c>
      <c r="C84" s="27"/>
      <c r="D84" s="20">
        <v>16.858974358974358</v>
      </c>
      <c r="E84" s="20">
        <f t="shared" si="2"/>
        <v>3.8589743589743577</v>
      </c>
      <c r="G84" s="20">
        <f t="shared" si="3"/>
        <v>6.2142132155231941E-2</v>
      </c>
      <c r="L84" s="20"/>
    </row>
    <row r="85" spans="1:12" x14ac:dyDescent="0.2">
      <c r="A85" s="27">
        <v>14</v>
      </c>
      <c r="B85" s="27">
        <v>1</v>
      </c>
      <c r="C85" s="27"/>
      <c r="D85" s="20">
        <v>16.858974358974358</v>
      </c>
      <c r="E85" s="20">
        <f t="shared" si="2"/>
        <v>2.8589743589743577</v>
      </c>
      <c r="G85" s="20">
        <f t="shared" si="3"/>
        <v>7.4803820711623142E-2</v>
      </c>
      <c r="L85" s="20"/>
    </row>
    <row r="86" spans="1:12" x14ac:dyDescent="0.2">
      <c r="A86" s="27">
        <v>14</v>
      </c>
      <c r="B86" s="27">
        <v>1</v>
      </c>
      <c r="C86" s="27"/>
      <c r="D86" s="20">
        <v>16.858974358974358</v>
      </c>
      <c r="E86" s="20">
        <f t="shared" si="2"/>
        <v>2.8589743589743577</v>
      </c>
      <c r="G86" s="20">
        <f t="shared" si="3"/>
        <v>7.4803820711623142E-2</v>
      </c>
      <c r="L86" s="20"/>
    </row>
    <row r="87" spans="1:12" x14ac:dyDescent="0.2">
      <c r="A87" s="27">
        <v>13</v>
      </c>
      <c r="B87" s="27">
        <v>1</v>
      </c>
      <c r="C87" s="27"/>
      <c r="D87" s="20">
        <v>16.858974358974358</v>
      </c>
      <c r="E87" s="20">
        <f t="shared" si="2"/>
        <v>3.8589743589743577</v>
      </c>
      <c r="G87" s="20">
        <f t="shared" si="3"/>
        <v>6.2142132155231941E-2</v>
      </c>
      <c r="L87" s="20"/>
    </row>
    <row r="88" spans="1:12" x14ac:dyDescent="0.2">
      <c r="A88" s="27">
        <v>13</v>
      </c>
      <c r="B88" s="27">
        <v>1</v>
      </c>
      <c r="C88" s="27"/>
      <c r="D88" s="20">
        <v>16.858974358974358</v>
      </c>
      <c r="E88" s="20">
        <f t="shared" si="2"/>
        <v>3.8589743589743577</v>
      </c>
      <c r="G88" s="20">
        <f t="shared" si="3"/>
        <v>6.2142132155231941E-2</v>
      </c>
      <c r="L88" s="20"/>
    </row>
    <row r="89" spans="1:12" x14ac:dyDescent="0.2">
      <c r="A89" s="27">
        <v>13</v>
      </c>
      <c r="B89" s="27">
        <v>1</v>
      </c>
      <c r="C89" s="27"/>
      <c r="D89" s="20">
        <v>16.858974358974358</v>
      </c>
      <c r="E89" s="20">
        <f t="shared" si="2"/>
        <v>3.8589743589743577</v>
      </c>
      <c r="G89" s="20">
        <f t="shared" si="3"/>
        <v>6.2142132155231941E-2</v>
      </c>
      <c r="L89" s="20"/>
    </row>
    <row r="90" spans="1:12" x14ac:dyDescent="0.2">
      <c r="A90" s="27">
        <v>11</v>
      </c>
      <c r="B90" s="27">
        <v>1</v>
      </c>
      <c r="C90" s="27"/>
      <c r="D90" s="20">
        <v>16.858974358974358</v>
      </c>
      <c r="E90" s="20">
        <f t="shared" si="2"/>
        <v>5.8589743589743577</v>
      </c>
      <c r="G90" s="20">
        <f t="shared" si="3"/>
        <v>3.6339616015446226E-2</v>
      </c>
      <c r="L90" s="20"/>
    </row>
    <row r="91" spans="1:12" x14ac:dyDescent="0.2">
      <c r="A91" s="27">
        <v>13</v>
      </c>
      <c r="B91" s="27">
        <v>1</v>
      </c>
      <c r="C91" s="27"/>
      <c r="D91" s="20">
        <v>16.858974358974358</v>
      </c>
      <c r="E91" s="20">
        <f t="shared" si="2"/>
        <v>3.8589743589743577</v>
      </c>
      <c r="G91" s="20">
        <f t="shared" si="3"/>
        <v>6.2142132155231941E-2</v>
      </c>
      <c r="L91" s="20"/>
    </row>
    <row r="92" spans="1:12" x14ac:dyDescent="0.2">
      <c r="A92" s="27">
        <v>18</v>
      </c>
      <c r="B92" s="27">
        <v>1</v>
      </c>
      <c r="C92" s="27"/>
      <c r="D92" s="20">
        <v>16.858974358974358</v>
      </c>
      <c r="E92" s="20">
        <f t="shared" si="2"/>
        <v>-1.1410256410256423</v>
      </c>
      <c r="G92" s="20">
        <f t="shared" si="3"/>
        <v>9.0428595220514676E-2</v>
      </c>
      <c r="L92" s="20"/>
    </row>
    <row r="93" spans="1:12" x14ac:dyDescent="0.2">
      <c r="A93" s="27">
        <v>18</v>
      </c>
      <c r="B93" s="27">
        <v>1</v>
      </c>
      <c r="C93" s="27"/>
      <c r="D93" s="20">
        <v>16.858974358974358</v>
      </c>
      <c r="E93" s="20">
        <f t="shared" si="2"/>
        <v>-1.1410256410256423</v>
      </c>
      <c r="G93" s="20">
        <f t="shared" si="3"/>
        <v>9.0428595220514676E-2</v>
      </c>
      <c r="L93" s="20"/>
    </row>
    <row r="94" spans="1:12" x14ac:dyDescent="0.2">
      <c r="A94" s="27">
        <v>17</v>
      </c>
      <c r="B94" s="27">
        <v>1</v>
      </c>
      <c r="C94" s="27"/>
      <c r="D94" s="20">
        <v>16.858974358974358</v>
      </c>
      <c r="E94" s="20">
        <f t="shared" si="2"/>
        <v>-0.1410256410256423</v>
      </c>
      <c r="G94" s="20">
        <f t="shared" si="3"/>
        <v>9.3686186441259228E-2</v>
      </c>
      <c r="L94" s="20"/>
    </row>
    <row r="95" spans="1:12" x14ac:dyDescent="0.2">
      <c r="A95" s="27">
        <v>16</v>
      </c>
      <c r="B95" s="27">
        <v>1</v>
      </c>
      <c r="C95" s="27"/>
      <c r="D95" s="20">
        <v>16.858974358974358</v>
      </c>
      <c r="E95" s="20">
        <f t="shared" si="2"/>
        <v>0.8589743589743577</v>
      </c>
      <c r="G95" s="20">
        <f t="shared" si="3"/>
        <v>9.1847742433773194E-2</v>
      </c>
      <c r="L95" s="20"/>
    </row>
    <row r="96" spans="1:12" x14ac:dyDescent="0.2">
      <c r="A96" s="27">
        <v>15</v>
      </c>
      <c r="B96" s="27">
        <v>1</v>
      </c>
      <c r="C96" s="27"/>
      <c r="D96" s="20">
        <v>16.858974358974358</v>
      </c>
      <c r="E96" s="20">
        <f t="shared" si="2"/>
        <v>1.8589743589743577</v>
      </c>
      <c r="G96" s="20">
        <f t="shared" si="3"/>
        <v>8.5208821600122359E-2</v>
      </c>
      <c r="L96" s="20"/>
    </row>
    <row r="97" spans="1:12" x14ac:dyDescent="0.2">
      <c r="A97" s="27">
        <v>15</v>
      </c>
      <c r="B97" s="27">
        <v>1</v>
      </c>
      <c r="C97" s="27"/>
      <c r="D97" s="20">
        <v>16.858974358974358</v>
      </c>
      <c r="E97" s="20">
        <f t="shared" si="2"/>
        <v>1.8589743589743577</v>
      </c>
      <c r="G97" s="20">
        <f t="shared" si="3"/>
        <v>8.5208821600122359E-2</v>
      </c>
      <c r="L97" s="20"/>
    </row>
    <row r="98" spans="1:12" x14ac:dyDescent="0.2">
      <c r="A98" s="27">
        <v>15</v>
      </c>
      <c r="B98" s="27">
        <v>1</v>
      </c>
      <c r="C98" s="27"/>
      <c r="D98" s="20">
        <v>16.858974358974358</v>
      </c>
      <c r="E98" s="20">
        <f t="shared" si="2"/>
        <v>1.8589743589743577</v>
      </c>
      <c r="G98" s="20">
        <f t="shared" si="3"/>
        <v>8.5208821600122359E-2</v>
      </c>
      <c r="L98" s="20"/>
    </row>
    <row r="99" spans="1:12" x14ac:dyDescent="0.2">
      <c r="A99" s="27">
        <v>15</v>
      </c>
      <c r="B99" s="27">
        <v>1</v>
      </c>
      <c r="C99" s="27"/>
      <c r="D99" s="20">
        <v>16.858974358974358</v>
      </c>
      <c r="E99" s="20">
        <f t="shared" si="2"/>
        <v>1.8589743589743577</v>
      </c>
      <c r="G99" s="20">
        <f t="shared" si="3"/>
        <v>8.5208821600122359E-2</v>
      </c>
      <c r="L99" s="20"/>
    </row>
    <row r="100" spans="1:12" x14ac:dyDescent="0.2">
      <c r="A100" s="27">
        <v>14</v>
      </c>
      <c r="B100" s="27">
        <v>1</v>
      </c>
      <c r="C100" s="27"/>
      <c r="D100" s="20">
        <v>16.858974358974358</v>
      </c>
      <c r="E100" s="20">
        <f t="shared" si="2"/>
        <v>2.8589743589743577</v>
      </c>
      <c r="G100" s="20">
        <f t="shared" si="3"/>
        <v>7.4803820711623142E-2</v>
      </c>
      <c r="L100" s="20"/>
    </row>
    <row r="101" spans="1:12" x14ac:dyDescent="0.2">
      <c r="A101" s="27">
        <v>28</v>
      </c>
      <c r="B101" s="27">
        <v>1</v>
      </c>
      <c r="C101" s="27"/>
      <c r="D101" s="20">
        <v>16.858974358974358</v>
      </c>
      <c r="E101" s="20">
        <f t="shared" si="2"/>
        <v>-11.141025641025642</v>
      </c>
      <c r="G101" s="20">
        <f t="shared" si="3"/>
        <v>3.0470611306731058E-3</v>
      </c>
      <c r="L101" s="20"/>
    </row>
    <row r="102" spans="1:12" x14ac:dyDescent="0.2">
      <c r="A102" s="27">
        <v>24</v>
      </c>
      <c r="B102" s="27">
        <v>1</v>
      </c>
      <c r="C102" s="27"/>
      <c r="D102" s="20">
        <v>16.858974358974358</v>
      </c>
      <c r="E102" s="20">
        <f t="shared" si="2"/>
        <v>-7.1410256410256423</v>
      </c>
      <c r="G102" s="20">
        <f t="shared" si="3"/>
        <v>2.293893420103504E-2</v>
      </c>
      <c r="L102" s="20"/>
    </row>
    <row r="103" spans="1:12" x14ac:dyDescent="0.2">
      <c r="A103" s="27">
        <v>25</v>
      </c>
      <c r="B103" s="27">
        <v>1</v>
      </c>
      <c r="C103" s="27"/>
      <c r="D103" s="20">
        <v>16.858974358974358</v>
      </c>
      <c r="E103" s="20">
        <f t="shared" si="2"/>
        <v>-8.1410256410256423</v>
      </c>
      <c r="G103" s="20">
        <f t="shared" si="3"/>
        <v>1.5044075220828471E-2</v>
      </c>
      <c r="L103" s="20"/>
    </row>
    <row r="104" spans="1:12" x14ac:dyDescent="0.2">
      <c r="A104" s="27">
        <v>23</v>
      </c>
      <c r="B104" s="27">
        <v>1</v>
      </c>
      <c r="C104" s="27"/>
      <c r="D104" s="20">
        <v>16.858974358974358</v>
      </c>
      <c r="E104" s="20">
        <f t="shared" si="2"/>
        <v>-6.1410256410256423</v>
      </c>
      <c r="G104" s="20">
        <f t="shared" si="3"/>
        <v>3.3098180744967454E-2</v>
      </c>
      <c r="L104" s="20"/>
    </row>
    <row r="105" spans="1:12" x14ac:dyDescent="0.2">
      <c r="A105" s="27">
        <v>24</v>
      </c>
      <c r="B105" s="27">
        <v>1</v>
      </c>
      <c r="C105" s="27"/>
      <c r="D105" s="20">
        <v>16.858974358974358</v>
      </c>
      <c r="E105" s="20">
        <f t="shared" si="2"/>
        <v>-7.1410256410256423</v>
      </c>
      <c r="G105" s="20">
        <f t="shared" si="3"/>
        <v>2.293893420103504E-2</v>
      </c>
      <c r="L105" s="20"/>
    </row>
    <row r="106" spans="1:12" x14ac:dyDescent="0.2">
      <c r="A106" s="27">
        <v>26</v>
      </c>
      <c r="B106" s="27">
        <v>1</v>
      </c>
      <c r="C106" s="27"/>
      <c r="D106" s="20">
        <v>16.858974358974358</v>
      </c>
      <c r="E106" s="20">
        <f t="shared" si="2"/>
        <v>-9.1410256410256423</v>
      </c>
      <c r="G106" s="20">
        <f t="shared" si="3"/>
        <v>9.3364312813032559E-3</v>
      </c>
      <c r="L106" s="20"/>
    </row>
    <row r="107" spans="1:12" x14ac:dyDescent="0.2">
      <c r="A107" s="27">
        <v>25</v>
      </c>
      <c r="B107" s="27">
        <v>1</v>
      </c>
      <c r="C107" s="27"/>
      <c r="D107" s="20">
        <v>16.858974358974358</v>
      </c>
      <c r="E107" s="20">
        <f t="shared" si="2"/>
        <v>-8.1410256410256423</v>
      </c>
      <c r="G107" s="20">
        <f t="shared" si="3"/>
        <v>1.5044075220828471E-2</v>
      </c>
      <c r="L107" s="20"/>
    </row>
    <row r="108" spans="1:12" x14ac:dyDescent="0.2">
      <c r="A108" s="27">
        <v>24</v>
      </c>
      <c r="B108" s="27">
        <v>1</v>
      </c>
      <c r="C108" s="27"/>
      <c r="D108" s="20">
        <v>16.858974358974358</v>
      </c>
      <c r="E108" s="20">
        <f t="shared" si="2"/>
        <v>-7.1410256410256423</v>
      </c>
      <c r="G108" s="20">
        <f t="shared" si="3"/>
        <v>2.293893420103504E-2</v>
      </c>
      <c r="L108" s="20"/>
    </row>
    <row r="109" spans="1:12" x14ac:dyDescent="0.2">
      <c r="A109" s="27">
        <v>21</v>
      </c>
      <c r="B109" s="27">
        <v>1</v>
      </c>
      <c r="C109" s="27"/>
      <c r="D109" s="20">
        <v>16.858974358974358</v>
      </c>
      <c r="E109" s="20">
        <f t="shared" si="2"/>
        <v>-4.1410256410256423</v>
      </c>
      <c r="G109" s="20">
        <f t="shared" si="3"/>
        <v>5.8389578885814829E-2</v>
      </c>
      <c r="L109" s="20"/>
    </row>
    <row r="110" spans="1:12" x14ac:dyDescent="0.2">
      <c r="A110" s="27">
        <v>18</v>
      </c>
      <c r="B110" s="27">
        <v>1</v>
      </c>
      <c r="C110" s="27"/>
      <c r="D110" s="20">
        <v>16.858974358974358</v>
      </c>
      <c r="E110" s="20">
        <f t="shared" si="2"/>
        <v>-1.1410256410256423</v>
      </c>
      <c r="G110" s="20">
        <f t="shared" si="3"/>
        <v>9.0428595220514676E-2</v>
      </c>
      <c r="L110" s="20"/>
    </row>
    <row r="111" spans="1:12" x14ac:dyDescent="0.2">
      <c r="A111" s="27">
        <v>18</v>
      </c>
      <c r="B111" s="27">
        <v>1</v>
      </c>
      <c r="C111" s="27"/>
      <c r="D111" s="20">
        <v>16.858974358974358</v>
      </c>
      <c r="E111" s="20">
        <f t="shared" si="2"/>
        <v>-1.1410256410256423</v>
      </c>
      <c r="G111" s="20">
        <f t="shared" si="3"/>
        <v>9.0428595220514676E-2</v>
      </c>
      <c r="L111" s="20"/>
    </row>
    <row r="112" spans="1:12" x14ac:dyDescent="0.2">
      <c r="A112" s="27">
        <v>21</v>
      </c>
      <c r="B112" s="27">
        <v>1</v>
      </c>
      <c r="C112" s="27"/>
      <c r="D112" s="20">
        <v>16.858974358974358</v>
      </c>
      <c r="E112" s="20">
        <f t="shared" si="2"/>
        <v>-4.1410256410256423</v>
      </c>
      <c r="G112" s="20">
        <f t="shared" si="3"/>
        <v>5.8389578885814829E-2</v>
      </c>
      <c r="L112" s="20"/>
    </row>
    <row r="113" spans="1:12" x14ac:dyDescent="0.2">
      <c r="A113" s="27">
        <v>21</v>
      </c>
      <c r="B113" s="27">
        <v>1</v>
      </c>
      <c r="C113" s="27"/>
      <c r="D113" s="20">
        <v>16.858974358974358</v>
      </c>
      <c r="E113" s="20">
        <f t="shared" si="2"/>
        <v>-4.1410256410256423</v>
      </c>
      <c r="G113" s="20">
        <f t="shared" si="3"/>
        <v>5.8389578885814829E-2</v>
      </c>
      <c r="L113" s="20"/>
    </row>
    <row r="114" spans="1:12" x14ac:dyDescent="0.2">
      <c r="A114" s="27">
        <v>18</v>
      </c>
      <c r="B114" s="27">
        <v>1</v>
      </c>
      <c r="C114" s="27"/>
      <c r="D114" s="20">
        <v>16.858974358974358</v>
      </c>
      <c r="E114" s="20">
        <f t="shared" si="2"/>
        <v>-1.1410256410256423</v>
      </c>
      <c r="G114" s="20">
        <f t="shared" si="3"/>
        <v>9.0428595220514676E-2</v>
      </c>
      <c r="L114" s="20"/>
    </row>
    <row r="115" spans="1:12" x14ac:dyDescent="0.2">
      <c r="A115" s="27">
        <v>18</v>
      </c>
      <c r="B115" s="27">
        <v>1</v>
      </c>
      <c r="C115" s="27"/>
      <c r="D115" s="20">
        <v>16.858974358974358</v>
      </c>
      <c r="E115" s="20">
        <f t="shared" si="2"/>
        <v>-1.1410256410256423</v>
      </c>
      <c r="G115" s="20">
        <f t="shared" si="3"/>
        <v>9.0428595220514676E-2</v>
      </c>
      <c r="L115" s="20"/>
    </row>
    <row r="116" spans="1:12" x14ac:dyDescent="0.2">
      <c r="A116" s="27">
        <v>19</v>
      </c>
      <c r="B116" s="27">
        <v>1</v>
      </c>
      <c r="C116" s="27"/>
      <c r="D116" s="20">
        <v>16.858974358974358</v>
      </c>
      <c r="E116" s="20">
        <f t="shared" si="2"/>
        <v>-2.1410256410256423</v>
      </c>
      <c r="G116" s="20">
        <f t="shared" si="3"/>
        <v>8.2596026638649928E-2</v>
      </c>
      <c r="L116" s="20"/>
    </row>
    <row r="117" spans="1:12" x14ac:dyDescent="0.2">
      <c r="A117" s="27">
        <v>19</v>
      </c>
      <c r="B117" s="27">
        <v>1</v>
      </c>
      <c r="C117" s="27"/>
      <c r="D117" s="20">
        <v>16.858974358974358</v>
      </c>
      <c r="E117" s="20">
        <f t="shared" si="2"/>
        <v>-2.1410256410256423</v>
      </c>
      <c r="G117" s="20">
        <f t="shared" si="3"/>
        <v>8.2596026638649928E-2</v>
      </c>
      <c r="L117" s="20"/>
    </row>
    <row r="118" spans="1:12" x14ac:dyDescent="0.2">
      <c r="A118" s="27">
        <v>19</v>
      </c>
      <c r="B118" s="27">
        <v>1</v>
      </c>
      <c r="C118" s="27"/>
      <c r="D118" s="20">
        <v>16.858974358974358</v>
      </c>
      <c r="E118" s="20">
        <f t="shared" si="2"/>
        <v>-2.1410256410256423</v>
      </c>
      <c r="G118" s="20">
        <f t="shared" si="3"/>
        <v>8.2596026638649928E-2</v>
      </c>
      <c r="L118" s="20"/>
    </row>
    <row r="119" spans="1:12" x14ac:dyDescent="0.2">
      <c r="A119" s="27">
        <v>20</v>
      </c>
      <c r="B119" s="27">
        <v>1</v>
      </c>
      <c r="C119" s="27"/>
      <c r="D119" s="20">
        <v>16.858974358974358</v>
      </c>
      <c r="E119" s="20">
        <f t="shared" si="2"/>
        <v>-3.1410256410256423</v>
      </c>
      <c r="G119" s="20">
        <f t="shared" si="3"/>
        <v>7.138971945227178E-2</v>
      </c>
      <c r="L119" s="20"/>
    </row>
    <row r="120" spans="1:12" x14ac:dyDescent="0.2">
      <c r="A120" s="27">
        <v>20</v>
      </c>
      <c r="B120" s="27">
        <v>1</v>
      </c>
      <c r="C120" s="27"/>
      <c r="D120" s="20">
        <v>16.858974358974358</v>
      </c>
      <c r="E120" s="20">
        <f t="shared" si="2"/>
        <v>-3.1410256410256423</v>
      </c>
      <c r="G120" s="20">
        <f t="shared" si="3"/>
        <v>7.138971945227178E-2</v>
      </c>
      <c r="L120" s="20"/>
    </row>
    <row r="121" spans="1:12" x14ac:dyDescent="0.2">
      <c r="A121" s="27">
        <v>17</v>
      </c>
      <c r="B121" s="27">
        <v>1</v>
      </c>
      <c r="C121" s="27"/>
      <c r="D121" s="20">
        <v>16.858974358974358</v>
      </c>
      <c r="E121" s="20">
        <f t="shared" si="2"/>
        <v>-0.1410256410256423</v>
      </c>
      <c r="G121" s="20">
        <f t="shared" si="3"/>
        <v>9.3686186441259228E-2</v>
      </c>
      <c r="L121" s="20"/>
    </row>
    <row r="122" spans="1:12" x14ac:dyDescent="0.2">
      <c r="A122" s="27">
        <v>16</v>
      </c>
      <c r="B122" s="27">
        <v>1</v>
      </c>
      <c r="C122" s="27"/>
      <c r="D122" s="20">
        <v>16.858974358974358</v>
      </c>
      <c r="E122" s="20">
        <f t="shared" si="2"/>
        <v>0.8589743589743577</v>
      </c>
      <c r="G122" s="20">
        <f t="shared" si="3"/>
        <v>9.1847742433773194E-2</v>
      </c>
      <c r="L122" s="20"/>
    </row>
    <row r="123" spans="1:12" x14ac:dyDescent="0.2">
      <c r="A123" s="27">
        <v>17</v>
      </c>
      <c r="B123" s="27">
        <v>1</v>
      </c>
      <c r="C123" s="27"/>
      <c r="D123" s="20">
        <v>16.858974358974358</v>
      </c>
      <c r="E123" s="20">
        <f t="shared" si="2"/>
        <v>-0.1410256410256423</v>
      </c>
      <c r="G123" s="20">
        <f t="shared" si="3"/>
        <v>9.3686186441259228E-2</v>
      </c>
      <c r="L123" s="20"/>
    </row>
    <row r="124" spans="1:12" x14ac:dyDescent="0.2">
      <c r="A124" s="27">
        <v>17</v>
      </c>
      <c r="B124" s="27">
        <v>1</v>
      </c>
      <c r="C124" s="27"/>
      <c r="D124" s="20">
        <v>16.858974358974358</v>
      </c>
      <c r="E124" s="20">
        <f t="shared" si="2"/>
        <v>-0.1410256410256423</v>
      </c>
      <c r="G124" s="20">
        <f t="shared" si="3"/>
        <v>9.3686186441259228E-2</v>
      </c>
      <c r="L124" s="20"/>
    </row>
    <row r="125" spans="1:12" x14ac:dyDescent="0.2">
      <c r="A125" s="27">
        <v>15</v>
      </c>
      <c r="B125" s="27">
        <v>1</v>
      </c>
      <c r="C125" s="27"/>
      <c r="D125" s="20">
        <v>16.858974358974358</v>
      </c>
      <c r="E125" s="20">
        <f t="shared" si="2"/>
        <v>1.8589743589743577</v>
      </c>
      <c r="G125" s="20">
        <f t="shared" si="3"/>
        <v>8.5208821600122359E-2</v>
      </c>
      <c r="L125" s="20"/>
    </row>
    <row r="126" spans="1:12" x14ac:dyDescent="0.2">
      <c r="A126" s="27">
        <v>15</v>
      </c>
      <c r="B126" s="27">
        <v>1</v>
      </c>
      <c r="C126" s="27"/>
      <c r="D126" s="20">
        <v>16.858974358974358</v>
      </c>
      <c r="E126" s="20">
        <f t="shared" si="2"/>
        <v>1.8589743589743577</v>
      </c>
      <c r="G126" s="20">
        <f t="shared" si="3"/>
        <v>8.5208821600122359E-2</v>
      </c>
      <c r="L126" s="20"/>
    </row>
    <row r="127" spans="1:12" x14ac:dyDescent="0.2">
      <c r="A127" s="27">
        <v>14</v>
      </c>
      <c r="B127" s="27">
        <v>1</v>
      </c>
      <c r="C127" s="27"/>
      <c r="D127" s="20">
        <v>16.858974358974358</v>
      </c>
      <c r="E127" s="20">
        <f t="shared" si="2"/>
        <v>2.8589743589743577</v>
      </c>
      <c r="G127" s="20">
        <f t="shared" si="3"/>
        <v>7.4803820711623142E-2</v>
      </c>
      <c r="L127" s="20"/>
    </row>
    <row r="128" spans="1:12" x14ac:dyDescent="0.2">
      <c r="A128" s="27">
        <v>9</v>
      </c>
      <c r="B128" s="27">
        <v>1</v>
      </c>
      <c r="C128" s="27"/>
      <c r="D128" s="20">
        <v>16.858974358974358</v>
      </c>
      <c r="E128" s="20">
        <f t="shared" si="2"/>
        <v>7.8589743589743577</v>
      </c>
      <c r="G128" s="20">
        <f t="shared" si="3"/>
        <v>1.7039902700084295E-2</v>
      </c>
      <c r="L128" s="20"/>
    </row>
    <row r="129" spans="1:12" x14ac:dyDescent="0.2">
      <c r="A129" s="27">
        <v>14</v>
      </c>
      <c r="B129" s="27">
        <v>1</v>
      </c>
      <c r="C129" s="27"/>
      <c r="D129" s="20">
        <v>16.858974358974358</v>
      </c>
      <c r="E129" s="20">
        <f t="shared" si="2"/>
        <v>2.8589743589743577</v>
      </c>
      <c r="G129" s="20">
        <f t="shared" si="3"/>
        <v>7.4803820711623142E-2</v>
      </c>
      <c r="L129" s="20"/>
    </row>
    <row r="130" spans="1:12" x14ac:dyDescent="0.2">
      <c r="A130" s="27">
        <v>13</v>
      </c>
      <c r="B130" s="27">
        <v>1</v>
      </c>
      <c r="C130" s="27"/>
      <c r="D130" s="20">
        <v>16.858974358974358</v>
      </c>
      <c r="E130" s="20">
        <f t="shared" si="2"/>
        <v>3.8589743589743577</v>
      </c>
      <c r="G130" s="20">
        <f t="shared" si="3"/>
        <v>6.2142132155231941E-2</v>
      </c>
      <c r="L130" s="20"/>
    </row>
    <row r="131" spans="1:12" x14ac:dyDescent="0.2">
      <c r="A131" s="27">
        <v>11</v>
      </c>
      <c r="B131" s="27">
        <v>1</v>
      </c>
      <c r="C131" s="27"/>
      <c r="D131" s="20">
        <v>16.858974358974358</v>
      </c>
      <c r="E131" s="20">
        <f t="shared" ref="E131:E194" si="4">D131-A131</f>
        <v>5.8589743589743577</v>
      </c>
      <c r="G131" s="20">
        <f t="shared" ref="G131:G194" si="5">_xlfn.NORM.DIST(E131,0,$F$2,FALSE)</f>
        <v>3.6339616015446226E-2</v>
      </c>
      <c r="L131" s="20"/>
    </row>
    <row r="132" spans="1:12" x14ac:dyDescent="0.2">
      <c r="A132" s="27">
        <v>11</v>
      </c>
      <c r="B132" s="27">
        <v>1</v>
      </c>
      <c r="C132" s="27"/>
      <c r="D132" s="20">
        <v>16.858974358974358</v>
      </c>
      <c r="E132" s="20">
        <f t="shared" si="4"/>
        <v>5.8589743589743577</v>
      </c>
      <c r="G132" s="20">
        <f t="shared" si="5"/>
        <v>3.6339616015446226E-2</v>
      </c>
      <c r="L132" s="20"/>
    </row>
    <row r="133" spans="1:12" x14ac:dyDescent="0.2">
      <c r="A133" s="27">
        <v>12</v>
      </c>
      <c r="B133" s="27">
        <v>1</v>
      </c>
      <c r="C133" s="27"/>
      <c r="D133" s="20">
        <v>16.858974358974358</v>
      </c>
      <c r="E133" s="20">
        <f t="shared" si="4"/>
        <v>4.8589743589743577</v>
      </c>
      <c r="G133" s="20">
        <f t="shared" si="5"/>
        <v>4.8850798619149906E-2</v>
      </c>
      <c r="L133" s="20"/>
    </row>
    <row r="134" spans="1:12" x14ac:dyDescent="0.2">
      <c r="A134" s="27">
        <v>12</v>
      </c>
      <c r="B134" s="27">
        <v>1</v>
      </c>
      <c r="C134" s="27"/>
      <c r="D134" s="20">
        <v>16.858974358974358</v>
      </c>
      <c r="E134" s="20">
        <f t="shared" si="4"/>
        <v>4.8589743589743577</v>
      </c>
      <c r="G134" s="20">
        <f t="shared" si="5"/>
        <v>4.8850798619149906E-2</v>
      </c>
      <c r="L134" s="20"/>
    </row>
    <row r="135" spans="1:12" x14ac:dyDescent="0.2">
      <c r="A135" s="27">
        <v>11</v>
      </c>
      <c r="B135" s="27">
        <v>1</v>
      </c>
      <c r="C135" s="27"/>
      <c r="D135" s="20">
        <v>16.858974358974358</v>
      </c>
      <c r="E135" s="20">
        <f t="shared" si="4"/>
        <v>5.8589743589743577</v>
      </c>
      <c r="G135" s="20">
        <f t="shared" si="5"/>
        <v>3.6339616015446226E-2</v>
      </c>
      <c r="L135" s="20"/>
    </row>
    <row r="136" spans="1:12" x14ac:dyDescent="0.2">
      <c r="A136" s="27">
        <v>11</v>
      </c>
      <c r="B136" s="27">
        <v>1</v>
      </c>
      <c r="C136" s="27"/>
      <c r="D136" s="20">
        <v>16.858974358974358</v>
      </c>
      <c r="E136" s="20">
        <f t="shared" si="4"/>
        <v>5.8589743589743577</v>
      </c>
      <c r="G136" s="20">
        <f t="shared" si="5"/>
        <v>3.6339616015446226E-2</v>
      </c>
      <c r="L136" s="20"/>
    </row>
    <row r="137" spans="1:12" x14ac:dyDescent="0.2">
      <c r="A137" s="27">
        <v>11</v>
      </c>
      <c r="B137" s="27">
        <v>1</v>
      </c>
      <c r="C137" s="27"/>
      <c r="D137" s="20">
        <v>16.858974358974358</v>
      </c>
      <c r="E137" s="20">
        <f t="shared" si="4"/>
        <v>5.8589743589743577</v>
      </c>
      <c r="G137" s="20">
        <f t="shared" si="5"/>
        <v>3.6339616015446226E-2</v>
      </c>
      <c r="L137" s="20"/>
    </row>
    <row r="138" spans="1:12" x14ac:dyDescent="0.2">
      <c r="A138" s="27">
        <v>12</v>
      </c>
      <c r="B138" s="27">
        <v>1</v>
      </c>
      <c r="C138" s="27"/>
      <c r="D138" s="20">
        <v>16.858974358974358</v>
      </c>
      <c r="E138" s="20">
        <f t="shared" si="4"/>
        <v>4.8589743589743577</v>
      </c>
      <c r="G138" s="20">
        <f t="shared" si="5"/>
        <v>4.8850798619149906E-2</v>
      </c>
      <c r="L138" s="20"/>
    </row>
    <row r="139" spans="1:12" x14ac:dyDescent="0.2">
      <c r="A139" s="27">
        <v>14</v>
      </c>
      <c r="B139" s="27">
        <v>1</v>
      </c>
      <c r="C139" s="27"/>
      <c r="D139" s="20">
        <v>16.858974358974358</v>
      </c>
      <c r="E139" s="20">
        <f t="shared" si="4"/>
        <v>2.8589743589743577</v>
      </c>
      <c r="G139" s="20">
        <f t="shared" si="5"/>
        <v>7.4803820711623142E-2</v>
      </c>
      <c r="L139" s="20"/>
    </row>
    <row r="140" spans="1:12" x14ac:dyDescent="0.2">
      <c r="A140" s="27">
        <v>13</v>
      </c>
      <c r="B140" s="27">
        <v>1</v>
      </c>
      <c r="C140" s="27"/>
      <c r="D140" s="20">
        <v>16.858974358974358</v>
      </c>
      <c r="E140" s="20">
        <f t="shared" si="4"/>
        <v>3.8589743589743577</v>
      </c>
      <c r="G140" s="20">
        <f t="shared" si="5"/>
        <v>6.2142132155231941E-2</v>
      </c>
      <c r="L140" s="20"/>
    </row>
    <row r="141" spans="1:12" x14ac:dyDescent="0.2">
      <c r="A141" s="27">
        <v>13</v>
      </c>
      <c r="B141" s="27">
        <v>1</v>
      </c>
      <c r="C141" s="27"/>
      <c r="D141" s="20">
        <v>16.858974358974358</v>
      </c>
      <c r="E141" s="20">
        <f t="shared" si="4"/>
        <v>3.8589743589743577</v>
      </c>
      <c r="G141" s="20">
        <f t="shared" si="5"/>
        <v>6.2142132155231941E-2</v>
      </c>
      <c r="L141" s="20"/>
    </row>
    <row r="142" spans="1:12" x14ac:dyDescent="0.2">
      <c r="A142" s="27">
        <v>13</v>
      </c>
      <c r="B142" s="27">
        <v>1</v>
      </c>
      <c r="C142" s="27"/>
      <c r="D142" s="20">
        <v>16.858974358974358</v>
      </c>
      <c r="E142" s="20">
        <f t="shared" si="4"/>
        <v>3.8589743589743577</v>
      </c>
      <c r="G142" s="20">
        <f t="shared" si="5"/>
        <v>6.2142132155231941E-2</v>
      </c>
      <c r="L142" s="20"/>
    </row>
    <row r="143" spans="1:12" x14ac:dyDescent="0.2">
      <c r="A143" s="27">
        <v>21</v>
      </c>
      <c r="B143" s="27">
        <v>1</v>
      </c>
      <c r="C143" s="27"/>
      <c r="D143" s="20">
        <v>16.858974358974358</v>
      </c>
      <c r="E143" s="20">
        <f t="shared" si="4"/>
        <v>-4.1410256410256423</v>
      </c>
      <c r="G143" s="20">
        <f t="shared" si="5"/>
        <v>5.8389578885814829E-2</v>
      </c>
      <c r="L143" s="20"/>
    </row>
    <row r="144" spans="1:12" x14ac:dyDescent="0.2">
      <c r="A144" s="27">
        <v>19</v>
      </c>
      <c r="B144" s="27">
        <v>1</v>
      </c>
      <c r="C144" s="27"/>
      <c r="D144" s="20">
        <v>16.858974358974358</v>
      </c>
      <c r="E144" s="20">
        <f t="shared" si="4"/>
        <v>-2.1410256410256423</v>
      </c>
      <c r="G144" s="20">
        <f t="shared" si="5"/>
        <v>8.2596026638649928E-2</v>
      </c>
      <c r="L144" s="20"/>
    </row>
    <row r="145" spans="1:12" x14ac:dyDescent="0.2">
      <c r="A145" s="27">
        <v>23</v>
      </c>
      <c r="B145" s="27">
        <v>1</v>
      </c>
      <c r="C145" s="27"/>
      <c r="D145" s="20">
        <v>16.858974358974358</v>
      </c>
      <c r="E145" s="20">
        <f t="shared" si="4"/>
        <v>-6.1410256410256423</v>
      </c>
      <c r="G145" s="20">
        <f t="shared" si="5"/>
        <v>3.3098180744967454E-2</v>
      </c>
      <c r="L145" s="20"/>
    </row>
    <row r="146" spans="1:12" x14ac:dyDescent="0.2">
      <c r="A146" s="27">
        <v>23</v>
      </c>
      <c r="B146" s="27">
        <v>1</v>
      </c>
      <c r="C146" s="27"/>
      <c r="D146" s="20">
        <v>16.858974358974358</v>
      </c>
      <c r="E146" s="20">
        <f t="shared" si="4"/>
        <v>-6.1410256410256423</v>
      </c>
      <c r="G146" s="20">
        <f t="shared" si="5"/>
        <v>3.3098180744967454E-2</v>
      </c>
      <c r="L146" s="20"/>
    </row>
    <row r="147" spans="1:12" x14ac:dyDescent="0.2">
      <c r="A147" s="27">
        <v>19</v>
      </c>
      <c r="B147" s="27">
        <v>1</v>
      </c>
      <c r="C147" s="27"/>
      <c r="D147" s="20">
        <v>16.858974358974358</v>
      </c>
      <c r="E147" s="20">
        <f t="shared" si="4"/>
        <v>-2.1410256410256423</v>
      </c>
      <c r="G147" s="20">
        <f t="shared" si="5"/>
        <v>8.2596026638649928E-2</v>
      </c>
      <c r="L147" s="20"/>
    </row>
    <row r="148" spans="1:12" x14ac:dyDescent="0.2">
      <c r="A148" s="27">
        <v>19</v>
      </c>
      <c r="B148" s="27">
        <v>1</v>
      </c>
      <c r="C148" s="27"/>
      <c r="D148" s="20">
        <v>16.858974358974358</v>
      </c>
      <c r="E148" s="20">
        <f t="shared" si="4"/>
        <v>-2.1410256410256423</v>
      </c>
      <c r="G148" s="20">
        <f t="shared" si="5"/>
        <v>8.2596026638649928E-2</v>
      </c>
      <c r="L148" s="20"/>
    </row>
    <row r="149" spans="1:12" x14ac:dyDescent="0.2">
      <c r="A149" s="27">
        <v>18</v>
      </c>
      <c r="B149" s="27">
        <v>1</v>
      </c>
      <c r="C149" s="27"/>
      <c r="D149" s="20">
        <v>16.858974358974358</v>
      </c>
      <c r="E149" s="20">
        <f t="shared" si="4"/>
        <v>-1.1410256410256423</v>
      </c>
      <c r="G149" s="20">
        <f t="shared" si="5"/>
        <v>9.0428595220514676E-2</v>
      </c>
      <c r="L149" s="20"/>
    </row>
    <row r="150" spans="1:12" x14ac:dyDescent="0.2">
      <c r="A150" s="27">
        <v>19</v>
      </c>
      <c r="B150" s="27">
        <v>1</v>
      </c>
      <c r="C150" s="27"/>
      <c r="D150" s="20">
        <v>16.858974358974358</v>
      </c>
      <c r="E150" s="20">
        <f t="shared" si="4"/>
        <v>-2.1410256410256423</v>
      </c>
      <c r="G150" s="20">
        <f t="shared" si="5"/>
        <v>8.2596026638649928E-2</v>
      </c>
      <c r="L150" s="20"/>
    </row>
    <row r="151" spans="1:12" x14ac:dyDescent="0.2">
      <c r="A151" s="27">
        <v>19</v>
      </c>
      <c r="B151" s="27">
        <v>1</v>
      </c>
      <c r="C151" s="27"/>
      <c r="D151" s="20">
        <v>16.858974358974358</v>
      </c>
      <c r="E151" s="20">
        <f t="shared" si="4"/>
        <v>-2.1410256410256423</v>
      </c>
      <c r="G151" s="20">
        <f t="shared" si="5"/>
        <v>8.2596026638649928E-2</v>
      </c>
      <c r="L151" s="20"/>
    </row>
    <row r="152" spans="1:12" x14ac:dyDescent="0.2">
      <c r="A152" s="27">
        <v>14</v>
      </c>
      <c r="B152" s="27">
        <v>1</v>
      </c>
      <c r="C152" s="27"/>
      <c r="D152" s="20">
        <v>16.858974358974358</v>
      </c>
      <c r="E152" s="20">
        <f t="shared" si="4"/>
        <v>2.8589743589743577</v>
      </c>
      <c r="G152" s="20">
        <f t="shared" si="5"/>
        <v>7.4803820711623142E-2</v>
      </c>
      <c r="L152" s="20"/>
    </row>
    <row r="153" spans="1:12" x14ac:dyDescent="0.2">
      <c r="A153" s="27">
        <v>15</v>
      </c>
      <c r="B153" s="27">
        <v>1</v>
      </c>
      <c r="C153" s="27"/>
      <c r="D153" s="20">
        <v>16.858974358974358</v>
      </c>
      <c r="E153" s="20">
        <f t="shared" si="4"/>
        <v>1.8589743589743577</v>
      </c>
      <c r="G153" s="20">
        <f t="shared" si="5"/>
        <v>8.5208821600122359E-2</v>
      </c>
      <c r="L153" s="20"/>
    </row>
    <row r="154" spans="1:12" x14ac:dyDescent="0.2">
      <c r="A154" s="27">
        <v>14</v>
      </c>
      <c r="B154" s="27">
        <v>1</v>
      </c>
      <c r="C154" s="27"/>
      <c r="D154" s="20">
        <v>16.858974358974358</v>
      </c>
      <c r="E154" s="20">
        <f t="shared" si="4"/>
        <v>2.8589743589743577</v>
      </c>
      <c r="G154" s="20">
        <f t="shared" si="5"/>
        <v>7.4803820711623142E-2</v>
      </c>
      <c r="L154" s="20"/>
    </row>
    <row r="155" spans="1:12" x14ac:dyDescent="0.2">
      <c r="A155" s="27">
        <v>12</v>
      </c>
      <c r="B155" s="27">
        <v>1</v>
      </c>
      <c r="C155" s="27"/>
      <c r="D155" s="20">
        <v>16.858974358974358</v>
      </c>
      <c r="E155" s="20">
        <f t="shared" si="4"/>
        <v>4.8589743589743577</v>
      </c>
      <c r="G155" s="20">
        <f t="shared" si="5"/>
        <v>4.8850798619149906E-2</v>
      </c>
      <c r="L155" s="20"/>
    </row>
    <row r="156" spans="1:12" x14ac:dyDescent="0.2">
      <c r="A156" s="27">
        <v>18</v>
      </c>
      <c r="B156" s="27">
        <v>1</v>
      </c>
      <c r="C156" s="27"/>
      <c r="D156" s="20">
        <v>16.858974358974358</v>
      </c>
      <c r="E156" s="20">
        <f t="shared" si="4"/>
        <v>-1.1410256410256423</v>
      </c>
      <c r="G156" s="20">
        <f t="shared" si="5"/>
        <v>9.0428595220514676E-2</v>
      </c>
      <c r="L156" s="20"/>
    </row>
    <row r="157" spans="1:12" x14ac:dyDescent="0.2">
      <c r="A157" s="27">
        <v>16</v>
      </c>
      <c r="B157" s="27">
        <v>1</v>
      </c>
      <c r="C157" s="27"/>
      <c r="D157" s="20">
        <v>16.858974358974358</v>
      </c>
      <c r="E157" s="20">
        <f t="shared" si="4"/>
        <v>0.8589743589743577</v>
      </c>
      <c r="G157" s="20">
        <f t="shared" si="5"/>
        <v>9.1847742433773194E-2</v>
      </c>
      <c r="L157" s="20"/>
    </row>
    <row r="158" spans="1:12" x14ac:dyDescent="0.2">
      <c r="A158" s="27">
        <v>17</v>
      </c>
      <c r="B158" s="27">
        <v>1</v>
      </c>
      <c r="C158" s="27"/>
      <c r="D158" s="20">
        <v>16.858974358974358</v>
      </c>
      <c r="E158" s="20">
        <f t="shared" si="4"/>
        <v>-0.1410256410256423</v>
      </c>
      <c r="G158" s="20">
        <f t="shared" si="5"/>
        <v>9.3686186441259228E-2</v>
      </c>
      <c r="L158" s="20"/>
    </row>
    <row r="159" spans="1:12" x14ac:dyDescent="0.2">
      <c r="A159" s="27">
        <v>18</v>
      </c>
      <c r="B159" s="27">
        <v>1</v>
      </c>
      <c r="C159" s="27"/>
      <c r="D159" s="20">
        <v>16.858974358974358</v>
      </c>
      <c r="E159" s="20">
        <f t="shared" si="4"/>
        <v>-1.1410256410256423</v>
      </c>
      <c r="G159" s="20">
        <f t="shared" si="5"/>
        <v>9.0428595220514676E-2</v>
      </c>
      <c r="L159" s="20"/>
    </row>
    <row r="160" spans="1:12" x14ac:dyDescent="0.2">
      <c r="A160" s="27">
        <v>16</v>
      </c>
      <c r="B160" s="27">
        <v>1</v>
      </c>
      <c r="C160" s="27"/>
      <c r="D160" s="20">
        <v>16.858974358974358</v>
      </c>
      <c r="E160" s="20">
        <f t="shared" si="4"/>
        <v>0.8589743589743577</v>
      </c>
      <c r="G160" s="20">
        <f t="shared" si="5"/>
        <v>9.1847742433773194E-2</v>
      </c>
      <c r="L160" s="20"/>
    </row>
    <row r="161" spans="1:12" x14ac:dyDescent="0.2">
      <c r="A161" s="27">
        <v>18</v>
      </c>
      <c r="B161" s="27">
        <v>1</v>
      </c>
      <c r="C161" s="27"/>
      <c r="D161" s="20">
        <v>16.858974358974358</v>
      </c>
      <c r="E161" s="20">
        <f t="shared" si="4"/>
        <v>-1.1410256410256423</v>
      </c>
      <c r="G161" s="20">
        <f t="shared" si="5"/>
        <v>9.0428595220514676E-2</v>
      </c>
      <c r="L161" s="20"/>
    </row>
    <row r="162" spans="1:12" x14ac:dyDescent="0.2">
      <c r="A162" s="27">
        <v>18</v>
      </c>
      <c r="B162" s="27">
        <v>1</v>
      </c>
      <c r="C162" s="27"/>
      <c r="D162" s="20">
        <v>16.858974358974358</v>
      </c>
      <c r="E162" s="20">
        <f t="shared" si="4"/>
        <v>-1.1410256410256423</v>
      </c>
      <c r="G162" s="20">
        <f t="shared" si="5"/>
        <v>9.0428595220514676E-2</v>
      </c>
      <c r="L162" s="20"/>
    </row>
    <row r="163" spans="1:12" x14ac:dyDescent="0.2">
      <c r="A163" s="27">
        <v>20</v>
      </c>
      <c r="B163" s="27">
        <v>1</v>
      </c>
      <c r="C163" s="27"/>
      <c r="D163" s="20">
        <v>16.858974358974358</v>
      </c>
      <c r="E163" s="20">
        <f t="shared" si="4"/>
        <v>-3.1410256410256423</v>
      </c>
      <c r="G163" s="20">
        <f t="shared" si="5"/>
        <v>7.138971945227178E-2</v>
      </c>
      <c r="L163" s="20"/>
    </row>
    <row r="164" spans="1:12" x14ac:dyDescent="0.2">
      <c r="A164" s="27">
        <v>19</v>
      </c>
      <c r="B164" s="27">
        <v>1</v>
      </c>
      <c r="C164" s="27"/>
      <c r="D164" s="20">
        <v>16.858974358974358</v>
      </c>
      <c r="E164" s="20">
        <f t="shared" si="4"/>
        <v>-2.1410256410256423</v>
      </c>
      <c r="G164" s="20">
        <f t="shared" si="5"/>
        <v>8.2596026638649928E-2</v>
      </c>
      <c r="L164" s="20"/>
    </row>
    <row r="165" spans="1:12" x14ac:dyDescent="0.2">
      <c r="A165" s="27">
        <v>20</v>
      </c>
      <c r="B165" s="27">
        <v>1</v>
      </c>
      <c r="C165" s="27"/>
      <c r="D165" s="20">
        <v>16.858974358974358</v>
      </c>
      <c r="E165" s="20">
        <f t="shared" si="4"/>
        <v>-3.1410256410256423</v>
      </c>
      <c r="G165" s="20">
        <f t="shared" si="5"/>
        <v>7.138971945227178E-2</v>
      </c>
      <c r="L165" s="20"/>
    </row>
    <row r="166" spans="1:12" x14ac:dyDescent="0.2">
      <c r="A166" s="27">
        <v>18</v>
      </c>
      <c r="B166" s="27">
        <v>1</v>
      </c>
      <c r="C166" s="27"/>
      <c r="D166" s="20">
        <v>16.858974358974358</v>
      </c>
      <c r="E166" s="20">
        <f t="shared" si="4"/>
        <v>-1.1410256410256423</v>
      </c>
      <c r="G166" s="20">
        <f t="shared" si="5"/>
        <v>9.0428595220514676E-2</v>
      </c>
      <c r="L166" s="20"/>
    </row>
    <row r="167" spans="1:12" x14ac:dyDescent="0.2">
      <c r="A167" s="27">
        <v>21</v>
      </c>
      <c r="B167" s="27">
        <v>1</v>
      </c>
      <c r="C167" s="27"/>
      <c r="D167" s="20">
        <v>16.858974358974358</v>
      </c>
      <c r="E167" s="20">
        <f t="shared" si="4"/>
        <v>-4.1410256410256423</v>
      </c>
      <c r="G167" s="20">
        <f t="shared" si="5"/>
        <v>5.8389578885814829E-2</v>
      </c>
      <c r="L167" s="20"/>
    </row>
    <row r="168" spans="1:12" x14ac:dyDescent="0.2">
      <c r="A168" s="27">
        <v>19</v>
      </c>
      <c r="B168" s="27">
        <v>1</v>
      </c>
      <c r="C168" s="27"/>
      <c r="D168" s="20">
        <v>16.858974358974358</v>
      </c>
      <c r="E168" s="20">
        <f t="shared" si="4"/>
        <v>-2.1410256410256423</v>
      </c>
      <c r="G168" s="20">
        <f t="shared" si="5"/>
        <v>8.2596026638649928E-2</v>
      </c>
      <c r="L168" s="20"/>
    </row>
    <row r="169" spans="1:12" x14ac:dyDescent="0.2">
      <c r="A169" s="27">
        <v>19</v>
      </c>
      <c r="B169" s="27">
        <v>1</v>
      </c>
      <c r="C169" s="27"/>
      <c r="D169" s="20">
        <v>16.858974358974358</v>
      </c>
      <c r="E169" s="20">
        <f t="shared" si="4"/>
        <v>-2.1410256410256423</v>
      </c>
      <c r="G169" s="20">
        <f t="shared" si="5"/>
        <v>8.2596026638649928E-2</v>
      </c>
      <c r="L169" s="20"/>
    </row>
    <row r="170" spans="1:12" x14ac:dyDescent="0.2">
      <c r="A170" s="27">
        <v>19</v>
      </c>
      <c r="B170" s="27">
        <v>1</v>
      </c>
      <c r="C170" s="27"/>
      <c r="D170" s="20">
        <v>16.858974358974358</v>
      </c>
      <c r="E170" s="20">
        <f t="shared" si="4"/>
        <v>-2.1410256410256423</v>
      </c>
      <c r="G170" s="20">
        <f t="shared" si="5"/>
        <v>8.2596026638649928E-2</v>
      </c>
      <c r="L170" s="20"/>
    </row>
    <row r="171" spans="1:12" x14ac:dyDescent="0.2">
      <c r="A171" s="27">
        <v>20</v>
      </c>
      <c r="B171" s="27">
        <v>1</v>
      </c>
      <c r="C171" s="27"/>
      <c r="D171" s="20">
        <v>16.858974358974358</v>
      </c>
      <c r="E171" s="20">
        <f t="shared" si="4"/>
        <v>-3.1410256410256423</v>
      </c>
      <c r="G171" s="20">
        <f t="shared" si="5"/>
        <v>7.138971945227178E-2</v>
      </c>
      <c r="L171" s="20"/>
    </row>
    <row r="172" spans="1:12" x14ac:dyDescent="0.2">
      <c r="A172" s="27">
        <v>20</v>
      </c>
      <c r="B172" s="27">
        <v>1</v>
      </c>
      <c r="C172" s="27"/>
      <c r="D172" s="20">
        <v>16.858974358974358</v>
      </c>
      <c r="E172" s="20">
        <f t="shared" si="4"/>
        <v>-3.1410256410256423</v>
      </c>
      <c r="G172" s="20">
        <f t="shared" si="5"/>
        <v>7.138971945227178E-2</v>
      </c>
      <c r="L172" s="20"/>
    </row>
    <row r="173" spans="1:12" x14ac:dyDescent="0.2">
      <c r="A173" s="27">
        <v>19</v>
      </c>
      <c r="B173" s="27">
        <v>1</v>
      </c>
      <c r="C173" s="27"/>
      <c r="D173" s="20">
        <v>16.858974358974358</v>
      </c>
      <c r="E173" s="20">
        <f t="shared" si="4"/>
        <v>-2.1410256410256423</v>
      </c>
      <c r="G173" s="20">
        <f t="shared" si="5"/>
        <v>8.2596026638649928E-2</v>
      </c>
      <c r="L173" s="20"/>
    </row>
    <row r="174" spans="1:12" x14ac:dyDescent="0.2">
      <c r="A174" s="27">
        <v>20</v>
      </c>
      <c r="B174" s="27">
        <v>1</v>
      </c>
      <c r="C174" s="27"/>
      <c r="D174" s="20">
        <v>16.858974358974358</v>
      </c>
      <c r="E174" s="20">
        <f t="shared" si="4"/>
        <v>-3.1410256410256423</v>
      </c>
      <c r="G174" s="20">
        <f t="shared" si="5"/>
        <v>7.138971945227178E-2</v>
      </c>
      <c r="L174" s="20"/>
    </row>
    <row r="175" spans="1:12" x14ac:dyDescent="0.2">
      <c r="A175" s="27">
        <v>15</v>
      </c>
      <c r="B175" s="27">
        <v>1</v>
      </c>
      <c r="C175" s="27"/>
      <c r="D175" s="20">
        <v>16.858974358974358</v>
      </c>
      <c r="E175" s="20">
        <f t="shared" si="4"/>
        <v>1.8589743589743577</v>
      </c>
      <c r="G175" s="20">
        <f t="shared" si="5"/>
        <v>8.5208821600122359E-2</v>
      </c>
      <c r="L175" s="20"/>
    </row>
    <row r="176" spans="1:12" x14ac:dyDescent="0.2">
      <c r="A176" s="27">
        <v>16</v>
      </c>
      <c r="B176" s="27">
        <v>1</v>
      </c>
      <c r="C176" s="27"/>
      <c r="D176" s="20">
        <v>16.858974358974358</v>
      </c>
      <c r="E176" s="20">
        <f t="shared" si="4"/>
        <v>0.8589743589743577</v>
      </c>
      <c r="G176" s="20">
        <f t="shared" si="5"/>
        <v>9.1847742433773194E-2</v>
      </c>
      <c r="L176" s="20"/>
    </row>
    <row r="177" spans="1:12" x14ac:dyDescent="0.2">
      <c r="A177" s="27">
        <v>15</v>
      </c>
      <c r="B177" s="27">
        <v>1</v>
      </c>
      <c r="C177" s="27"/>
      <c r="D177" s="20">
        <v>16.858974358974358</v>
      </c>
      <c r="E177" s="20">
        <f t="shared" si="4"/>
        <v>1.8589743589743577</v>
      </c>
      <c r="G177" s="20">
        <f t="shared" si="5"/>
        <v>8.5208821600122359E-2</v>
      </c>
      <c r="L177" s="20"/>
    </row>
    <row r="178" spans="1:12" x14ac:dyDescent="0.2">
      <c r="A178" s="27">
        <v>15</v>
      </c>
      <c r="B178" s="27">
        <v>1</v>
      </c>
      <c r="C178" s="27"/>
      <c r="D178" s="20">
        <v>16.858974358974358</v>
      </c>
      <c r="E178" s="20">
        <f t="shared" si="4"/>
        <v>1.8589743589743577</v>
      </c>
      <c r="G178" s="20">
        <f t="shared" si="5"/>
        <v>8.5208821600122359E-2</v>
      </c>
      <c r="L178" s="20"/>
    </row>
    <row r="179" spans="1:12" x14ac:dyDescent="0.2">
      <c r="A179" s="27">
        <v>16</v>
      </c>
      <c r="B179" s="27">
        <v>1</v>
      </c>
      <c r="C179" s="27"/>
      <c r="D179" s="20">
        <v>16.858974358974358</v>
      </c>
      <c r="E179" s="20">
        <f t="shared" si="4"/>
        <v>0.8589743589743577</v>
      </c>
      <c r="G179" s="20">
        <f t="shared" si="5"/>
        <v>9.1847742433773194E-2</v>
      </c>
      <c r="L179" s="20"/>
    </row>
    <row r="180" spans="1:12" x14ac:dyDescent="0.2">
      <c r="A180" s="27">
        <v>14</v>
      </c>
      <c r="B180" s="27">
        <v>1</v>
      </c>
      <c r="C180" s="27"/>
      <c r="D180" s="20">
        <v>16.858974358974358</v>
      </c>
      <c r="E180" s="20">
        <f t="shared" si="4"/>
        <v>2.8589743589743577</v>
      </c>
      <c r="G180" s="20">
        <f t="shared" si="5"/>
        <v>7.4803820711623142E-2</v>
      </c>
      <c r="L180" s="20"/>
    </row>
    <row r="181" spans="1:12" x14ac:dyDescent="0.2">
      <c r="A181" s="27">
        <v>21</v>
      </c>
      <c r="B181" s="27">
        <v>1</v>
      </c>
      <c r="C181" s="27"/>
      <c r="D181" s="20">
        <v>16.858974358974358</v>
      </c>
      <c r="E181" s="20">
        <f t="shared" si="4"/>
        <v>-4.1410256410256423</v>
      </c>
      <c r="G181" s="20">
        <f t="shared" si="5"/>
        <v>5.8389578885814829E-2</v>
      </c>
      <c r="L181" s="20"/>
    </row>
    <row r="182" spans="1:12" x14ac:dyDescent="0.2">
      <c r="A182" s="27">
        <v>21</v>
      </c>
      <c r="B182" s="27">
        <v>1</v>
      </c>
      <c r="C182" s="27"/>
      <c r="D182" s="20">
        <v>16.858974358974358</v>
      </c>
      <c r="E182" s="20">
        <f t="shared" si="4"/>
        <v>-4.1410256410256423</v>
      </c>
      <c r="G182" s="20">
        <f t="shared" si="5"/>
        <v>5.8389578885814829E-2</v>
      </c>
      <c r="L182" s="20"/>
    </row>
    <row r="183" spans="1:12" x14ac:dyDescent="0.2">
      <c r="A183" s="27">
        <v>21</v>
      </c>
      <c r="B183" s="27">
        <v>1</v>
      </c>
      <c r="C183" s="27"/>
      <c r="D183" s="20">
        <v>16.858974358974358</v>
      </c>
      <c r="E183" s="20">
        <f t="shared" si="4"/>
        <v>-4.1410256410256423</v>
      </c>
      <c r="G183" s="20">
        <f t="shared" si="5"/>
        <v>5.8389578885814829E-2</v>
      </c>
      <c r="L183" s="20"/>
    </row>
    <row r="184" spans="1:12" x14ac:dyDescent="0.2">
      <c r="A184" s="27">
        <v>21</v>
      </c>
      <c r="B184" s="27">
        <v>1</v>
      </c>
      <c r="C184" s="27"/>
      <c r="D184" s="20">
        <v>16.858974358974358</v>
      </c>
      <c r="E184" s="20">
        <f t="shared" si="4"/>
        <v>-4.1410256410256423</v>
      </c>
      <c r="G184" s="20">
        <f t="shared" si="5"/>
        <v>5.8389578885814829E-2</v>
      </c>
      <c r="L184" s="20"/>
    </row>
    <row r="185" spans="1:12" x14ac:dyDescent="0.2">
      <c r="A185" s="27">
        <v>18</v>
      </c>
      <c r="B185" s="27">
        <v>1</v>
      </c>
      <c r="C185" s="27"/>
      <c r="D185" s="20">
        <v>16.858974358974358</v>
      </c>
      <c r="E185" s="20">
        <f t="shared" si="4"/>
        <v>-1.1410256410256423</v>
      </c>
      <c r="G185" s="20">
        <f t="shared" si="5"/>
        <v>9.0428595220514676E-2</v>
      </c>
      <c r="L185" s="20"/>
    </row>
    <row r="186" spans="1:12" x14ac:dyDescent="0.2">
      <c r="A186" s="27">
        <v>18</v>
      </c>
      <c r="B186" s="27">
        <v>1</v>
      </c>
      <c r="C186" s="27"/>
      <c r="D186" s="20">
        <v>16.858974358974358</v>
      </c>
      <c r="E186" s="20">
        <f t="shared" si="4"/>
        <v>-1.1410256410256423</v>
      </c>
      <c r="G186" s="20">
        <f t="shared" si="5"/>
        <v>9.0428595220514676E-2</v>
      </c>
      <c r="L186" s="20"/>
    </row>
    <row r="187" spans="1:12" x14ac:dyDescent="0.2">
      <c r="A187" s="27">
        <v>19</v>
      </c>
      <c r="B187" s="27">
        <v>1</v>
      </c>
      <c r="C187" s="27"/>
      <c r="D187" s="20">
        <v>16.858974358974358</v>
      </c>
      <c r="E187" s="20">
        <f t="shared" si="4"/>
        <v>-2.1410256410256423</v>
      </c>
      <c r="G187" s="20">
        <f t="shared" si="5"/>
        <v>8.2596026638649928E-2</v>
      </c>
      <c r="L187" s="20"/>
    </row>
    <row r="188" spans="1:12" x14ac:dyDescent="0.2">
      <c r="A188" s="27">
        <v>21</v>
      </c>
      <c r="B188" s="27">
        <v>1</v>
      </c>
      <c r="C188" s="27"/>
      <c r="D188" s="20">
        <v>16.858974358974358</v>
      </c>
      <c r="E188" s="20">
        <f t="shared" si="4"/>
        <v>-4.1410256410256423</v>
      </c>
      <c r="G188" s="20">
        <f t="shared" si="5"/>
        <v>5.8389578885814829E-2</v>
      </c>
      <c r="L188" s="20"/>
    </row>
    <row r="189" spans="1:12" x14ac:dyDescent="0.2">
      <c r="A189" s="27">
        <v>21</v>
      </c>
      <c r="B189" s="27">
        <v>1</v>
      </c>
      <c r="C189" s="27"/>
      <c r="D189" s="20">
        <v>16.858974358974358</v>
      </c>
      <c r="E189" s="20">
        <f t="shared" si="4"/>
        <v>-4.1410256410256423</v>
      </c>
      <c r="G189" s="20">
        <f t="shared" si="5"/>
        <v>5.8389578885814829E-2</v>
      </c>
      <c r="L189" s="20"/>
    </row>
    <row r="190" spans="1:12" x14ac:dyDescent="0.2">
      <c r="A190" s="27">
        <v>21</v>
      </c>
      <c r="B190" s="27">
        <v>1</v>
      </c>
      <c r="C190" s="27"/>
      <c r="D190" s="20">
        <v>16.858974358974358</v>
      </c>
      <c r="E190" s="20">
        <f t="shared" si="4"/>
        <v>-4.1410256410256423</v>
      </c>
      <c r="G190" s="20">
        <f t="shared" si="5"/>
        <v>5.8389578885814829E-2</v>
      </c>
      <c r="L190" s="20"/>
    </row>
    <row r="191" spans="1:12" x14ac:dyDescent="0.2">
      <c r="A191" s="27">
        <v>22</v>
      </c>
      <c r="B191" s="27">
        <v>1</v>
      </c>
      <c r="C191" s="27"/>
      <c r="D191" s="20">
        <v>16.858974358974358</v>
      </c>
      <c r="E191" s="20">
        <f t="shared" si="4"/>
        <v>-5.1410256410256423</v>
      </c>
      <c r="G191" s="20">
        <f t="shared" si="5"/>
        <v>4.5191645925457373E-2</v>
      </c>
      <c r="L191" s="20"/>
    </row>
    <row r="192" spans="1:12" x14ac:dyDescent="0.2">
      <c r="A192" s="27">
        <v>18</v>
      </c>
      <c r="B192" s="27">
        <v>1</v>
      </c>
      <c r="C192" s="27"/>
      <c r="D192" s="20">
        <v>16.858974358974358</v>
      </c>
      <c r="E192" s="20">
        <f t="shared" si="4"/>
        <v>-1.1410256410256423</v>
      </c>
      <c r="G192" s="20">
        <f t="shared" si="5"/>
        <v>9.0428595220514676E-2</v>
      </c>
      <c r="L192" s="20"/>
    </row>
    <row r="193" spans="1:12" x14ac:dyDescent="0.2">
      <c r="A193" s="27">
        <v>18</v>
      </c>
      <c r="B193" s="27">
        <v>1</v>
      </c>
      <c r="C193" s="27"/>
      <c r="D193" s="20">
        <v>16.858974358974358</v>
      </c>
      <c r="E193" s="20">
        <f t="shared" si="4"/>
        <v>-1.1410256410256423</v>
      </c>
      <c r="G193" s="20">
        <f t="shared" si="5"/>
        <v>9.0428595220514676E-2</v>
      </c>
      <c r="L193" s="20"/>
    </row>
    <row r="194" spans="1:12" x14ac:dyDescent="0.2">
      <c r="A194" s="27">
        <v>18</v>
      </c>
      <c r="B194" s="27">
        <v>1</v>
      </c>
      <c r="C194" s="27"/>
      <c r="D194" s="20">
        <v>16.858974358974358</v>
      </c>
      <c r="E194" s="20">
        <f t="shared" si="4"/>
        <v>-1.1410256410256423</v>
      </c>
      <c r="G194" s="20">
        <f t="shared" si="5"/>
        <v>9.0428595220514676E-2</v>
      </c>
      <c r="L194" s="20"/>
    </row>
    <row r="195" spans="1:12" x14ac:dyDescent="0.2">
      <c r="A195" s="27">
        <v>24</v>
      </c>
      <c r="B195" s="27">
        <v>1</v>
      </c>
      <c r="C195" s="27"/>
      <c r="D195" s="20">
        <v>16.858974358974358</v>
      </c>
      <c r="E195" s="20">
        <f t="shared" ref="E195:E235" si="6">D195-A195</f>
        <v>-7.1410256410256423</v>
      </c>
      <c r="G195" s="20">
        <f t="shared" ref="G195:G235" si="7">_xlfn.NORM.DIST(E195,0,$F$2,FALSE)</f>
        <v>2.293893420103504E-2</v>
      </c>
      <c r="L195" s="20"/>
    </row>
    <row r="196" spans="1:12" x14ac:dyDescent="0.2">
      <c r="A196" s="27">
        <v>24</v>
      </c>
      <c r="B196" s="27">
        <v>1</v>
      </c>
      <c r="C196" s="27"/>
      <c r="D196" s="20">
        <v>16.858974358974358</v>
      </c>
      <c r="E196" s="20">
        <f t="shared" si="6"/>
        <v>-7.1410256410256423</v>
      </c>
      <c r="G196" s="20">
        <f t="shared" si="7"/>
        <v>2.293893420103504E-2</v>
      </c>
      <c r="L196" s="20"/>
    </row>
    <row r="197" spans="1:12" x14ac:dyDescent="0.2">
      <c r="A197" s="27">
        <v>26</v>
      </c>
      <c r="B197" s="27">
        <v>1</v>
      </c>
      <c r="C197" s="27"/>
      <c r="D197" s="20">
        <v>16.858974358974358</v>
      </c>
      <c r="E197" s="20">
        <f t="shared" si="6"/>
        <v>-9.1410256410256423</v>
      </c>
      <c r="G197" s="20">
        <f t="shared" si="7"/>
        <v>9.3364312813032559E-3</v>
      </c>
      <c r="L197" s="20"/>
    </row>
    <row r="198" spans="1:12" x14ac:dyDescent="0.2">
      <c r="A198" s="27">
        <v>28</v>
      </c>
      <c r="B198" s="27">
        <v>1</v>
      </c>
      <c r="C198" s="27"/>
      <c r="D198" s="20">
        <v>16.858974358974358</v>
      </c>
      <c r="E198" s="20">
        <f t="shared" si="6"/>
        <v>-11.141025641025642</v>
      </c>
      <c r="G198" s="20">
        <f t="shared" si="7"/>
        <v>3.0470611306731058E-3</v>
      </c>
      <c r="L198" s="20"/>
    </row>
    <row r="199" spans="1:12" x14ac:dyDescent="0.2">
      <c r="A199" s="27">
        <v>26</v>
      </c>
      <c r="B199" s="27">
        <v>1</v>
      </c>
      <c r="C199" s="27"/>
      <c r="D199" s="20">
        <v>16.858974358974358</v>
      </c>
      <c r="E199" s="20">
        <f t="shared" si="6"/>
        <v>-9.1410256410256423</v>
      </c>
      <c r="G199" s="20">
        <f t="shared" si="7"/>
        <v>9.3364312813032559E-3</v>
      </c>
      <c r="L199" s="20"/>
    </row>
    <row r="200" spans="1:12" x14ac:dyDescent="0.2">
      <c r="A200" s="27">
        <v>11</v>
      </c>
      <c r="B200" s="27">
        <v>1</v>
      </c>
      <c r="C200" s="27"/>
      <c r="D200" s="20">
        <v>16.858974358974358</v>
      </c>
      <c r="E200" s="20">
        <f t="shared" si="6"/>
        <v>5.8589743589743577</v>
      </c>
      <c r="G200" s="20">
        <f t="shared" si="7"/>
        <v>3.6339616015446226E-2</v>
      </c>
      <c r="L200" s="20"/>
    </row>
    <row r="201" spans="1:12" x14ac:dyDescent="0.2">
      <c r="A201" s="27">
        <v>13</v>
      </c>
      <c r="B201" s="27">
        <v>1</v>
      </c>
      <c r="C201" s="27"/>
      <c r="D201" s="20">
        <v>16.858974358974358</v>
      </c>
      <c r="E201" s="20">
        <f t="shared" si="6"/>
        <v>3.8589743589743577</v>
      </c>
      <c r="G201" s="20">
        <f t="shared" si="7"/>
        <v>6.2142132155231941E-2</v>
      </c>
      <c r="L201" s="20"/>
    </row>
    <row r="202" spans="1:12" x14ac:dyDescent="0.2">
      <c r="A202" s="27">
        <v>15</v>
      </c>
      <c r="B202" s="27">
        <v>1</v>
      </c>
      <c r="C202" s="27"/>
      <c r="D202" s="20">
        <v>16.858974358974358</v>
      </c>
      <c r="E202" s="20">
        <f t="shared" si="6"/>
        <v>1.8589743589743577</v>
      </c>
      <c r="G202" s="20">
        <f t="shared" si="7"/>
        <v>8.5208821600122359E-2</v>
      </c>
      <c r="L202" s="20"/>
    </row>
    <row r="203" spans="1:12" x14ac:dyDescent="0.2">
      <c r="A203" s="27">
        <v>16</v>
      </c>
      <c r="B203" s="27">
        <v>1</v>
      </c>
      <c r="C203" s="27"/>
      <c r="D203" s="20">
        <v>16.858974358974358</v>
      </c>
      <c r="E203" s="20">
        <f t="shared" si="6"/>
        <v>0.8589743589743577</v>
      </c>
      <c r="G203" s="20">
        <f t="shared" si="7"/>
        <v>9.1847742433773194E-2</v>
      </c>
      <c r="L203" s="20"/>
    </row>
    <row r="204" spans="1:12" x14ac:dyDescent="0.2">
      <c r="A204" s="27">
        <v>17</v>
      </c>
      <c r="B204" s="27">
        <v>1</v>
      </c>
      <c r="C204" s="27"/>
      <c r="D204" s="20">
        <v>16.858974358974358</v>
      </c>
      <c r="E204" s="20">
        <f t="shared" si="6"/>
        <v>-0.1410256410256423</v>
      </c>
      <c r="G204" s="20">
        <f t="shared" si="7"/>
        <v>9.3686186441259228E-2</v>
      </c>
      <c r="L204" s="20"/>
    </row>
    <row r="205" spans="1:12" x14ac:dyDescent="0.2">
      <c r="A205" s="27">
        <v>15</v>
      </c>
      <c r="B205" s="27">
        <v>1</v>
      </c>
      <c r="C205" s="27"/>
      <c r="D205" s="20">
        <v>16.858974358974358</v>
      </c>
      <c r="E205" s="20">
        <f t="shared" si="6"/>
        <v>1.8589743589743577</v>
      </c>
      <c r="G205" s="20">
        <f t="shared" si="7"/>
        <v>8.5208821600122359E-2</v>
      </c>
      <c r="L205" s="20"/>
    </row>
    <row r="206" spans="1:12" x14ac:dyDescent="0.2">
      <c r="A206" s="27">
        <v>15</v>
      </c>
      <c r="B206" s="27">
        <v>1</v>
      </c>
      <c r="C206" s="27"/>
      <c r="D206" s="20">
        <v>16.858974358974358</v>
      </c>
      <c r="E206" s="20">
        <f t="shared" si="6"/>
        <v>1.8589743589743577</v>
      </c>
      <c r="G206" s="20">
        <f t="shared" si="7"/>
        <v>8.5208821600122359E-2</v>
      </c>
      <c r="L206" s="20"/>
    </row>
    <row r="207" spans="1:12" x14ac:dyDescent="0.2">
      <c r="A207" s="27">
        <v>15</v>
      </c>
      <c r="B207" s="27">
        <v>1</v>
      </c>
      <c r="C207" s="27"/>
      <c r="D207" s="20">
        <v>16.858974358974358</v>
      </c>
      <c r="E207" s="20">
        <f t="shared" si="6"/>
        <v>1.8589743589743577</v>
      </c>
      <c r="G207" s="20">
        <f t="shared" si="7"/>
        <v>8.5208821600122359E-2</v>
      </c>
      <c r="L207" s="20"/>
    </row>
    <row r="208" spans="1:12" x14ac:dyDescent="0.2">
      <c r="A208" s="27">
        <v>16</v>
      </c>
      <c r="B208" s="27">
        <v>1</v>
      </c>
      <c r="C208" s="27"/>
      <c r="D208" s="20">
        <v>16.858974358974358</v>
      </c>
      <c r="E208" s="20">
        <f t="shared" si="6"/>
        <v>0.8589743589743577</v>
      </c>
      <c r="G208" s="20">
        <f t="shared" si="7"/>
        <v>9.1847742433773194E-2</v>
      </c>
      <c r="L208" s="20"/>
    </row>
    <row r="209" spans="1:12" x14ac:dyDescent="0.2">
      <c r="A209" s="27">
        <v>21</v>
      </c>
      <c r="B209" s="27">
        <v>1</v>
      </c>
      <c r="C209" s="27"/>
      <c r="D209" s="20">
        <v>16.858974358974358</v>
      </c>
      <c r="E209" s="20">
        <f t="shared" si="6"/>
        <v>-4.1410256410256423</v>
      </c>
      <c r="G209" s="20">
        <f t="shared" si="7"/>
        <v>5.8389578885814829E-2</v>
      </c>
      <c r="L209" s="20"/>
    </row>
    <row r="210" spans="1:12" x14ac:dyDescent="0.2">
      <c r="A210" s="27">
        <v>19</v>
      </c>
      <c r="B210" s="27">
        <v>1</v>
      </c>
      <c r="C210" s="27"/>
      <c r="D210" s="20">
        <v>16.858974358974358</v>
      </c>
      <c r="E210" s="20">
        <f t="shared" si="6"/>
        <v>-2.1410256410256423</v>
      </c>
      <c r="G210" s="20">
        <f t="shared" si="7"/>
        <v>8.2596026638649928E-2</v>
      </c>
      <c r="L210" s="20"/>
    </row>
    <row r="211" spans="1:12" x14ac:dyDescent="0.2">
      <c r="A211" s="27">
        <v>21</v>
      </c>
      <c r="B211" s="27">
        <v>1</v>
      </c>
      <c r="C211" s="27"/>
      <c r="D211" s="20">
        <v>16.858974358974358</v>
      </c>
      <c r="E211" s="20">
        <f t="shared" si="6"/>
        <v>-4.1410256410256423</v>
      </c>
      <c r="G211" s="20">
        <f t="shared" si="7"/>
        <v>5.8389578885814829E-2</v>
      </c>
      <c r="L211" s="20"/>
    </row>
    <row r="212" spans="1:12" x14ac:dyDescent="0.2">
      <c r="A212" s="27">
        <v>22</v>
      </c>
      <c r="B212" s="27">
        <v>1</v>
      </c>
      <c r="C212" s="27"/>
      <c r="D212" s="20">
        <v>16.858974358974358</v>
      </c>
      <c r="E212" s="20">
        <f t="shared" si="6"/>
        <v>-5.1410256410256423</v>
      </c>
      <c r="G212" s="20">
        <f t="shared" si="7"/>
        <v>4.5191645925457373E-2</v>
      </c>
      <c r="L212" s="20"/>
    </row>
    <row r="213" spans="1:12" x14ac:dyDescent="0.2">
      <c r="A213" s="27">
        <v>17</v>
      </c>
      <c r="B213" s="27">
        <v>1</v>
      </c>
      <c r="C213" s="27"/>
      <c r="D213" s="20">
        <v>16.858974358974358</v>
      </c>
      <c r="E213" s="20">
        <f t="shared" si="6"/>
        <v>-0.1410256410256423</v>
      </c>
      <c r="G213" s="20">
        <f t="shared" si="7"/>
        <v>9.3686186441259228E-2</v>
      </c>
      <c r="L213" s="20"/>
    </row>
    <row r="214" spans="1:12" x14ac:dyDescent="0.2">
      <c r="A214" s="27">
        <v>33</v>
      </c>
      <c r="B214" s="27">
        <v>1</v>
      </c>
      <c r="C214" s="27"/>
      <c r="D214" s="20">
        <v>16.858974358974358</v>
      </c>
      <c r="E214" s="20">
        <f t="shared" si="6"/>
        <v>-16.141025641025642</v>
      </c>
      <c r="G214" s="20">
        <f t="shared" si="7"/>
        <v>7.0556481624534586E-5</v>
      </c>
      <c r="L214" s="20"/>
    </row>
    <row r="215" spans="1:12" x14ac:dyDescent="0.2">
      <c r="A215" s="27">
        <v>21</v>
      </c>
      <c r="B215" s="27">
        <v>1</v>
      </c>
      <c r="C215" s="27"/>
      <c r="D215" s="20">
        <v>16.858974358974358</v>
      </c>
      <c r="E215" s="20">
        <f t="shared" si="6"/>
        <v>-4.1410256410256423</v>
      </c>
      <c r="G215" s="20">
        <f t="shared" si="7"/>
        <v>5.8389578885814829E-2</v>
      </c>
      <c r="L215" s="20"/>
    </row>
    <row r="216" spans="1:12" x14ac:dyDescent="0.2">
      <c r="A216" s="27">
        <v>19</v>
      </c>
      <c r="B216" s="27">
        <v>1</v>
      </c>
      <c r="C216" s="27"/>
      <c r="D216" s="20">
        <v>16.858974358974358</v>
      </c>
      <c r="E216" s="20">
        <f t="shared" si="6"/>
        <v>-2.1410256410256423</v>
      </c>
      <c r="G216" s="20">
        <f t="shared" si="7"/>
        <v>8.2596026638649928E-2</v>
      </c>
      <c r="L216" s="20"/>
    </row>
    <row r="217" spans="1:12" x14ac:dyDescent="0.2">
      <c r="A217" s="27">
        <v>22</v>
      </c>
      <c r="B217" s="27">
        <v>1</v>
      </c>
      <c r="C217" s="27"/>
      <c r="D217" s="20">
        <v>16.858974358974358</v>
      </c>
      <c r="E217" s="20">
        <f t="shared" si="6"/>
        <v>-5.1410256410256423</v>
      </c>
      <c r="G217" s="20">
        <f t="shared" si="7"/>
        <v>4.5191645925457373E-2</v>
      </c>
      <c r="L217" s="20"/>
    </row>
    <row r="218" spans="1:12" x14ac:dyDescent="0.2">
      <c r="A218" s="27">
        <v>21</v>
      </c>
      <c r="B218" s="27">
        <v>1</v>
      </c>
      <c r="C218" s="27"/>
      <c r="D218" s="20">
        <v>16.858974358974358</v>
      </c>
      <c r="E218" s="20">
        <f t="shared" si="6"/>
        <v>-4.1410256410256423</v>
      </c>
      <c r="G218" s="20">
        <f t="shared" si="7"/>
        <v>5.8389578885814829E-2</v>
      </c>
      <c r="L218" s="20"/>
    </row>
    <row r="219" spans="1:12" x14ac:dyDescent="0.2">
      <c r="A219" s="27">
        <v>21</v>
      </c>
      <c r="B219" s="27">
        <v>1</v>
      </c>
      <c r="C219" s="27"/>
      <c r="D219" s="20">
        <v>16.858974358974358</v>
      </c>
      <c r="E219" s="20">
        <f t="shared" si="6"/>
        <v>-4.1410256410256423</v>
      </c>
      <c r="G219" s="20">
        <f t="shared" si="7"/>
        <v>5.8389578885814829E-2</v>
      </c>
      <c r="L219" s="20"/>
    </row>
    <row r="220" spans="1:12" x14ac:dyDescent="0.2">
      <c r="A220" s="27">
        <v>21</v>
      </c>
      <c r="B220" s="27">
        <v>1</v>
      </c>
      <c r="C220" s="27"/>
      <c r="D220" s="20">
        <v>16.858974358974358</v>
      </c>
      <c r="E220" s="20">
        <f t="shared" si="6"/>
        <v>-4.1410256410256423</v>
      </c>
      <c r="G220" s="20">
        <f t="shared" si="7"/>
        <v>5.8389578885814829E-2</v>
      </c>
      <c r="L220" s="20"/>
    </row>
    <row r="221" spans="1:12" x14ac:dyDescent="0.2">
      <c r="A221" s="27">
        <v>16</v>
      </c>
      <c r="B221" s="27">
        <v>1</v>
      </c>
      <c r="C221" s="27"/>
      <c r="D221" s="20">
        <v>16.858974358974358</v>
      </c>
      <c r="E221" s="20">
        <f t="shared" si="6"/>
        <v>0.8589743589743577</v>
      </c>
      <c r="G221" s="20">
        <f t="shared" si="7"/>
        <v>9.1847742433773194E-2</v>
      </c>
      <c r="L221" s="20"/>
    </row>
    <row r="222" spans="1:12" x14ac:dyDescent="0.2">
      <c r="A222" s="27">
        <v>17</v>
      </c>
      <c r="B222" s="27">
        <v>1</v>
      </c>
      <c r="C222" s="27"/>
      <c r="D222" s="20">
        <v>16.858974358974358</v>
      </c>
      <c r="E222" s="20">
        <f t="shared" si="6"/>
        <v>-0.1410256410256423</v>
      </c>
      <c r="G222" s="20">
        <f t="shared" si="7"/>
        <v>9.3686186441259228E-2</v>
      </c>
      <c r="L222" s="20"/>
    </row>
    <row r="223" spans="1:12" x14ac:dyDescent="0.2">
      <c r="A223" s="27">
        <v>35</v>
      </c>
      <c r="B223" s="27">
        <v>1</v>
      </c>
      <c r="C223" s="27"/>
      <c r="D223" s="20">
        <v>16.858974358974358</v>
      </c>
      <c r="E223" s="20">
        <f t="shared" si="6"/>
        <v>-18.141025641025642</v>
      </c>
      <c r="G223" s="20">
        <f t="shared" si="7"/>
        <v>1.0630685082524548E-5</v>
      </c>
      <c r="L223" s="20"/>
    </row>
    <row r="224" spans="1:12" x14ac:dyDescent="0.2">
      <c r="A224" s="27">
        <v>29</v>
      </c>
      <c r="B224" s="27">
        <v>1</v>
      </c>
      <c r="C224" s="27"/>
      <c r="D224" s="20">
        <v>16.858974358974358</v>
      </c>
      <c r="E224" s="20">
        <f t="shared" si="6"/>
        <v>-12.141025641025642</v>
      </c>
      <c r="G224" s="20">
        <f t="shared" si="7"/>
        <v>1.60238186282746E-3</v>
      </c>
      <c r="L224" s="20"/>
    </row>
    <row r="225" spans="1:12" x14ac:dyDescent="0.2">
      <c r="A225" s="27">
        <v>21</v>
      </c>
      <c r="B225" s="27">
        <v>1</v>
      </c>
      <c r="C225" s="27"/>
      <c r="D225" s="20">
        <v>16.858974358974358</v>
      </c>
      <c r="E225" s="20">
        <f t="shared" si="6"/>
        <v>-4.1410256410256423</v>
      </c>
      <c r="G225" s="20">
        <f t="shared" si="7"/>
        <v>5.8389578885814829E-2</v>
      </c>
      <c r="L225" s="20"/>
    </row>
    <row r="226" spans="1:12" x14ac:dyDescent="0.2">
      <c r="A226" s="27">
        <v>19</v>
      </c>
      <c r="B226" s="27">
        <v>1</v>
      </c>
      <c r="C226" s="27"/>
      <c r="D226" s="20">
        <v>16.858974358974358</v>
      </c>
      <c r="E226" s="20">
        <f t="shared" si="6"/>
        <v>-2.1410256410256423</v>
      </c>
      <c r="G226" s="20">
        <f t="shared" si="7"/>
        <v>8.2596026638649928E-2</v>
      </c>
      <c r="L226" s="20"/>
    </row>
    <row r="227" spans="1:12" x14ac:dyDescent="0.2">
      <c r="A227" s="27">
        <v>20</v>
      </c>
      <c r="B227" s="27">
        <v>1</v>
      </c>
      <c r="C227" s="27"/>
      <c r="D227" s="20">
        <v>16.858974358974358</v>
      </c>
      <c r="E227" s="20">
        <f t="shared" si="6"/>
        <v>-3.1410256410256423</v>
      </c>
      <c r="G227" s="20">
        <f t="shared" si="7"/>
        <v>7.138971945227178E-2</v>
      </c>
      <c r="L227" s="20"/>
    </row>
    <row r="228" spans="1:12" x14ac:dyDescent="0.2">
      <c r="A228" s="27">
        <v>20</v>
      </c>
      <c r="B228" s="27">
        <v>1</v>
      </c>
      <c r="C228" s="27"/>
      <c r="D228" s="20">
        <v>16.858974358974358</v>
      </c>
      <c r="E228" s="20">
        <f t="shared" si="6"/>
        <v>-3.1410256410256423</v>
      </c>
      <c r="G228" s="20">
        <f t="shared" si="7"/>
        <v>7.138971945227178E-2</v>
      </c>
      <c r="L228" s="20"/>
    </row>
    <row r="229" spans="1:12" x14ac:dyDescent="0.2">
      <c r="A229" s="27">
        <v>21</v>
      </c>
      <c r="B229" s="27">
        <v>1</v>
      </c>
      <c r="C229" s="27"/>
      <c r="D229" s="20">
        <v>16.858974358974358</v>
      </c>
      <c r="E229" s="20">
        <f t="shared" si="6"/>
        <v>-4.1410256410256423</v>
      </c>
      <c r="G229" s="20">
        <f t="shared" si="7"/>
        <v>5.8389578885814829E-2</v>
      </c>
      <c r="L229" s="20"/>
    </row>
    <row r="230" spans="1:12" x14ac:dyDescent="0.2">
      <c r="A230" s="27">
        <v>18</v>
      </c>
      <c r="B230" s="27">
        <v>1</v>
      </c>
      <c r="C230" s="27"/>
      <c r="D230" s="20">
        <v>16.858974358974358</v>
      </c>
      <c r="E230" s="20">
        <f t="shared" si="6"/>
        <v>-1.1410256410256423</v>
      </c>
      <c r="G230" s="20">
        <f t="shared" si="7"/>
        <v>9.0428595220514676E-2</v>
      </c>
      <c r="L230" s="20"/>
    </row>
    <row r="231" spans="1:12" x14ac:dyDescent="0.2">
      <c r="A231" s="27">
        <v>19</v>
      </c>
      <c r="B231" s="27">
        <v>1</v>
      </c>
      <c r="C231" s="27"/>
      <c r="D231" s="20">
        <v>16.858974358974358</v>
      </c>
      <c r="E231" s="20">
        <f t="shared" si="6"/>
        <v>-2.1410256410256423</v>
      </c>
      <c r="G231" s="20">
        <f t="shared" si="7"/>
        <v>8.2596026638649928E-2</v>
      </c>
      <c r="L231" s="20"/>
    </row>
    <row r="232" spans="1:12" x14ac:dyDescent="0.2">
      <c r="A232" s="27">
        <v>21</v>
      </c>
      <c r="B232" s="27">
        <v>1</v>
      </c>
      <c r="C232" s="27"/>
      <c r="D232" s="20">
        <v>16.858974358974358</v>
      </c>
      <c r="E232" s="20">
        <f t="shared" si="6"/>
        <v>-4.1410256410256423</v>
      </c>
      <c r="G232" s="20">
        <f t="shared" si="7"/>
        <v>5.8389578885814829E-2</v>
      </c>
      <c r="L232" s="20"/>
    </row>
    <row r="233" spans="1:12" x14ac:dyDescent="0.2">
      <c r="A233" s="27">
        <v>16</v>
      </c>
      <c r="B233" s="27">
        <v>1</v>
      </c>
      <c r="C233" s="27"/>
      <c r="D233" s="20">
        <v>16.858974358974358</v>
      </c>
      <c r="E233" s="20">
        <f t="shared" si="6"/>
        <v>0.8589743589743577</v>
      </c>
      <c r="G233" s="20">
        <f t="shared" si="7"/>
        <v>9.1847742433773194E-2</v>
      </c>
      <c r="L233" s="20"/>
    </row>
    <row r="234" spans="1:12" x14ac:dyDescent="0.2">
      <c r="A234" s="27">
        <v>18</v>
      </c>
      <c r="B234" s="27">
        <v>1</v>
      </c>
      <c r="C234" s="27"/>
      <c r="D234" s="20">
        <v>16.858974358974358</v>
      </c>
      <c r="E234" s="20">
        <f t="shared" si="6"/>
        <v>-1.1410256410256423</v>
      </c>
      <c r="G234" s="20">
        <f t="shared" si="7"/>
        <v>9.0428595220514676E-2</v>
      </c>
      <c r="L234" s="20"/>
    </row>
    <row r="235" spans="1:12" x14ac:dyDescent="0.2">
      <c r="A235" s="27">
        <v>17</v>
      </c>
      <c r="B235" s="27">
        <v>1</v>
      </c>
      <c r="C235" s="27"/>
      <c r="D235" s="20">
        <v>16.858974358974358</v>
      </c>
      <c r="E235" s="20">
        <f t="shared" si="6"/>
        <v>-0.1410256410256423</v>
      </c>
      <c r="G235" s="20">
        <f t="shared" si="7"/>
        <v>9.3686186441259228E-2</v>
      </c>
      <c r="L235" s="20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>
      <selection activeCell="K8" sqref="K8"/>
    </sheetView>
  </sheetViews>
  <sheetFormatPr baseColWidth="10" defaultColWidth="14.5" defaultRowHeight="16" x14ac:dyDescent="0.2"/>
  <cols>
    <col min="1" max="11" width="14.5" style="20"/>
    <col min="13" max="16384" width="14.5" style="20"/>
  </cols>
  <sheetData>
    <row r="1" spans="1:15" x14ac:dyDescent="0.2">
      <c r="A1" s="27" t="s">
        <v>85</v>
      </c>
      <c r="B1" s="27" t="s">
        <v>164</v>
      </c>
      <c r="C1" s="27" t="s">
        <v>86</v>
      </c>
      <c r="D1" s="20" t="s">
        <v>165</v>
      </c>
      <c r="E1" s="20" t="s">
        <v>166</v>
      </c>
      <c r="F1" s="20" t="s">
        <v>167</v>
      </c>
      <c r="G1" s="20" t="s">
        <v>169</v>
      </c>
      <c r="H1" s="20" t="s">
        <v>168</v>
      </c>
      <c r="I1" s="20" t="s">
        <v>171</v>
      </c>
      <c r="J1" s="20" t="s">
        <v>6</v>
      </c>
      <c r="K1" s="20" t="s">
        <v>170</v>
      </c>
      <c r="L1" s="20"/>
      <c r="M1" s="20" t="s">
        <v>178</v>
      </c>
    </row>
    <row r="2" spans="1:15" x14ac:dyDescent="0.2">
      <c r="A2" s="27">
        <v>18</v>
      </c>
      <c r="B2" s="27">
        <v>1</v>
      </c>
      <c r="C2" s="27">
        <f t="array" aca="1" ref="C2:C235" ca="1">INDIRECT(C1)</f>
        <v>29</v>
      </c>
      <c r="D2" s="20" cm="1">
        <f t="array" aca="1" ref="D2:D235" ca="1">TREND(A2:A235,B2:C235,,FALSE)</f>
        <v>20.657555830168075</v>
      </c>
      <c r="E2" s="20">
        <f ca="1">D2-A2</f>
        <v>2.6575558301680751</v>
      </c>
      <c r="F2" s="20">
        <f ca="1">STDEV(E2:E235)</f>
        <v>1.2497181822870325</v>
      </c>
      <c r="G2" s="20">
        <f ca="1">_xlfn.NORM.DIST(E2,0,$F$2,FALSE)</f>
        <v>3.327632904268165E-2</v>
      </c>
      <c r="H2" s="20" cm="1">
        <f t="array" aca="1" ref="H2" ca="1">SUM(LN(G2:G235))</f>
        <v>-383.6944455535961</v>
      </c>
      <c r="I2" s="20">
        <f>COUNT(A2:A235)</f>
        <v>234</v>
      </c>
      <c r="J2" s="20">
        <v>2</v>
      </c>
      <c r="K2" s="20">
        <f ca="1">-2*H2+2*J2</f>
        <v>771.38889110719219</v>
      </c>
      <c r="L2" s="20"/>
      <c r="N2" s="20" t="s">
        <v>177</v>
      </c>
      <c r="O2" s="20" t="s">
        <v>170</v>
      </c>
    </row>
    <row r="3" spans="1:15" x14ac:dyDescent="0.2">
      <c r="A3" s="27">
        <v>21</v>
      </c>
      <c r="B3" s="27">
        <v>1</v>
      </c>
      <c r="C3" s="27">
        <f ca="1"/>
        <v>29</v>
      </c>
      <c r="D3" s="20">
        <f ca="1"/>
        <v>20.657555830168075</v>
      </c>
      <c r="E3" s="20">
        <f t="shared" ref="E3:E66" ca="1" si="0">D3-A3</f>
        <v>-0.34244416983192494</v>
      </c>
      <c r="G3" s="20">
        <f t="shared" ref="G3:G66" ca="1" si="1">_xlfn.NORM.DIST(E3,0,$F$2,FALSE)</f>
        <v>0.30746337812452051</v>
      </c>
      <c r="L3" s="20"/>
      <c r="M3" s="28"/>
      <c r="N3" s="28">
        <f ca="1">K8</f>
        <v>107.32351470807653</v>
      </c>
      <c r="O3" s="28">
        <f ca="1">K14</f>
        <v>771.38674824786335</v>
      </c>
    </row>
    <row r="4" spans="1:15" x14ac:dyDescent="0.2">
      <c r="A4" s="27">
        <v>20</v>
      </c>
      <c r="B4" s="27">
        <v>1</v>
      </c>
      <c r="C4" s="27">
        <f ca="1"/>
        <v>31</v>
      </c>
      <c r="D4" s="20">
        <f ca="1"/>
        <v>22.023994053472194</v>
      </c>
      <c r="E4" s="20">
        <f t="shared" ca="1" si="0"/>
        <v>2.0239940534721939</v>
      </c>
      <c r="G4" s="20">
        <f t="shared" ca="1" si="1"/>
        <v>8.6005458292729375E-2</v>
      </c>
      <c r="H4" s="20" t="s">
        <v>172</v>
      </c>
      <c r="I4" s="20" t="s">
        <v>173</v>
      </c>
      <c r="L4" s="20"/>
      <c r="M4" s="28" t="s">
        <v>80</v>
      </c>
      <c r="N4" s="29">
        <f t="dataTable" ref="N4:O7" dt2D="0" dtr="0" r1="C1" ca="1"/>
        <v>443.27246802336475</v>
      </c>
      <c r="O4" s="29">
        <v>1107.3357015631516</v>
      </c>
    </row>
    <row r="5" spans="1:15" x14ac:dyDescent="0.2">
      <c r="A5" s="27">
        <v>21</v>
      </c>
      <c r="B5" s="27">
        <v>1</v>
      </c>
      <c r="C5" s="27">
        <f ca="1"/>
        <v>30</v>
      </c>
      <c r="D5" s="20">
        <f ca="1"/>
        <v>21.340774941820136</v>
      </c>
      <c r="E5" s="20">
        <f t="shared" ca="1" si="0"/>
        <v>0.34077494182013623</v>
      </c>
      <c r="G5" s="20">
        <f t="shared" ca="1" si="1"/>
        <v>0.30757565599758996</v>
      </c>
      <c r="H5" s="20">
        <f ca="1">SUMSQ(E2:E235)</f>
        <v>363.8983596873415</v>
      </c>
      <c r="I5" s="20">
        <f ca="1">H5/I2</f>
        <v>1.5551211952450492</v>
      </c>
      <c r="L5" s="20"/>
      <c r="M5" s="28" t="s">
        <v>81</v>
      </c>
      <c r="N5" s="29">
        <v>680.48560175849059</v>
      </c>
      <c r="O5" s="29">
        <v>1344.5488352982775</v>
      </c>
    </row>
    <row r="6" spans="1:15" x14ac:dyDescent="0.2">
      <c r="A6" s="27">
        <v>16</v>
      </c>
      <c r="B6" s="27">
        <v>1</v>
      </c>
      <c r="C6" s="27">
        <f ca="1"/>
        <v>26</v>
      </c>
      <c r="D6" s="20">
        <f ca="1"/>
        <v>18.607898495211895</v>
      </c>
      <c r="E6" s="20">
        <f t="shared" ca="1" si="0"/>
        <v>2.6078984952118951</v>
      </c>
      <c r="G6" s="20">
        <f t="shared" ca="1" si="1"/>
        <v>3.6181717224349638E-2</v>
      </c>
      <c r="L6" s="20"/>
      <c r="M6" s="28" t="s">
        <v>82</v>
      </c>
      <c r="N6" s="29">
        <v>435.64100584426035</v>
      </c>
      <c r="O6" s="29">
        <v>1099.7042393840472</v>
      </c>
    </row>
    <row r="7" spans="1:15" x14ac:dyDescent="0.2">
      <c r="A7" s="27">
        <v>18</v>
      </c>
      <c r="B7" s="27">
        <v>1</v>
      </c>
      <c r="C7" s="27">
        <f ca="1"/>
        <v>26</v>
      </c>
      <c r="D7" s="20">
        <f ca="1"/>
        <v>18.607898495211895</v>
      </c>
      <c r="E7" s="20">
        <f t="shared" ca="1" si="0"/>
        <v>0.6078984952118951</v>
      </c>
      <c r="G7" s="20">
        <f t="shared" ca="1" si="1"/>
        <v>0.28360781451993688</v>
      </c>
      <c r="H7" s="20" t="s">
        <v>175</v>
      </c>
      <c r="K7" s="20" t="s">
        <v>177</v>
      </c>
      <c r="L7" s="20"/>
      <c r="M7" s="28" t="s">
        <v>86</v>
      </c>
      <c r="N7" s="29">
        <v>107.32351470807653</v>
      </c>
      <c r="O7" s="29">
        <v>771.38674824786335</v>
      </c>
    </row>
    <row r="8" spans="1:15" x14ac:dyDescent="0.2">
      <c r="A8" s="27">
        <v>18</v>
      </c>
      <c r="B8" s="27">
        <v>1</v>
      </c>
      <c r="C8" s="27">
        <f ca="1"/>
        <v>27</v>
      </c>
      <c r="D8" s="20">
        <f ca="1"/>
        <v>19.291117606863956</v>
      </c>
      <c r="E8" s="20">
        <f t="shared" ca="1" si="0"/>
        <v>1.2911176068639563</v>
      </c>
      <c r="G8" s="20">
        <f t="shared" ca="1" si="1"/>
        <v>0.18720849951963059</v>
      </c>
      <c r="H8" s="20">
        <f ca="1">I2*LN(I5)</f>
        <v>103.32351470807653</v>
      </c>
      <c r="K8" s="20">
        <f ca="1">H8+2*J2</f>
        <v>107.32351470807653</v>
      </c>
      <c r="L8" s="20"/>
    </row>
    <row r="9" spans="1:15" x14ac:dyDescent="0.2">
      <c r="A9" s="27">
        <v>18</v>
      </c>
      <c r="B9" s="27">
        <v>1</v>
      </c>
      <c r="C9" s="27">
        <f ca="1"/>
        <v>26</v>
      </c>
      <c r="D9" s="20">
        <f ca="1"/>
        <v>18.607898495211895</v>
      </c>
      <c r="E9" s="20">
        <f t="shared" ca="1" si="0"/>
        <v>0.6078984952118951</v>
      </c>
      <c r="G9" s="20">
        <f t="shared" ca="1" si="1"/>
        <v>0.28360781451993688</v>
      </c>
      <c r="L9" s="20"/>
    </row>
    <row r="10" spans="1:15" x14ac:dyDescent="0.2">
      <c r="A10" s="27">
        <v>16</v>
      </c>
      <c r="B10" s="27">
        <v>1</v>
      </c>
      <c r="C10" s="27">
        <f ca="1"/>
        <v>25</v>
      </c>
      <c r="D10" s="20">
        <f ca="1"/>
        <v>17.924679383559837</v>
      </c>
      <c r="E10" s="20">
        <f t="shared" ca="1" si="0"/>
        <v>1.9246793835598375</v>
      </c>
      <c r="G10" s="20">
        <f t="shared" ca="1" si="1"/>
        <v>9.7510391399401958E-2</v>
      </c>
      <c r="H10" s="20" t="s">
        <v>176</v>
      </c>
      <c r="L10" s="20"/>
    </row>
    <row r="11" spans="1:15" x14ac:dyDescent="0.2">
      <c r="A11" s="27">
        <v>20</v>
      </c>
      <c r="B11" s="27">
        <v>1</v>
      </c>
      <c r="C11" s="27">
        <f ca="1"/>
        <v>28</v>
      </c>
      <c r="D11" s="20">
        <f ca="1"/>
        <v>19.974336718516017</v>
      </c>
      <c r="E11" s="20">
        <f t="shared" ca="1" si="0"/>
        <v>-2.5663281483982558E-2</v>
      </c>
      <c r="G11" s="20">
        <f t="shared" ca="1" si="1"/>
        <v>0.31915849397187074</v>
      </c>
      <c r="H11" s="20">
        <f>I2*LN(2*PI())</f>
        <v>430.06323353978684</v>
      </c>
      <c r="L11" s="20"/>
    </row>
    <row r="12" spans="1:15" x14ac:dyDescent="0.2">
      <c r="A12" s="27">
        <v>19</v>
      </c>
      <c r="B12" s="27">
        <v>1</v>
      </c>
      <c r="C12" s="27">
        <f ca="1"/>
        <v>27</v>
      </c>
      <c r="D12" s="20">
        <f ca="1"/>
        <v>19.291117606863956</v>
      </c>
      <c r="E12" s="20">
        <f t="shared" ca="1" si="0"/>
        <v>0.29111760686395627</v>
      </c>
      <c r="G12" s="20">
        <f t="shared" ca="1" si="1"/>
        <v>0.31068098494392388</v>
      </c>
      <c r="L12" s="20"/>
    </row>
    <row r="13" spans="1:15" x14ac:dyDescent="0.2">
      <c r="A13" s="27">
        <v>15</v>
      </c>
      <c r="B13" s="27">
        <v>1</v>
      </c>
      <c r="C13" s="27">
        <f ca="1"/>
        <v>25</v>
      </c>
      <c r="D13" s="20">
        <f ca="1"/>
        <v>17.924679383559837</v>
      </c>
      <c r="E13" s="20">
        <f t="shared" ca="1" si="0"/>
        <v>2.9246793835598375</v>
      </c>
      <c r="G13" s="20">
        <f t="shared" ca="1" si="1"/>
        <v>2.0644814857305384E-2</v>
      </c>
      <c r="H13" s="20" t="s">
        <v>174</v>
      </c>
      <c r="K13" s="20" t="s">
        <v>170</v>
      </c>
      <c r="L13" s="20"/>
    </row>
    <row r="14" spans="1:15" x14ac:dyDescent="0.2">
      <c r="A14" s="27">
        <v>17</v>
      </c>
      <c r="B14" s="27">
        <v>1</v>
      </c>
      <c r="C14" s="27">
        <f ca="1"/>
        <v>25</v>
      </c>
      <c r="D14" s="20">
        <f ca="1"/>
        <v>17.924679383559837</v>
      </c>
      <c r="E14" s="20">
        <f t="shared" ca="1" si="0"/>
        <v>0.92467938355983748</v>
      </c>
      <c r="G14" s="20">
        <f t="shared" ca="1" si="1"/>
        <v>0.24278226945780421</v>
      </c>
      <c r="H14" s="20">
        <f ca="1">H8+H11+I2</f>
        <v>767.38674824786335</v>
      </c>
      <c r="K14" s="20">
        <f ca="1">H14+2*J2</f>
        <v>771.38674824786335</v>
      </c>
      <c r="L14" s="20"/>
    </row>
    <row r="15" spans="1:15" x14ac:dyDescent="0.2">
      <c r="A15" s="27">
        <v>17</v>
      </c>
      <c r="B15" s="27">
        <v>1</v>
      </c>
      <c r="C15" s="27">
        <f ca="1"/>
        <v>25</v>
      </c>
      <c r="D15" s="20">
        <f ca="1"/>
        <v>17.924679383559837</v>
      </c>
      <c r="E15" s="20">
        <f t="shared" ca="1" si="0"/>
        <v>0.92467938355983748</v>
      </c>
      <c r="G15" s="20">
        <f t="shared" ca="1" si="1"/>
        <v>0.24278226945780421</v>
      </c>
      <c r="L15" s="20"/>
    </row>
    <row r="16" spans="1:15" x14ac:dyDescent="0.2">
      <c r="A16" s="27">
        <v>15</v>
      </c>
      <c r="B16" s="27">
        <v>1</v>
      </c>
      <c r="C16" s="27">
        <f ca="1"/>
        <v>25</v>
      </c>
      <c r="D16" s="20">
        <f ca="1"/>
        <v>17.924679383559837</v>
      </c>
      <c r="E16" s="20">
        <f t="shared" ca="1" si="0"/>
        <v>2.9246793835598375</v>
      </c>
      <c r="G16" s="20">
        <f t="shared" ca="1" si="1"/>
        <v>2.0644814857305384E-2</v>
      </c>
      <c r="L16" s="20"/>
    </row>
    <row r="17" spans="1:12" x14ac:dyDescent="0.2">
      <c r="A17" s="27">
        <v>15</v>
      </c>
      <c r="B17" s="27">
        <v>1</v>
      </c>
      <c r="C17" s="27">
        <f ca="1"/>
        <v>24</v>
      </c>
      <c r="D17" s="20">
        <f ca="1"/>
        <v>17.241460271907776</v>
      </c>
      <c r="E17" s="20">
        <f t="shared" ca="1" si="0"/>
        <v>2.2414602719077763</v>
      </c>
      <c r="G17" s="20">
        <f t="shared" ca="1" si="1"/>
        <v>6.3908179860316897E-2</v>
      </c>
      <c r="L17" s="20"/>
    </row>
    <row r="18" spans="1:12" x14ac:dyDescent="0.2">
      <c r="A18" s="27">
        <v>17</v>
      </c>
      <c r="B18" s="27">
        <v>1</v>
      </c>
      <c r="C18" s="27">
        <f ca="1"/>
        <v>25</v>
      </c>
      <c r="D18" s="20">
        <f ca="1"/>
        <v>17.924679383559837</v>
      </c>
      <c r="E18" s="20">
        <f t="shared" ca="1" si="0"/>
        <v>0.92467938355983748</v>
      </c>
      <c r="G18" s="20">
        <f t="shared" ca="1" si="1"/>
        <v>0.24278226945780421</v>
      </c>
      <c r="L18" s="20"/>
    </row>
    <row r="19" spans="1:12" x14ac:dyDescent="0.2">
      <c r="A19" s="27">
        <v>16</v>
      </c>
      <c r="B19" s="27">
        <v>1</v>
      </c>
      <c r="C19" s="27">
        <f ca="1"/>
        <v>23</v>
      </c>
      <c r="D19" s="20">
        <f ca="1"/>
        <v>16.558241160255715</v>
      </c>
      <c r="E19" s="20">
        <f t="shared" ca="1" si="0"/>
        <v>0.55824116025571513</v>
      </c>
      <c r="G19" s="20">
        <f t="shared" ca="1" si="1"/>
        <v>0.28891457937292003</v>
      </c>
      <c r="L19" s="20"/>
    </row>
    <row r="20" spans="1:12" x14ac:dyDescent="0.2">
      <c r="A20" s="27">
        <v>14</v>
      </c>
      <c r="B20" s="27">
        <v>1</v>
      </c>
      <c r="C20" s="27">
        <f ca="1"/>
        <v>20</v>
      </c>
      <c r="D20" s="20">
        <f ca="1"/>
        <v>14.508583825299539</v>
      </c>
      <c r="E20" s="20">
        <f t="shared" ca="1" si="0"/>
        <v>0.50858382529953872</v>
      </c>
      <c r="G20" s="20">
        <f t="shared" ca="1" si="1"/>
        <v>0.29385631906225068</v>
      </c>
      <c r="L20" s="20"/>
    </row>
    <row r="21" spans="1:12" x14ac:dyDescent="0.2">
      <c r="A21" s="27">
        <v>11</v>
      </c>
      <c r="B21" s="27">
        <v>1</v>
      </c>
      <c r="C21" s="27">
        <f ca="1"/>
        <v>15</v>
      </c>
      <c r="D21" s="20">
        <f ca="1"/>
        <v>11.09248826703924</v>
      </c>
      <c r="E21" s="20">
        <f t="shared" ca="1" si="0"/>
        <v>9.2488267039239958E-2</v>
      </c>
      <c r="G21" s="20">
        <f t="shared" ca="1" si="1"/>
        <v>0.31835277839425191</v>
      </c>
      <c r="L21" s="20"/>
    </row>
    <row r="22" spans="1:12" x14ac:dyDescent="0.2">
      <c r="A22" s="27">
        <v>14</v>
      </c>
      <c r="B22" s="27">
        <v>1</v>
      </c>
      <c r="C22" s="27">
        <f ca="1"/>
        <v>20</v>
      </c>
      <c r="D22" s="20">
        <f ca="1"/>
        <v>14.508583825299539</v>
      </c>
      <c r="E22" s="20">
        <f t="shared" ca="1" si="0"/>
        <v>0.50858382529953872</v>
      </c>
      <c r="G22" s="20">
        <f t="shared" ca="1" si="1"/>
        <v>0.29385631906225068</v>
      </c>
      <c r="L22" s="20"/>
    </row>
    <row r="23" spans="1:12" x14ac:dyDescent="0.2">
      <c r="A23" s="27">
        <v>13</v>
      </c>
      <c r="B23" s="27">
        <v>1</v>
      </c>
      <c r="C23" s="27">
        <f ca="1"/>
        <v>17</v>
      </c>
      <c r="D23" s="20">
        <f ca="1"/>
        <v>12.458926490343359</v>
      </c>
      <c r="E23" s="20">
        <f t="shared" ca="1" si="0"/>
        <v>-0.54107350965664125</v>
      </c>
      <c r="G23" s="20">
        <f t="shared" ca="1" si="1"/>
        <v>0.29066547731752662</v>
      </c>
      <c r="L23" s="20"/>
    </row>
    <row r="24" spans="1:12" x14ac:dyDescent="0.2">
      <c r="A24" s="27">
        <v>12</v>
      </c>
      <c r="B24" s="27">
        <v>1</v>
      </c>
      <c r="C24" s="27">
        <f ca="1"/>
        <v>17</v>
      </c>
      <c r="D24" s="20">
        <f ca="1"/>
        <v>12.458926490343359</v>
      </c>
      <c r="E24" s="20">
        <f t="shared" ca="1" si="0"/>
        <v>0.45892649034335875</v>
      </c>
      <c r="G24" s="20">
        <f t="shared" ca="1" si="1"/>
        <v>0.29841106438288428</v>
      </c>
      <c r="L24" s="20"/>
    </row>
    <row r="25" spans="1:12" x14ac:dyDescent="0.2">
      <c r="A25" s="27">
        <v>16</v>
      </c>
      <c r="B25" s="27">
        <v>1</v>
      </c>
      <c r="C25" s="27">
        <f ca="1"/>
        <v>26</v>
      </c>
      <c r="D25" s="20">
        <f ca="1"/>
        <v>18.607898495211895</v>
      </c>
      <c r="E25" s="20">
        <f t="shared" ca="1" si="0"/>
        <v>2.6078984952118951</v>
      </c>
      <c r="G25" s="20">
        <f t="shared" ca="1" si="1"/>
        <v>3.6181717224349638E-2</v>
      </c>
      <c r="L25" s="20"/>
    </row>
    <row r="26" spans="1:12" x14ac:dyDescent="0.2">
      <c r="A26" s="27">
        <v>15</v>
      </c>
      <c r="B26" s="27">
        <v>1</v>
      </c>
      <c r="C26" s="27">
        <f ca="1"/>
        <v>23</v>
      </c>
      <c r="D26" s="20">
        <f ca="1"/>
        <v>16.558241160255715</v>
      </c>
      <c r="E26" s="20">
        <f t="shared" ca="1" si="0"/>
        <v>1.5582411602557151</v>
      </c>
      <c r="G26" s="20">
        <f t="shared" ca="1" si="1"/>
        <v>0.1467237015411641</v>
      </c>
      <c r="L26" s="20"/>
    </row>
    <row r="27" spans="1:12" x14ac:dyDescent="0.2">
      <c r="A27" s="27">
        <v>16</v>
      </c>
      <c r="B27" s="27">
        <v>1</v>
      </c>
      <c r="C27" s="27">
        <f ca="1"/>
        <v>26</v>
      </c>
      <c r="D27" s="20">
        <f ca="1"/>
        <v>18.607898495211895</v>
      </c>
      <c r="E27" s="20">
        <f t="shared" ca="1" si="0"/>
        <v>2.6078984952118951</v>
      </c>
      <c r="G27" s="20">
        <f t="shared" ca="1" si="1"/>
        <v>3.6181717224349638E-2</v>
      </c>
      <c r="L27" s="20"/>
    </row>
    <row r="28" spans="1:12" x14ac:dyDescent="0.2">
      <c r="A28" s="27">
        <v>15</v>
      </c>
      <c r="B28" s="27">
        <v>1</v>
      </c>
      <c r="C28" s="27">
        <f ca="1"/>
        <v>25</v>
      </c>
      <c r="D28" s="20">
        <f ca="1"/>
        <v>17.924679383559837</v>
      </c>
      <c r="E28" s="20">
        <f t="shared" ca="1" si="0"/>
        <v>2.9246793835598375</v>
      </c>
      <c r="G28" s="20">
        <f t="shared" ca="1" si="1"/>
        <v>2.0644814857305384E-2</v>
      </c>
      <c r="L28" s="20"/>
    </row>
    <row r="29" spans="1:12" x14ac:dyDescent="0.2">
      <c r="A29" s="27">
        <v>15</v>
      </c>
      <c r="B29" s="27">
        <v>1</v>
      </c>
      <c r="C29" s="27">
        <f ca="1"/>
        <v>24</v>
      </c>
      <c r="D29" s="20">
        <f ca="1"/>
        <v>17.241460271907776</v>
      </c>
      <c r="E29" s="20">
        <f t="shared" ca="1" si="0"/>
        <v>2.2414602719077763</v>
      </c>
      <c r="G29" s="20">
        <f t="shared" ca="1" si="1"/>
        <v>6.3908179860316897E-2</v>
      </c>
      <c r="L29" s="20"/>
    </row>
    <row r="30" spans="1:12" x14ac:dyDescent="0.2">
      <c r="A30" s="27">
        <v>14</v>
      </c>
      <c r="B30" s="27">
        <v>1</v>
      </c>
      <c r="C30" s="27">
        <f ca="1"/>
        <v>19</v>
      </c>
      <c r="D30" s="20">
        <f ca="1"/>
        <v>13.825364713647479</v>
      </c>
      <c r="E30" s="20">
        <f t="shared" ca="1" si="0"/>
        <v>-0.17463528635252068</v>
      </c>
      <c r="G30" s="20">
        <f t="shared" ca="1" si="1"/>
        <v>0.31612416936198534</v>
      </c>
      <c r="L30" s="20"/>
    </row>
    <row r="31" spans="1:12" x14ac:dyDescent="0.2">
      <c r="A31" s="27">
        <v>11</v>
      </c>
      <c r="B31" s="27">
        <v>1</v>
      </c>
      <c r="C31" s="27">
        <f ca="1"/>
        <v>14</v>
      </c>
      <c r="D31" s="20">
        <f ca="1"/>
        <v>10.409269155387181</v>
      </c>
      <c r="E31" s="20">
        <f t="shared" ca="1" si="0"/>
        <v>-0.59073084461281944</v>
      </c>
      <c r="G31" s="20">
        <f t="shared" ca="1" si="1"/>
        <v>0.28548233893943797</v>
      </c>
      <c r="L31" s="20"/>
    </row>
    <row r="32" spans="1:12" x14ac:dyDescent="0.2">
      <c r="A32" s="27">
        <v>11</v>
      </c>
      <c r="B32" s="27">
        <v>1</v>
      </c>
      <c r="C32" s="27">
        <f ca="1"/>
        <v>15</v>
      </c>
      <c r="D32" s="20">
        <f ca="1"/>
        <v>11.09248826703924</v>
      </c>
      <c r="E32" s="20">
        <f t="shared" ca="1" si="0"/>
        <v>9.2488267039239958E-2</v>
      </c>
      <c r="G32" s="20">
        <f t="shared" ca="1" si="1"/>
        <v>0.31835277839425191</v>
      </c>
      <c r="L32" s="20"/>
    </row>
    <row r="33" spans="1:12" x14ac:dyDescent="0.2">
      <c r="A33" s="27">
        <v>14</v>
      </c>
      <c r="B33" s="27">
        <v>1</v>
      </c>
      <c r="C33" s="27">
        <f ca="1"/>
        <v>17</v>
      </c>
      <c r="D33" s="20">
        <f ca="1"/>
        <v>12.458926490343359</v>
      </c>
      <c r="E33" s="20">
        <f t="shared" ca="1" si="0"/>
        <v>-1.5410735096566412</v>
      </c>
      <c r="G33" s="20">
        <f t="shared" ca="1" si="1"/>
        <v>0.14924443441661395</v>
      </c>
      <c r="L33" s="20"/>
    </row>
    <row r="34" spans="1:12" x14ac:dyDescent="0.2">
      <c r="A34" s="27">
        <v>19</v>
      </c>
      <c r="B34" s="27">
        <v>1</v>
      </c>
      <c r="C34" s="27">
        <f ca="1"/>
        <v>27</v>
      </c>
      <c r="D34" s="20">
        <f ca="1"/>
        <v>19.291117606863956</v>
      </c>
      <c r="E34" s="20">
        <f t="shared" ca="1" si="0"/>
        <v>0.29111760686395627</v>
      </c>
      <c r="G34" s="20">
        <f t="shared" ca="1" si="1"/>
        <v>0.31068098494392388</v>
      </c>
      <c r="L34" s="20"/>
    </row>
    <row r="35" spans="1:12" x14ac:dyDescent="0.2">
      <c r="A35" s="27">
        <v>22</v>
      </c>
      <c r="B35" s="27">
        <v>1</v>
      </c>
      <c r="C35" s="27">
        <f ca="1"/>
        <v>30</v>
      </c>
      <c r="D35" s="20">
        <f ca="1"/>
        <v>21.340774941820136</v>
      </c>
      <c r="E35" s="20">
        <f t="shared" ca="1" si="0"/>
        <v>-0.65922505817986377</v>
      </c>
      <c r="G35" s="20">
        <f t="shared" ca="1" si="1"/>
        <v>0.27776379398250539</v>
      </c>
      <c r="L35" s="20"/>
    </row>
    <row r="36" spans="1:12" x14ac:dyDescent="0.2">
      <c r="A36" s="27">
        <v>18</v>
      </c>
      <c r="B36" s="27">
        <v>1</v>
      </c>
      <c r="C36" s="27">
        <f ca="1"/>
        <v>26</v>
      </c>
      <c r="D36" s="20">
        <f ca="1"/>
        <v>18.607898495211895</v>
      </c>
      <c r="E36" s="20">
        <f t="shared" ca="1" si="0"/>
        <v>0.6078984952118951</v>
      </c>
      <c r="G36" s="20">
        <f t="shared" ca="1" si="1"/>
        <v>0.28360781451993688</v>
      </c>
      <c r="L36" s="20"/>
    </row>
    <row r="37" spans="1:12" x14ac:dyDescent="0.2">
      <c r="A37" s="27">
        <v>18</v>
      </c>
      <c r="B37" s="27">
        <v>1</v>
      </c>
      <c r="C37" s="27">
        <f ca="1"/>
        <v>29</v>
      </c>
      <c r="D37" s="20">
        <f ca="1"/>
        <v>20.657555830168075</v>
      </c>
      <c r="E37" s="20">
        <f t="shared" ca="1" si="0"/>
        <v>2.6575558301680751</v>
      </c>
      <c r="G37" s="20">
        <f t="shared" ca="1" si="1"/>
        <v>3.327632904268165E-2</v>
      </c>
      <c r="L37" s="20"/>
    </row>
    <row r="38" spans="1:12" x14ac:dyDescent="0.2">
      <c r="A38" s="27">
        <v>17</v>
      </c>
      <c r="B38" s="27">
        <v>1</v>
      </c>
      <c r="C38" s="27">
        <f ca="1"/>
        <v>26</v>
      </c>
      <c r="D38" s="20">
        <f ca="1"/>
        <v>18.607898495211895</v>
      </c>
      <c r="E38" s="20">
        <f t="shared" ca="1" si="0"/>
        <v>1.6078984952118951</v>
      </c>
      <c r="G38" s="20">
        <f t="shared" ca="1" si="1"/>
        <v>0.13952132892333158</v>
      </c>
      <c r="L38" s="20"/>
    </row>
    <row r="39" spans="1:12" x14ac:dyDescent="0.2">
      <c r="A39" s="27">
        <v>18</v>
      </c>
      <c r="B39" s="27">
        <v>1</v>
      </c>
      <c r="C39" s="27">
        <f ca="1"/>
        <v>24</v>
      </c>
      <c r="D39" s="20">
        <f ca="1"/>
        <v>17.241460271907776</v>
      </c>
      <c r="E39" s="20">
        <f t="shared" ca="1" si="0"/>
        <v>-0.7585397280922237</v>
      </c>
      <c r="G39" s="20">
        <f t="shared" ca="1" si="1"/>
        <v>0.2655208098682208</v>
      </c>
      <c r="L39" s="20"/>
    </row>
    <row r="40" spans="1:12" x14ac:dyDescent="0.2">
      <c r="A40" s="27">
        <v>17</v>
      </c>
      <c r="B40" s="27">
        <v>1</v>
      </c>
      <c r="C40" s="27">
        <f ca="1"/>
        <v>24</v>
      </c>
      <c r="D40" s="20">
        <f ca="1"/>
        <v>17.241460271907776</v>
      </c>
      <c r="E40" s="20">
        <f t="shared" ca="1" si="0"/>
        <v>0.2414602719077763</v>
      </c>
      <c r="G40" s="20">
        <f t="shared" ca="1" si="1"/>
        <v>0.31332258364370175</v>
      </c>
      <c r="L40" s="20"/>
    </row>
    <row r="41" spans="1:12" x14ac:dyDescent="0.2">
      <c r="A41" s="27">
        <v>16</v>
      </c>
      <c r="B41" s="27">
        <v>1</v>
      </c>
      <c r="C41" s="27">
        <f ca="1"/>
        <v>22</v>
      </c>
      <c r="D41" s="20">
        <f ca="1"/>
        <v>15.875022048603658</v>
      </c>
      <c r="E41" s="20">
        <f t="shared" ca="1" si="0"/>
        <v>-0.12497795139634249</v>
      </c>
      <c r="G41" s="20">
        <f t="shared" ca="1" si="1"/>
        <v>0.31763349392564566</v>
      </c>
      <c r="L41" s="20"/>
    </row>
    <row r="42" spans="1:12" x14ac:dyDescent="0.2">
      <c r="A42" s="27">
        <v>16</v>
      </c>
      <c r="B42" s="27">
        <v>1</v>
      </c>
      <c r="C42" s="27">
        <f ca="1"/>
        <v>22</v>
      </c>
      <c r="D42" s="20">
        <f ca="1"/>
        <v>15.875022048603658</v>
      </c>
      <c r="E42" s="20">
        <f t="shared" ca="1" si="0"/>
        <v>-0.12497795139634249</v>
      </c>
      <c r="G42" s="20">
        <f t="shared" ca="1" si="1"/>
        <v>0.31763349392564566</v>
      </c>
      <c r="L42" s="20"/>
    </row>
    <row r="43" spans="1:12" x14ac:dyDescent="0.2">
      <c r="A43" s="27">
        <v>17</v>
      </c>
      <c r="B43" s="27">
        <v>1</v>
      </c>
      <c r="C43" s="27">
        <f ca="1"/>
        <v>24</v>
      </c>
      <c r="D43" s="20">
        <f ca="1"/>
        <v>17.241460271907776</v>
      </c>
      <c r="E43" s="20">
        <f t="shared" ca="1" si="0"/>
        <v>0.2414602719077763</v>
      </c>
      <c r="G43" s="20">
        <f t="shared" ca="1" si="1"/>
        <v>0.31332258364370175</v>
      </c>
      <c r="L43" s="20"/>
    </row>
    <row r="44" spans="1:12" x14ac:dyDescent="0.2">
      <c r="A44" s="27">
        <v>17</v>
      </c>
      <c r="B44" s="27">
        <v>1</v>
      </c>
      <c r="C44" s="27">
        <f ca="1"/>
        <v>24</v>
      </c>
      <c r="D44" s="20">
        <f ca="1"/>
        <v>17.241460271907776</v>
      </c>
      <c r="E44" s="20">
        <f t="shared" ca="1" si="0"/>
        <v>0.2414602719077763</v>
      </c>
      <c r="G44" s="20">
        <f t="shared" ca="1" si="1"/>
        <v>0.31332258364370175</v>
      </c>
      <c r="L44" s="20"/>
    </row>
    <row r="45" spans="1:12" x14ac:dyDescent="0.2">
      <c r="A45" s="27">
        <v>11</v>
      </c>
      <c r="B45" s="27">
        <v>1</v>
      </c>
      <c r="C45" s="27">
        <f ca="1"/>
        <v>17</v>
      </c>
      <c r="D45" s="20">
        <f ca="1"/>
        <v>12.458926490343359</v>
      </c>
      <c r="E45" s="20">
        <f t="shared" ca="1" si="0"/>
        <v>1.4589264903433588</v>
      </c>
      <c r="G45" s="20">
        <f t="shared" ca="1" si="1"/>
        <v>0.16149629011123415</v>
      </c>
      <c r="L45" s="20"/>
    </row>
    <row r="46" spans="1:12" x14ac:dyDescent="0.2">
      <c r="A46" s="27">
        <v>15</v>
      </c>
      <c r="B46" s="27">
        <v>1</v>
      </c>
      <c r="C46" s="27">
        <f ca="1"/>
        <v>22</v>
      </c>
      <c r="D46" s="20">
        <f ca="1"/>
        <v>15.875022048603658</v>
      </c>
      <c r="E46" s="20">
        <f t="shared" ca="1" si="0"/>
        <v>0.87502204860365751</v>
      </c>
      <c r="G46" s="20">
        <f t="shared" ca="1" si="1"/>
        <v>0.2498287819911226</v>
      </c>
      <c r="L46" s="20"/>
    </row>
    <row r="47" spans="1:12" x14ac:dyDescent="0.2">
      <c r="A47" s="27">
        <v>15</v>
      </c>
      <c r="B47" s="27">
        <v>1</v>
      </c>
      <c r="C47" s="27">
        <f ca="1"/>
        <v>21</v>
      </c>
      <c r="D47" s="20">
        <f ca="1"/>
        <v>15.191802936951598</v>
      </c>
      <c r="E47" s="20">
        <f t="shared" ca="1" si="0"/>
        <v>0.19180293695159811</v>
      </c>
      <c r="G47" s="20">
        <f t="shared" ca="1" si="1"/>
        <v>0.31548813891774308</v>
      </c>
      <c r="L47" s="20"/>
    </row>
    <row r="48" spans="1:12" x14ac:dyDescent="0.2">
      <c r="A48" s="27">
        <v>16</v>
      </c>
      <c r="B48" s="27">
        <v>1</v>
      </c>
      <c r="C48" s="27">
        <f ca="1"/>
        <v>23</v>
      </c>
      <c r="D48" s="20">
        <f ca="1"/>
        <v>16.558241160255715</v>
      </c>
      <c r="E48" s="20">
        <f t="shared" ca="1" si="0"/>
        <v>0.55824116025571513</v>
      </c>
      <c r="G48" s="20">
        <f t="shared" ca="1" si="1"/>
        <v>0.28891457937292003</v>
      </c>
      <c r="L48" s="20"/>
    </row>
    <row r="49" spans="1:12" x14ac:dyDescent="0.2">
      <c r="A49" s="27">
        <v>16</v>
      </c>
      <c r="B49" s="27">
        <v>1</v>
      </c>
      <c r="C49" s="27">
        <f ca="1"/>
        <v>23</v>
      </c>
      <c r="D49" s="20">
        <f ca="1"/>
        <v>16.558241160255715</v>
      </c>
      <c r="E49" s="20">
        <f t="shared" ca="1" si="0"/>
        <v>0.55824116025571513</v>
      </c>
      <c r="G49" s="20">
        <f t="shared" ca="1" si="1"/>
        <v>0.28891457937292003</v>
      </c>
      <c r="L49" s="20"/>
    </row>
    <row r="50" spans="1:12" x14ac:dyDescent="0.2">
      <c r="A50" s="27">
        <v>15</v>
      </c>
      <c r="B50" s="27">
        <v>1</v>
      </c>
      <c r="C50" s="27">
        <f ca="1"/>
        <v>19</v>
      </c>
      <c r="D50" s="20">
        <f ca="1"/>
        <v>13.825364713647479</v>
      </c>
      <c r="E50" s="20">
        <f t="shared" ca="1" si="0"/>
        <v>-1.1746352863525207</v>
      </c>
      <c r="G50" s="20">
        <f t="shared" ca="1" si="1"/>
        <v>0.20523871008550823</v>
      </c>
      <c r="L50" s="20"/>
    </row>
    <row r="51" spans="1:12" x14ac:dyDescent="0.2">
      <c r="A51" s="27">
        <v>14</v>
      </c>
      <c r="B51" s="27">
        <v>1</v>
      </c>
      <c r="C51" s="27">
        <f ca="1"/>
        <v>18</v>
      </c>
      <c r="D51" s="20">
        <f ca="1"/>
        <v>13.142145601995418</v>
      </c>
      <c r="E51" s="20">
        <f t="shared" ca="1" si="0"/>
        <v>-0.85785439800458185</v>
      </c>
      <c r="G51" s="20">
        <f t="shared" ca="1" si="1"/>
        <v>0.25221954505601618</v>
      </c>
      <c r="L51" s="20"/>
    </row>
    <row r="52" spans="1:12" x14ac:dyDescent="0.2">
      <c r="A52" s="27">
        <v>13</v>
      </c>
      <c r="B52" s="27">
        <v>1</v>
      </c>
      <c r="C52" s="27">
        <f ca="1"/>
        <v>17</v>
      </c>
      <c r="D52" s="20">
        <f ca="1"/>
        <v>12.458926490343359</v>
      </c>
      <c r="E52" s="20">
        <f t="shared" ca="1" si="0"/>
        <v>-0.54107350965664125</v>
      </c>
      <c r="G52" s="20">
        <f t="shared" ca="1" si="1"/>
        <v>0.29066547731752662</v>
      </c>
      <c r="L52" s="20"/>
    </row>
    <row r="53" spans="1:12" x14ac:dyDescent="0.2">
      <c r="A53" s="27">
        <v>14</v>
      </c>
      <c r="B53" s="27">
        <v>1</v>
      </c>
      <c r="C53" s="27">
        <f ca="1"/>
        <v>17</v>
      </c>
      <c r="D53" s="20">
        <f ca="1"/>
        <v>12.458926490343359</v>
      </c>
      <c r="E53" s="20">
        <f t="shared" ca="1" si="0"/>
        <v>-1.5410735096566412</v>
      </c>
      <c r="G53" s="20">
        <f t="shared" ca="1" si="1"/>
        <v>0.14924443441661395</v>
      </c>
      <c r="L53" s="20"/>
    </row>
    <row r="54" spans="1:12" x14ac:dyDescent="0.2">
      <c r="A54" s="27">
        <v>14</v>
      </c>
      <c r="B54" s="27">
        <v>1</v>
      </c>
      <c r="C54" s="27">
        <f ca="1"/>
        <v>19</v>
      </c>
      <c r="D54" s="20">
        <f ca="1"/>
        <v>13.825364713647479</v>
      </c>
      <c r="E54" s="20">
        <f t="shared" ca="1" si="0"/>
        <v>-0.17463528635252068</v>
      </c>
      <c r="G54" s="20">
        <f t="shared" ca="1" si="1"/>
        <v>0.31612416936198534</v>
      </c>
      <c r="L54" s="20"/>
    </row>
    <row r="55" spans="1:12" x14ac:dyDescent="0.2">
      <c r="A55" s="27">
        <v>14</v>
      </c>
      <c r="B55" s="27">
        <v>1</v>
      </c>
      <c r="C55" s="27">
        <f ca="1"/>
        <v>19</v>
      </c>
      <c r="D55" s="20">
        <f ca="1"/>
        <v>13.825364713647479</v>
      </c>
      <c r="E55" s="20">
        <f t="shared" ca="1" si="0"/>
        <v>-0.17463528635252068</v>
      </c>
      <c r="G55" s="20">
        <f t="shared" ca="1" si="1"/>
        <v>0.31612416936198534</v>
      </c>
      <c r="L55" s="20"/>
    </row>
    <row r="56" spans="1:12" x14ac:dyDescent="0.2">
      <c r="A56" s="27">
        <v>9</v>
      </c>
      <c r="B56" s="27">
        <v>1</v>
      </c>
      <c r="C56" s="27">
        <f ca="1"/>
        <v>12</v>
      </c>
      <c r="D56" s="20">
        <f ca="1"/>
        <v>9.04283093208306</v>
      </c>
      <c r="E56" s="20">
        <f t="shared" ca="1" si="0"/>
        <v>4.2830932083059992E-2</v>
      </c>
      <c r="G56" s="20">
        <f t="shared" ca="1" si="1"/>
        <v>0.31903836846290684</v>
      </c>
      <c r="L56" s="20"/>
    </row>
    <row r="57" spans="1:12" x14ac:dyDescent="0.2">
      <c r="A57" s="27">
        <v>11</v>
      </c>
      <c r="B57" s="27">
        <v>1</v>
      </c>
      <c r="C57" s="27">
        <f ca="1"/>
        <v>17</v>
      </c>
      <c r="D57" s="20">
        <f ca="1"/>
        <v>12.458926490343359</v>
      </c>
      <c r="E57" s="20">
        <f t="shared" ca="1" si="0"/>
        <v>1.4589264903433588</v>
      </c>
      <c r="G57" s="20">
        <f t="shared" ca="1" si="1"/>
        <v>0.16149629011123415</v>
      </c>
      <c r="L57" s="20"/>
    </row>
    <row r="58" spans="1:12" x14ac:dyDescent="0.2">
      <c r="A58" s="27">
        <v>11</v>
      </c>
      <c r="B58" s="27">
        <v>1</v>
      </c>
      <c r="C58" s="27">
        <f ca="1"/>
        <v>15</v>
      </c>
      <c r="D58" s="20">
        <f ca="1"/>
        <v>11.09248826703924</v>
      </c>
      <c r="E58" s="20">
        <f t="shared" ca="1" si="0"/>
        <v>9.2488267039239958E-2</v>
      </c>
      <c r="G58" s="20">
        <f t="shared" ca="1" si="1"/>
        <v>0.31835277839425191</v>
      </c>
      <c r="L58" s="20"/>
    </row>
    <row r="59" spans="1:12" x14ac:dyDescent="0.2">
      <c r="A59" s="27">
        <v>13</v>
      </c>
      <c r="B59" s="27">
        <v>1</v>
      </c>
      <c r="C59" s="27">
        <f ca="1"/>
        <v>17</v>
      </c>
      <c r="D59" s="20">
        <f ca="1"/>
        <v>12.458926490343359</v>
      </c>
      <c r="E59" s="20">
        <f t="shared" ca="1" si="0"/>
        <v>-0.54107350965664125</v>
      </c>
      <c r="G59" s="20">
        <f t="shared" ca="1" si="1"/>
        <v>0.29066547731752662</v>
      </c>
      <c r="L59" s="20"/>
    </row>
    <row r="60" spans="1:12" x14ac:dyDescent="0.2">
      <c r="A60" s="27">
        <v>13</v>
      </c>
      <c r="B60" s="27">
        <v>1</v>
      </c>
      <c r="C60" s="27">
        <f ca="1"/>
        <v>17</v>
      </c>
      <c r="D60" s="20">
        <f ca="1"/>
        <v>12.458926490343359</v>
      </c>
      <c r="E60" s="20">
        <f t="shared" ca="1" si="0"/>
        <v>-0.54107350965664125</v>
      </c>
      <c r="G60" s="20">
        <f t="shared" ca="1" si="1"/>
        <v>0.29066547731752662</v>
      </c>
      <c r="L60" s="20"/>
    </row>
    <row r="61" spans="1:12" x14ac:dyDescent="0.2">
      <c r="A61" s="27">
        <v>9</v>
      </c>
      <c r="B61" s="27">
        <v>1</v>
      </c>
      <c r="C61" s="27">
        <f ca="1"/>
        <v>12</v>
      </c>
      <c r="D61" s="20">
        <f ca="1"/>
        <v>9.04283093208306</v>
      </c>
      <c r="E61" s="20">
        <f t="shared" ca="1" si="0"/>
        <v>4.2830932083059992E-2</v>
      </c>
      <c r="G61" s="20">
        <f t="shared" ca="1" si="1"/>
        <v>0.31903836846290684</v>
      </c>
      <c r="L61" s="20"/>
    </row>
    <row r="62" spans="1:12" x14ac:dyDescent="0.2">
      <c r="A62" s="27">
        <v>13</v>
      </c>
      <c r="B62" s="27">
        <v>1</v>
      </c>
      <c r="C62" s="27">
        <f ca="1"/>
        <v>17</v>
      </c>
      <c r="D62" s="20">
        <f ca="1"/>
        <v>12.458926490343359</v>
      </c>
      <c r="E62" s="20">
        <f t="shared" ca="1" si="0"/>
        <v>-0.54107350965664125</v>
      </c>
      <c r="G62" s="20">
        <f t="shared" ca="1" si="1"/>
        <v>0.29066547731752662</v>
      </c>
      <c r="L62" s="20"/>
    </row>
    <row r="63" spans="1:12" x14ac:dyDescent="0.2">
      <c r="A63" s="27">
        <v>11</v>
      </c>
      <c r="B63" s="27">
        <v>1</v>
      </c>
      <c r="C63" s="27">
        <f ca="1"/>
        <v>16</v>
      </c>
      <c r="D63" s="20">
        <f ca="1"/>
        <v>11.775707378691299</v>
      </c>
      <c r="E63" s="20">
        <f t="shared" ca="1" si="0"/>
        <v>0.77570737869129935</v>
      </c>
      <c r="G63" s="20">
        <f t="shared" ca="1" si="1"/>
        <v>0.26329124156712214</v>
      </c>
      <c r="L63" s="20"/>
    </row>
    <row r="64" spans="1:12" x14ac:dyDescent="0.2">
      <c r="A64" s="27">
        <v>13</v>
      </c>
      <c r="B64" s="27">
        <v>1</v>
      </c>
      <c r="C64" s="27">
        <f ca="1"/>
        <v>18</v>
      </c>
      <c r="D64" s="20">
        <f ca="1"/>
        <v>13.142145601995418</v>
      </c>
      <c r="E64" s="20">
        <f t="shared" ca="1" si="0"/>
        <v>0.14214560199541815</v>
      </c>
      <c r="G64" s="20">
        <f t="shared" ca="1" si="1"/>
        <v>0.31716750413300532</v>
      </c>
      <c r="L64" s="20"/>
    </row>
    <row r="65" spans="1:12" x14ac:dyDescent="0.2">
      <c r="A65" s="27">
        <v>11</v>
      </c>
      <c r="B65" s="27">
        <v>1</v>
      </c>
      <c r="C65" s="27">
        <f ca="1"/>
        <v>15</v>
      </c>
      <c r="D65" s="20">
        <f ca="1"/>
        <v>11.09248826703924</v>
      </c>
      <c r="E65" s="20">
        <f t="shared" ca="1" si="0"/>
        <v>9.2488267039239958E-2</v>
      </c>
      <c r="G65" s="20">
        <f t="shared" ca="1" si="1"/>
        <v>0.31835277839425191</v>
      </c>
      <c r="L65" s="20"/>
    </row>
    <row r="66" spans="1:12" x14ac:dyDescent="0.2">
      <c r="A66" s="27">
        <v>12</v>
      </c>
      <c r="B66" s="27">
        <v>1</v>
      </c>
      <c r="C66" s="27">
        <f ca="1"/>
        <v>16</v>
      </c>
      <c r="D66" s="20">
        <f ca="1"/>
        <v>11.775707378691299</v>
      </c>
      <c r="E66" s="20">
        <f t="shared" ca="1" si="0"/>
        <v>-0.22429262130870065</v>
      </c>
      <c r="G66" s="20">
        <f t="shared" ca="1" si="1"/>
        <v>0.31412566572102818</v>
      </c>
      <c r="L66" s="20"/>
    </row>
    <row r="67" spans="1:12" x14ac:dyDescent="0.2">
      <c r="A67" s="27">
        <v>9</v>
      </c>
      <c r="B67" s="27">
        <v>1</v>
      </c>
      <c r="C67" s="27">
        <f ca="1"/>
        <v>12</v>
      </c>
      <c r="D67" s="20">
        <f ca="1"/>
        <v>9.04283093208306</v>
      </c>
      <c r="E67" s="20">
        <f t="shared" ref="E67:E130" ca="1" si="2">D67-A67</f>
        <v>4.2830932083059992E-2</v>
      </c>
      <c r="G67" s="20">
        <f t="shared" ref="G67:G130" ca="1" si="3">_xlfn.NORM.DIST(E67,0,$F$2,FALSE)</f>
        <v>0.31903836846290684</v>
      </c>
      <c r="L67" s="20"/>
    </row>
    <row r="68" spans="1:12" x14ac:dyDescent="0.2">
      <c r="A68" s="27">
        <v>13</v>
      </c>
      <c r="B68" s="27">
        <v>1</v>
      </c>
      <c r="C68" s="27">
        <f ca="1"/>
        <v>17</v>
      </c>
      <c r="D68" s="20">
        <f ca="1"/>
        <v>12.458926490343359</v>
      </c>
      <c r="E68" s="20">
        <f t="shared" ca="1" si="2"/>
        <v>-0.54107350965664125</v>
      </c>
      <c r="G68" s="20">
        <f t="shared" ca="1" si="3"/>
        <v>0.29066547731752662</v>
      </c>
      <c r="L68" s="20"/>
    </row>
    <row r="69" spans="1:12" x14ac:dyDescent="0.2">
      <c r="A69" s="27">
        <v>13</v>
      </c>
      <c r="B69" s="27">
        <v>1</v>
      </c>
      <c r="C69" s="27">
        <f ca="1"/>
        <v>17</v>
      </c>
      <c r="D69" s="20">
        <f ca="1"/>
        <v>12.458926490343359</v>
      </c>
      <c r="E69" s="20">
        <f t="shared" ca="1" si="2"/>
        <v>-0.54107350965664125</v>
      </c>
      <c r="G69" s="20">
        <f t="shared" ca="1" si="3"/>
        <v>0.29066547731752662</v>
      </c>
      <c r="L69" s="20"/>
    </row>
    <row r="70" spans="1:12" x14ac:dyDescent="0.2">
      <c r="A70" s="27">
        <v>12</v>
      </c>
      <c r="B70" s="27">
        <v>1</v>
      </c>
      <c r="C70" s="27">
        <f ca="1"/>
        <v>16</v>
      </c>
      <c r="D70" s="20">
        <f ca="1"/>
        <v>11.775707378691299</v>
      </c>
      <c r="E70" s="20">
        <f t="shared" ca="1" si="2"/>
        <v>-0.22429262130870065</v>
      </c>
      <c r="G70" s="20">
        <f t="shared" ca="1" si="3"/>
        <v>0.31412566572102818</v>
      </c>
      <c r="L70" s="20"/>
    </row>
    <row r="71" spans="1:12" x14ac:dyDescent="0.2">
      <c r="A71" s="27">
        <v>9</v>
      </c>
      <c r="B71" s="27">
        <v>1</v>
      </c>
      <c r="C71" s="27">
        <f ca="1"/>
        <v>12</v>
      </c>
      <c r="D71" s="20">
        <f ca="1"/>
        <v>9.04283093208306</v>
      </c>
      <c r="E71" s="20">
        <f t="shared" ca="1" si="2"/>
        <v>4.2830932083059992E-2</v>
      </c>
      <c r="G71" s="20">
        <f t="shared" ca="1" si="3"/>
        <v>0.31903836846290684</v>
      </c>
      <c r="L71" s="20"/>
    </row>
    <row r="72" spans="1:12" x14ac:dyDescent="0.2">
      <c r="A72" s="27">
        <v>11</v>
      </c>
      <c r="B72" s="27">
        <v>1</v>
      </c>
      <c r="C72" s="27">
        <f ca="1"/>
        <v>15</v>
      </c>
      <c r="D72" s="20">
        <f ca="1"/>
        <v>11.09248826703924</v>
      </c>
      <c r="E72" s="20">
        <f t="shared" ca="1" si="2"/>
        <v>9.2488267039239958E-2</v>
      </c>
      <c r="G72" s="20">
        <f t="shared" ca="1" si="3"/>
        <v>0.31835277839425191</v>
      </c>
      <c r="L72" s="20"/>
    </row>
    <row r="73" spans="1:12" x14ac:dyDescent="0.2">
      <c r="A73" s="27">
        <v>11</v>
      </c>
      <c r="B73" s="27">
        <v>1</v>
      </c>
      <c r="C73" s="27">
        <f ca="1"/>
        <v>16</v>
      </c>
      <c r="D73" s="20">
        <f ca="1"/>
        <v>11.775707378691299</v>
      </c>
      <c r="E73" s="20">
        <f t="shared" ca="1" si="2"/>
        <v>0.77570737869129935</v>
      </c>
      <c r="G73" s="20">
        <f t="shared" ca="1" si="3"/>
        <v>0.26329124156712214</v>
      </c>
      <c r="L73" s="20"/>
    </row>
    <row r="74" spans="1:12" x14ac:dyDescent="0.2">
      <c r="A74" s="27">
        <v>13</v>
      </c>
      <c r="B74" s="27">
        <v>1</v>
      </c>
      <c r="C74" s="27">
        <f ca="1"/>
        <v>17</v>
      </c>
      <c r="D74" s="20">
        <f ca="1"/>
        <v>12.458926490343359</v>
      </c>
      <c r="E74" s="20">
        <f t="shared" ca="1" si="2"/>
        <v>-0.54107350965664125</v>
      </c>
      <c r="G74" s="20">
        <f t="shared" ca="1" si="3"/>
        <v>0.29066547731752662</v>
      </c>
      <c r="L74" s="20"/>
    </row>
    <row r="75" spans="1:12" x14ac:dyDescent="0.2">
      <c r="A75" s="27">
        <v>11</v>
      </c>
      <c r="B75" s="27">
        <v>1</v>
      </c>
      <c r="C75" s="27">
        <f ca="1"/>
        <v>15</v>
      </c>
      <c r="D75" s="20">
        <f ca="1"/>
        <v>11.09248826703924</v>
      </c>
      <c r="E75" s="20">
        <f t="shared" ca="1" si="2"/>
        <v>9.2488267039239958E-2</v>
      </c>
      <c r="G75" s="20">
        <f t="shared" ca="1" si="3"/>
        <v>0.31835277839425191</v>
      </c>
      <c r="L75" s="20"/>
    </row>
    <row r="76" spans="1:12" x14ac:dyDescent="0.2">
      <c r="A76" s="27">
        <v>11</v>
      </c>
      <c r="B76" s="27">
        <v>1</v>
      </c>
      <c r="C76" s="27">
        <f ca="1"/>
        <v>17</v>
      </c>
      <c r="D76" s="20">
        <f ca="1"/>
        <v>12.458926490343359</v>
      </c>
      <c r="E76" s="20">
        <f t="shared" ca="1" si="2"/>
        <v>1.4589264903433588</v>
      </c>
      <c r="G76" s="20">
        <f t="shared" ca="1" si="3"/>
        <v>0.16149629011123415</v>
      </c>
      <c r="L76" s="20"/>
    </row>
    <row r="77" spans="1:12" x14ac:dyDescent="0.2">
      <c r="A77" s="27">
        <v>11</v>
      </c>
      <c r="B77" s="27">
        <v>1</v>
      </c>
      <c r="C77" s="27">
        <f ca="1"/>
        <v>17</v>
      </c>
      <c r="D77" s="20">
        <f ca="1"/>
        <v>12.458926490343359</v>
      </c>
      <c r="E77" s="20">
        <f t="shared" ca="1" si="2"/>
        <v>1.4589264903433588</v>
      </c>
      <c r="G77" s="20">
        <f t="shared" ca="1" si="3"/>
        <v>0.16149629011123415</v>
      </c>
      <c r="L77" s="20"/>
    </row>
    <row r="78" spans="1:12" x14ac:dyDescent="0.2">
      <c r="A78" s="27">
        <v>12</v>
      </c>
      <c r="B78" s="27">
        <v>1</v>
      </c>
      <c r="C78" s="27">
        <f ca="1"/>
        <v>18</v>
      </c>
      <c r="D78" s="20">
        <f ca="1"/>
        <v>13.142145601995418</v>
      </c>
      <c r="E78" s="20">
        <f t="shared" ca="1" si="2"/>
        <v>1.1421456019954181</v>
      </c>
      <c r="G78" s="20">
        <f t="shared" ca="1" si="3"/>
        <v>0.21024457151414655</v>
      </c>
      <c r="L78" s="20"/>
    </row>
    <row r="79" spans="1:12" x14ac:dyDescent="0.2">
      <c r="A79" s="27">
        <v>14</v>
      </c>
      <c r="B79" s="27">
        <v>1</v>
      </c>
      <c r="C79" s="27">
        <f ca="1"/>
        <v>17</v>
      </c>
      <c r="D79" s="20">
        <f ca="1"/>
        <v>12.458926490343359</v>
      </c>
      <c r="E79" s="20">
        <f t="shared" ca="1" si="2"/>
        <v>-1.5410735096566412</v>
      </c>
      <c r="G79" s="20">
        <f t="shared" ca="1" si="3"/>
        <v>0.14924443441661395</v>
      </c>
      <c r="L79" s="20"/>
    </row>
    <row r="80" spans="1:12" x14ac:dyDescent="0.2">
      <c r="A80" s="27">
        <v>15</v>
      </c>
      <c r="B80" s="27">
        <v>1</v>
      </c>
      <c r="C80" s="27">
        <f ca="1"/>
        <v>19</v>
      </c>
      <c r="D80" s="20">
        <f ca="1"/>
        <v>13.825364713647479</v>
      </c>
      <c r="E80" s="20">
        <f t="shared" ca="1" si="2"/>
        <v>-1.1746352863525207</v>
      </c>
      <c r="G80" s="20">
        <f t="shared" ca="1" si="3"/>
        <v>0.20523871008550823</v>
      </c>
      <c r="L80" s="20"/>
    </row>
    <row r="81" spans="1:12" x14ac:dyDescent="0.2">
      <c r="A81" s="27">
        <v>14</v>
      </c>
      <c r="B81" s="27">
        <v>1</v>
      </c>
      <c r="C81" s="27">
        <f ca="1"/>
        <v>17</v>
      </c>
      <c r="D81" s="20">
        <f ca="1"/>
        <v>12.458926490343359</v>
      </c>
      <c r="E81" s="20">
        <f t="shared" ca="1" si="2"/>
        <v>-1.5410735096566412</v>
      </c>
      <c r="G81" s="20">
        <f t="shared" ca="1" si="3"/>
        <v>0.14924443441661395</v>
      </c>
      <c r="L81" s="20"/>
    </row>
    <row r="82" spans="1:12" x14ac:dyDescent="0.2">
      <c r="A82" s="27">
        <v>13</v>
      </c>
      <c r="B82" s="27">
        <v>1</v>
      </c>
      <c r="C82" s="27">
        <f ca="1"/>
        <v>19</v>
      </c>
      <c r="D82" s="20">
        <f ca="1"/>
        <v>13.825364713647479</v>
      </c>
      <c r="E82" s="20">
        <f t="shared" ca="1" si="2"/>
        <v>0.82536471364747932</v>
      </c>
      <c r="G82" s="20">
        <f t="shared" ca="1" si="3"/>
        <v>0.25667424064304967</v>
      </c>
      <c r="L82" s="20"/>
    </row>
    <row r="83" spans="1:12" x14ac:dyDescent="0.2">
      <c r="A83" s="27">
        <v>13</v>
      </c>
      <c r="B83" s="27">
        <v>1</v>
      </c>
      <c r="C83" s="27">
        <f ca="1"/>
        <v>19</v>
      </c>
      <c r="D83" s="20">
        <f ca="1"/>
        <v>13.825364713647479</v>
      </c>
      <c r="E83" s="20">
        <f t="shared" ca="1" si="2"/>
        <v>0.82536471364747932</v>
      </c>
      <c r="G83" s="20">
        <f t="shared" ca="1" si="3"/>
        <v>0.25667424064304967</v>
      </c>
      <c r="L83" s="20"/>
    </row>
    <row r="84" spans="1:12" x14ac:dyDescent="0.2">
      <c r="A84" s="27">
        <v>13</v>
      </c>
      <c r="B84" s="27">
        <v>1</v>
      </c>
      <c r="C84" s="27">
        <f ca="1"/>
        <v>17</v>
      </c>
      <c r="D84" s="20">
        <f ca="1"/>
        <v>12.458926490343359</v>
      </c>
      <c r="E84" s="20">
        <f t="shared" ca="1" si="2"/>
        <v>-0.54107350965664125</v>
      </c>
      <c r="G84" s="20">
        <f t="shared" ca="1" si="3"/>
        <v>0.29066547731752662</v>
      </c>
      <c r="L84" s="20"/>
    </row>
    <row r="85" spans="1:12" x14ac:dyDescent="0.2">
      <c r="A85" s="27">
        <v>14</v>
      </c>
      <c r="B85" s="27">
        <v>1</v>
      </c>
      <c r="C85" s="27">
        <f ca="1"/>
        <v>17</v>
      </c>
      <c r="D85" s="20">
        <f ca="1"/>
        <v>12.458926490343359</v>
      </c>
      <c r="E85" s="20">
        <f t="shared" ca="1" si="2"/>
        <v>-1.5410735096566412</v>
      </c>
      <c r="G85" s="20">
        <f t="shared" ca="1" si="3"/>
        <v>0.14924443441661395</v>
      </c>
      <c r="L85" s="20"/>
    </row>
    <row r="86" spans="1:12" x14ac:dyDescent="0.2">
      <c r="A86" s="27">
        <v>14</v>
      </c>
      <c r="B86" s="27">
        <v>1</v>
      </c>
      <c r="C86" s="27">
        <f ca="1"/>
        <v>17</v>
      </c>
      <c r="D86" s="20">
        <f ca="1"/>
        <v>12.458926490343359</v>
      </c>
      <c r="E86" s="20">
        <f t="shared" ca="1" si="2"/>
        <v>-1.5410735096566412</v>
      </c>
      <c r="G86" s="20">
        <f t="shared" ca="1" si="3"/>
        <v>0.14924443441661395</v>
      </c>
      <c r="L86" s="20"/>
    </row>
    <row r="87" spans="1:12" x14ac:dyDescent="0.2">
      <c r="A87" s="27">
        <v>13</v>
      </c>
      <c r="B87" s="27">
        <v>1</v>
      </c>
      <c r="C87" s="27">
        <f ca="1"/>
        <v>16</v>
      </c>
      <c r="D87" s="20">
        <f ca="1"/>
        <v>11.775707378691299</v>
      </c>
      <c r="E87" s="20">
        <f t="shared" ca="1" si="2"/>
        <v>-1.2242926213087006</v>
      </c>
      <c r="G87" s="20">
        <f t="shared" ca="1" si="3"/>
        <v>0.19755889639295596</v>
      </c>
      <c r="L87" s="20"/>
    </row>
    <row r="88" spans="1:12" x14ac:dyDescent="0.2">
      <c r="A88" s="27">
        <v>13</v>
      </c>
      <c r="B88" s="27">
        <v>1</v>
      </c>
      <c r="C88" s="27">
        <f ca="1"/>
        <v>16</v>
      </c>
      <c r="D88" s="20">
        <f ca="1"/>
        <v>11.775707378691299</v>
      </c>
      <c r="E88" s="20">
        <f t="shared" ca="1" si="2"/>
        <v>-1.2242926213087006</v>
      </c>
      <c r="G88" s="20">
        <f t="shared" ca="1" si="3"/>
        <v>0.19755889639295596</v>
      </c>
      <c r="L88" s="20"/>
    </row>
    <row r="89" spans="1:12" x14ac:dyDescent="0.2">
      <c r="A89" s="27">
        <v>13</v>
      </c>
      <c r="B89" s="27">
        <v>1</v>
      </c>
      <c r="C89" s="27">
        <f ca="1"/>
        <v>17</v>
      </c>
      <c r="D89" s="20">
        <f ca="1"/>
        <v>12.458926490343359</v>
      </c>
      <c r="E89" s="20">
        <f t="shared" ca="1" si="2"/>
        <v>-0.54107350965664125</v>
      </c>
      <c r="G89" s="20">
        <f t="shared" ca="1" si="3"/>
        <v>0.29066547731752662</v>
      </c>
      <c r="L89" s="20"/>
    </row>
    <row r="90" spans="1:12" x14ac:dyDescent="0.2">
      <c r="A90" s="27">
        <v>11</v>
      </c>
      <c r="B90" s="27">
        <v>1</v>
      </c>
      <c r="C90" s="27">
        <f ca="1"/>
        <v>15</v>
      </c>
      <c r="D90" s="20">
        <f ca="1"/>
        <v>11.09248826703924</v>
      </c>
      <c r="E90" s="20">
        <f t="shared" ca="1" si="2"/>
        <v>9.2488267039239958E-2</v>
      </c>
      <c r="G90" s="20">
        <f t="shared" ca="1" si="3"/>
        <v>0.31835277839425191</v>
      </c>
      <c r="L90" s="20"/>
    </row>
    <row r="91" spans="1:12" x14ac:dyDescent="0.2">
      <c r="A91" s="27">
        <v>13</v>
      </c>
      <c r="B91" s="27">
        <v>1</v>
      </c>
      <c r="C91" s="27">
        <f ca="1"/>
        <v>17</v>
      </c>
      <c r="D91" s="20">
        <f ca="1"/>
        <v>12.458926490343359</v>
      </c>
      <c r="E91" s="20">
        <f t="shared" ca="1" si="2"/>
        <v>-0.54107350965664125</v>
      </c>
      <c r="G91" s="20">
        <f t="shared" ca="1" si="3"/>
        <v>0.29066547731752662</v>
      </c>
      <c r="L91" s="20"/>
    </row>
    <row r="92" spans="1:12" x14ac:dyDescent="0.2">
      <c r="A92" s="27">
        <v>18</v>
      </c>
      <c r="B92" s="27">
        <v>1</v>
      </c>
      <c r="C92" s="27">
        <f ca="1"/>
        <v>26</v>
      </c>
      <c r="D92" s="20">
        <f ca="1"/>
        <v>18.607898495211895</v>
      </c>
      <c r="E92" s="20">
        <f t="shared" ca="1" si="2"/>
        <v>0.6078984952118951</v>
      </c>
      <c r="G92" s="20">
        <f t="shared" ca="1" si="3"/>
        <v>0.28360781451993688</v>
      </c>
      <c r="L92" s="20"/>
    </row>
    <row r="93" spans="1:12" x14ac:dyDescent="0.2">
      <c r="A93" s="27">
        <v>18</v>
      </c>
      <c r="B93" s="27">
        <v>1</v>
      </c>
      <c r="C93" s="27">
        <f ca="1"/>
        <v>25</v>
      </c>
      <c r="D93" s="20">
        <f ca="1"/>
        <v>17.924679383559837</v>
      </c>
      <c r="E93" s="20">
        <f t="shared" ca="1" si="2"/>
        <v>-7.5320616440162524E-2</v>
      </c>
      <c r="G93" s="20">
        <f t="shared" ca="1" si="3"/>
        <v>0.3186465302206829</v>
      </c>
      <c r="L93" s="20"/>
    </row>
    <row r="94" spans="1:12" x14ac:dyDescent="0.2">
      <c r="A94" s="27">
        <v>17</v>
      </c>
      <c r="B94" s="27">
        <v>1</v>
      </c>
      <c r="C94" s="27">
        <f ca="1"/>
        <v>26</v>
      </c>
      <c r="D94" s="20">
        <f ca="1"/>
        <v>18.607898495211895</v>
      </c>
      <c r="E94" s="20">
        <f t="shared" ca="1" si="2"/>
        <v>1.6078984952118951</v>
      </c>
      <c r="G94" s="20">
        <f t="shared" ca="1" si="3"/>
        <v>0.13952132892333158</v>
      </c>
      <c r="L94" s="20"/>
    </row>
    <row r="95" spans="1:12" x14ac:dyDescent="0.2">
      <c r="A95" s="27">
        <v>16</v>
      </c>
      <c r="B95" s="27">
        <v>1</v>
      </c>
      <c r="C95" s="27">
        <f ca="1"/>
        <v>24</v>
      </c>
      <c r="D95" s="20">
        <f ca="1"/>
        <v>17.241460271907776</v>
      </c>
      <c r="E95" s="20">
        <f t="shared" ca="1" si="2"/>
        <v>1.2414602719077763</v>
      </c>
      <c r="G95" s="20">
        <f t="shared" ca="1" si="3"/>
        <v>0.19489962071960723</v>
      </c>
      <c r="L95" s="20"/>
    </row>
    <row r="96" spans="1:12" x14ac:dyDescent="0.2">
      <c r="A96" s="27">
        <v>15</v>
      </c>
      <c r="B96" s="27">
        <v>1</v>
      </c>
      <c r="C96" s="27">
        <f ca="1"/>
        <v>21</v>
      </c>
      <c r="D96" s="20">
        <f ca="1"/>
        <v>15.191802936951598</v>
      </c>
      <c r="E96" s="20">
        <f t="shared" ca="1" si="2"/>
        <v>0.19180293695159811</v>
      </c>
      <c r="G96" s="20">
        <f t="shared" ca="1" si="3"/>
        <v>0.31548813891774308</v>
      </c>
      <c r="L96" s="20"/>
    </row>
    <row r="97" spans="1:12" x14ac:dyDescent="0.2">
      <c r="A97" s="27">
        <v>15</v>
      </c>
      <c r="B97" s="27">
        <v>1</v>
      </c>
      <c r="C97" s="27">
        <f ca="1"/>
        <v>22</v>
      </c>
      <c r="D97" s="20">
        <f ca="1"/>
        <v>15.875022048603658</v>
      </c>
      <c r="E97" s="20">
        <f t="shared" ca="1" si="2"/>
        <v>0.87502204860365751</v>
      </c>
      <c r="G97" s="20">
        <f t="shared" ca="1" si="3"/>
        <v>0.2498287819911226</v>
      </c>
      <c r="L97" s="20"/>
    </row>
    <row r="98" spans="1:12" x14ac:dyDescent="0.2">
      <c r="A98" s="27">
        <v>15</v>
      </c>
      <c r="B98" s="27">
        <v>1</v>
      </c>
      <c r="C98" s="27">
        <f ca="1"/>
        <v>23</v>
      </c>
      <c r="D98" s="20">
        <f ca="1"/>
        <v>16.558241160255715</v>
      </c>
      <c r="E98" s="20">
        <f t="shared" ca="1" si="2"/>
        <v>1.5582411602557151</v>
      </c>
      <c r="G98" s="20">
        <f t="shared" ca="1" si="3"/>
        <v>0.1467237015411641</v>
      </c>
      <c r="L98" s="20"/>
    </row>
    <row r="99" spans="1:12" x14ac:dyDescent="0.2">
      <c r="A99" s="27">
        <v>15</v>
      </c>
      <c r="B99" s="27">
        <v>1</v>
      </c>
      <c r="C99" s="27">
        <f ca="1"/>
        <v>22</v>
      </c>
      <c r="D99" s="20">
        <f ca="1"/>
        <v>15.875022048603658</v>
      </c>
      <c r="E99" s="20">
        <f t="shared" ca="1" si="2"/>
        <v>0.87502204860365751</v>
      </c>
      <c r="G99" s="20">
        <f t="shared" ca="1" si="3"/>
        <v>0.2498287819911226</v>
      </c>
      <c r="L99" s="20"/>
    </row>
    <row r="100" spans="1:12" x14ac:dyDescent="0.2">
      <c r="A100" s="27">
        <v>14</v>
      </c>
      <c r="B100" s="27">
        <v>1</v>
      </c>
      <c r="C100" s="27">
        <f ca="1"/>
        <v>20</v>
      </c>
      <c r="D100" s="20">
        <f ca="1"/>
        <v>14.508583825299539</v>
      </c>
      <c r="E100" s="20">
        <f t="shared" ca="1" si="2"/>
        <v>0.50858382529953872</v>
      </c>
      <c r="G100" s="20">
        <f t="shared" ca="1" si="3"/>
        <v>0.29385631906225068</v>
      </c>
      <c r="L100" s="20"/>
    </row>
    <row r="101" spans="1:12" x14ac:dyDescent="0.2">
      <c r="A101" s="27">
        <v>28</v>
      </c>
      <c r="B101" s="27">
        <v>1</v>
      </c>
      <c r="C101" s="27">
        <f ca="1"/>
        <v>33</v>
      </c>
      <c r="D101" s="20">
        <f ca="1"/>
        <v>23.390432276776316</v>
      </c>
      <c r="E101" s="20">
        <f t="shared" ca="1" si="2"/>
        <v>-4.6095677232236838</v>
      </c>
      <c r="G101" s="20">
        <f t="shared" ca="1" si="3"/>
        <v>3.5467090836049079E-4</v>
      </c>
      <c r="L101" s="20"/>
    </row>
    <row r="102" spans="1:12" x14ac:dyDescent="0.2">
      <c r="A102" s="27">
        <v>24</v>
      </c>
      <c r="B102" s="27">
        <v>1</v>
      </c>
      <c r="C102" s="27">
        <f ca="1"/>
        <v>32</v>
      </c>
      <c r="D102" s="20">
        <f ca="1"/>
        <v>22.707213165124255</v>
      </c>
      <c r="E102" s="20">
        <f t="shared" ca="1" si="2"/>
        <v>-1.292786834875745</v>
      </c>
      <c r="G102" s="20">
        <f t="shared" ca="1" si="3"/>
        <v>0.18695017615119994</v>
      </c>
      <c r="L102" s="20"/>
    </row>
    <row r="103" spans="1:12" x14ac:dyDescent="0.2">
      <c r="A103" s="27">
        <v>25</v>
      </c>
      <c r="B103" s="27">
        <v>1</v>
      </c>
      <c r="C103" s="27">
        <f ca="1"/>
        <v>32</v>
      </c>
      <c r="D103" s="20">
        <f ca="1"/>
        <v>22.707213165124255</v>
      </c>
      <c r="E103" s="20">
        <f t="shared" ca="1" si="2"/>
        <v>-2.292786834875745</v>
      </c>
      <c r="G103" s="20">
        <f t="shared" ca="1" si="3"/>
        <v>5.9319674466379105E-2</v>
      </c>
      <c r="L103" s="20"/>
    </row>
    <row r="104" spans="1:12" x14ac:dyDescent="0.2">
      <c r="A104" s="27">
        <v>23</v>
      </c>
      <c r="B104" s="27">
        <v>1</v>
      </c>
      <c r="C104" s="27">
        <f ca="1"/>
        <v>29</v>
      </c>
      <c r="D104" s="20">
        <f ca="1"/>
        <v>20.657555830168075</v>
      </c>
      <c r="E104" s="20">
        <f t="shared" ca="1" si="2"/>
        <v>-2.3424441698319249</v>
      </c>
      <c r="G104" s="20">
        <f t="shared" ca="1" si="3"/>
        <v>5.5105656873233724E-2</v>
      </c>
      <c r="L104" s="20"/>
    </row>
    <row r="105" spans="1:12" x14ac:dyDescent="0.2">
      <c r="A105" s="27">
        <v>24</v>
      </c>
      <c r="B105" s="27">
        <v>1</v>
      </c>
      <c r="C105" s="27">
        <f ca="1"/>
        <v>32</v>
      </c>
      <c r="D105" s="20">
        <f ca="1"/>
        <v>22.707213165124255</v>
      </c>
      <c r="E105" s="20">
        <f t="shared" ca="1" si="2"/>
        <v>-1.292786834875745</v>
      </c>
      <c r="G105" s="20">
        <f t="shared" ca="1" si="3"/>
        <v>0.18695017615119994</v>
      </c>
      <c r="L105" s="20"/>
    </row>
    <row r="106" spans="1:12" x14ac:dyDescent="0.2">
      <c r="A106" s="27">
        <v>26</v>
      </c>
      <c r="B106" s="27">
        <v>1</v>
      </c>
      <c r="C106" s="27">
        <f ca="1"/>
        <v>34</v>
      </c>
      <c r="D106" s="20">
        <f ca="1"/>
        <v>24.073651388428374</v>
      </c>
      <c r="E106" s="20">
        <f t="shared" ca="1" si="2"/>
        <v>-1.9263486115716262</v>
      </c>
      <c r="G106" s="20">
        <f t="shared" ca="1" si="3"/>
        <v>9.7309924689843758E-2</v>
      </c>
      <c r="L106" s="20"/>
    </row>
    <row r="107" spans="1:12" x14ac:dyDescent="0.2">
      <c r="A107" s="27">
        <v>25</v>
      </c>
      <c r="B107" s="27">
        <v>1</v>
      </c>
      <c r="C107" s="27">
        <f ca="1"/>
        <v>36</v>
      </c>
      <c r="D107" s="20">
        <f ca="1"/>
        <v>25.440089611732493</v>
      </c>
      <c r="E107" s="20">
        <f t="shared" ca="1" si="2"/>
        <v>0.44008961173249261</v>
      </c>
      <c r="G107" s="20">
        <f t="shared" ca="1" si="3"/>
        <v>0.30003330384512222</v>
      </c>
      <c r="L107" s="20"/>
    </row>
    <row r="108" spans="1:12" x14ac:dyDescent="0.2">
      <c r="A108" s="27">
        <v>24</v>
      </c>
      <c r="B108" s="27">
        <v>1</v>
      </c>
      <c r="C108" s="27">
        <f ca="1"/>
        <v>36</v>
      </c>
      <c r="D108" s="20">
        <f ca="1"/>
        <v>25.440089611732493</v>
      </c>
      <c r="E108" s="20">
        <f t="shared" ca="1" si="2"/>
        <v>1.4400896117324926</v>
      </c>
      <c r="G108" s="20">
        <f t="shared" ca="1" si="3"/>
        <v>0.16434448542706917</v>
      </c>
      <c r="L108" s="20"/>
    </row>
    <row r="109" spans="1:12" x14ac:dyDescent="0.2">
      <c r="A109" s="27">
        <v>21</v>
      </c>
      <c r="B109" s="27">
        <v>1</v>
      </c>
      <c r="C109" s="27">
        <f ca="1"/>
        <v>29</v>
      </c>
      <c r="D109" s="20">
        <f ca="1"/>
        <v>20.657555830168075</v>
      </c>
      <c r="E109" s="20">
        <f t="shared" ca="1" si="2"/>
        <v>-0.34244416983192494</v>
      </c>
      <c r="G109" s="20">
        <f t="shared" ca="1" si="3"/>
        <v>0.30746337812452051</v>
      </c>
      <c r="L109" s="20"/>
    </row>
    <row r="110" spans="1:12" x14ac:dyDescent="0.2">
      <c r="A110" s="27">
        <v>18</v>
      </c>
      <c r="B110" s="27">
        <v>1</v>
      </c>
      <c r="C110" s="27">
        <f ca="1"/>
        <v>26</v>
      </c>
      <c r="D110" s="20">
        <f ca="1"/>
        <v>18.607898495211895</v>
      </c>
      <c r="E110" s="20">
        <f t="shared" ca="1" si="2"/>
        <v>0.6078984952118951</v>
      </c>
      <c r="G110" s="20">
        <f t="shared" ca="1" si="3"/>
        <v>0.28360781451993688</v>
      </c>
      <c r="L110" s="20"/>
    </row>
    <row r="111" spans="1:12" x14ac:dyDescent="0.2">
      <c r="A111" s="27">
        <v>18</v>
      </c>
      <c r="B111" s="27">
        <v>1</v>
      </c>
      <c r="C111" s="27">
        <f ca="1"/>
        <v>27</v>
      </c>
      <c r="D111" s="20">
        <f ca="1"/>
        <v>19.291117606863956</v>
      </c>
      <c r="E111" s="20">
        <f t="shared" ca="1" si="2"/>
        <v>1.2911176068639563</v>
      </c>
      <c r="G111" s="20">
        <f t="shared" ca="1" si="3"/>
        <v>0.18720849951963059</v>
      </c>
      <c r="L111" s="20"/>
    </row>
    <row r="112" spans="1:12" x14ac:dyDescent="0.2">
      <c r="A112" s="27">
        <v>21</v>
      </c>
      <c r="B112" s="27">
        <v>1</v>
      </c>
      <c r="C112" s="27">
        <f ca="1"/>
        <v>30</v>
      </c>
      <c r="D112" s="20">
        <f ca="1"/>
        <v>21.340774941820136</v>
      </c>
      <c r="E112" s="20">
        <f t="shared" ca="1" si="2"/>
        <v>0.34077494182013623</v>
      </c>
      <c r="G112" s="20">
        <f t="shared" ca="1" si="3"/>
        <v>0.30757565599758996</v>
      </c>
      <c r="L112" s="20"/>
    </row>
    <row r="113" spans="1:12" x14ac:dyDescent="0.2">
      <c r="A113" s="27">
        <v>21</v>
      </c>
      <c r="B113" s="27">
        <v>1</v>
      </c>
      <c r="C113" s="27">
        <f ca="1"/>
        <v>31</v>
      </c>
      <c r="D113" s="20">
        <f ca="1"/>
        <v>22.023994053472194</v>
      </c>
      <c r="E113" s="20">
        <f t="shared" ca="1" si="2"/>
        <v>1.0239940534721939</v>
      </c>
      <c r="G113" s="20">
        <f t="shared" ca="1" si="3"/>
        <v>0.22819645484299309</v>
      </c>
      <c r="L113" s="20"/>
    </row>
    <row r="114" spans="1:12" x14ac:dyDescent="0.2">
      <c r="A114" s="27">
        <v>18</v>
      </c>
      <c r="B114" s="27">
        <v>1</v>
      </c>
      <c r="C114" s="27">
        <f ca="1"/>
        <v>26</v>
      </c>
      <c r="D114" s="20">
        <f ca="1"/>
        <v>18.607898495211895</v>
      </c>
      <c r="E114" s="20">
        <f t="shared" ca="1" si="2"/>
        <v>0.6078984952118951</v>
      </c>
      <c r="G114" s="20">
        <f t="shared" ca="1" si="3"/>
        <v>0.28360781451993688</v>
      </c>
      <c r="L114" s="20"/>
    </row>
    <row r="115" spans="1:12" x14ac:dyDescent="0.2">
      <c r="A115" s="27">
        <v>18</v>
      </c>
      <c r="B115" s="27">
        <v>1</v>
      </c>
      <c r="C115" s="27">
        <f ca="1"/>
        <v>26</v>
      </c>
      <c r="D115" s="20">
        <f ca="1"/>
        <v>18.607898495211895</v>
      </c>
      <c r="E115" s="20">
        <f t="shared" ca="1" si="2"/>
        <v>0.6078984952118951</v>
      </c>
      <c r="G115" s="20">
        <f t="shared" ca="1" si="3"/>
        <v>0.28360781451993688</v>
      </c>
      <c r="L115" s="20"/>
    </row>
    <row r="116" spans="1:12" x14ac:dyDescent="0.2">
      <c r="A116" s="27">
        <v>19</v>
      </c>
      <c r="B116" s="27">
        <v>1</v>
      </c>
      <c r="C116" s="27">
        <f ca="1"/>
        <v>28</v>
      </c>
      <c r="D116" s="20">
        <f ca="1"/>
        <v>19.974336718516017</v>
      </c>
      <c r="E116" s="20">
        <f t="shared" ca="1" si="2"/>
        <v>0.97433671851601744</v>
      </c>
      <c r="G116" s="20">
        <f t="shared" ca="1" si="3"/>
        <v>0.23556229359930655</v>
      </c>
      <c r="L116" s="20"/>
    </row>
    <row r="117" spans="1:12" x14ac:dyDescent="0.2">
      <c r="A117" s="27">
        <v>19</v>
      </c>
      <c r="B117" s="27">
        <v>1</v>
      </c>
      <c r="C117" s="27">
        <f ca="1"/>
        <v>26</v>
      </c>
      <c r="D117" s="20">
        <f ca="1"/>
        <v>18.607898495211895</v>
      </c>
      <c r="E117" s="20">
        <f t="shared" ca="1" si="2"/>
        <v>-0.3921015047881049</v>
      </c>
      <c r="G117" s="20">
        <f t="shared" ca="1" si="3"/>
        <v>0.30389387162696274</v>
      </c>
      <c r="L117" s="20"/>
    </row>
    <row r="118" spans="1:12" x14ac:dyDescent="0.2">
      <c r="A118" s="27">
        <v>19</v>
      </c>
      <c r="B118" s="27">
        <v>1</v>
      </c>
      <c r="C118" s="27">
        <f ca="1"/>
        <v>29</v>
      </c>
      <c r="D118" s="20">
        <f ca="1"/>
        <v>20.657555830168075</v>
      </c>
      <c r="E118" s="20">
        <f t="shared" ca="1" si="2"/>
        <v>1.6575558301680751</v>
      </c>
      <c r="G118" s="20">
        <f t="shared" ca="1" si="3"/>
        <v>0.13246320078694085</v>
      </c>
      <c r="L118" s="20"/>
    </row>
    <row r="119" spans="1:12" x14ac:dyDescent="0.2">
      <c r="A119" s="27">
        <v>20</v>
      </c>
      <c r="B119" s="27">
        <v>1</v>
      </c>
      <c r="C119" s="27">
        <f ca="1"/>
        <v>28</v>
      </c>
      <c r="D119" s="20">
        <f ca="1"/>
        <v>19.974336718516017</v>
      </c>
      <c r="E119" s="20">
        <f t="shared" ca="1" si="2"/>
        <v>-2.5663281483982558E-2</v>
      </c>
      <c r="G119" s="20">
        <f t="shared" ca="1" si="3"/>
        <v>0.31915849397187074</v>
      </c>
      <c r="L119" s="20"/>
    </row>
    <row r="120" spans="1:12" x14ac:dyDescent="0.2">
      <c r="A120" s="27">
        <v>20</v>
      </c>
      <c r="B120" s="27">
        <v>1</v>
      </c>
      <c r="C120" s="27">
        <f ca="1"/>
        <v>27</v>
      </c>
      <c r="D120" s="20">
        <f ca="1"/>
        <v>19.291117606863956</v>
      </c>
      <c r="E120" s="20">
        <f t="shared" ca="1" si="2"/>
        <v>-0.70888239313604373</v>
      </c>
      <c r="G120" s="20">
        <f t="shared" ca="1" si="3"/>
        <v>0.2717877911689337</v>
      </c>
      <c r="L120" s="20"/>
    </row>
    <row r="121" spans="1:12" x14ac:dyDescent="0.2">
      <c r="A121" s="27">
        <v>17</v>
      </c>
      <c r="B121" s="27">
        <v>1</v>
      </c>
      <c r="C121" s="27">
        <f ca="1"/>
        <v>24</v>
      </c>
      <c r="D121" s="20">
        <f ca="1"/>
        <v>17.241460271907776</v>
      </c>
      <c r="E121" s="20">
        <f t="shared" ca="1" si="2"/>
        <v>0.2414602719077763</v>
      </c>
      <c r="G121" s="20">
        <f t="shared" ca="1" si="3"/>
        <v>0.31332258364370175</v>
      </c>
      <c r="L121" s="20"/>
    </row>
    <row r="122" spans="1:12" x14ac:dyDescent="0.2">
      <c r="A122" s="27">
        <v>16</v>
      </c>
      <c r="B122" s="27">
        <v>1</v>
      </c>
      <c r="C122" s="27">
        <f ca="1"/>
        <v>24</v>
      </c>
      <c r="D122" s="20">
        <f ca="1"/>
        <v>17.241460271907776</v>
      </c>
      <c r="E122" s="20">
        <f t="shared" ca="1" si="2"/>
        <v>1.2414602719077763</v>
      </c>
      <c r="G122" s="20">
        <f t="shared" ca="1" si="3"/>
        <v>0.19489962071960723</v>
      </c>
      <c r="L122" s="20"/>
    </row>
    <row r="123" spans="1:12" x14ac:dyDescent="0.2">
      <c r="A123" s="27">
        <v>17</v>
      </c>
      <c r="B123" s="27">
        <v>1</v>
      </c>
      <c r="C123" s="27">
        <f ca="1"/>
        <v>24</v>
      </c>
      <c r="D123" s="20">
        <f ca="1"/>
        <v>17.241460271907776</v>
      </c>
      <c r="E123" s="20">
        <f t="shared" ca="1" si="2"/>
        <v>0.2414602719077763</v>
      </c>
      <c r="G123" s="20">
        <f t="shared" ca="1" si="3"/>
        <v>0.31332258364370175</v>
      </c>
      <c r="L123" s="20"/>
    </row>
    <row r="124" spans="1:12" x14ac:dyDescent="0.2">
      <c r="A124" s="27">
        <v>17</v>
      </c>
      <c r="B124" s="27">
        <v>1</v>
      </c>
      <c r="C124" s="27">
        <f ca="1"/>
        <v>22</v>
      </c>
      <c r="D124" s="20">
        <f ca="1"/>
        <v>15.875022048603658</v>
      </c>
      <c r="E124" s="20">
        <f t="shared" ca="1" si="2"/>
        <v>-1.1249779513963425</v>
      </c>
      <c r="G124" s="20">
        <f t="shared" ca="1" si="3"/>
        <v>0.21288069180319472</v>
      </c>
      <c r="L124" s="20"/>
    </row>
    <row r="125" spans="1:12" x14ac:dyDescent="0.2">
      <c r="A125" s="27">
        <v>15</v>
      </c>
      <c r="B125" s="27">
        <v>1</v>
      </c>
      <c r="C125" s="27">
        <f ca="1"/>
        <v>19</v>
      </c>
      <c r="D125" s="20">
        <f ca="1"/>
        <v>13.825364713647479</v>
      </c>
      <c r="E125" s="20">
        <f t="shared" ca="1" si="2"/>
        <v>-1.1746352863525207</v>
      </c>
      <c r="G125" s="20">
        <f t="shared" ca="1" si="3"/>
        <v>0.20523871008550823</v>
      </c>
      <c r="L125" s="20"/>
    </row>
    <row r="126" spans="1:12" x14ac:dyDescent="0.2">
      <c r="A126" s="27">
        <v>15</v>
      </c>
      <c r="B126" s="27">
        <v>1</v>
      </c>
      <c r="C126" s="27">
        <f ca="1"/>
        <v>20</v>
      </c>
      <c r="D126" s="20">
        <f ca="1"/>
        <v>14.508583825299539</v>
      </c>
      <c r="E126" s="20">
        <f t="shared" ca="1" si="2"/>
        <v>-0.49141617470046128</v>
      </c>
      <c r="G126" s="20">
        <f t="shared" ca="1" si="3"/>
        <v>0.29547583692562635</v>
      </c>
      <c r="L126" s="20"/>
    </row>
    <row r="127" spans="1:12" x14ac:dyDescent="0.2">
      <c r="A127" s="27">
        <v>14</v>
      </c>
      <c r="B127" s="27">
        <v>1</v>
      </c>
      <c r="C127" s="27">
        <f ca="1"/>
        <v>17</v>
      </c>
      <c r="D127" s="20">
        <f ca="1"/>
        <v>12.458926490343359</v>
      </c>
      <c r="E127" s="20">
        <f t="shared" ca="1" si="2"/>
        <v>-1.5410735096566412</v>
      </c>
      <c r="G127" s="20">
        <f t="shared" ca="1" si="3"/>
        <v>0.14924443441661395</v>
      </c>
      <c r="L127" s="20"/>
    </row>
    <row r="128" spans="1:12" x14ac:dyDescent="0.2">
      <c r="A128" s="27">
        <v>9</v>
      </c>
      <c r="B128" s="27">
        <v>1</v>
      </c>
      <c r="C128" s="27">
        <f ca="1"/>
        <v>12</v>
      </c>
      <c r="D128" s="20">
        <f ca="1"/>
        <v>9.04283093208306</v>
      </c>
      <c r="E128" s="20">
        <f t="shared" ca="1" si="2"/>
        <v>4.2830932083059992E-2</v>
      </c>
      <c r="G128" s="20">
        <f t="shared" ca="1" si="3"/>
        <v>0.31903836846290684</v>
      </c>
      <c r="L128" s="20"/>
    </row>
    <row r="129" spans="1:12" x14ac:dyDescent="0.2">
      <c r="A129" s="27">
        <v>14</v>
      </c>
      <c r="B129" s="27">
        <v>1</v>
      </c>
      <c r="C129" s="27">
        <f ca="1"/>
        <v>19</v>
      </c>
      <c r="D129" s="20">
        <f ca="1"/>
        <v>13.825364713647479</v>
      </c>
      <c r="E129" s="20">
        <f t="shared" ca="1" si="2"/>
        <v>-0.17463528635252068</v>
      </c>
      <c r="G129" s="20">
        <f t="shared" ca="1" si="3"/>
        <v>0.31612416936198534</v>
      </c>
      <c r="L129" s="20"/>
    </row>
    <row r="130" spans="1:12" x14ac:dyDescent="0.2">
      <c r="A130" s="27">
        <v>13</v>
      </c>
      <c r="B130" s="27">
        <v>1</v>
      </c>
      <c r="C130" s="27">
        <f ca="1"/>
        <v>18</v>
      </c>
      <c r="D130" s="20">
        <f ca="1"/>
        <v>13.142145601995418</v>
      </c>
      <c r="E130" s="20">
        <f t="shared" ca="1" si="2"/>
        <v>0.14214560199541815</v>
      </c>
      <c r="G130" s="20">
        <f t="shared" ca="1" si="3"/>
        <v>0.31716750413300532</v>
      </c>
      <c r="L130" s="20"/>
    </row>
    <row r="131" spans="1:12" x14ac:dyDescent="0.2">
      <c r="A131" s="27">
        <v>11</v>
      </c>
      <c r="B131" s="27">
        <v>1</v>
      </c>
      <c r="C131" s="27">
        <f ca="1"/>
        <v>14</v>
      </c>
      <c r="D131" s="20">
        <f ca="1"/>
        <v>10.409269155387181</v>
      </c>
      <c r="E131" s="20">
        <f t="shared" ref="E131:E194" ca="1" si="4">D131-A131</f>
        <v>-0.59073084461281944</v>
      </c>
      <c r="G131" s="20">
        <f t="shared" ref="G131:G194" ca="1" si="5">_xlfn.NORM.DIST(E131,0,$F$2,FALSE)</f>
        <v>0.28548233893943797</v>
      </c>
      <c r="L131" s="20"/>
    </row>
    <row r="132" spans="1:12" x14ac:dyDescent="0.2">
      <c r="A132" s="27">
        <v>11</v>
      </c>
      <c r="B132" s="27">
        <v>1</v>
      </c>
      <c r="C132" s="27">
        <f ca="1"/>
        <v>15</v>
      </c>
      <c r="D132" s="20">
        <f ca="1"/>
        <v>11.09248826703924</v>
      </c>
      <c r="E132" s="20">
        <f t="shared" ca="1" si="4"/>
        <v>9.2488267039239958E-2</v>
      </c>
      <c r="G132" s="20">
        <f t="shared" ca="1" si="5"/>
        <v>0.31835277839425191</v>
      </c>
      <c r="L132" s="20"/>
    </row>
    <row r="133" spans="1:12" x14ac:dyDescent="0.2">
      <c r="A133" s="27">
        <v>12</v>
      </c>
      <c r="B133" s="27">
        <v>1</v>
      </c>
      <c r="C133" s="27">
        <f ca="1"/>
        <v>18</v>
      </c>
      <c r="D133" s="20">
        <f ca="1"/>
        <v>13.142145601995418</v>
      </c>
      <c r="E133" s="20">
        <f t="shared" ca="1" si="4"/>
        <v>1.1421456019954181</v>
      </c>
      <c r="G133" s="20">
        <f t="shared" ca="1" si="5"/>
        <v>0.21024457151414655</v>
      </c>
      <c r="L133" s="20"/>
    </row>
    <row r="134" spans="1:12" x14ac:dyDescent="0.2">
      <c r="A134" s="27">
        <v>12</v>
      </c>
      <c r="B134" s="27">
        <v>1</v>
      </c>
      <c r="C134" s="27">
        <f ca="1"/>
        <v>18</v>
      </c>
      <c r="D134" s="20">
        <f ca="1"/>
        <v>13.142145601995418</v>
      </c>
      <c r="E134" s="20">
        <f t="shared" ca="1" si="4"/>
        <v>1.1421456019954181</v>
      </c>
      <c r="G134" s="20">
        <f t="shared" ca="1" si="5"/>
        <v>0.21024457151414655</v>
      </c>
      <c r="L134" s="20"/>
    </row>
    <row r="135" spans="1:12" x14ac:dyDescent="0.2">
      <c r="A135" s="27">
        <v>11</v>
      </c>
      <c r="B135" s="27">
        <v>1</v>
      </c>
      <c r="C135" s="27">
        <f ca="1"/>
        <v>15</v>
      </c>
      <c r="D135" s="20">
        <f ca="1"/>
        <v>11.09248826703924</v>
      </c>
      <c r="E135" s="20">
        <f t="shared" ca="1" si="4"/>
        <v>9.2488267039239958E-2</v>
      </c>
      <c r="G135" s="20">
        <f t="shared" ca="1" si="5"/>
        <v>0.31835277839425191</v>
      </c>
      <c r="L135" s="20"/>
    </row>
    <row r="136" spans="1:12" x14ac:dyDescent="0.2">
      <c r="A136" s="27">
        <v>11</v>
      </c>
      <c r="B136" s="27">
        <v>1</v>
      </c>
      <c r="C136" s="27">
        <f ca="1"/>
        <v>17</v>
      </c>
      <c r="D136" s="20">
        <f ca="1"/>
        <v>12.458926490343359</v>
      </c>
      <c r="E136" s="20">
        <f t="shared" ca="1" si="4"/>
        <v>1.4589264903433588</v>
      </c>
      <c r="G136" s="20">
        <f t="shared" ca="1" si="5"/>
        <v>0.16149629011123415</v>
      </c>
      <c r="L136" s="20"/>
    </row>
    <row r="137" spans="1:12" x14ac:dyDescent="0.2">
      <c r="A137" s="27">
        <v>11</v>
      </c>
      <c r="B137" s="27">
        <v>1</v>
      </c>
      <c r="C137" s="27">
        <f ca="1"/>
        <v>16</v>
      </c>
      <c r="D137" s="20">
        <f ca="1"/>
        <v>11.775707378691299</v>
      </c>
      <c r="E137" s="20">
        <f t="shared" ca="1" si="4"/>
        <v>0.77570737869129935</v>
      </c>
      <c r="G137" s="20">
        <f t="shared" ca="1" si="5"/>
        <v>0.26329124156712214</v>
      </c>
      <c r="L137" s="20"/>
    </row>
    <row r="138" spans="1:12" x14ac:dyDescent="0.2">
      <c r="A138" s="27">
        <v>12</v>
      </c>
      <c r="B138" s="27">
        <v>1</v>
      </c>
      <c r="C138" s="27">
        <f ca="1"/>
        <v>18</v>
      </c>
      <c r="D138" s="20">
        <f ca="1"/>
        <v>13.142145601995418</v>
      </c>
      <c r="E138" s="20">
        <f t="shared" ca="1" si="4"/>
        <v>1.1421456019954181</v>
      </c>
      <c r="G138" s="20">
        <f t="shared" ca="1" si="5"/>
        <v>0.21024457151414655</v>
      </c>
      <c r="L138" s="20"/>
    </row>
    <row r="139" spans="1:12" x14ac:dyDescent="0.2">
      <c r="A139" s="27">
        <v>14</v>
      </c>
      <c r="B139" s="27">
        <v>1</v>
      </c>
      <c r="C139" s="27">
        <f ca="1"/>
        <v>17</v>
      </c>
      <c r="D139" s="20">
        <f ca="1"/>
        <v>12.458926490343359</v>
      </c>
      <c r="E139" s="20">
        <f t="shared" ca="1" si="4"/>
        <v>-1.5410735096566412</v>
      </c>
      <c r="G139" s="20">
        <f t="shared" ca="1" si="5"/>
        <v>0.14924443441661395</v>
      </c>
      <c r="L139" s="20"/>
    </row>
    <row r="140" spans="1:12" x14ac:dyDescent="0.2">
      <c r="A140" s="27">
        <v>13</v>
      </c>
      <c r="B140" s="27">
        <v>1</v>
      </c>
      <c r="C140" s="27">
        <f ca="1"/>
        <v>19</v>
      </c>
      <c r="D140" s="20">
        <f ca="1"/>
        <v>13.825364713647479</v>
      </c>
      <c r="E140" s="20">
        <f t="shared" ca="1" si="4"/>
        <v>0.82536471364747932</v>
      </c>
      <c r="G140" s="20">
        <f t="shared" ca="1" si="5"/>
        <v>0.25667424064304967</v>
      </c>
      <c r="L140" s="20"/>
    </row>
    <row r="141" spans="1:12" x14ac:dyDescent="0.2">
      <c r="A141" s="27">
        <v>13</v>
      </c>
      <c r="B141" s="27">
        <v>1</v>
      </c>
      <c r="C141" s="27">
        <f ca="1"/>
        <v>19</v>
      </c>
      <c r="D141" s="20">
        <f ca="1"/>
        <v>13.825364713647479</v>
      </c>
      <c r="E141" s="20">
        <f t="shared" ca="1" si="4"/>
        <v>0.82536471364747932</v>
      </c>
      <c r="G141" s="20">
        <f t="shared" ca="1" si="5"/>
        <v>0.25667424064304967</v>
      </c>
      <c r="L141" s="20"/>
    </row>
    <row r="142" spans="1:12" x14ac:dyDescent="0.2">
      <c r="A142" s="27">
        <v>13</v>
      </c>
      <c r="B142" s="27">
        <v>1</v>
      </c>
      <c r="C142" s="27">
        <f ca="1"/>
        <v>17</v>
      </c>
      <c r="D142" s="20">
        <f ca="1"/>
        <v>12.458926490343359</v>
      </c>
      <c r="E142" s="20">
        <f t="shared" ca="1" si="4"/>
        <v>-0.54107350965664125</v>
      </c>
      <c r="G142" s="20">
        <f t="shared" ca="1" si="5"/>
        <v>0.29066547731752662</v>
      </c>
      <c r="L142" s="20"/>
    </row>
    <row r="143" spans="1:12" x14ac:dyDescent="0.2">
      <c r="A143" s="27">
        <v>21</v>
      </c>
      <c r="B143" s="27">
        <v>1</v>
      </c>
      <c r="C143" s="27">
        <f ca="1"/>
        <v>29</v>
      </c>
      <c r="D143" s="20">
        <f ca="1"/>
        <v>20.657555830168075</v>
      </c>
      <c r="E143" s="20">
        <f t="shared" ca="1" si="4"/>
        <v>-0.34244416983192494</v>
      </c>
      <c r="G143" s="20">
        <f t="shared" ca="1" si="5"/>
        <v>0.30746337812452051</v>
      </c>
      <c r="L143" s="20"/>
    </row>
    <row r="144" spans="1:12" x14ac:dyDescent="0.2">
      <c r="A144" s="27">
        <v>19</v>
      </c>
      <c r="B144" s="27">
        <v>1</v>
      </c>
      <c r="C144" s="27">
        <f ca="1"/>
        <v>27</v>
      </c>
      <c r="D144" s="20">
        <f ca="1"/>
        <v>19.291117606863956</v>
      </c>
      <c r="E144" s="20">
        <f t="shared" ca="1" si="4"/>
        <v>0.29111760686395627</v>
      </c>
      <c r="G144" s="20">
        <f t="shared" ca="1" si="5"/>
        <v>0.31068098494392388</v>
      </c>
      <c r="L144" s="20"/>
    </row>
    <row r="145" spans="1:12" x14ac:dyDescent="0.2">
      <c r="A145" s="27">
        <v>23</v>
      </c>
      <c r="B145" s="27">
        <v>1</v>
      </c>
      <c r="C145" s="27">
        <f ca="1"/>
        <v>31</v>
      </c>
      <c r="D145" s="20">
        <f ca="1"/>
        <v>22.023994053472194</v>
      </c>
      <c r="E145" s="20">
        <f t="shared" ca="1" si="4"/>
        <v>-0.97600594652780615</v>
      </c>
      <c r="G145" s="20">
        <f t="shared" ca="1" si="5"/>
        <v>0.23531690641077893</v>
      </c>
      <c r="L145" s="20"/>
    </row>
    <row r="146" spans="1:12" x14ac:dyDescent="0.2">
      <c r="A146" s="27">
        <v>23</v>
      </c>
      <c r="B146" s="27">
        <v>1</v>
      </c>
      <c r="C146" s="27">
        <f ca="1"/>
        <v>32</v>
      </c>
      <c r="D146" s="20">
        <f ca="1"/>
        <v>22.707213165124255</v>
      </c>
      <c r="E146" s="20">
        <f t="shared" ca="1" si="4"/>
        <v>-0.29278683487574497</v>
      </c>
      <c r="G146" s="20">
        <f t="shared" ca="1" si="5"/>
        <v>0.31058405673494627</v>
      </c>
      <c r="L146" s="20"/>
    </row>
    <row r="147" spans="1:12" x14ac:dyDescent="0.2">
      <c r="A147" s="27">
        <v>19</v>
      </c>
      <c r="B147" s="27">
        <v>1</v>
      </c>
      <c r="C147" s="27">
        <f ca="1"/>
        <v>27</v>
      </c>
      <c r="D147" s="20">
        <f ca="1"/>
        <v>19.291117606863956</v>
      </c>
      <c r="E147" s="20">
        <f t="shared" ca="1" si="4"/>
        <v>0.29111760686395627</v>
      </c>
      <c r="G147" s="20">
        <f t="shared" ca="1" si="5"/>
        <v>0.31068098494392388</v>
      </c>
      <c r="L147" s="20"/>
    </row>
    <row r="148" spans="1:12" x14ac:dyDescent="0.2">
      <c r="A148" s="27">
        <v>19</v>
      </c>
      <c r="B148" s="27">
        <v>1</v>
      </c>
      <c r="C148" s="27">
        <f ca="1"/>
        <v>26</v>
      </c>
      <c r="D148" s="20">
        <f ca="1"/>
        <v>18.607898495211895</v>
      </c>
      <c r="E148" s="20">
        <f t="shared" ca="1" si="4"/>
        <v>-0.3921015047881049</v>
      </c>
      <c r="G148" s="20">
        <f t="shared" ca="1" si="5"/>
        <v>0.30389387162696274</v>
      </c>
      <c r="L148" s="20"/>
    </row>
    <row r="149" spans="1:12" x14ac:dyDescent="0.2">
      <c r="A149" s="27">
        <v>18</v>
      </c>
      <c r="B149" s="27">
        <v>1</v>
      </c>
      <c r="C149" s="27">
        <f ca="1"/>
        <v>26</v>
      </c>
      <c r="D149" s="20">
        <f ca="1"/>
        <v>18.607898495211895</v>
      </c>
      <c r="E149" s="20">
        <f t="shared" ca="1" si="4"/>
        <v>0.6078984952118951</v>
      </c>
      <c r="G149" s="20">
        <f t="shared" ca="1" si="5"/>
        <v>0.28360781451993688</v>
      </c>
      <c r="L149" s="20"/>
    </row>
    <row r="150" spans="1:12" x14ac:dyDescent="0.2">
      <c r="A150" s="27">
        <v>19</v>
      </c>
      <c r="B150" s="27">
        <v>1</v>
      </c>
      <c r="C150" s="27">
        <f ca="1"/>
        <v>25</v>
      </c>
      <c r="D150" s="20">
        <f ca="1"/>
        <v>17.924679383559837</v>
      </c>
      <c r="E150" s="20">
        <f t="shared" ca="1" si="4"/>
        <v>-1.0753206164401625</v>
      </c>
      <c r="G150" s="20">
        <f t="shared" ca="1" si="5"/>
        <v>0.22045887184038612</v>
      </c>
      <c r="L150" s="20"/>
    </row>
    <row r="151" spans="1:12" x14ac:dyDescent="0.2">
      <c r="A151" s="27">
        <v>19</v>
      </c>
      <c r="B151" s="27">
        <v>1</v>
      </c>
      <c r="C151" s="27">
        <f ca="1"/>
        <v>25</v>
      </c>
      <c r="D151" s="20">
        <f ca="1"/>
        <v>17.924679383559837</v>
      </c>
      <c r="E151" s="20">
        <f t="shared" ca="1" si="4"/>
        <v>-1.0753206164401625</v>
      </c>
      <c r="G151" s="20">
        <f t="shared" ca="1" si="5"/>
        <v>0.22045887184038612</v>
      </c>
      <c r="L151" s="20"/>
    </row>
    <row r="152" spans="1:12" x14ac:dyDescent="0.2">
      <c r="A152" s="27">
        <v>14</v>
      </c>
      <c r="B152" s="27">
        <v>1</v>
      </c>
      <c r="C152" s="27">
        <f ca="1"/>
        <v>17</v>
      </c>
      <c r="D152" s="20">
        <f ca="1"/>
        <v>12.458926490343359</v>
      </c>
      <c r="E152" s="20">
        <f t="shared" ca="1" si="4"/>
        <v>-1.5410735096566412</v>
      </c>
      <c r="G152" s="20">
        <f t="shared" ca="1" si="5"/>
        <v>0.14924443441661395</v>
      </c>
      <c r="L152" s="20"/>
    </row>
    <row r="153" spans="1:12" x14ac:dyDescent="0.2">
      <c r="A153" s="27">
        <v>15</v>
      </c>
      <c r="B153" s="27">
        <v>1</v>
      </c>
      <c r="C153" s="27">
        <f ca="1"/>
        <v>17</v>
      </c>
      <c r="D153" s="20">
        <f ca="1"/>
        <v>12.458926490343359</v>
      </c>
      <c r="E153" s="20">
        <f t="shared" ca="1" si="4"/>
        <v>-2.5410735096566412</v>
      </c>
      <c r="G153" s="20">
        <f t="shared" ca="1" si="5"/>
        <v>4.0395128664178985E-2</v>
      </c>
      <c r="L153" s="20"/>
    </row>
    <row r="154" spans="1:12" x14ac:dyDescent="0.2">
      <c r="A154" s="27">
        <v>14</v>
      </c>
      <c r="B154" s="27">
        <v>1</v>
      </c>
      <c r="C154" s="27">
        <f ca="1"/>
        <v>20</v>
      </c>
      <c r="D154" s="20">
        <f ca="1"/>
        <v>14.508583825299539</v>
      </c>
      <c r="E154" s="20">
        <f t="shared" ca="1" si="4"/>
        <v>0.50858382529953872</v>
      </c>
      <c r="G154" s="20">
        <f t="shared" ca="1" si="5"/>
        <v>0.29385631906225068</v>
      </c>
      <c r="L154" s="20"/>
    </row>
    <row r="155" spans="1:12" x14ac:dyDescent="0.2">
      <c r="A155" s="27">
        <v>12</v>
      </c>
      <c r="B155" s="27">
        <v>1</v>
      </c>
      <c r="C155" s="27">
        <f ca="1"/>
        <v>18</v>
      </c>
      <c r="D155" s="20">
        <f ca="1"/>
        <v>13.142145601995418</v>
      </c>
      <c r="E155" s="20">
        <f t="shared" ca="1" si="4"/>
        <v>1.1421456019954181</v>
      </c>
      <c r="G155" s="20">
        <f t="shared" ca="1" si="5"/>
        <v>0.21024457151414655</v>
      </c>
      <c r="L155" s="20"/>
    </row>
    <row r="156" spans="1:12" x14ac:dyDescent="0.2">
      <c r="A156" s="27">
        <v>18</v>
      </c>
      <c r="B156" s="27">
        <v>1</v>
      </c>
      <c r="C156" s="27">
        <f ca="1"/>
        <v>26</v>
      </c>
      <c r="D156" s="20">
        <f ca="1"/>
        <v>18.607898495211895</v>
      </c>
      <c r="E156" s="20">
        <f t="shared" ca="1" si="4"/>
        <v>0.6078984952118951</v>
      </c>
      <c r="G156" s="20">
        <f t="shared" ca="1" si="5"/>
        <v>0.28360781451993688</v>
      </c>
      <c r="L156" s="20"/>
    </row>
    <row r="157" spans="1:12" x14ac:dyDescent="0.2">
      <c r="A157" s="27">
        <v>16</v>
      </c>
      <c r="B157" s="27">
        <v>1</v>
      </c>
      <c r="C157" s="27">
        <f ca="1"/>
        <v>26</v>
      </c>
      <c r="D157" s="20">
        <f ca="1"/>
        <v>18.607898495211895</v>
      </c>
      <c r="E157" s="20">
        <f t="shared" ca="1" si="4"/>
        <v>2.6078984952118951</v>
      </c>
      <c r="G157" s="20">
        <f t="shared" ca="1" si="5"/>
        <v>3.6181717224349638E-2</v>
      </c>
      <c r="L157" s="20"/>
    </row>
    <row r="158" spans="1:12" x14ac:dyDescent="0.2">
      <c r="A158" s="27">
        <v>17</v>
      </c>
      <c r="B158" s="27">
        <v>1</v>
      </c>
      <c r="C158" s="27">
        <f ca="1"/>
        <v>27</v>
      </c>
      <c r="D158" s="20">
        <f ca="1"/>
        <v>19.291117606863956</v>
      </c>
      <c r="E158" s="20">
        <f t="shared" ca="1" si="4"/>
        <v>2.2911176068639563</v>
      </c>
      <c r="G158" s="20">
        <f t="shared" ca="1" si="5"/>
        <v>5.9465162689867283E-2</v>
      </c>
      <c r="L158" s="20"/>
    </row>
    <row r="159" spans="1:12" x14ac:dyDescent="0.2">
      <c r="A159" s="27">
        <v>18</v>
      </c>
      <c r="B159" s="27">
        <v>1</v>
      </c>
      <c r="C159" s="27">
        <f ca="1"/>
        <v>28</v>
      </c>
      <c r="D159" s="20">
        <f ca="1"/>
        <v>19.974336718516017</v>
      </c>
      <c r="E159" s="20">
        <f t="shared" ca="1" si="4"/>
        <v>1.9743367185160174</v>
      </c>
      <c r="G159" s="20">
        <f t="shared" ca="1" si="5"/>
        <v>9.1649753525670924E-2</v>
      </c>
      <c r="L159" s="20"/>
    </row>
    <row r="160" spans="1:12" x14ac:dyDescent="0.2">
      <c r="A160" s="27">
        <v>16</v>
      </c>
      <c r="B160" s="27">
        <v>1</v>
      </c>
      <c r="C160" s="27">
        <f ca="1"/>
        <v>25</v>
      </c>
      <c r="D160" s="20">
        <f ca="1"/>
        <v>17.924679383559837</v>
      </c>
      <c r="E160" s="20">
        <f t="shared" ca="1" si="4"/>
        <v>1.9246793835598375</v>
      </c>
      <c r="G160" s="20">
        <f t="shared" ca="1" si="5"/>
        <v>9.7510391399401958E-2</v>
      </c>
      <c r="L160" s="20"/>
    </row>
    <row r="161" spans="1:12" x14ac:dyDescent="0.2">
      <c r="A161" s="27">
        <v>18</v>
      </c>
      <c r="B161" s="27">
        <v>1</v>
      </c>
      <c r="C161" s="27">
        <f ca="1"/>
        <v>25</v>
      </c>
      <c r="D161" s="20">
        <f ca="1"/>
        <v>17.924679383559837</v>
      </c>
      <c r="E161" s="20">
        <f t="shared" ca="1" si="4"/>
        <v>-7.5320616440162524E-2</v>
      </c>
      <c r="G161" s="20">
        <f t="shared" ca="1" si="5"/>
        <v>0.3186465302206829</v>
      </c>
      <c r="L161" s="20"/>
    </row>
    <row r="162" spans="1:12" x14ac:dyDescent="0.2">
      <c r="A162" s="27">
        <v>18</v>
      </c>
      <c r="B162" s="27">
        <v>1</v>
      </c>
      <c r="C162" s="27">
        <f ca="1"/>
        <v>24</v>
      </c>
      <c r="D162" s="20">
        <f ca="1"/>
        <v>17.241460271907776</v>
      </c>
      <c r="E162" s="20">
        <f t="shared" ca="1" si="4"/>
        <v>-0.7585397280922237</v>
      </c>
      <c r="G162" s="20">
        <f t="shared" ca="1" si="5"/>
        <v>0.2655208098682208</v>
      </c>
      <c r="L162" s="20"/>
    </row>
    <row r="163" spans="1:12" x14ac:dyDescent="0.2">
      <c r="A163" s="27">
        <v>20</v>
      </c>
      <c r="B163" s="27">
        <v>1</v>
      </c>
      <c r="C163" s="27">
        <f ca="1"/>
        <v>27</v>
      </c>
      <c r="D163" s="20">
        <f ca="1"/>
        <v>19.291117606863956</v>
      </c>
      <c r="E163" s="20">
        <f t="shared" ca="1" si="4"/>
        <v>-0.70888239313604373</v>
      </c>
      <c r="G163" s="20">
        <f t="shared" ca="1" si="5"/>
        <v>0.2717877911689337</v>
      </c>
      <c r="L163" s="20"/>
    </row>
    <row r="164" spans="1:12" x14ac:dyDescent="0.2">
      <c r="A164" s="27">
        <v>19</v>
      </c>
      <c r="B164" s="27">
        <v>1</v>
      </c>
      <c r="C164" s="27">
        <f ca="1"/>
        <v>25</v>
      </c>
      <c r="D164" s="20">
        <f ca="1"/>
        <v>17.924679383559837</v>
      </c>
      <c r="E164" s="20">
        <f t="shared" ca="1" si="4"/>
        <v>-1.0753206164401625</v>
      </c>
      <c r="G164" s="20">
        <f t="shared" ca="1" si="5"/>
        <v>0.22045887184038612</v>
      </c>
      <c r="L164" s="20"/>
    </row>
    <row r="165" spans="1:12" x14ac:dyDescent="0.2">
      <c r="A165" s="27">
        <v>20</v>
      </c>
      <c r="B165" s="27">
        <v>1</v>
      </c>
      <c r="C165" s="27">
        <f ca="1"/>
        <v>26</v>
      </c>
      <c r="D165" s="20">
        <f ca="1"/>
        <v>18.607898495211895</v>
      </c>
      <c r="E165" s="20">
        <f t="shared" ca="1" si="4"/>
        <v>-1.3921015047881049</v>
      </c>
      <c r="G165" s="20">
        <f t="shared" ca="1" si="5"/>
        <v>0.17165317899794366</v>
      </c>
      <c r="L165" s="20"/>
    </row>
    <row r="166" spans="1:12" x14ac:dyDescent="0.2">
      <c r="A166" s="27">
        <v>18</v>
      </c>
      <c r="B166" s="27">
        <v>1</v>
      </c>
      <c r="C166" s="27">
        <f ca="1"/>
        <v>23</v>
      </c>
      <c r="D166" s="20">
        <f ca="1"/>
        <v>16.558241160255715</v>
      </c>
      <c r="E166" s="20">
        <f t="shared" ca="1" si="4"/>
        <v>-1.4417588397442849</v>
      </c>
      <c r="G166" s="20">
        <f t="shared" ca="1" si="5"/>
        <v>0.16409158276943275</v>
      </c>
      <c r="L166" s="20"/>
    </row>
    <row r="167" spans="1:12" x14ac:dyDescent="0.2">
      <c r="A167" s="27">
        <v>21</v>
      </c>
      <c r="B167" s="27">
        <v>1</v>
      </c>
      <c r="C167" s="27">
        <f ca="1"/>
        <v>26</v>
      </c>
      <c r="D167" s="20">
        <f ca="1"/>
        <v>18.607898495211895</v>
      </c>
      <c r="E167" s="20">
        <f t="shared" ca="1" si="4"/>
        <v>-2.3921015047881049</v>
      </c>
      <c r="G167" s="20">
        <f t="shared" ca="1" si="5"/>
        <v>5.1110239922417852E-2</v>
      </c>
      <c r="L167" s="20"/>
    </row>
    <row r="168" spans="1:12" x14ac:dyDescent="0.2">
      <c r="A168" s="27">
        <v>19</v>
      </c>
      <c r="B168" s="27">
        <v>1</v>
      </c>
      <c r="C168" s="27">
        <f ca="1"/>
        <v>26</v>
      </c>
      <c r="D168" s="20">
        <f ca="1"/>
        <v>18.607898495211895</v>
      </c>
      <c r="E168" s="20">
        <f t="shared" ca="1" si="4"/>
        <v>-0.3921015047881049</v>
      </c>
      <c r="G168" s="20">
        <f t="shared" ca="1" si="5"/>
        <v>0.30389387162696274</v>
      </c>
      <c r="L168" s="20"/>
    </row>
    <row r="169" spans="1:12" x14ac:dyDescent="0.2">
      <c r="A169" s="27">
        <v>19</v>
      </c>
      <c r="B169" s="27">
        <v>1</v>
      </c>
      <c r="C169" s="27">
        <f ca="1"/>
        <v>26</v>
      </c>
      <c r="D169" s="20">
        <f ca="1"/>
        <v>18.607898495211895</v>
      </c>
      <c r="E169" s="20">
        <f t="shared" ca="1" si="4"/>
        <v>-0.3921015047881049</v>
      </c>
      <c r="G169" s="20">
        <f t="shared" ca="1" si="5"/>
        <v>0.30389387162696274</v>
      </c>
      <c r="L169" s="20"/>
    </row>
    <row r="170" spans="1:12" x14ac:dyDescent="0.2">
      <c r="A170" s="27">
        <v>19</v>
      </c>
      <c r="B170" s="27">
        <v>1</v>
      </c>
      <c r="C170" s="27">
        <f ca="1"/>
        <v>26</v>
      </c>
      <c r="D170" s="20">
        <f ca="1"/>
        <v>18.607898495211895</v>
      </c>
      <c r="E170" s="20">
        <f t="shared" ca="1" si="4"/>
        <v>-0.3921015047881049</v>
      </c>
      <c r="G170" s="20">
        <f t="shared" ca="1" si="5"/>
        <v>0.30389387162696274</v>
      </c>
      <c r="L170" s="20"/>
    </row>
    <row r="171" spans="1:12" x14ac:dyDescent="0.2">
      <c r="A171" s="27">
        <v>20</v>
      </c>
      <c r="B171" s="27">
        <v>1</v>
      </c>
      <c r="C171" s="27">
        <f ca="1"/>
        <v>25</v>
      </c>
      <c r="D171" s="20">
        <f ca="1"/>
        <v>17.924679383559837</v>
      </c>
      <c r="E171" s="20">
        <f t="shared" ca="1" si="4"/>
        <v>-2.0753206164401625</v>
      </c>
      <c r="G171" s="20">
        <f t="shared" ca="1" si="5"/>
        <v>8.0402976672096699E-2</v>
      </c>
      <c r="L171" s="20"/>
    </row>
    <row r="172" spans="1:12" x14ac:dyDescent="0.2">
      <c r="A172" s="27">
        <v>20</v>
      </c>
      <c r="B172" s="27">
        <v>1</v>
      </c>
      <c r="C172" s="27">
        <f ca="1"/>
        <v>27</v>
      </c>
      <c r="D172" s="20">
        <f ca="1"/>
        <v>19.291117606863956</v>
      </c>
      <c r="E172" s="20">
        <f t="shared" ca="1" si="4"/>
        <v>-0.70888239313604373</v>
      </c>
      <c r="G172" s="20">
        <f t="shared" ca="1" si="5"/>
        <v>0.2717877911689337</v>
      </c>
      <c r="L172" s="20"/>
    </row>
    <row r="173" spans="1:12" x14ac:dyDescent="0.2">
      <c r="A173" s="27">
        <v>19</v>
      </c>
      <c r="B173" s="27">
        <v>1</v>
      </c>
      <c r="C173" s="27">
        <f ca="1"/>
        <v>25</v>
      </c>
      <c r="D173" s="20">
        <f ca="1"/>
        <v>17.924679383559837</v>
      </c>
      <c r="E173" s="20">
        <f t="shared" ca="1" si="4"/>
        <v>-1.0753206164401625</v>
      </c>
      <c r="G173" s="20">
        <f t="shared" ca="1" si="5"/>
        <v>0.22045887184038612</v>
      </c>
      <c r="L173" s="20"/>
    </row>
    <row r="174" spans="1:12" x14ac:dyDescent="0.2">
      <c r="A174" s="27">
        <v>20</v>
      </c>
      <c r="B174" s="27">
        <v>1</v>
      </c>
      <c r="C174" s="27">
        <f ca="1"/>
        <v>27</v>
      </c>
      <c r="D174" s="20">
        <f ca="1"/>
        <v>19.291117606863956</v>
      </c>
      <c r="E174" s="20">
        <f t="shared" ca="1" si="4"/>
        <v>-0.70888239313604373</v>
      </c>
      <c r="G174" s="20">
        <f t="shared" ca="1" si="5"/>
        <v>0.2717877911689337</v>
      </c>
      <c r="L174" s="20"/>
    </row>
    <row r="175" spans="1:12" x14ac:dyDescent="0.2">
      <c r="A175" s="27">
        <v>15</v>
      </c>
      <c r="B175" s="27">
        <v>1</v>
      </c>
      <c r="C175" s="27">
        <f ca="1"/>
        <v>20</v>
      </c>
      <c r="D175" s="20">
        <f ca="1"/>
        <v>14.508583825299539</v>
      </c>
      <c r="E175" s="20">
        <f t="shared" ca="1" si="4"/>
        <v>-0.49141617470046128</v>
      </c>
      <c r="G175" s="20">
        <f t="shared" ca="1" si="5"/>
        <v>0.29547583692562635</v>
      </c>
      <c r="L175" s="20"/>
    </row>
    <row r="176" spans="1:12" x14ac:dyDescent="0.2">
      <c r="A176" s="27">
        <v>16</v>
      </c>
      <c r="B176" s="27">
        <v>1</v>
      </c>
      <c r="C176" s="27">
        <f ca="1"/>
        <v>20</v>
      </c>
      <c r="D176" s="20">
        <f ca="1"/>
        <v>14.508583825299539</v>
      </c>
      <c r="E176" s="20">
        <f t="shared" ca="1" si="4"/>
        <v>-1.4914161747004613</v>
      </c>
      <c r="G176" s="20">
        <f t="shared" ca="1" si="5"/>
        <v>0.15661561802916329</v>
      </c>
      <c r="L176" s="20"/>
    </row>
    <row r="177" spans="1:12" x14ac:dyDescent="0.2">
      <c r="A177" s="27">
        <v>15</v>
      </c>
      <c r="B177" s="27">
        <v>1</v>
      </c>
      <c r="C177" s="27">
        <f ca="1"/>
        <v>19</v>
      </c>
      <c r="D177" s="20">
        <f ca="1"/>
        <v>13.825364713647479</v>
      </c>
      <c r="E177" s="20">
        <f t="shared" ca="1" si="4"/>
        <v>-1.1746352863525207</v>
      </c>
      <c r="G177" s="20">
        <f t="shared" ca="1" si="5"/>
        <v>0.20523871008550823</v>
      </c>
      <c r="L177" s="20"/>
    </row>
    <row r="178" spans="1:12" x14ac:dyDescent="0.2">
      <c r="A178" s="27">
        <v>15</v>
      </c>
      <c r="B178" s="27">
        <v>1</v>
      </c>
      <c r="C178" s="27">
        <f ca="1"/>
        <v>17</v>
      </c>
      <c r="D178" s="20">
        <f ca="1"/>
        <v>12.458926490343359</v>
      </c>
      <c r="E178" s="20">
        <f t="shared" ca="1" si="4"/>
        <v>-2.5410735096566412</v>
      </c>
      <c r="G178" s="20">
        <f t="shared" ca="1" si="5"/>
        <v>4.0395128664178985E-2</v>
      </c>
      <c r="L178" s="20"/>
    </row>
    <row r="179" spans="1:12" x14ac:dyDescent="0.2">
      <c r="A179" s="27">
        <v>16</v>
      </c>
      <c r="B179" s="27">
        <v>1</v>
      </c>
      <c r="C179" s="27">
        <f ca="1"/>
        <v>20</v>
      </c>
      <c r="D179" s="20">
        <f ca="1"/>
        <v>14.508583825299539</v>
      </c>
      <c r="E179" s="20">
        <f t="shared" ca="1" si="4"/>
        <v>-1.4914161747004613</v>
      </c>
      <c r="G179" s="20">
        <f t="shared" ca="1" si="5"/>
        <v>0.15661561802916329</v>
      </c>
      <c r="L179" s="20"/>
    </row>
    <row r="180" spans="1:12" x14ac:dyDescent="0.2">
      <c r="A180" s="27">
        <v>14</v>
      </c>
      <c r="B180" s="27">
        <v>1</v>
      </c>
      <c r="C180" s="27">
        <f ca="1"/>
        <v>17</v>
      </c>
      <c r="D180" s="20">
        <f ca="1"/>
        <v>12.458926490343359</v>
      </c>
      <c r="E180" s="20">
        <f t="shared" ca="1" si="4"/>
        <v>-1.5410735096566412</v>
      </c>
      <c r="G180" s="20">
        <f t="shared" ca="1" si="5"/>
        <v>0.14924443441661395</v>
      </c>
      <c r="L180" s="20"/>
    </row>
    <row r="181" spans="1:12" x14ac:dyDescent="0.2">
      <c r="A181" s="27">
        <v>21</v>
      </c>
      <c r="B181" s="27">
        <v>1</v>
      </c>
      <c r="C181" s="27">
        <f ca="1"/>
        <v>29</v>
      </c>
      <c r="D181" s="20">
        <f ca="1"/>
        <v>20.657555830168075</v>
      </c>
      <c r="E181" s="20">
        <f t="shared" ca="1" si="4"/>
        <v>-0.34244416983192494</v>
      </c>
      <c r="G181" s="20">
        <f t="shared" ca="1" si="5"/>
        <v>0.30746337812452051</v>
      </c>
      <c r="L181" s="20"/>
    </row>
    <row r="182" spans="1:12" x14ac:dyDescent="0.2">
      <c r="A182" s="27">
        <v>21</v>
      </c>
      <c r="B182" s="27">
        <v>1</v>
      </c>
      <c r="C182" s="27">
        <f ca="1"/>
        <v>27</v>
      </c>
      <c r="D182" s="20">
        <f ca="1"/>
        <v>19.291117606863956</v>
      </c>
      <c r="E182" s="20">
        <f t="shared" ca="1" si="4"/>
        <v>-1.7088823931360437</v>
      </c>
      <c r="G182" s="20">
        <f t="shared" ca="1" si="5"/>
        <v>0.12533471414208935</v>
      </c>
      <c r="L182" s="20"/>
    </row>
    <row r="183" spans="1:12" x14ac:dyDescent="0.2">
      <c r="A183" s="27">
        <v>21</v>
      </c>
      <c r="B183" s="27">
        <v>1</v>
      </c>
      <c r="C183" s="27">
        <f ca="1"/>
        <v>31</v>
      </c>
      <c r="D183" s="20">
        <f ca="1"/>
        <v>22.023994053472194</v>
      </c>
      <c r="E183" s="20">
        <f t="shared" ca="1" si="4"/>
        <v>1.0239940534721939</v>
      </c>
      <c r="G183" s="20">
        <f t="shared" ca="1" si="5"/>
        <v>0.22819645484299309</v>
      </c>
      <c r="L183" s="20"/>
    </row>
    <row r="184" spans="1:12" x14ac:dyDescent="0.2">
      <c r="A184" s="27">
        <v>21</v>
      </c>
      <c r="B184" s="27">
        <v>1</v>
      </c>
      <c r="C184" s="27">
        <f ca="1"/>
        <v>31</v>
      </c>
      <c r="D184" s="20">
        <f ca="1"/>
        <v>22.023994053472194</v>
      </c>
      <c r="E184" s="20">
        <f t="shared" ca="1" si="4"/>
        <v>1.0239940534721939</v>
      </c>
      <c r="G184" s="20">
        <f t="shared" ca="1" si="5"/>
        <v>0.22819645484299309</v>
      </c>
      <c r="L184" s="20"/>
    </row>
    <row r="185" spans="1:12" x14ac:dyDescent="0.2">
      <c r="A185" s="27">
        <v>18</v>
      </c>
      <c r="B185" s="27">
        <v>1</v>
      </c>
      <c r="C185" s="27">
        <f ca="1"/>
        <v>26</v>
      </c>
      <c r="D185" s="20">
        <f ca="1"/>
        <v>18.607898495211895</v>
      </c>
      <c r="E185" s="20">
        <f t="shared" ca="1" si="4"/>
        <v>0.6078984952118951</v>
      </c>
      <c r="G185" s="20">
        <f t="shared" ca="1" si="5"/>
        <v>0.28360781451993688</v>
      </c>
      <c r="L185" s="20"/>
    </row>
    <row r="186" spans="1:12" x14ac:dyDescent="0.2">
      <c r="A186" s="27">
        <v>18</v>
      </c>
      <c r="B186" s="27">
        <v>1</v>
      </c>
      <c r="C186" s="27">
        <f ca="1"/>
        <v>26</v>
      </c>
      <c r="D186" s="20">
        <f ca="1"/>
        <v>18.607898495211895</v>
      </c>
      <c r="E186" s="20">
        <f t="shared" ca="1" si="4"/>
        <v>0.6078984952118951</v>
      </c>
      <c r="G186" s="20">
        <f t="shared" ca="1" si="5"/>
        <v>0.28360781451993688</v>
      </c>
      <c r="L186" s="20"/>
    </row>
    <row r="187" spans="1:12" x14ac:dyDescent="0.2">
      <c r="A187" s="27">
        <v>19</v>
      </c>
      <c r="B187" s="27">
        <v>1</v>
      </c>
      <c r="C187" s="27">
        <f ca="1"/>
        <v>28</v>
      </c>
      <c r="D187" s="20">
        <f ca="1"/>
        <v>19.974336718516017</v>
      </c>
      <c r="E187" s="20">
        <f t="shared" ca="1" si="4"/>
        <v>0.97433671851601744</v>
      </c>
      <c r="G187" s="20">
        <f t="shared" ca="1" si="5"/>
        <v>0.23556229359930655</v>
      </c>
      <c r="L187" s="20"/>
    </row>
    <row r="188" spans="1:12" x14ac:dyDescent="0.2">
      <c r="A188" s="27">
        <v>21</v>
      </c>
      <c r="B188" s="27">
        <v>1</v>
      </c>
      <c r="C188" s="27">
        <f ca="1"/>
        <v>27</v>
      </c>
      <c r="D188" s="20">
        <f ca="1"/>
        <v>19.291117606863956</v>
      </c>
      <c r="E188" s="20">
        <f t="shared" ca="1" si="4"/>
        <v>-1.7088823931360437</v>
      </c>
      <c r="G188" s="20">
        <f t="shared" ca="1" si="5"/>
        <v>0.12533471414208935</v>
      </c>
      <c r="L188" s="20"/>
    </row>
    <row r="189" spans="1:12" x14ac:dyDescent="0.2">
      <c r="A189" s="27">
        <v>21</v>
      </c>
      <c r="B189" s="27">
        <v>1</v>
      </c>
      <c r="C189" s="27">
        <f ca="1"/>
        <v>29</v>
      </c>
      <c r="D189" s="20">
        <f ca="1"/>
        <v>20.657555830168075</v>
      </c>
      <c r="E189" s="20">
        <f t="shared" ca="1" si="4"/>
        <v>-0.34244416983192494</v>
      </c>
      <c r="G189" s="20">
        <f t="shared" ca="1" si="5"/>
        <v>0.30746337812452051</v>
      </c>
      <c r="L189" s="20"/>
    </row>
    <row r="190" spans="1:12" x14ac:dyDescent="0.2">
      <c r="A190" s="27">
        <v>21</v>
      </c>
      <c r="B190" s="27">
        <v>1</v>
      </c>
      <c r="C190" s="27">
        <f ca="1"/>
        <v>31</v>
      </c>
      <c r="D190" s="20">
        <f ca="1"/>
        <v>22.023994053472194</v>
      </c>
      <c r="E190" s="20">
        <f t="shared" ca="1" si="4"/>
        <v>1.0239940534721939</v>
      </c>
      <c r="G190" s="20">
        <f t="shared" ca="1" si="5"/>
        <v>0.22819645484299309</v>
      </c>
      <c r="L190" s="20"/>
    </row>
    <row r="191" spans="1:12" x14ac:dyDescent="0.2">
      <c r="A191" s="27">
        <v>22</v>
      </c>
      <c r="B191" s="27">
        <v>1</v>
      </c>
      <c r="C191" s="27">
        <f ca="1"/>
        <v>31</v>
      </c>
      <c r="D191" s="20">
        <f ca="1"/>
        <v>22.023994053472194</v>
      </c>
      <c r="E191" s="20">
        <f t="shared" ca="1" si="4"/>
        <v>2.3994053472193855E-2</v>
      </c>
      <c r="G191" s="20">
        <f t="shared" ca="1" si="5"/>
        <v>0.31916696345814999</v>
      </c>
      <c r="L191" s="20"/>
    </row>
    <row r="192" spans="1:12" x14ac:dyDescent="0.2">
      <c r="A192" s="27">
        <v>18</v>
      </c>
      <c r="B192" s="27">
        <v>1</v>
      </c>
      <c r="C192" s="27">
        <f ca="1"/>
        <v>26</v>
      </c>
      <c r="D192" s="20">
        <f ca="1"/>
        <v>18.607898495211895</v>
      </c>
      <c r="E192" s="20">
        <f t="shared" ca="1" si="4"/>
        <v>0.6078984952118951</v>
      </c>
      <c r="G192" s="20">
        <f t="shared" ca="1" si="5"/>
        <v>0.28360781451993688</v>
      </c>
      <c r="L192" s="20"/>
    </row>
    <row r="193" spans="1:12" x14ac:dyDescent="0.2">
      <c r="A193" s="27">
        <v>18</v>
      </c>
      <c r="B193" s="27">
        <v>1</v>
      </c>
      <c r="C193" s="27">
        <f ca="1"/>
        <v>26</v>
      </c>
      <c r="D193" s="20">
        <f ca="1"/>
        <v>18.607898495211895</v>
      </c>
      <c r="E193" s="20">
        <f t="shared" ca="1" si="4"/>
        <v>0.6078984952118951</v>
      </c>
      <c r="G193" s="20">
        <f t="shared" ca="1" si="5"/>
        <v>0.28360781451993688</v>
      </c>
      <c r="L193" s="20"/>
    </row>
    <row r="194" spans="1:12" x14ac:dyDescent="0.2">
      <c r="A194" s="27">
        <v>18</v>
      </c>
      <c r="B194" s="27">
        <v>1</v>
      </c>
      <c r="C194" s="27">
        <f ca="1"/>
        <v>27</v>
      </c>
      <c r="D194" s="20">
        <f ca="1"/>
        <v>19.291117606863956</v>
      </c>
      <c r="E194" s="20">
        <f t="shared" ca="1" si="4"/>
        <v>1.2911176068639563</v>
      </c>
      <c r="G194" s="20">
        <f t="shared" ca="1" si="5"/>
        <v>0.18720849951963059</v>
      </c>
      <c r="L194" s="20"/>
    </row>
    <row r="195" spans="1:12" x14ac:dyDescent="0.2">
      <c r="A195" s="27">
        <v>24</v>
      </c>
      <c r="B195" s="27">
        <v>1</v>
      </c>
      <c r="C195" s="27">
        <f ca="1"/>
        <v>30</v>
      </c>
      <c r="D195" s="20">
        <f ca="1"/>
        <v>21.340774941820136</v>
      </c>
      <c r="E195" s="20">
        <f t="shared" ref="E195:E235" ca="1" si="6">D195-A195</f>
        <v>-2.6592250581798638</v>
      </c>
      <c r="G195" s="20">
        <f t="shared" ref="G195:G235" ca="1" si="7">_xlfn.NORM.DIST(E195,0,$F$2,FALSE)</f>
        <v>3.3181916685722804E-2</v>
      </c>
      <c r="L195" s="20"/>
    </row>
    <row r="196" spans="1:12" x14ac:dyDescent="0.2">
      <c r="A196" s="27">
        <v>24</v>
      </c>
      <c r="B196" s="27">
        <v>1</v>
      </c>
      <c r="C196" s="27">
        <f ca="1"/>
        <v>33</v>
      </c>
      <c r="D196" s="20">
        <f ca="1"/>
        <v>23.390432276776316</v>
      </c>
      <c r="E196" s="20">
        <f t="shared" ca="1" si="6"/>
        <v>-0.6095677232236838</v>
      </c>
      <c r="G196" s="20">
        <f t="shared" ca="1" si="7"/>
        <v>0.28342335743776725</v>
      </c>
      <c r="L196" s="20"/>
    </row>
    <row r="197" spans="1:12" x14ac:dyDescent="0.2">
      <c r="A197" s="27">
        <v>26</v>
      </c>
      <c r="B197" s="27">
        <v>1</v>
      </c>
      <c r="C197" s="27">
        <f ca="1"/>
        <v>35</v>
      </c>
      <c r="D197" s="20">
        <f ca="1"/>
        <v>24.756870500080435</v>
      </c>
      <c r="E197" s="20">
        <f t="shared" ca="1" si="6"/>
        <v>-1.243129499919565</v>
      </c>
      <c r="G197" s="20">
        <f t="shared" ca="1" si="7"/>
        <v>0.19464101454310373</v>
      </c>
      <c r="L197" s="20"/>
    </row>
    <row r="198" spans="1:12" x14ac:dyDescent="0.2">
      <c r="A198" s="27">
        <v>28</v>
      </c>
      <c r="B198" s="27">
        <v>1</v>
      </c>
      <c r="C198" s="27">
        <f ca="1"/>
        <v>37</v>
      </c>
      <c r="D198" s="20">
        <f ca="1"/>
        <v>26.123308723384554</v>
      </c>
      <c r="E198" s="20">
        <f t="shared" ca="1" si="6"/>
        <v>-1.8766912766154462</v>
      </c>
      <c r="G198" s="20">
        <f t="shared" ca="1" si="7"/>
        <v>0.10337466032027857</v>
      </c>
      <c r="L198" s="20"/>
    </row>
    <row r="199" spans="1:12" x14ac:dyDescent="0.2">
      <c r="A199" s="27">
        <v>26</v>
      </c>
      <c r="B199" s="27">
        <v>1</v>
      </c>
      <c r="C199" s="27">
        <f ca="1"/>
        <v>35</v>
      </c>
      <c r="D199" s="20">
        <f ca="1"/>
        <v>24.756870500080435</v>
      </c>
      <c r="E199" s="20">
        <f t="shared" ca="1" si="6"/>
        <v>-1.243129499919565</v>
      </c>
      <c r="G199" s="20">
        <f t="shared" ca="1" si="7"/>
        <v>0.19464101454310373</v>
      </c>
      <c r="L199" s="20"/>
    </row>
    <row r="200" spans="1:12" x14ac:dyDescent="0.2">
      <c r="A200" s="27">
        <v>11</v>
      </c>
      <c r="B200" s="27">
        <v>1</v>
      </c>
      <c r="C200" s="27">
        <f ca="1"/>
        <v>15</v>
      </c>
      <c r="D200" s="20">
        <f ca="1"/>
        <v>11.09248826703924</v>
      </c>
      <c r="E200" s="20">
        <f t="shared" ca="1" si="6"/>
        <v>9.2488267039239958E-2</v>
      </c>
      <c r="G200" s="20">
        <f t="shared" ca="1" si="7"/>
        <v>0.31835277839425191</v>
      </c>
      <c r="L200" s="20"/>
    </row>
    <row r="201" spans="1:12" x14ac:dyDescent="0.2">
      <c r="A201" s="27">
        <v>13</v>
      </c>
      <c r="B201" s="27">
        <v>1</v>
      </c>
      <c r="C201" s="27">
        <f ca="1"/>
        <v>18</v>
      </c>
      <c r="D201" s="20">
        <f ca="1"/>
        <v>13.142145601995418</v>
      </c>
      <c r="E201" s="20">
        <f t="shared" ca="1" si="6"/>
        <v>0.14214560199541815</v>
      </c>
      <c r="G201" s="20">
        <f t="shared" ca="1" si="7"/>
        <v>0.31716750413300532</v>
      </c>
      <c r="L201" s="20"/>
    </row>
    <row r="202" spans="1:12" x14ac:dyDescent="0.2">
      <c r="A202" s="27">
        <v>15</v>
      </c>
      <c r="B202" s="27">
        <v>1</v>
      </c>
      <c r="C202" s="27">
        <f ca="1"/>
        <v>20</v>
      </c>
      <c r="D202" s="20">
        <f ca="1"/>
        <v>14.508583825299539</v>
      </c>
      <c r="E202" s="20">
        <f t="shared" ca="1" si="6"/>
        <v>-0.49141617470046128</v>
      </c>
      <c r="G202" s="20">
        <f t="shared" ca="1" si="7"/>
        <v>0.29547583692562635</v>
      </c>
      <c r="L202" s="20"/>
    </row>
    <row r="203" spans="1:12" x14ac:dyDescent="0.2">
      <c r="A203" s="27">
        <v>16</v>
      </c>
      <c r="B203" s="27">
        <v>1</v>
      </c>
      <c r="C203" s="27">
        <f ca="1"/>
        <v>20</v>
      </c>
      <c r="D203" s="20">
        <f ca="1"/>
        <v>14.508583825299539</v>
      </c>
      <c r="E203" s="20">
        <f t="shared" ca="1" si="6"/>
        <v>-1.4914161747004613</v>
      </c>
      <c r="G203" s="20">
        <f t="shared" ca="1" si="7"/>
        <v>0.15661561802916329</v>
      </c>
      <c r="L203" s="20"/>
    </row>
    <row r="204" spans="1:12" x14ac:dyDescent="0.2">
      <c r="A204" s="27">
        <v>17</v>
      </c>
      <c r="B204" s="27">
        <v>1</v>
      </c>
      <c r="C204" s="27">
        <f ca="1"/>
        <v>22</v>
      </c>
      <c r="D204" s="20">
        <f ca="1"/>
        <v>15.875022048603658</v>
      </c>
      <c r="E204" s="20">
        <f t="shared" ca="1" si="6"/>
        <v>-1.1249779513963425</v>
      </c>
      <c r="G204" s="20">
        <f t="shared" ca="1" si="7"/>
        <v>0.21288069180319472</v>
      </c>
      <c r="L204" s="20"/>
    </row>
    <row r="205" spans="1:12" x14ac:dyDescent="0.2">
      <c r="A205" s="27">
        <v>15</v>
      </c>
      <c r="B205" s="27">
        <v>1</v>
      </c>
      <c r="C205" s="27">
        <f ca="1"/>
        <v>17</v>
      </c>
      <c r="D205" s="20">
        <f ca="1"/>
        <v>12.458926490343359</v>
      </c>
      <c r="E205" s="20">
        <f t="shared" ca="1" si="6"/>
        <v>-2.5410735096566412</v>
      </c>
      <c r="G205" s="20">
        <f t="shared" ca="1" si="7"/>
        <v>4.0395128664178985E-2</v>
      </c>
      <c r="L205" s="20"/>
    </row>
    <row r="206" spans="1:12" x14ac:dyDescent="0.2">
      <c r="A206" s="27">
        <v>15</v>
      </c>
      <c r="B206" s="27">
        <v>1</v>
      </c>
      <c r="C206" s="27">
        <f ca="1"/>
        <v>19</v>
      </c>
      <c r="D206" s="20">
        <f ca="1"/>
        <v>13.825364713647479</v>
      </c>
      <c r="E206" s="20">
        <f t="shared" ca="1" si="6"/>
        <v>-1.1746352863525207</v>
      </c>
      <c r="G206" s="20">
        <f t="shared" ca="1" si="7"/>
        <v>0.20523871008550823</v>
      </c>
      <c r="L206" s="20"/>
    </row>
    <row r="207" spans="1:12" x14ac:dyDescent="0.2">
      <c r="A207" s="27">
        <v>15</v>
      </c>
      <c r="B207" s="27">
        <v>1</v>
      </c>
      <c r="C207" s="27">
        <f ca="1"/>
        <v>18</v>
      </c>
      <c r="D207" s="20">
        <f ca="1"/>
        <v>13.142145601995418</v>
      </c>
      <c r="E207" s="20">
        <f t="shared" ca="1" si="6"/>
        <v>-1.8578543980045819</v>
      </c>
      <c r="G207" s="20">
        <f t="shared" ca="1" si="7"/>
        <v>0.10572920124505396</v>
      </c>
      <c r="L207" s="20"/>
    </row>
    <row r="208" spans="1:12" x14ac:dyDescent="0.2">
      <c r="A208" s="27">
        <v>16</v>
      </c>
      <c r="B208" s="27">
        <v>1</v>
      </c>
      <c r="C208" s="27">
        <f ca="1"/>
        <v>20</v>
      </c>
      <c r="D208" s="20">
        <f ca="1"/>
        <v>14.508583825299539</v>
      </c>
      <c r="E208" s="20">
        <f t="shared" ca="1" si="6"/>
        <v>-1.4914161747004613</v>
      </c>
      <c r="G208" s="20">
        <f t="shared" ca="1" si="7"/>
        <v>0.15661561802916329</v>
      </c>
      <c r="L208" s="20"/>
    </row>
    <row r="209" spans="1:12" x14ac:dyDescent="0.2">
      <c r="A209" s="27">
        <v>21</v>
      </c>
      <c r="B209" s="27">
        <v>1</v>
      </c>
      <c r="C209" s="27">
        <f ca="1"/>
        <v>29</v>
      </c>
      <c r="D209" s="20">
        <f ca="1"/>
        <v>20.657555830168075</v>
      </c>
      <c r="E209" s="20">
        <f t="shared" ca="1" si="6"/>
        <v>-0.34244416983192494</v>
      </c>
      <c r="G209" s="20">
        <f t="shared" ca="1" si="7"/>
        <v>0.30746337812452051</v>
      </c>
      <c r="L209" s="20"/>
    </row>
    <row r="210" spans="1:12" x14ac:dyDescent="0.2">
      <c r="A210" s="27">
        <v>19</v>
      </c>
      <c r="B210" s="27">
        <v>1</v>
      </c>
      <c r="C210" s="27">
        <f ca="1"/>
        <v>26</v>
      </c>
      <c r="D210" s="20">
        <f ca="1"/>
        <v>18.607898495211895</v>
      </c>
      <c r="E210" s="20">
        <f t="shared" ca="1" si="6"/>
        <v>-0.3921015047881049</v>
      </c>
      <c r="G210" s="20">
        <f t="shared" ca="1" si="7"/>
        <v>0.30389387162696274</v>
      </c>
      <c r="L210" s="20"/>
    </row>
    <row r="211" spans="1:12" x14ac:dyDescent="0.2">
      <c r="A211" s="27">
        <v>21</v>
      </c>
      <c r="B211" s="27">
        <v>1</v>
      </c>
      <c r="C211" s="27">
        <f ca="1"/>
        <v>29</v>
      </c>
      <c r="D211" s="20">
        <f ca="1"/>
        <v>20.657555830168075</v>
      </c>
      <c r="E211" s="20">
        <f t="shared" ca="1" si="6"/>
        <v>-0.34244416983192494</v>
      </c>
      <c r="G211" s="20">
        <f t="shared" ca="1" si="7"/>
        <v>0.30746337812452051</v>
      </c>
      <c r="L211" s="20"/>
    </row>
    <row r="212" spans="1:12" x14ac:dyDescent="0.2">
      <c r="A212" s="27">
        <v>22</v>
      </c>
      <c r="B212" s="27">
        <v>1</v>
      </c>
      <c r="C212" s="27">
        <f ca="1"/>
        <v>29</v>
      </c>
      <c r="D212" s="20">
        <f ca="1"/>
        <v>20.657555830168075</v>
      </c>
      <c r="E212" s="20">
        <f t="shared" ca="1" si="6"/>
        <v>-1.3424441698319249</v>
      </c>
      <c r="G212" s="20">
        <f t="shared" ca="1" si="7"/>
        <v>0.17927994451859014</v>
      </c>
      <c r="L212" s="20"/>
    </row>
    <row r="213" spans="1:12" x14ac:dyDescent="0.2">
      <c r="A213" s="27">
        <v>17</v>
      </c>
      <c r="B213" s="27">
        <v>1</v>
      </c>
      <c r="C213" s="27">
        <f ca="1"/>
        <v>24</v>
      </c>
      <c r="D213" s="20">
        <f ca="1"/>
        <v>17.241460271907776</v>
      </c>
      <c r="E213" s="20">
        <f t="shared" ca="1" si="6"/>
        <v>0.2414602719077763</v>
      </c>
      <c r="G213" s="20">
        <f t="shared" ca="1" si="7"/>
        <v>0.31332258364370175</v>
      </c>
      <c r="L213" s="20"/>
    </row>
    <row r="214" spans="1:12" x14ac:dyDescent="0.2">
      <c r="A214" s="27">
        <v>33</v>
      </c>
      <c r="B214" s="27">
        <v>1</v>
      </c>
      <c r="C214" s="27">
        <f ca="1"/>
        <v>44</v>
      </c>
      <c r="D214" s="20">
        <f ca="1"/>
        <v>30.905842504948971</v>
      </c>
      <c r="E214" s="20">
        <f t="shared" ca="1" si="6"/>
        <v>-2.0941574950510287</v>
      </c>
      <c r="G214" s="20">
        <f t="shared" ca="1" si="7"/>
        <v>7.8406519233685218E-2</v>
      </c>
      <c r="L214" s="20"/>
    </row>
    <row r="215" spans="1:12" x14ac:dyDescent="0.2">
      <c r="A215" s="27">
        <v>21</v>
      </c>
      <c r="B215" s="27">
        <v>1</v>
      </c>
      <c r="C215" s="27">
        <f ca="1"/>
        <v>29</v>
      </c>
      <c r="D215" s="20">
        <f ca="1"/>
        <v>20.657555830168075</v>
      </c>
      <c r="E215" s="20">
        <f t="shared" ca="1" si="6"/>
        <v>-0.34244416983192494</v>
      </c>
      <c r="G215" s="20">
        <f t="shared" ca="1" si="7"/>
        <v>0.30746337812452051</v>
      </c>
      <c r="L215" s="20"/>
    </row>
    <row r="216" spans="1:12" x14ac:dyDescent="0.2">
      <c r="A216" s="27">
        <v>19</v>
      </c>
      <c r="B216" s="27">
        <v>1</v>
      </c>
      <c r="C216" s="27">
        <f ca="1"/>
        <v>26</v>
      </c>
      <c r="D216" s="20">
        <f ca="1"/>
        <v>18.607898495211895</v>
      </c>
      <c r="E216" s="20">
        <f t="shared" ca="1" si="6"/>
        <v>-0.3921015047881049</v>
      </c>
      <c r="G216" s="20">
        <f t="shared" ca="1" si="7"/>
        <v>0.30389387162696274</v>
      </c>
      <c r="L216" s="20"/>
    </row>
    <row r="217" spans="1:12" x14ac:dyDescent="0.2">
      <c r="A217" s="27">
        <v>22</v>
      </c>
      <c r="B217" s="27">
        <v>1</v>
      </c>
      <c r="C217" s="27">
        <f ca="1"/>
        <v>29</v>
      </c>
      <c r="D217" s="20">
        <f ca="1"/>
        <v>20.657555830168075</v>
      </c>
      <c r="E217" s="20">
        <f t="shared" ca="1" si="6"/>
        <v>-1.3424441698319249</v>
      </c>
      <c r="G217" s="20">
        <f t="shared" ca="1" si="7"/>
        <v>0.17927994451859014</v>
      </c>
      <c r="L217" s="20"/>
    </row>
    <row r="218" spans="1:12" x14ac:dyDescent="0.2">
      <c r="A218" s="27">
        <v>21</v>
      </c>
      <c r="B218" s="27">
        <v>1</v>
      </c>
      <c r="C218" s="27">
        <f ca="1"/>
        <v>29</v>
      </c>
      <c r="D218" s="20">
        <f ca="1"/>
        <v>20.657555830168075</v>
      </c>
      <c r="E218" s="20">
        <f t="shared" ca="1" si="6"/>
        <v>-0.34244416983192494</v>
      </c>
      <c r="G218" s="20">
        <f t="shared" ca="1" si="7"/>
        <v>0.30746337812452051</v>
      </c>
      <c r="L218" s="20"/>
    </row>
    <row r="219" spans="1:12" x14ac:dyDescent="0.2">
      <c r="A219" s="27">
        <v>21</v>
      </c>
      <c r="B219" s="27">
        <v>1</v>
      </c>
      <c r="C219" s="27">
        <f ca="1"/>
        <v>29</v>
      </c>
      <c r="D219" s="20">
        <f ca="1"/>
        <v>20.657555830168075</v>
      </c>
      <c r="E219" s="20">
        <f t="shared" ca="1" si="6"/>
        <v>-0.34244416983192494</v>
      </c>
      <c r="G219" s="20">
        <f t="shared" ca="1" si="7"/>
        <v>0.30746337812452051</v>
      </c>
      <c r="L219" s="20"/>
    </row>
    <row r="220" spans="1:12" x14ac:dyDescent="0.2">
      <c r="A220" s="27">
        <v>21</v>
      </c>
      <c r="B220" s="27">
        <v>1</v>
      </c>
      <c r="C220" s="27">
        <f ca="1"/>
        <v>29</v>
      </c>
      <c r="D220" s="20">
        <f ca="1"/>
        <v>20.657555830168075</v>
      </c>
      <c r="E220" s="20">
        <f t="shared" ca="1" si="6"/>
        <v>-0.34244416983192494</v>
      </c>
      <c r="G220" s="20">
        <f t="shared" ca="1" si="7"/>
        <v>0.30746337812452051</v>
      </c>
      <c r="L220" s="20"/>
    </row>
    <row r="221" spans="1:12" x14ac:dyDescent="0.2">
      <c r="A221" s="27">
        <v>16</v>
      </c>
      <c r="B221" s="27">
        <v>1</v>
      </c>
      <c r="C221" s="27">
        <f ca="1"/>
        <v>23</v>
      </c>
      <c r="D221" s="20">
        <f ca="1"/>
        <v>16.558241160255715</v>
      </c>
      <c r="E221" s="20">
        <f t="shared" ca="1" si="6"/>
        <v>0.55824116025571513</v>
      </c>
      <c r="G221" s="20">
        <f t="shared" ca="1" si="7"/>
        <v>0.28891457937292003</v>
      </c>
      <c r="L221" s="20"/>
    </row>
    <row r="222" spans="1:12" x14ac:dyDescent="0.2">
      <c r="A222" s="27">
        <v>17</v>
      </c>
      <c r="B222" s="27">
        <v>1</v>
      </c>
      <c r="C222" s="27">
        <f ca="1"/>
        <v>24</v>
      </c>
      <c r="D222" s="20">
        <f ca="1"/>
        <v>17.241460271907776</v>
      </c>
      <c r="E222" s="20">
        <f t="shared" ca="1" si="6"/>
        <v>0.2414602719077763</v>
      </c>
      <c r="G222" s="20">
        <f t="shared" ca="1" si="7"/>
        <v>0.31332258364370175</v>
      </c>
      <c r="L222" s="20"/>
    </row>
    <row r="223" spans="1:12" x14ac:dyDescent="0.2">
      <c r="A223" s="27">
        <v>35</v>
      </c>
      <c r="B223" s="27">
        <v>1</v>
      </c>
      <c r="C223" s="27">
        <f ca="1"/>
        <v>44</v>
      </c>
      <c r="D223" s="20">
        <f ca="1"/>
        <v>30.905842504948971</v>
      </c>
      <c r="E223" s="20">
        <f t="shared" ca="1" si="6"/>
        <v>-4.0941574950510287</v>
      </c>
      <c r="G223" s="20">
        <f t="shared" ca="1" si="7"/>
        <v>1.4912266665311721E-3</v>
      </c>
      <c r="L223" s="20"/>
    </row>
    <row r="224" spans="1:12" x14ac:dyDescent="0.2">
      <c r="A224" s="27">
        <v>29</v>
      </c>
      <c r="B224" s="27">
        <v>1</v>
      </c>
      <c r="C224" s="27">
        <f ca="1"/>
        <v>41</v>
      </c>
      <c r="D224" s="20">
        <f ca="1"/>
        <v>28.856185169992791</v>
      </c>
      <c r="E224" s="20">
        <f t="shared" ca="1" si="6"/>
        <v>-0.14381483000720863</v>
      </c>
      <c r="G224" s="20">
        <f t="shared" ca="1" si="7"/>
        <v>0.31711903972216288</v>
      </c>
      <c r="L224" s="20"/>
    </row>
    <row r="225" spans="1:12" x14ac:dyDescent="0.2">
      <c r="A225" s="27">
        <v>21</v>
      </c>
      <c r="B225" s="27">
        <v>1</v>
      </c>
      <c r="C225" s="27">
        <f ca="1"/>
        <v>29</v>
      </c>
      <c r="D225" s="20">
        <f ca="1"/>
        <v>20.657555830168075</v>
      </c>
      <c r="E225" s="20">
        <f t="shared" ca="1" si="6"/>
        <v>-0.34244416983192494</v>
      </c>
      <c r="G225" s="20">
        <f t="shared" ca="1" si="7"/>
        <v>0.30746337812452051</v>
      </c>
      <c r="L225" s="20"/>
    </row>
    <row r="226" spans="1:12" x14ac:dyDescent="0.2">
      <c r="A226" s="27">
        <v>19</v>
      </c>
      <c r="B226" s="27">
        <v>1</v>
      </c>
      <c r="C226" s="27">
        <f ca="1"/>
        <v>26</v>
      </c>
      <c r="D226" s="20">
        <f ca="1"/>
        <v>18.607898495211895</v>
      </c>
      <c r="E226" s="20">
        <f t="shared" ca="1" si="6"/>
        <v>-0.3921015047881049</v>
      </c>
      <c r="G226" s="20">
        <f t="shared" ca="1" si="7"/>
        <v>0.30389387162696274</v>
      </c>
      <c r="L226" s="20"/>
    </row>
    <row r="227" spans="1:12" x14ac:dyDescent="0.2">
      <c r="A227" s="27">
        <v>20</v>
      </c>
      <c r="B227" s="27">
        <v>1</v>
      </c>
      <c r="C227" s="27">
        <f ca="1"/>
        <v>28</v>
      </c>
      <c r="D227" s="20">
        <f ca="1"/>
        <v>19.974336718516017</v>
      </c>
      <c r="E227" s="20">
        <f t="shared" ca="1" si="6"/>
        <v>-2.5663281483982558E-2</v>
      </c>
      <c r="G227" s="20">
        <f t="shared" ca="1" si="7"/>
        <v>0.31915849397187074</v>
      </c>
      <c r="L227" s="20"/>
    </row>
    <row r="228" spans="1:12" x14ac:dyDescent="0.2">
      <c r="A228" s="27">
        <v>20</v>
      </c>
      <c r="B228" s="27">
        <v>1</v>
      </c>
      <c r="C228" s="27">
        <f ca="1"/>
        <v>29</v>
      </c>
      <c r="D228" s="20">
        <f ca="1"/>
        <v>20.657555830168075</v>
      </c>
      <c r="E228" s="20">
        <f t="shared" ca="1" si="6"/>
        <v>0.65755583016807506</v>
      </c>
      <c r="G228" s="20">
        <f t="shared" ca="1" si="7"/>
        <v>0.2779593195039412</v>
      </c>
      <c r="L228" s="20"/>
    </row>
    <row r="229" spans="1:12" x14ac:dyDescent="0.2">
      <c r="A229" s="27">
        <v>21</v>
      </c>
      <c r="B229" s="27">
        <v>1</v>
      </c>
      <c r="C229" s="27">
        <f ca="1"/>
        <v>29</v>
      </c>
      <c r="D229" s="20">
        <f ca="1"/>
        <v>20.657555830168075</v>
      </c>
      <c r="E229" s="20">
        <f t="shared" ca="1" si="6"/>
        <v>-0.34244416983192494</v>
      </c>
      <c r="G229" s="20">
        <f t="shared" ca="1" si="7"/>
        <v>0.30746337812452051</v>
      </c>
      <c r="L229" s="20"/>
    </row>
    <row r="230" spans="1:12" x14ac:dyDescent="0.2">
      <c r="A230" s="27">
        <v>18</v>
      </c>
      <c r="B230" s="27">
        <v>1</v>
      </c>
      <c r="C230" s="27">
        <f ca="1"/>
        <v>29</v>
      </c>
      <c r="D230" s="20">
        <f ca="1"/>
        <v>20.657555830168075</v>
      </c>
      <c r="E230" s="20">
        <f t="shared" ca="1" si="6"/>
        <v>2.6575558301680751</v>
      </c>
      <c r="G230" s="20">
        <f t="shared" ca="1" si="7"/>
        <v>3.327632904268165E-2</v>
      </c>
      <c r="L230" s="20"/>
    </row>
    <row r="231" spans="1:12" x14ac:dyDescent="0.2">
      <c r="A231" s="27">
        <v>19</v>
      </c>
      <c r="B231" s="27">
        <v>1</v>
      </c>
      <c r="C231" s="27">
        <f ca="1"/>
        <v>28</v>
      </c>
      <c r="D231" s="20">
        <f ca="1"/>
        <v>19.974336718516017</v>
      </c>
      <c r="E231" s="20">
        <f t="shared" ca="1" si="6"/>
        <v>0.97433671851601744</v>
      </c>
      <c r="G231" s="20">
        <f t="shared" ca="1" si="7"/>
        <v>0.23556229359930655</v>
      </c>
      <c r="L231" s="20"/>
    </row>
    <row r="232" spans="1:12" x14ac:dyDescent="0.2">
      <c r="A232" s="27">
        <v>21</v>
      </c>
      <c r="B232" s="27">
        <v>1</v>
      </c>
      <c r="C232" s="27">
        <f ca="1"/>
        <v>29</v>
      </c>
      <c r="D232" s="20">
        <f ca="1"/>
        <v>20.657555830168075</v>
      </c>
      <c r="E232" s="20">
        <f t="shared" ca="1" si="6"/>
        <v>-0.34244416983192494</v>
      </c>
      <c r="G232" s="20">
        <f t="shared" ca="1" si="7"/>
        <v>0.30746337812452051</v>
      </c>
      <c r="L232" s="20"/>
    </row>
    <row r="233" spans="1:12" x14ac:dyDescent="0.2">
      <c r="A233" s="27">
        <v>16</v>
      </c>
      <c r="B233" s="27">
        <v>1</v>
      </c>
      <c r="C233" s="27">
        <f ca="1"/>
        <v>26</v>
      </c>
      <c r="D233" s="20">
        <f ca="1"/>
        <v>18.607898495211895</v>
      </c>
      <c r="E233" s="20">
        <f t="shared" ca="1" si="6"/>
        <v>2.6078984952118951</v>
      </c>
      <c r="G233" s="20">
        <f t="shared" ca="1" si="7"/>
        <v>3.6181717224349638E-2</v>
      </c>
      <c r="L233" s="20"/>
    </row>
    <row r="234" spans="1:12" x14ac:dyDescent="0.2">
      <c r="A234" s="27">
        <v>18</v>
      </c>
      <c r="B234" s="27">
        <v>1</v>
      </c>
      <c r="C234" s="27">
        <f ca="1"/>
        <v>26</v>
      </c>
      <c r="D234" s="20">
        <f ca="1"/>
        <v>18.607898495211895</v>
      </c>
      <c r="E234" s="20">
        <f t="shared" ca="1" si="6"/>
        <v>0.6078984952118951</v>
      </c>
      <c r="G234" s="20">
        <f t="shared" ca="1" si="7"/>
        <v>0.28360781451993688</v>
      </c>
      <c r="L234" s="20"/>
    </row>
    <row r="235" spans="1:12" x14ac:dyDescent="0.2">
      <c r="A235" s="27">
        <v>17</v>
      </c>
      <c r="B235" s="27">
        <v>1</v>
      </c>
      <c r="C235" s="27">
        <f ca="1"/>
        <v>26</v>
      </c>
      <c r="D235" s="20">
        <f ca="1"/>
        <v>18.607898495211895</v>
      </c>
      <c r="E235" s="20">
        <f t="shared" ca="1" si="6"/>
        <v>1.6078984952118951</v>
      </c>
      <c r="G235" s="20">
        <f t="shared" ca="1" si="7"/>
        <v>0.13952132892333158</v>
      </c>
      <c r="L235" s="20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189</v>
      </c>
    </row>
    <row r="4" spans="2:4" x14ac:dyDescent="0.3">
      <c r="B4" s="1" t="s">
        <v>190</v>
      </c>
    </row>
    <row r="5" spans="2:4" x14ac:dyDescent="0.3">
      <c r="B5" s="9" t="s">
        <v>197</v>
      </c>
    </row>
    <row r="6" spans="2:4" x14ac:dyDescent="0.3">
      <c r="B6" s="9"/>
    </row>
    <row r="7" spans="2:4" x14ac:dyDescent="0.3">
      <c r="C7" s="1" t="s">
        <v>195</v>
      </c>
    </row>
    <row r="8" spans="2:4" x14ac:dyDescent="0.3">
      <c r="C8" s="1">
        <v>2.2999999999999998</v>
      </c>
      <c r="D8" s="1" t="s">
        <v>191</v>
      </c>
    </row>
    <row r="9" spans="2:4" x14ac:dyDescent="0.3">
      <c r="C9" s="1">
        <v>3.1</v>
      </c>
      <c r="D9" s="1" t="s">
        <v>192</v>
      </c>
    </row>
    <row r="10" spans="2:4" x14ac:dyDescent="0.3">
      <c r="C10" s="1">
        <v>3.2</v>
      </c>
      <c r="D10" s="1" t="s">
        <v>193</v>
      </c>
    </row>
    <row r="12" spans="2:4" x14ac:dyDescent="0.3">
      <c r="C12" s="1" t="s">
        <v>196</v>
      </c>
    </row>
    <row r="13" spans="2:4" x14ac:dyDescent="0.3">
      <c r="C13" s="1">
        <v>3.5</v>
      </c>
      <c r="D13" s="1" t="s">
        <v>13</v>
      </c>
    </row>
    <row r="14" spans="2:4" x14ac:dyDescent="0.3">
      <c r="C14" s="1">
        <v>2.2000000000000002</v>
      </c>
      <c r="D14" s="1" t="s">
        <v>194</v>
      </c>
    </row>
    <row r="16" spans="2:4" x14ac:dyDescent="0.3">
      <c r="B16" s="1" t="s">
        <v>198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4"/>
  <sheetViews>
    <sheetView workbookViewId="0"/>
  </sheetViews>
  <sheetFormatPr baseColWidth="10" defaultRowHeight="26" x14ac:dyDescent="0.3"/>
  <cols>
    <col min="1" max="2" width="10.83203125" style="1"/>
    <col min="3" max="3" width="17.33203125" style="1" bestFit="1" customWidth="1"/>
    <col min="4" max="16384" width="10.83203125" style="1"/>
  </cols>
  <sheetData>
    <row r="2" spans="2:4" x14ac:dyDescent="0.3">
      <c r="C2" s="1" t="s">
        <v>201</v>
      </c>
      <c r="D2" s="1" t="s">
        <v>202</v>
      </c>
    </row>
    <row r="3" spans="2:4" x14ac:dyDescent="0.3">
      <c r="B3" s="1">
        <v>1</v>
      </c>
      <c r="C3" s="1" t="s">
        <v>200</v>
      </c>
      <c r="D3" s="1">
        <v>15</v>
      </c>
    </row>
    <row r="4" spans="2:4" x14ac:dyDescent="0.3">
      <c r="B4" s="1">
        <v>2</v>
      </c>
      <c r="C4" s="1" t="s">
        <v>27</v>
      </c>
      <c r="D4" s="1">
        <v>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H85"/>
  <sheetViews>
    <sheetView workbookViewId="0"/>
  </sheetViews>
  <sheetFormatPr baseColWidth="10" defaultRowHeight="26" x14ac:dyDescent="0.3"/>
  <cols>
    <col min="1" max="16384" width="10.83203125" style="1"/>
  </cols>
  <sheetData>
    <row r="2" spans="1:7" x14ac:dyDescent="0.3">
      <c r="A2" s="1">
        <v>1</v>
      </c>
      <c r="B2" s="1" t="s">
        <v>254</v>
      </c>
    </row>
    <row r="3" spans="1:7" s="32" customFormat="1" x14ac:dyDescent="0.3">
      <c r="A3" s="1"/>
    </row>
    <row r="4" spans="1:7" x14ac:dyDescent="0.3">
      <c r="A4" s="1">
        <v>2</v>
      </c>
      <c r="B4" s="1" t="s">
        <v>255</v>
      </c>
    </row>
    <row r="5" spans="1:7" s="32" customFormat="1" x14ac:dyDescent="0.3">
      <c r="A5" s="1"/>
    </row>
    <row r="6" spans="1:7" x14ac:dyDescent="0.3">
      <c r="A6" s="1">
        <v>3</v>
      </c>
      <c r="B6" s="1" t="s">
        <v>256</v>
      </c>
    </row>
    <row r="7" spans="1:7" s="32" customFormat="1" x14ac:dyDescent="0.3">
      <c r="A7" s="1"/>
    </row>
    <row r="8" spans="1:7" s="32" customFormat="1" x14ac:dyDescent="0.3">
      <c r="A8" s="1"/>
    </row>
    <row r="9" spans="1:7" s="32" customFormat="1" x14ac:dyDescent="0.3">
      <c r="A9" s="1"/>
    </row>
    <row r="10" spans="1:7" s="32" customFormat="1" x14ac:dyDescent="0.3">
      <c r="A10" s="1"/>
    </row>
    <row r="11" spans="1:7" x14ac:dyDescent="0.3">
      <c r="A11" s="1">
        <v>4</v>
      </c>
      <c r="B11" s="1" t="s">
        <v>259</v>
      </c>
    </row>
    <row r="12" spans="1:7" x14ac:dyDescent="0.3">
      <c r="B12" s="1" t="s">
        <v>261</v>
      </c>
    </row>
    <row r="13" spans="1:7" x14ac:dyDescent="0.3">
      <c r="B13" s="1" t="s">
        <v>263</v>
      </c>
    </row>
    <row r="15" spans="1:7" x14ac:dyDescent="0.3">
      <c r="F15" s="33" t="s">
        <v>258</v>
      </c>
      <c r="G15" s="34" t="s">
        <v>260</v>
      </c>
    </row>
    <row r="16" spans="1:7" x14ac:dyDescent="0.3">
      <c r="C16" s="16" t="s">
        <v>62</v>
      </c>
      <c r="D16" s="16" t="s">
        <v>257</v>
      </c>
      <c r="E16" s="16" t="s">
        <v>165</v>
      </c>
      <c r="F16" s="32"/>
      <c r="G16" s="32"/>
    </row>
    <row r="17" spans="1:7" x14ac:dyDescent="0.3">
      <c r="B17" s="1">
        <v>1</v>
      </c>
      <c r="C17" s="1">
        <v>0.89200169797861084</v>
      </c>
      <c r="D17" s="1">
        <v>1.8756032795813788</v>
      </c>
      <c r="E17" s="1">
        <f t="shared" ref="E17:E26" si="0">C17*$F$16</f>
        <v>0</v>
      </c>
    </row>
    <row r="18" spans="1:7" x14ac:dyDescent="0.3">
      <c r="B18" s="1">
        <v>2</v>
      </c>
      <c r="C18" s="1">
        <v>0.66188323179723396</v>
      </c>
      <c r="D18" s="1">
        <v>1.4293149083346399</v>
      </c>
      <c r="E18" s="1">
        <f t="shared" si="0"/>
        <v>0</v>
      </c>
    </row>
    <row r="19" spans="1:7" x14ac:dyDescent="0.3">
      <c r="B19" s="1">
        <v>3</v>
      </c>
      <c r="C19" s="1">
        <v>0.92794992533173681</v>
      </c>
      <c r="D19" s="1">
        <v>1.9149769174062616</v>
      </c>
      <c r="E19" s="1">
        <f t="shared" si="0"/>
        <v>0</v>
      </c>
    </row>
    <row r="20" spans="1:7" x14ac:dyDescent="0.3">
      <c r="B20" s="1">
        <v>4</v>
      </c>
      <c r="C20" s="1">
        <v>0.40678056346451918</v>
      </c>
      <c r="D20" s="1">
        <v>0.91196194343960724</v>
      </c>
      <c r="E20" s="1">
        <f t="shared" si="0"/>
        <v>0</v>
      </c>
    </row>
    <row r="21" spans="1:7" x14ac:dyDescent="0.3">
      <c r="B21" s="1">
        <v>5</v>
      </c>
      <c r="C21" s="1">
        <v>4.0746829849272026E-2</v>
      </c>
      <c r="D21" s="1">
        <v>0.11850656780238597</v>
      </c>
      <c r="E21" s="1">
        <f t="shared" si="0"/>
        <v>0</v>
      </c>
    </row>
    <row r="22" spans="1:7" x14ac:dyDescent="0.3">
      <c r="B22" s="1">
        <v>6</v>
      </c>
      <c r="C22" s="1">
        <v>0.94652673183458691</v>
      </c>
      <c r="D22" s="1">
        <v>1.8971366325244992</v>
      </c>
      <c r="E22" s="1">
        <f t="shared" si="0"/>
        <v>0</v>
      </c>
    </row>
    <row r="23" spans="1:7" x14ac:dyDescent="0.3">
      <c r="B23" s="1">
        <v>7</v>
      </c>
      <c r="C23" s="1">
        <v>6.8775955648514686E-2</v>
      </c>
      <c r="D23" s="1">
        <v>0.19583912723660829</v>
      </c>
      <c r="E23" s="1">
        <f t="shared" si="0"/>
        <v>0</v>
      </c>
    </row>
    <row r="24" spans="1:7" x14ac:dyDescent="0.3">
      <c r="B24" s="1">
        <v>8</v>
      </c>
      <c r="C24" s="1">
        <v>0.24587172707263827</v>
      </c>
      <c r="D24" s="1">
        <v>0.55325538652845252</v>
      </c>
      <c r="E24" s="1">
        <f t="shared" si="0"/>
        <v>0</v>
      </c>
    </row>
    <row r="25" spans="1:7" x14ac:dyDescent="0.3">
      <c r="B25" s="1">
        <v>9</v>
      </c>
      <c r="C25" s="1">
        <v>0.55088436380301831</v>
      </c>
      <c r="D25" s="1">
        <v>1.1949311046305438</v>
      </c>
      <c r="E25" s="1">
        <f t="shared" si="0"/>
        <v>0</v>
      </c>
    </row>
    <row r="26" spans="1:7" x14ac:dyDescent="0.3">
      <c r="B26" s="1">
        <v>10</v>
      </c>
      <c r="C26" s="1">
        <v>0.60632794581155802</v>
      </c>
      <c r="D26" s="1">
        <v>1.2409861517873062</v>
      </c>
      <c r="E26" s="1">
        <f t="shared" si="0"/>
        <v>0</v>
      </c>
    </row>
    <row r="28" spans="1:7" x14ac:dyDescent="0.3">
      <c r="A28" s="1">
        <v>5</v>
      </c>
      <c r="B28" s="1" t="s">
        <v>262</v>
      </c>
    </row>
    <row r="29" spans="1:7" x14ac:dyDescent="0.3">
      <c r="B29" s="1" t="s">
        <v>261</v>
      </c>
    </row>
    <row r="30" spans="1:7" x14ac:dyDescent="0.3">
      <c r="B30" s="1" t="s">
        <v>263</v>
      </c>
    </row>
    <row r="32" spans="1:7" x14ac:dyDescent="0.3">
      <c r="F32" s="33" t="s">
        <v>258</v>
      </c>
      <c r="G32" s="34" t="s">
        <v>260</v>
      </c>
    </row>
    <row r="33" spans="1:7" x14ac:dyDescent="0.3">
      <c r="C33" s="16" t="s">
        <v>62</v>
      </c>
      <c r="D33" s="16" t="s">
        <v>257</v>
      </c>
      <c r="E33" s="16" t="s">
        <v>165</v>
      </c>
      <c r="F33" s="32"/>
      <c r="G33" s="32"/>
    </row>
    <row r="34" spans="1:7" x14ac:dyDescent="0.3">
      <c r="B34" s="1">
        <v>1</v>
      </c>
      <c r="C34" s="1">
        <v>0.89200169797861084</v>
      </c>
      <c r="D34" s="1">
        <v>1.8756032795813788</v>
      </c>
      <c r="E34" s="1">
        <f>C34*$F$33</f>
        <v>0</v>
      </c>
    </row>
    <row r="35" spans="1:7" x14ac:dyDescent="0.3">
      <c r="B35" s="1">
        <v>2</v>
      </c>
      <c r="C35" s="1">
        <v>0.66188323179723396</v>
      </c>
      <c r="D35" s="1">
        <v>1.4293149083346399</v>
      </c>
      <c r="E35" s="1">
        <f t="shared" ref="E35:E43" si="1">C35*$F$33</f>
        <v>0</v>
      </c>
    </row>
    <row r="36" spans="1:7" x14ac:dyDescent="0.3">
      <c r="B36" s="1">
        <v>3</v>
      </c>
      <c r="C36" s="1">
        <v>0.92794992533173681</v>
      </c>
      <c r="D36" s="1">
        <v>1.9149769174062616</v>
      </c>
      <c r="E36" s="1">
        <f t="shared" si="1"/>
        <v>0</v>
      </c>
    </row>
    <row r="37" spans="1:7" x14ac:dyDescent="0.3">
      <c r="B37" s="1">
        <v>4</v>
      </c>
      <c r="C37" s="1">
        <v>0.40678056346451918</v>
      </c>
      <c r="D37" s="1">
        <v>0.91196194343960724</v>
      </c>
      <c r="E37" s="1">
        <f t="shared" si="1"/>
        <v>0</v>
      </c>
    </row>
    <row r="38" spans="1:7" x14ac:dyDescent="0.3">
      <c r="B38" s="1">
        <v>5</v>
      </c>
      <c r="C38" s="1">
        <v>4.0746829849272026E-2</v>
      </c>
      <c r="D38" s="1">
        <v>0.11850656780238597</v>
      </c>
      <c r="E38" s="1">
        <f t="shared" si="1"/>
        <v>0</v>
      </c>
    </row>
    <row r="39" spans="1:7" x14ac:dyDescent="0.3">
      <c r="B39" s="1">
        <v>6</v>
      </c>
      <c r="C39" s="1">
        <v>0.94652673183458691</v>
      </c>
      <c r="D39" s="1">
        <v>1.8971366325244992</v>
      </c>
      <c r="E39" s="1">
        <f t="shared" si="1"/>
        <v>0</v>
      </c>
    </row>
    <row r="40" spans="1:7" x14ac:dyDescent="0.3">
      <c r="B40" s="1">
        <v>7</v>
      </c>
      <c r="C40" s="1">
        <v>6.8775955648514686E-2</v>
      </c>
      <c r="D40" s="1">
        <v>0.19583912723660829</v>
      </c>
      <c r="E40" s="1">
        <f t="shared" si="1"/>
        <v>0</v>
      </c>
    </row>
    <row r="41" spans="1:7" x14ac:dyDescent="0.3">
      <c r="B41" s="1">
        <v>8</v>
      </c>
      <c r="C41" s="1">
        <v>0.24587172707263827</v>
      </c>
      <c r="D41" s="1">
        <v>0.55325538652845252</v>
      </c>
      <c r="E41" s="1">
        <f t="shared" si="1"/>
        <v>0</v>
      </c>
    </row>
    <row r="42" spans="1:7" x14ac:dyDescent="0.3">
      <c r="B42" s="1">
        <v>9</v>
      </c>
      <c r="C42" s="1">
        <v>0.55088436380301831</v>
      </c>
      <c r="D42" s="1">
        <v>1.1949311046305438</v>
      </c>
      <c r="E42" s="1">
        <f t="shared" si="1"/>
        <v>0</v>
      </c>
    </row>
    <row r="43" spans="1:7" x14ac:dyDescent="0.3">
      <c r="B43" s="1">
        <v>10</v>
      </c>
      <c r="C43" s="1">
        <v>0.60632794581155802</v>
      </c>
      <c r="D43" s="1">
        <v>1.2409861517873062</v>
      </c>
      <c r="E43" s="1">
        <f t="shared" si="1"/>
        <v>0</v>
      </c>
    </row>
    <row r="45" spans="1:7" x14ac:dyDescent="0.3">
      <c r="A45" s="1">
        <v>6</v>
      </c>
      <c r="B45" s="1" t="s">
        <v>264</v>
      </c>
    </row>
    <row r="48" spans="1:7" x14ac:dyDescent="0.3">
      <c r="C48" s="16" t="s">
        <v>62</v>
      </c>
      <c r="D48" s="16" t="s">
        <v>257</v>
      </c>
      <c r="E48" s="16" t="s">
        <v>165</v>
      </c>
    </row>
    <row r="49" spans="1:8" x14ac:dyDescent="0.3">
      <c r="B49" s="1">
        <v>1</v>
      </c>
      <c r="C49" s="1">
        <v>0.77966107176388966</v>
      </c>
      <c r="D49" s="1">
        <v>-2.6226882231376059</v>
      </c>
      <c r="E49" s="1">
        <v>1.5593221435277793</v>
      </c>
      <c r="G49" s="1" t="s">
        <v>267</v>
      </c>
      <c r="H49" s="32"/>
    </row>
    <row r="50" spans="1:8" x14ac:dyDescent="0.3">
      <c r="B50" s="1">
        <v>2</v>
      </c>
      <c r="C50" s="1">
        <v>0.34838911887807944</v>
      </c>
      <c r="D50" s="1">
        <v>-1.2531125867605311</v>
      </c>
      <c r="E50" s="1">
        <v>0.69677823775615888</v>
      </c>
      <c r="G50" s="1" t="s">
        <v>265</v>
      </c>
      <c r="H50" s="32"/>
    </row>
    <row r="51" spans="1:8" x14ac:dyDescent="0.3">
      <c r="B51" s="1">
        <v>3</v>
      </c>
      <c r="C51" s="1">
        <v>0.31987505272076322</v>
      </c>
      <c r="D51" s="1">
        <v>-0.84786163722545016</v>
      </c>
      <c r="E51" s="1">
        <v>0.63975010544152644</v>
      </c>
      <c r="G51" s="1" t="s">
        <v>266</v>
      </c>
      <c r="H51" s="32"/>
    </row>
    <row r="52" spans="1:8" x14ac:dyDescent="0.3">
      <c r="B52" s="1">
        <v>4</v>
      </c>
      <c r="C52" s="1">
        <v>0.24433998622625575</v>
      </c>
      <c r="D52" s="1">
        <v>-0.22571559585163514</v>
      </c>
      <c r="E52" s="1">
        <v>0.48867997245251149</v>
      </c>
      <c r="G52" s="1" t="s">
        <v>268</v>
      </c>
      <c r="H52" s="32"/>
    </row>
    <row r="53" spans="1:8" x14ac:dyDescent="0.3">
      <c r="B53" s="1">
        <v>5</v>
      </c>
      <c r="C53" s="1">
        <v>0.24299505367770724</v>
      </c>
      <c r="D53" s="1">
        <v>6.3978469965368268E-2</v>
      </c>
      <c r="E53" s="1">
        <v>0.48599010735541448</v>
      </c>
      <c r="G53" s="1" t="s">
        <v>269</v>
      </c>
      <c r="H53" s="32"/>
    </row>
    <row r="54" spans="1:8" x14ac:dyDescent="0.3">
      <c r="B54" s="1">
        <v>6</v>
      </c>
      <c r="C54" s="1">
        <v>0.20549390982641891</v>
      </c>
      <c r="D54" s="1">
        <v>0.71185210271776989</v>
      </c>
      <c r="E54" s="1">
        <v>0.41098781965283782</v>
      </c>
    </row>
    <row r="55" spans="1:8" x14ac:dyDescent="0.3">
      <c r="B55" s="1">
        <v>7</v>
      </c>
      <c r="C55" s="1">
        <v>0.43167789584054517</v>
      </c>
      <c r="D55" s="1">
        <v>2.1024845171829449</v>
      </c>
      <c r="E55" s="1">
        <v>0.86335579168109033</v>
      </c>
    </row>
    <row r="56" spans="1:8" x14ac:dyDescent="0.3">
      <c r="B56" s="1">
        <v>8</v>
      </c>
      <c r="C56" s="1">
        <v>0.50903180139926218</v>
      </c>
      <c r="D56" s="1">
        <v>2.8024186165210052</v>
      </c>
      <c r="E56" s="1">
        <v>1.0180636027985244</v>
      </c>
    </row>
    <row r="57" spans="1:8" x14ac:dyDescent="0.3">
      <c r="B57" s="1">
        <v>9</v>
      </c>
      <c r="C57" s="1">
        <v>0.58780761410512594</v>
      </c>
      <c r="D57" s="1">
        <v>3.0461885092836889</v>
      </c>
      <c r="E57" s="1">
        <v>1.1756152282102519</v>
      </c>
    </row>
    <row r="58" spans="1:8" x14ac:dyDescent="0.3">
      <c r="B58" s="1">
        <v>10</v>
      </c>
      <c r="C58" s="1">
        <v>0.33707733593005373</v>
      </c>
      <c r="D58" s="1">
        <v>3.0737988224863839</v>
      </c>
      <c r="E58" s="1">
        <v>0.67415467186010747</v>
      </c>
    </row>
    <row r="60" spans="1:8" x14ac:dyDescent="0.3">
      <c r="A60" s="1">
        <v>7</v>
      </c>
      <c r="B60" s="1" t="s">
        <v>278</v>
      </c>
    </row>
    <row r="61" spans="1:8" x14ac:dyDescent="0.3">
      <c r="B61" s="1" t="s">
        <v>271</v>
      </c>
    </row>
    <row r="62" spans="1:8" x14ac:dyDescent="0.3">
      <c r="B62" s="1" t="s">
        <v>272</v>
      </c>
    </row>
    <row r="63" spans="1:8" x14ac:dyDescent="0.3">
      <c r="B63" s="1" t="s">
        <v>273</v>
      </c>
    </row>
    <row r="64" spans="1:8" x14ac:dyDescent="0.3">
      <c r="B64" s="1" t="s">
        <v>274</v>
      </c>
    </row>
    <row r="65" spans="1:2" x14ac:dyDescent="0.3">
      <c r="B65" s="32"/>
    </row>
    <row r="67" spans="1:2" x14ac:dyDescent="0.3">
      <c r="A67" s="1">
        <v>8</v>
      </c>
      <c r="B67" s="1" t="s">
        <v>278</v>
      </c>
    </row>
    <row r="68" spans="1:2" x14ac:dyDescent="0.3">
      <c r="B68" s="1" t="s">
        <v>271</v>
      </c>
    </row>
    <row r="69" spans="1:2" x14ac:dyDescent="0.3">
      <c r="B69" s="1" t="s">
        <v>272</v>
      </c>
    </row>
    <row r="70" spans="1:2" x14ac:dyDescent="0.3">
      <c r="B70" s="1" t="s">
        <v>275</v>
      </c>
    </row>
    <row r="71" spans="1:2" x14ac:dyDescent="0.3">
      <c r="B71" s="1" t="s">
        <v>274</v>
      </c>
    </row>
    <row r="72" spans="1:2" x14ac:dyDescent="0.3">
      <c r="B72" s="32"/>
    </row>
    <row r="74" spans="1:2" x14ac:dyDescent="0.3">
      <c r="A74" s="1">
        <v>9</v>
      </c>
      <c r="B74" s="1" t="s">
        <v>278</v>
      </c>
    </row>
    <row r="75" spans="1:2" x14ac:dyDescent="0.3">
      <c r="B75" s="1" t="s">
        <v>271</v>
      </c>
    </row>
    <row r="76" spans="1:2" x14ac:dyDescent="0.3">
      <c r="B76" s="1" t="s">
        <v>272</v>
      </c>
    </row>
    <row r="77" spans="1:2" x14ac:dyDescent="0.3">
      <c r="B77" s="1" t="s">
        <v>276</v>
      </c>
    </row>
    <row r="78" spans="1:2" x14ac:dyDescent="0.3">
      <c r="B78" s="1" t="s">
        <v>274</v>
      </c>
    </row>
    <row r="79" spans="1:2" x14ac:dyDescent="0.3">
      <c r="B79" s="32"/>
    </row>
    <row r="81" spans="1:2" x14ac:dyDescent="0.3">
      <c r="A81" s="1">
        <v>10</v>
      </c>
      <c r="B81" s="1" t="s">
        <v>277</v>
      </c>
    </row>
    <row r="82" spans="1:2" s="32" customFormat="1" x14ac:dyDescent="0.3">
      <c r="A82" s="1"/>
    </row>
    <row r="83" spans="1:2" s="32" customFormat="1" x14ac:dyDescent="0.3">
      <c r="A83" s="1"/>
    </row>
    <row r="84" spans="1:2" s="32" customFormat="1" x14ac:dyDescent="0.3">
      <c r="A84" s="1"/>
    </row>
    <row r="85" spans="1:2" s="32" customFormat="1" x14ac:dyDescent="0.3">
      <c r="A85" s="1"/>
    </row>
  </sheetData>
  <scenarios current="0">
    <scenario name="scen1" count="1" user="David Romoff" comment="Created by David Romoff on 5/20/2022">
      <inputCells r="F16" val="2.08716107127897"/>
    </scenario>
  </scenarios>
  <sortState xmlns:xlrd2="http://schemas.microsoft.com/office/spreadsheetml/2017/richdata2" ref="C49:E58">
    <sortCondition ref="D49:D58"/>
  </sortState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1"/>
  <sheetViews>
    <sheetView workbookViewId="0">
      <selection activeCell="B11" sqref="B11"/>
    </sheetView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10</v>
      </c>
    </row>
    <row r="3" spans="1:3" x14ac:dyDescent="0.3">
      <c r="C3" s="1" t="s">
        <v>240</v>
      </c>
    </row>
    <row r="4" spans="1:3" x14ac:dyDescent="0.3">
      <c r="B4" s="1" t="s">
        <v>183</v>
      </c>
    </row>
    <row r="5" spans="1:3" x14ac:dyDescent="0.3">
      <c r="B5" s="1" t="s">
        <v>7</v>
      </c>
    </row>
    <row r="6" spans="1:3" x14ac:dyDescent="0.3">
      <c r="B6" s="1" t="s">
        <v>8</v>
      </c>
    </row>
    <row r="7" spans="1:3" x14ac:dyDescent="0.3">
      <c r="B7" s="1" t="s">
        <v>9</v>
      </c>
    </row>
    <row r="8" spans="1:3" x14ac:dyDescent="0.3">
      <c r="B8" s="1" t="s">
        <v>241</v>
      </c>
    </row>
    <row r="9" spans="1:3" x14ac:dyDescent="0.3">
      <c r="A9" s="1">
        <v>1</v>
      </c>
      <c r="B9" s="1" t="s">
        <v>11</v>
      </c>
    </row>
    <row r="10" spans="1:3" x14ac:dyDescent="0.3">
      <c r="A10" s="1">
        <v>2</v>
      </c>
      <c r="B10" s="1" t="s">
        <v>270</v>
      </c>
    </row>
    <row r="11" spans="1:3" x14ac:dyDescent="0.3">
      <c r="A11" s="1">
        <v>3</v>
      </c>
      <c r="B11" s="1" t="s">
        <v>12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24</v>
      </c>
    </row>
    <row r="3" spans="2:5" x14ac:dyDescent="0.25">
      <c r="B3" s="9" t="s">
        <v>28</v>
      </c>
      <c r="C3" s="9"/>
    </row>
    <row r="4" spans="2:5" x14ac:dyDescent="0.25">
      <c r="B4" s="8" t="s">
        <v>25</v>
      </c>
    </row>
    <row r="5" spans="2:5" x14ac:dyDescent="0.25">
      <c r="B5" s="8" t="s">
        <v>29</v>
      </c>
    </row>
    <row r="7" spans="2:5" x14ac:dyDescent="0.25">
      <c r="B7" s="11" t="s">
        <v>20</v>
      </c>
      <c r="C7" s="11" t="s">
        <v>21</v>
      </c>
      <c r="E7" s="11" t="s">
        <v>24</v>
      </c>
    </row>
    <row r="8" spans="2:5" x14ac:dyDescent="0.25">
      <c r="B8" s="8" t="s">
        <v>30</v>
      </c>
      <c r="C8" s="8" t="s">
        <v>31</v>
      </c>
      <c r="E8" s="12"/>
    </row>
    <row r="9" spans="2:5" x14ac:dyDescent="0.25">
      <c r="B9" s="8" t="s">
        <v>31</v>
      </c>
      <c r="C9" s="8" t="s">
        <v>30</v>
      </c>
    </row>
    <row r="10" spans="2:5" x14ac:dyDescent="0.25">
      <c r="B10" s="8" t="s">
        <v>30</v>
      </c>
      <c r="C10" s="8" t="s">
        <v>31</v>
      </c>
    </row>
    <row r="11" spans="2:5" x14ac:dyDescent="0.25">
      <c r="B11" s="8" t="s">
        <v>30</v>
      </c>
      <c r="C11" s="8" t="s">
        <v>30</v>
      </c>
    </row>
    <row r="12" spans="2:5" x14ac:dyDescent="0.25">
      <c r="B12" s="8" t="s">
        <v>31</v>
      </c>
      <c r="C12" s="8" t="s">
        <v>31</v>
      </c>
    </row>
    <row r="13" spans="2:5" x14ac:dyDescent="0.25">
      <c r="B13" s="8" t="s">
        <v>31</v>
      </c>
      <c r="C13" s="8" t="s">
        <v>30</v>
      </c>
    </row>
    <row r="14" spans="2:5" x14ac:dyDescent="0.25">
      <c r="B14" s="8" t="s">
        <v>30</v>
      </c>
      <c r="C14" s="8" t="s">
        <v>30</v>
      </c>
    </row>
    <row r="15" spans="2:5" x14ac:dyDescent="0.25">
      <c r="B15" s="8" t="s">
        <v>31</v>
      </c>
      <c r="C15" s="8" t="s">
        <v>30</v>
      </c>
    </row>
    <row r="16" spans="2:5" x14ac:dyDescent="0.25">
      <c r="B16" s="8" t="s">
        <v>30</v>
      </c>
      <c r="C16" s="8" t="s">
        <v>31</v>
      </c>
    </row>
    <row r="17" spans="2:4" x14ac:dyDescent="0.25">
      <c r="B17" s="8" t="s">
        <v>31</v>
      </c>
      <c r="C17" s="8" t="s">
        <v>31</v>
      </c>
    </row>
    <row r="18" spans="2:4" x14ac:dyDescent="0.25">
      <c r="B18" s="8" t="s">
        <v>30</v>
      </c>
      <c r="C18" s="8" t="s">
        <v>30</v>
      </c>
      <c r="D18" s="8" t="s">
        <v>32</v>
      </c>
    </row>
    <row r="19" spans="2:4" x14ac:dyDescent="0.25">
      <c r="B19" s="8" t="s">
        <v>31</v>
      </c>
      <c r="C19" s="8" t="s">
        <v>31</v>
      </c>
    </row>
    <row r="20" spans="2:4" x14ac:dyDescent="0.25">
      <c r="B20" s="8" t="s">
        <v>30</v>
      </c>
      <c r="C20" s="8" t="s">
        <v>30</v>
      </c>
    </row>
    <row r="21" spans="2:4" x14ac:dyDescent="0.25">
      <c r="B21" s="8" t="s">
        <v>31</v>
      </c>
      <c r="C21" s="8" t="s">
        <v>31</v>
      </c>
    </row>
    <row r="22" spans="2:4" x14ac:dyDescent="0.25">
      <c r="B22" s="8" t="s">
        <v>31</v>
      </c>
      <c r="C22" s="8" t="s">
        <v>30</v>
      </c>
    </row>
    <row r="23" spans="2:4" x14ac:dyDescent="0.25">
      <c r="B23" s="8" t="s">
        <v>31</v>
      </c>
      <c r="C23" s="8" t="s">
        <v>30</v>
      </c>
    </row>
    <row r="24" spans="2:4" x14ac:dyDescent="0.25">
      <c r="B24" s="8" t="s">
        <v>30</v>
      </c>
      <c r="C24" s="8" t="s">
        <v>31</v>
      </c>
    </row>
    <row r="25" spans="2:4" x14ac:dyDescent="0.25">
      <c r="B25" s="8" t="s">
        <v>31</v>
      </c>
      <c r="C25" s="8" t="s">
        <v>31</v>
      </c>
    </row>
    <row r="26" spans="2:4" x14ac:dyDescent="0.25">
      <c r="B26" s="8" t="s">
        <v>30</v>
      </c>
      <c r="C26" s="8" t="s">
        <v>30</v>
      </c>
    </row>
    <row r="27" spans="2:4" x14ac:dyDescent="0.25">
      <c r="B27" s="8" t="s">
        <v>31</v>
      </c>
      <c r="C27" s="8" t="s">
        <v>31</v>
      </c>
    </row>
  </sheetData>
  <hyperlinks>
    <hyperlink ref="B3" r:id="rId1" xr:uid="{7E55F508-4CAC-0845-9710-604F49ED57FC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10</v>
      </c>
    </row>
    <row r="3" spans="1:2" x14ac:dyDescent="0.3">
      <c r="B3" s="1" t="s">
        <v>184</v>
      </c>
    </row>
    <row r="4" spans="1:2" x14ac:dyDescent="0.3">
      <c r="B4" s="1" t="s">
        <v>185</v>
      </c>
    </row>
    <row r="5" spans="1:2" x14ac:dyDescent="0.3">
      <c r="B5" s="1" t="s">
        <v>241</v>
      </c>
    </row>
    <row r="6" spans="1:2" x14ac:dyDescent="0.3">
      <c r="A6" s="30">
        <v>1</v>
      </c>
      <c r="B6" s="30" t="s">
        <v>11</v>
      </c>
    </row>
    <row r="7" spans="1:2" x14ac:dyDescent="0.3">
      <c r="A7" s="30">
        <v>2</v>
      </c>
      <c r="B7" s="30" t="s">
        <v>186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213</v>
      </c>
      <c r="B1" t="s">
        <v>212</v>
      </c>
      <c r="C1" t="s">
        <v>211</v>
      </c>
      <c r="D1" t="s">
        <v>210</v>
      </c>
      <c r="E1" t="s">
        <v>209</v>
      </c>
      <c r="F1" t="s">
        <v>208</v>
      </c>
      <c r="G1" t="s">
        <v>207</v>
      </c>
    </row>
    <row r="2" spans="1:7" x14ac:dyDescent="0.2">
      <c r="A2">
        <v>12500</v>
      </c>
      <c r="B2">
        <v>0.17269999999999999</v>
      </c>
      <c r="C2" t="s">
        <v>203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203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205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203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203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205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205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203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203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203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203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205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203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205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203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203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203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205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203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203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203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203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205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205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204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204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203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203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203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203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203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205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203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203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203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203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203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205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203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203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204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203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203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204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203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203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205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204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203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203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204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203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205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204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203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205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205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205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205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205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203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204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205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203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203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203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205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205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203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205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205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203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203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203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203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205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203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205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204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203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204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205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203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203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203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203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203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205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205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203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203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203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203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205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203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203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204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205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203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203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203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203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204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205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203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203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203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203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203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203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203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203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203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203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203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203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203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203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205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204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203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205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203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203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203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205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204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203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203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203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205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205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203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205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203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205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205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205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205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203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203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203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205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205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205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205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205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203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203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204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205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205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205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205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203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205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205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203</v>
      </c>
      <c r="D159" s="31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205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205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205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205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204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205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205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203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203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205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205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205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205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203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205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205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205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203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203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203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205</v>
      </c>
      <c r="D180" s="31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205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203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203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205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205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203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205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205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203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203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205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204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205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204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203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204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205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205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205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203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203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204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204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203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205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205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203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203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203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203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205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205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205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204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205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203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205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205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205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203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205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203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205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205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205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205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205</v>
      </c>
      <c r="D227" s="31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205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205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204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203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205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205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204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205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204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205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203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205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203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205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203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205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205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203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205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203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203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203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205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205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203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205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205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205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205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205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205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205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205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203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203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203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205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205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203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205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203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205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203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205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204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203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205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205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205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205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205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205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204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203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205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205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203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203</v>
      </c>
      <c r="D285" s="31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203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204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203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205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205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203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203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205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205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203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205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205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203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203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204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203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203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205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205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203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205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205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203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205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203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203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205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205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203</v>
      </c>
      <c r="D314" s="31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204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205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203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205</v>
      </c>
      <c r="D318" s="31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203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205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203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205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205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205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203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203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205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205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205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205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203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203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203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203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205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205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205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205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203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205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205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205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205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205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203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205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203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205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203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205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205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203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205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205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205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205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203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205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205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203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203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205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205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205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205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203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203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205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205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205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203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205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205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203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203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205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205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205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205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203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203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205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205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205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203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204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203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205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205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203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205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205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205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203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205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203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204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203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205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205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204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205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203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205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205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204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205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203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203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203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205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204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203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205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203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205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203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205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205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205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205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205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203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205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205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205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203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203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205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203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205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203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205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205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203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203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203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203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205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203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205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205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205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203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203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205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203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203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203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203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205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203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203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205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205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203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205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205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205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203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205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203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205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203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205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203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205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205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203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205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203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205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205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205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205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205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204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205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204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205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203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205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205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203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204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205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205</v>
      </c>
      <c r="D487" s="31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203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204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203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205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203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203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205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205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205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205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205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205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203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205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205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205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203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203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205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205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205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205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203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203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205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203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203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203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205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203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203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205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205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203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205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204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205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205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203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203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205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203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203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205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203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203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203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205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205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205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205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205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203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205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205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205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203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204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205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205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203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203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205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203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205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205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203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203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205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205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205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204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203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205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203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203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205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203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203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203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203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205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205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203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203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203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204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203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205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203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205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205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205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203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203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204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205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203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204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203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203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203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205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203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205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205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204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203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205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203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203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205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205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203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205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203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203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203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203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205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203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203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205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203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205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203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203</v>
      </c>
      <c r="D614" s="31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205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205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203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203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205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203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203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203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204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205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203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203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205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205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203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203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205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205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203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205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203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204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204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203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204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203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205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203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203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205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203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203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203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203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204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205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205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203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203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205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203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205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205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205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203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205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205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205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203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205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205</v>
      </c>
      <c r="D665" s="31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205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204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205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205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203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203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205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205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205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205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203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203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205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205</v>
      </c>
      <c r="D679" s="31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204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203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205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205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203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204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204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203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203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205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205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204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203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204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205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203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205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204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203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204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204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205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205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203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205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205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203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205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205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203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205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205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203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204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203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203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203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205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203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205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205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204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205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203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205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203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205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205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205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205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203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203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203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205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203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203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204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203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205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205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205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204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203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205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205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203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203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203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203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203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205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205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203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203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203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204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204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205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205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203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203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204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203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204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203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204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205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203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203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203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203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203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203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205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205</v>
      </c>
      <c r="D774" s="31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205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203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203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205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205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203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203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203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203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203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205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203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205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203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203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205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204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203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203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203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205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203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205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205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203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205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205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203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203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205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203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203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203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205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203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205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203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205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204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203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205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203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204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205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203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205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204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204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205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205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203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203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205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203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203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203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203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203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203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205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205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205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203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204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205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203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205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203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203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204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205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205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205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203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205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203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203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205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205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203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205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203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205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205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203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203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203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203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205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203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205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205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205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205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203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204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203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205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203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203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203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205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203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203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203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203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205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205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205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205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203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203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205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205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205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203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205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205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203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203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203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203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205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205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203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205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205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205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204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205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203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205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204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205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203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203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205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205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205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205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205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204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203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205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203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203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204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203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203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204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203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205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203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203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205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203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204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203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204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203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203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205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205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203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203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205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205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203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205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205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205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205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205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203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203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203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205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203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203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203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203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203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204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205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205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205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205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205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203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203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203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205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205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203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203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203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205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205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203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203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205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203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205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204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205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203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205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205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203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205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203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203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203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205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205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204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203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203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203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203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205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203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205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203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205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205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203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205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205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205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203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205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203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203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203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205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204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205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205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203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203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205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203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203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205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205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203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205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203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205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205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205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203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203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205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205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203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205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203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205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205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205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203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203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205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205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205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204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205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203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203</v>
      </c>
      <c r="D1045" s="31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203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205</v>
      </c>
      <c r="D1047" s="31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205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204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203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203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203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203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205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205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205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203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205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204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203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203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203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205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203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204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205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203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205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203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205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203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205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203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205</v>
      </c>
      <c r="D1074" s="31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203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205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205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205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205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205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205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203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203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204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205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203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205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205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203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205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203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205</v>
      </c>
      <c r="D1092" s="31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203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203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203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205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205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204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205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203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203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203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205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205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205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203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203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205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205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203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205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205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205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203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203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205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204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205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205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203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205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205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205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203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204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203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203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203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205</v>
      </c>
      <c r="D1129" s="31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203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205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204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203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205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203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205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205</v>
      </c>
      <c r="D1137" s="31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203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203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204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204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205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203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203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205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205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205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205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205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203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205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205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205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203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203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203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205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203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203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205</v>
      </c>
      <c r="D1160" s="31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205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205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205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205</v>
      </c>
      <c r="D1164" s="31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203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203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205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203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205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203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205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203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203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203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203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203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205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205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203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205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205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205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205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205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205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205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203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203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203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205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203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205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203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203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205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205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205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205</v>
      </c>
      <c r="D1198" s="31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203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205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203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203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203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203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205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203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203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205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205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204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205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205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205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204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205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205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203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203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205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203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205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205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205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203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205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205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203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204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205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203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205</v>
      </c>
      <c r="D1231" s="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205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203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205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203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205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203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205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205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203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205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205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205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203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205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205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205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203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203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203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205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203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203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203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203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205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205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203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203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203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203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203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203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203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205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205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204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205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203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203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203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203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205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203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203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205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203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204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203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203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203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205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205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205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205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203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203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204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205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203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205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205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205</v>
      </c>
      <c r="D1293" s="31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203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203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205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205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205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203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204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203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203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205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203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203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203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203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205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203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205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205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203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205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205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203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205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203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203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205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203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203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205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205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205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205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203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205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205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203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203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205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205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205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203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205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203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203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205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203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204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205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205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205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205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203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203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203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205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205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203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204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205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205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203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205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205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205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204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203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205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205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205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204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203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205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203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203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203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205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203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204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205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203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205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205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203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203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203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205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203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203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205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205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205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205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203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203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203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203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205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203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203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203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203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203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205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203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205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203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203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203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205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205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205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205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205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205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203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203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204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203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203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203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205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203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205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203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205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203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205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203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205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205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203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205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203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203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205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205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203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205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205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205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203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203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203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203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205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205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203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205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203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205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205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203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205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203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205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203</v>
      </c>
      <c r="D1449" s="31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203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204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203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203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205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203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204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205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203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205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205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205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205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203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205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203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205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203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203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203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205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205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204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205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203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203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205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203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203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205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203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205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205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204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203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205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203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203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205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205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204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205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203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203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203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205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205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203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203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203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205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203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203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205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203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203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203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203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204</v>
      </c>
      <c r="D1508" s="31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203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203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203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204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203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203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203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203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205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204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205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203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205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205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203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203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203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205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205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203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203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204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205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205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205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203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203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205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205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203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205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204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205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205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203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203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203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205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204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205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205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205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204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205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205</v>
      </c>
      <c r="D1553" s="31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203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203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203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203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205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203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203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205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203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204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203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203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203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203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203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203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205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205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205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205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203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203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203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203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204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204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203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204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203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203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203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203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203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204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205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203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203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205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203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204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203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203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205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203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205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205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203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203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203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203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205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203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203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203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205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205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203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203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205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203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205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203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203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204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205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203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205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205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204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205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205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203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203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203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205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203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205</v>
      </c>
      <c r="D1630" s="31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205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203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203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205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203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203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205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206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203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203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203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203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203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203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205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205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203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205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203</v>
      </c>
      <c r="D1649" s="31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203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203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203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205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203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205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203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205</v>
      </c>
      <c r="D1657" s="31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203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203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205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203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203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203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203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203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203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205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204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203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205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203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205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205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203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203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203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205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205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205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205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203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203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203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203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203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204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203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203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203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205</v>
      </c>
      <c r="D1690" s="31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203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205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205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203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203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203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203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203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203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205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205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203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203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205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203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203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205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203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205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203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205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203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203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205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203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205</v>
      </c>
      <c r="D1716" s="31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205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205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203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205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205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203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205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203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205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205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204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205</v>
      </c>
      <c r="D1728" s="31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203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206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203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203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203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205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204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203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205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205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205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205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204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203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205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205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205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203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203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205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203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203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205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205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203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204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203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205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203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205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203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203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205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203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205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205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203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203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205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203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203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203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203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205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203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203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203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205</v>
      </c>
      <c r="D1776" s="31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205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203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203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203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203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204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205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203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205</v>
      </c>
      <c r="D1785" s="31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203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205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206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203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205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206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204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203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205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203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203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203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205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203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203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203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203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203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205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203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204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203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203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205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205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205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203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203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203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205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203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205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204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204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205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205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203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203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203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205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203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203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203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203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205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203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203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205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203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203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203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203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203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205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205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205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203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203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205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204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203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203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203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203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203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203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204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203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203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203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203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203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203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205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203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205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203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203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205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203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203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205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206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205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203</v>
      </c>
      <c r="D1870" s="31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205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205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204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203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204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203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203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203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203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203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203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205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205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203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204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204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203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203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203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203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203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203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203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203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203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205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205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203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203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205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205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204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203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205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204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205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205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203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203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205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203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205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205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205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204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205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204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204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205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205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205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205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203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203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205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203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205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205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205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205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205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203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203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203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203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205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203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205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203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203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205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203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203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205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205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203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203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203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205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203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203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203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205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203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203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205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205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205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205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205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205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203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203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204</v>
      </c>
      <c r="D1964" s="31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203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205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205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205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205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205</v>
      </c>
      <c r="D1970" s="31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205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205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203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205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203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205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205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203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204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203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205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203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203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205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205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203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203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203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203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204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205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205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203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205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205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203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205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205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205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203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203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205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204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205</v>
      </c>
      <c r="D2004" s="31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203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204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205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205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204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203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205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205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204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204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203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205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205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205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205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205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205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205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203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205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203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203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205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203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205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203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204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204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204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203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205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203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203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204</v>
      </c>
      <c r="D2038" s="31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203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205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203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203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205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205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205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203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205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205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203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205</v>
      </c>
      <c r="D2050" s="31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205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205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203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205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205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203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205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205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203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205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203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205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203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203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205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203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203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203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203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205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205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203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203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205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205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205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203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205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203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205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203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203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203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203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203</v>
      </c>
      <c r="D2085" s="31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203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203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205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205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205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203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205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205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203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205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203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205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205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205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203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203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205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203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205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205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205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204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203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205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205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203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205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205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205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205</v>
      </c>
      <c r="D2115" s="31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203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205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203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205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205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203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203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205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205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203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205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205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204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205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205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203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205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205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203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205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203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203</v>
      </c>
      <c r="D2137" s="31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205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205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205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205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204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203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205</v>
      </c>
      <c r="D2144" s="31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203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203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205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205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205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203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203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204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203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205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205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205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203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203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203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203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205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203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203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205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204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205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205</v>
      </c>
      <c r="D2167" s="31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203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205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205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204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205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203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203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203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205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203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205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205</v>
      </c>
      <c r="D2179" s="31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203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203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203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203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203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203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203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204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205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204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205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205</v>
      </c>
      <c r="D2191" s="3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205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203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205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205</v>
      </c>
      <c r="D2195" s="31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205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203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203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205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204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203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203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205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205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204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205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204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203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203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205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205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205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205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205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204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204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205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205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205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205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203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205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203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205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205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205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205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203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204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205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205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205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203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204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205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205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205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205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205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203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205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203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205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203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205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205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205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203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205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205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205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205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203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203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203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205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203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204</v>
      </c>
      <c r="D2258" s="31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205</v>
      </c>
      <c r="D2259" s="31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205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205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203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203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204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203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205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205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205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205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203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204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203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203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203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205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205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203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205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204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205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203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203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204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204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205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204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203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205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205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205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205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205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205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205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205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203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204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203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205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203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204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205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205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205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203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205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203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205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205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205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205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203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205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204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205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205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204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205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204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203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203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203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205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205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205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203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203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205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205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203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203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205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203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204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204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203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205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203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203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204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204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203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205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204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203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203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203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203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204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205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205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203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205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203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205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205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205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203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205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203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203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204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205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205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205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205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205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203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204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203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203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205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203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203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205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203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203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205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205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205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203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205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203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203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203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205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205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205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203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205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205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205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205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205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205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205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205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205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203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205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203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205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204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203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205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205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205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205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203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205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204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203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205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203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203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205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205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205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203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205</v>
      </c>
      <c r="D2420" s="31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203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203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205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205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203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205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203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205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205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205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203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203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205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203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205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203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205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203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205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203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203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203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205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203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205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203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205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203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203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205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205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203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205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205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205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205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203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205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205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203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203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203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203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204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203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203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205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203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205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205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205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205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205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205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203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205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205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203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205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205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205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203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205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205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203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205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205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205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205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203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204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203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203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203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205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203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205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203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205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205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205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205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203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205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204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205</v>
      </c>
      <c r="D2506" s="31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205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205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205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205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203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203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205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203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205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204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205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203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204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203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205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203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203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205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205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203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205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205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203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204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205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203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203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205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205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203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205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205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205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205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205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205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203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205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203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205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205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204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205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205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205</v>
      </c>
      <c r="D2551" s="3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205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203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205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205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203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203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205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204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203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203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204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205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205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205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203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205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203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205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203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205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203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203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203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205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205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205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205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203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204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203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203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204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204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203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205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203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203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205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205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205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204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203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203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205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205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203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203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203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205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205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205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205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203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205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205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205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205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205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205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203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203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205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203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205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205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205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203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203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205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203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205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205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205</v>
      </c>
      <c r="D2624" s="31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205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203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203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203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203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203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205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203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203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203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205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203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204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203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204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203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203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205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205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203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204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203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203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203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205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205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205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203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205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205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204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204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205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205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203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203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205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205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205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205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205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205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204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205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205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205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203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205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205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203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204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203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203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204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204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204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203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205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205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205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205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205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205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204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205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205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205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205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203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203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205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203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203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203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203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204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203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203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203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204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205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205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203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203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203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204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203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203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205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203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203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203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205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203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205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205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203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205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203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205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205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205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205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205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205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203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203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203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203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203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203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203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205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205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205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203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204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203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205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203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205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203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205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205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204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203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205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204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203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203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205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204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205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203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203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205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205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204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203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203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205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203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205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205</v>
      </c>
      <c r="D2768" s="31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203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205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205</v>
      </c>
      <c r="D2771" s="3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203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205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205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203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205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203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203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205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203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203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205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204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203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203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205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205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203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205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205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205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203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203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205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205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205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205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205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204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205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205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205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205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203</v>
      </c>
      <c r="D2804" s="31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203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205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204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203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205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205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205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205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203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205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205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205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205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205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205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203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205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205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203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205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205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205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205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205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205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205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203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205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205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203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203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203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205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205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203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205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203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205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204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204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205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203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205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205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203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205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203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203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205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205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203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203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203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203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203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205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205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205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205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203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205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203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203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205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204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205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203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203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205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205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205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205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203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203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203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204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205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205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205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205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203</v>
      </c>
      <c r="D2885" s="31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205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205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205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205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204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205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205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205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203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205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203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203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205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203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203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205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203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203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205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205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203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205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205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203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205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205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205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204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205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205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205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205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203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205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205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205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203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203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205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205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205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205</v>
      </c>
      <c r="D2927" s="31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203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205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205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203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205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204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204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203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205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205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205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205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203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205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203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203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205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205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203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205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205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205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204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203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205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203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203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204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205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203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205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203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203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203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203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205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203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205</v>
      </c>
      <c r="D2965" s="31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203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205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204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204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205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203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205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203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203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205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204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203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205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203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205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205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203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203</v>
      </c>
      <c r="D2983" s="31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205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205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203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203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205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205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203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205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205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203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203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205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203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204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203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205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204</v>
      </c>
      <c r="D3000" s="31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205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205</v>
      </c>
      <c r="D3002" s="31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203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205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205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205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205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203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203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205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204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203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203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203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205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203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203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203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203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205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205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205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205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205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205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203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204</v>
      </c>
      <c r="D3027" s="31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203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203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203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203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203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203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205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205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205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205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203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205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205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203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205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205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203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205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205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205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204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205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205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204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203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205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203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205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203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203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204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203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205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203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204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205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205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203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205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205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203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203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205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204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203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203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205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205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204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205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204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205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205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205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203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205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204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205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205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203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205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205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205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205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203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205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203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203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203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205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203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204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203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205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205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205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203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204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205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205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205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205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203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205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205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203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205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205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203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203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205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205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205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205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205</v>
      </c>
      <c r="D3122" s="31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203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205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205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205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205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205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205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203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205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205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203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205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203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205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205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205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203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205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205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204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205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205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205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203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205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203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205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205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203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205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203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205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205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205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205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205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205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203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205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204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203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203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203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205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205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205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203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203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205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205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205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205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203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203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205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205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204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203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203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205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203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205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204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203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205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203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205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203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203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203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205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205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203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203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203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205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203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203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203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204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205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205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205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205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203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203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205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203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204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205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203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204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203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203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205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205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203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205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205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203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203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203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205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203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205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204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205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204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205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205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205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205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203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205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203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203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205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205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205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205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205</v>
      </c>
      <c r="D3243" s="31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203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205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203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205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203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203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205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205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205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203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205</v>
      </c>
      <c r="D3254" s="31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205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205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203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203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205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203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205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205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205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205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203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203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205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203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204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205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205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205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203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205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203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203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203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205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203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205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203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203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205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203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205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205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205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205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205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205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205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205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205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203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203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203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203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203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203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205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205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203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205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203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203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205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203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205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205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205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205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205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205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205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203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205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205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205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203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205</v>
      </c>
      <c r="D3320" s="31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205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205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203</v>
      </c>
      <c r="D3323" s="31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203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205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203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203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204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203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203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205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205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203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205</v>
      </c>
      <c r="D3334" s="31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203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205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205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203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203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205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205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203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203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204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205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205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205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205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205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205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205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205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205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203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203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203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203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203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203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205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203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203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204</v>
      </c>
      <c r="D3363" s="31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204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205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205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203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203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203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204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205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205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203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203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205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203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205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203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205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203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205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203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203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205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205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203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205</v>
      </c>
      <c r="D3387" s="31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203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205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205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203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205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205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205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205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205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205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205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203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203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205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205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205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205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205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205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203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205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205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203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205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203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205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205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205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205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205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203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204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203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205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204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205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205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205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203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203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205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203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203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205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203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204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203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204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205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205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205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203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205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203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205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205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203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205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203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205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205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205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203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203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203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203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205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203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205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205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205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203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203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205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203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205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203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203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205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205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203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203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205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203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204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203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205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203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205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203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205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205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205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205</v>
      </c>
      <c r="D3481" s="3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205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205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205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203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203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205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203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203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204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203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205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205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203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205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205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205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205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203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205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203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203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204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205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205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205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203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205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203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205</v>
      </c>
      <c r="D3510" s="31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205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205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203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205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203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203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205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205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205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205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205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205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204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205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203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204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205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205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205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205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203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203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203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203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205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203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205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204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205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205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203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203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205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203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203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203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205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205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203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203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203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205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203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203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205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205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203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203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205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205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205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205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205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205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205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205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203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203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203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203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205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203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205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205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205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205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205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203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203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205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203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203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203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205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203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205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205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205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205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203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203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203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203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205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205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205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203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203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205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205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205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205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205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205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205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204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204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205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204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205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203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205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205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204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204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203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205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203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205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205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205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203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203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205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203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205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203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204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203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203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205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205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203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205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203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205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203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203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205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205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203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203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204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205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203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204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205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203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205</v>
      </c>
      <c r="D3649" s="31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203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203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204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205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205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205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203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203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205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203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205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204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205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205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203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205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205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203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203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203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203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205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205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203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205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205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203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205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205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203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205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203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203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203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203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203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205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205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205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203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203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204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205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205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204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203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203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204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203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203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203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205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203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205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203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205</v>
      </c>
      <c r="D3705" s="31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204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205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205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204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204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205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203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203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205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203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205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204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204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203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205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205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203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203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203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205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205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205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205</v>
      </c>
      <c r="D3728" s="31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203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203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205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203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203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205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205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203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203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205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203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205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205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204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205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205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205</v>
      </c>
      <c r="D3745" s="31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205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205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205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203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203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205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205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203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203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205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204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203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205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205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205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203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205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203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203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203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205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205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205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205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205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205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205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205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203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205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204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205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203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205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203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203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205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205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205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203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203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205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205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205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205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205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203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205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203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203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205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203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205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203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205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205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203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205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205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203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205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205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203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203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205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203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205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205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203</v>
      </c>
      <c r="D3814" s="31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204</v>
      </c>
      <c r="D3815" s="31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203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203</v>
      </c>
      <c r="D3817" s="31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203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204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205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203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203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205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203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205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203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203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205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204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203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203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205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203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205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203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205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205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203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205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203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204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203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205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203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205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203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205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205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203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203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204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205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205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205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205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205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205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205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205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203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205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205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203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205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203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203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205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205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203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205</v>
      </c>
      <c r="D3870" s="31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203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205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205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205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204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205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205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205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203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203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203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205</v>
      </c>
      <c r="D3882" s="31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205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205</v>
      </c>
      <c r="D3884" s="31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205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205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203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204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205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205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205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203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203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203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203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203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203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203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205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203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203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204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203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205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203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203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203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205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205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203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203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204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205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203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203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205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203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205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203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204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203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205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205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203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203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203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205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205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205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204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204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205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203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203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203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203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205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205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205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205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203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203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205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205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205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203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205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205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203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205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205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205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205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205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203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203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205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203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204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203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205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205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203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203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203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203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205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205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203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204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203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203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203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205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205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205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203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205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203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205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203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203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203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205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203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205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205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203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203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205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203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204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205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203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205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203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205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203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205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203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205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205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203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204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203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205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203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204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205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203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205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203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205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203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205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203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203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205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203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205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203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203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204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205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205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205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204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205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204</v>
      </c>
      <c r="D4029" s="31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203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203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205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203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205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205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205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203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205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203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205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203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203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205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205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205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203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205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205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205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205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203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205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205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203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205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203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205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205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203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203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205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203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203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205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203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204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205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205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205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205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203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205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203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203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205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203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205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205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203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205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203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203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205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203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205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203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203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205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205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203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205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203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205</v>
      </c>
      <c r="D4093" s="31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203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205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203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203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203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203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203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203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203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205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205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205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203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205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203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205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203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204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203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205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203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205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205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204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203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205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205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205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205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203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204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205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203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204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203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205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205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205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205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204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203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203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203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203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205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203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205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203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205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203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203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203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203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205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205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205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203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205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205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205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205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205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203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205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205</v>
      </c>
      <c r="D4158" s="31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203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205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203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203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203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203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205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204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205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205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205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203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203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203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205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203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203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205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203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204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205</v>
      </c>
      <c r="D4179" s="31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205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205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205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203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205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203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203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203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203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203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203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203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204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203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205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203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203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203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203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205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203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203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205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203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205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205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203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203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203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205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203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203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203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205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205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205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205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203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205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203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203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205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205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205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203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203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205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205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203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204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203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205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204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205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203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205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203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203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205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203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205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205</v>
      </c>
      <c r="D4241" s="3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205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203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205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203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203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203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205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204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205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203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203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203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203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205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203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205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203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203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203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205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205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205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203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203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203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205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205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204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205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205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205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203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205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205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205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203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205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203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203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203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205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203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203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203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203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205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203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205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205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203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203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205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205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203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205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203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205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203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205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203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205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203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205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205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205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203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203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205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205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203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205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205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205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204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205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205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205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205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205</v>
      </c>
      <c r="D4320" s="31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205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203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205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203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205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203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205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205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205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204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205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205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205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205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205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203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203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205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203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204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205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203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205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205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203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204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203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203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205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205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205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205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203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204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205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203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203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205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203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205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205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203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204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203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205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203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203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205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205</v>
      </c>
      <c r="D4369" s="31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205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203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203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203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205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204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204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205</v>
      </c>
      <c r="D4377" s="31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205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203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205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203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203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203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205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205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205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203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205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205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203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204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205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205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203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203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203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205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203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205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203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205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203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205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204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205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203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204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205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205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205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205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205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203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203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205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203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203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203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203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205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205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205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203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205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203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204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203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203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204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203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205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203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203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203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203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205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205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203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205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205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205</v>
      </c>
      <c r="D4441" s="3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205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204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203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205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205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205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203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205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203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205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203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205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205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203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205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203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205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205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205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205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203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203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204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205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205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205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205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203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203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203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203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205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205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204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203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205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205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203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203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205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205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203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205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203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203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203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204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205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203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203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204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203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205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205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205</v>
      </c>
      <c r="D4496" s="31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205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203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203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204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203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203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205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205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205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205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205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203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203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203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203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203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203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205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203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203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205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203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205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203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203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203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203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205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205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204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205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205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205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205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205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203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205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205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203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203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203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205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204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203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204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205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204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205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205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205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205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205</v>
      </c>
      <c r="D4548" s="31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203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205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204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205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203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203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203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205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203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203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205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204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205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205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204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205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205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203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203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205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205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205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203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203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203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204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205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205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204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203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205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205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203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205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203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203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205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204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204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204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205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203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205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205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205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203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203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205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205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203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205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205</v>
      </c>
      <c r="D4600" s="31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204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205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205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203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205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204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203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205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205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205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203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203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205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203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205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203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204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203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205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205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203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203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205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203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205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205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205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205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204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203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205</v>
      </c>
      <c r="D4631" s="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205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203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205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204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203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204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205</v>
      </c>
      <c r="D4638" s="31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205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203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203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203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205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204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205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204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205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203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203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203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203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204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205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205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203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203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205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203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203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205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203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205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205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203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203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203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203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203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203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204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203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203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205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205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205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203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205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205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205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203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203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205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205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203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205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203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205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205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203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203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205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203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203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204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203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205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205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205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203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203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203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205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205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205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205</v>
      </c>
      <c r="D4705" s="31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203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203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203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205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205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205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203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203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205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205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205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205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205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205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205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205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205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205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203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205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205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205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204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205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203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205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205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203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203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205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205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203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203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205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203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205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203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205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205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203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205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205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205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205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205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204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203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205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203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205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205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204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203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205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203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205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203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203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205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205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203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203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203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205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205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205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203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205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205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205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204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203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205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203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205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203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205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205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205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204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205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205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205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205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203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205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203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205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205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203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203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205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203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203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205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205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205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205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203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203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203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205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205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203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203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205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205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203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203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203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203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205</v>
      </c>
      <c r="D4817" s="31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203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203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205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204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205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203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205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203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205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203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205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205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203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205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205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205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205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205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205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205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205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205</v>
      </c>
      <c r="D4839" s="31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203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203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205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203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205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204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203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205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205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203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205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205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203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203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204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203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205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203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203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205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205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203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203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205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203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205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203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203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205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203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205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205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205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203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205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205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203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203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203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203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203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203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205</v>
      </c>
      <c r="D4882" s="31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203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205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205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205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205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205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205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204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203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205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205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203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203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203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203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205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203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205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205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203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203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203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205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203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205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203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205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203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205</v>
      </c>
      <c r="D4911" s="3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203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205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205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203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205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205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203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205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205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205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205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203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203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205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203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205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205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203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203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205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203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205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203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204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205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205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203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203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203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205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205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205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205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204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205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205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203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204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205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203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203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203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205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205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203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205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205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205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203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205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205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205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205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205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205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205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203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205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203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203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205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203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205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205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205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205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205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204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205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205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203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205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203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203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205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205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203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203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203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205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203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204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205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205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205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205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205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205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205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205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203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205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203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205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203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203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204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205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205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205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203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203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203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205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205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205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205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203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203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203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205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205</v>
      </c>
      <c r="D5023" s="31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205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205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203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205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203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205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205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205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203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205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205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203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205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203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204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205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204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205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203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203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203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205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205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205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203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205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205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203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205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203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205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203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205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205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203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203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203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205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205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204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205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203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205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205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205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204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203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205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205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205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203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203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205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203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205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205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203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205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203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205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205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205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203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205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205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205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205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205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205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203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203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205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205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205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205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203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203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203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203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203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203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204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203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205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205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203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203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205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203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205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204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205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203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204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204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204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205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203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205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205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205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203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205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203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205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205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203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205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205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203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205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205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205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205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205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205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205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204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205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204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205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204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203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203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203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203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205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205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205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205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205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203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203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203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203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205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203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205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205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205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205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205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203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203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203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203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205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203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205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203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205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204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203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203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205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203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203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203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203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205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205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205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203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203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205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203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205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205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205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203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203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203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205</v>
      </c>
      <c r="D5196" s="31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205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205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205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205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205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203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204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205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203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205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205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203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205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203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205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205</v>
      </c>
      <c r="D5212" s="31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205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203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205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203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205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205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205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203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203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205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203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204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203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203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203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203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205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205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203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203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205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203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205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205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205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203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203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205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205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205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205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203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205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205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203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205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203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203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203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205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203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203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205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205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205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205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203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203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203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203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205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203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205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205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205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205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203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205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203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205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205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203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205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203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205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205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205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205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203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205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205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205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204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204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205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205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205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203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205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204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203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205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205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205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203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205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205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203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203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203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203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203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205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205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203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205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203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203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205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203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205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203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203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203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205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203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205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205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203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203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203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203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205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205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205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205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205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203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203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205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204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203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205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205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205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203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205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205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205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203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205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203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205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205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205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205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205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205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203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205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203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205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205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205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203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205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203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205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205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205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203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203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205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203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205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203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205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205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205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205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203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205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205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205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203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205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205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205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203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205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205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205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203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203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203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205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203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205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203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205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204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203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203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203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205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203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205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205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205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205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203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203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205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203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205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205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203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205</v>
      </c>
      <c r="D5410" s="31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205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205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203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205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204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205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203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203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203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203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205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205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205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205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205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205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205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203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205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205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205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205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203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205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205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205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203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203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205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205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205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204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203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205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203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203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205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203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203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203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203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205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205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205</v>
      </c>
      <c r="D5454" s="31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203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205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203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205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205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203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204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205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205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205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205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203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203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203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205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203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205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203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204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205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204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203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204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203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205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203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203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203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203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205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205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203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203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203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203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205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205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205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205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205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205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205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203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205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203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205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205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204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203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205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203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203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205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203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205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205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205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205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205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203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203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203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205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205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203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205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205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205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205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205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205</v>
      </c>
      <c r="D5525" s="31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205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205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205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205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203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205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203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203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205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205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204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205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203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205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205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205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204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205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205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205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203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205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203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205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204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203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205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203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203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203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205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205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205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205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203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205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203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205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203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205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205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205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204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205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203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203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205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205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203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205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203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203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203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205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203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203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205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205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203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205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205</v>
      </c>
      <c r="D5586" s="31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204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203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205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203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203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203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203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203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204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204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203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203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205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205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203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205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205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205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203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205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205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203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205</v>
      </c>
      <c r="D5609" s="31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205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203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203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205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203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203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205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205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203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205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205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203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205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203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205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205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203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205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203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205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203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205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205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203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203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203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203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205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205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203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203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203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205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203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203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205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205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205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205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204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205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203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205</v>
      </c>
      <c r="D5652" s="31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203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205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205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203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205</v>
      </c>
      <c r="D5657" s="31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205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203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203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203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204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205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203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205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205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203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205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203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205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205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205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205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205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205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203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203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205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203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205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205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205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203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203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205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203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203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203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205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203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203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205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205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203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205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203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205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206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203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205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205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203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203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203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205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205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205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203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205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203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203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205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203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203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206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205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205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204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203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205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205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203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203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203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203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205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204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205</v>
      </c>
      <c r="D5728" s="31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203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205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203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205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203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205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205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205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205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203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205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205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205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203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203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203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204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203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203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203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205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203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205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205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204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205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205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203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205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203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205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203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203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205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205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205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205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203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203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203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206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206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203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203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203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205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203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203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205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205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203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205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205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205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205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203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203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203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205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205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203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205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205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203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205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203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203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205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205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203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204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203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203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203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205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205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205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203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203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205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203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204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205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205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204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205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205</v>
      </c>
      <c r="D5815" s="31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203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205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203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205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203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203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203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203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205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205</v>
      </c>
      <c r="D5825" s="31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203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205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204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203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203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205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205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204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203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205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205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204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203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205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205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204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205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204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203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203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205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205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205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203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205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203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205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205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203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203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204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203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204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203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203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203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203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203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203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203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205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205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204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205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203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205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205</v>
      </c>
      <c r="D5872" s="31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203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205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205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205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203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203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205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205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205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203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205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204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205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203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205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203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205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205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203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205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203</v>
      </c>
      <c r="D5893" s="31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203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203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205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205</v>
      </c>
      <c r="D5897" s="31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203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203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204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203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205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205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203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203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204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205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203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203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203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203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205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205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203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203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205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205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205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204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203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205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203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205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203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203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205</v>
      </c>
      <c r="D5926" s="31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203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205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203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205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203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204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205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203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203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203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203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203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205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203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205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205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203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203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203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205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205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205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205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204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205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205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205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205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205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205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205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203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205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204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205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205</v>
      </c>
      <c r="D5962" s="31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205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203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205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203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205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203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205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204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204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205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203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203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203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203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205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204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205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205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205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203</v>
      </c>
      <c r="D5982" s="31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205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205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205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203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205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203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203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203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205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203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205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203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204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203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205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203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203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205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205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203</v>
      </c>
      <c r="D6002" s="31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203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205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205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204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205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205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203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203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203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205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205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205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204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203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205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203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203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203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205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203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203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203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203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203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203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203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203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205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205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205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203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205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203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203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205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203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205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203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203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205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205</v>
      </c>
      <c r="D6043" s="31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205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203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203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203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203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204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204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203</v>
      </c>
      <c r="D6051" s="3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205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205</v>
      </c>
      <c r="D6053" s="31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205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205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205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205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203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203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203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203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203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203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203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205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203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205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205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203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203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205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205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205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204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205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205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203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203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205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203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204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205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203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205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203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205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205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203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204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205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203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205</v>
      </c>
      <c r="D6092" s="31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203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205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203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203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205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205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205</v>
      </c>
      <c r="D6099" s="31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203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205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203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205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203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203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203</v>
      </c>
      <c r="D6106" s="31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203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205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203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203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205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203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203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205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203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203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205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205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205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203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205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205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203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203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205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205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205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203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203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205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203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204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203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204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203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203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205</v>
      </c>
      <c r="D6137" s="31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205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205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203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203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203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205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205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203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203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203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203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205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203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204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203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205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203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203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205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205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205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203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205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205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203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204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203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203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205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203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203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205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205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203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205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203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205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203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205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205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205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204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203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205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205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204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203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204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205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203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205</v>
      </c>
      <c r="D6188" s="31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203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205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203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205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205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205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205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203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204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205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205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205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203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205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205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203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205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203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205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204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203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203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203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205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205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205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205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203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203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205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203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203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205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203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205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203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205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203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203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205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205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203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203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203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205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205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205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203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205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203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203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203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205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205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204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205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205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205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204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205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204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205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203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203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203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203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205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203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204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205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204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205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203</v>
      </c>
      <c r="D6261" s="3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203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203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205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205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203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205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205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203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205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203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203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203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203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205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205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205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205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203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203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205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203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205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203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203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205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205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205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203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203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205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205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203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205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203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205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205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205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203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203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203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203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204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204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203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203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203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203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205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205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205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204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203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203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203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205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203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203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204</v>
      </c>
      <c r="D6319" s="31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203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205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205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203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205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205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205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203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203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203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205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203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205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205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203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203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205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204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203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205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205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205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205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203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203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205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205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203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203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205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205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205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205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205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205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204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205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205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203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203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205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203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205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205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205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205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203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205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203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203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203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203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203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203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204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203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205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203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203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203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205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205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204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203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203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203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204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205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203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205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203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203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203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204</v>
      </c>
      <c r="D6393" s="31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203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203</v>
      </c>
      <c r="D6395" s="31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203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203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205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204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205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205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205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203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205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203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205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203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205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203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203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205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203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205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205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205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203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205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203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205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204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203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203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203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205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205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204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203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205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205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203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205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203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205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205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205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205</v>
      </c>
      <c r="D6436" s="31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203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205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203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203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205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203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205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203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205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204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205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203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204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205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205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205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203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205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205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205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203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205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204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203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205</v>
      </c>
      <c r="D6461" s="3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203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203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203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203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205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205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203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205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203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205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203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205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203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205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205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205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203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205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205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203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205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204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205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203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203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205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203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205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203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203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205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205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203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205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204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203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205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205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203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205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205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203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203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204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203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203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203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203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204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204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205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203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204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203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205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205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203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203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205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203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205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203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204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203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204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205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205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205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205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204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203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205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203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203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203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205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203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203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205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205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203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205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204</v>
      </c>
      <c r="D6544" s="31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204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203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203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204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203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205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203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205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203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203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203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203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205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205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204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203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205</v>
      </c>
      <c r="D6561" s="3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203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205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205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205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205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205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203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205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205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203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203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205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205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203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203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205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204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205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203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205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203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203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203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203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205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205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205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203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205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204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203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203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205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205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203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203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205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203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205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205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205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205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203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203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205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205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205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203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205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205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204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203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203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203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205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203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203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203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205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203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204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203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205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205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205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205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204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205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203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203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203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203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205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205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205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205</v>
      </c>
      <c r="D6637" s="31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203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203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203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204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205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205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203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205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203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205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203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205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203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205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205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205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203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203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203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203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205</v>
      </c>
      <c r="D6658" s="31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204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205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205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205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203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204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203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203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205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203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203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205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203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205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205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203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205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204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205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203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205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205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203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203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203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203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203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205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205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205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203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203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204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203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203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203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204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203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203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203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204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204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203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203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205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205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205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204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205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205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205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205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203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203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205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203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205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205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205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205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204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205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203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203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203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205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203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205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204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203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203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203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203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203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203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205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203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205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205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203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204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205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205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205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203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205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203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203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205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203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203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204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203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203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203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203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203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204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205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203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203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203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203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205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203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205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203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203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203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205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203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203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205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205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203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205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205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205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203</v>
      </c>
      <c r="D6777" s="31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205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205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205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203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203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205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203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203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205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205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205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203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205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203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205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203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205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203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205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205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205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205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203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205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203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204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203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203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203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203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205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205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205</v>
      </c>
      <c r="D6810" s="31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205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205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203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203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205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203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203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203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203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205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205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205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203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203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205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204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203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203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205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204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205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203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205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203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204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203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205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204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205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203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203</v>
      </c>
      <c r="D6841" s="3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205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205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205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205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203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203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203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205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203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203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205</v>
      </c>
      <c r="D6852" s="31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203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203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205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205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205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205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203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203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205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203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205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205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203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203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204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205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203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203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203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205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205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203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203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203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203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203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203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204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205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203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203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203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205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205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203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203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204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204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205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203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205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205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203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203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203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205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205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203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203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203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203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203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203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203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205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205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203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204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203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205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204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203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203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203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204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205</v>
      </c>
      <c r="D6918" s="31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203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205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205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205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203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205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205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203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205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203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203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203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205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205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203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203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205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203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205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204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203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205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203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205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205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205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205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203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205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205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204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203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205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205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203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203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205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205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203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203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205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205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203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205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205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205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205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205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203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203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203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203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204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205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205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203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204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205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204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203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205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203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205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204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204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203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203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205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205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204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203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205</v>
      </c>
      <c r="D6990" s="31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203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205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205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203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204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205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205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205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203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205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205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205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205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204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205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205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205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203</v>
      </c>
      <c r="D7008" s="31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205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205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203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203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203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205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205</v>
      </c>
      <c r="D7015" s="31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203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205</v>
      </c>
      <c r="D7017" s="31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205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205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204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205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203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205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204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205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205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203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205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203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205</v>
      </c>
      <c r="D7030" s="31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203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205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205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203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205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203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203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205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203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205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203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205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203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203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203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205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205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205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205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205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205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203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205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205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203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205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203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205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204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203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205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205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205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203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205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205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205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203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203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205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205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203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203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203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205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204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203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203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203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203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203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205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205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205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203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203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203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205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203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203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205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205</v>
      </c>
      <c r="D7092" s="31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203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205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205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205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205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203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205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203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203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203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205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203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205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203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205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205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203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205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205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205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203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205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203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203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204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205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205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203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205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205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205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203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205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203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205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205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205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203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205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203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203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203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205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205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203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204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205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205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203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205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203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205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204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204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203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205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205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205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203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205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203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203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203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205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205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203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203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205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203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205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205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205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205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203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204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203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204</v>
      </c>
      <c r="D7169" s="31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203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205</v>
      </c>
      <c r="D7171" s="3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203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203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205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203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205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203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203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205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203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203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203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203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204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203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205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205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204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203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203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205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205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205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205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203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203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205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205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205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203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203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203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204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205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205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203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203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205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203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203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203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205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204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205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203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204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203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203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205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205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203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205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203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203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205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203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203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205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203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205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203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203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203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205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205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204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205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203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205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203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203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203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203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203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203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203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203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203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205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203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205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205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203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205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205</v>
      </c>
      <c r="D7255" s="31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203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203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203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203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205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203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205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205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203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203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203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205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205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203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203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205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203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205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205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203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203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203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203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203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205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205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203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203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205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205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203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203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205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205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205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205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205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205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205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203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203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205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205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203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205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205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205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203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205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205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205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205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203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203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205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203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205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205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205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205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205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203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205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205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203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205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205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205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203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205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205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204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203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205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205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203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205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204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203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203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204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205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203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205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204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204</v>
      </c>
      <c r="D7341" s="3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205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203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203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205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203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205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203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203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205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203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203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203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205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203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205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205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203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203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203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205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205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205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203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205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203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205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203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205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204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203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205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203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203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205</v>
      </c>
      <c r="D7375" s="31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204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203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203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203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205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205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204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205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205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203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203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203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203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205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203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205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205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203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203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205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203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203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203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203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203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204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203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205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205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203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203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203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205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203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203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203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205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203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205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205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203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203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204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203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203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203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205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203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203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203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205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203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205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205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203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205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204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203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203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204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205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205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203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203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203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205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205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205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203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203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203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205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205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203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205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205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203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205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203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203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203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203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203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204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204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205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203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205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203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205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203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203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205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203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205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204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203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204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203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203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203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205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203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205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203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205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203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203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203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205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203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205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203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205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205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205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203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205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205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203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205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205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203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205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203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203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203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203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203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203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203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203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205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203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205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203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203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203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204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205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203</v>
      </c>
      <c r="D7516" s="31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205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205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205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203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203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203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203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203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203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205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203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203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205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205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205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203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205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203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205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203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205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204</v>
      </c>
      <c r="D7538" s="31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204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205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205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203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205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203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203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205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203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203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203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205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205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205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205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205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203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203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203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205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203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205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205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203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203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203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204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203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205</v>
      </c>
      <c r="D7567" s="31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203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203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205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205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204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204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205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203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203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203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203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204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205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205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203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205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203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205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203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205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203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205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203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203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203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203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203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203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205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204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205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203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203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203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205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203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203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203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205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203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204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203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204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203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205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205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203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203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203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205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205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203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205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205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203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205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203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203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205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204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203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203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203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203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205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203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203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203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205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204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203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203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203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203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203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203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203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205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205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203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203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203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203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205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203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203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203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204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203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203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203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203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203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205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203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205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205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203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203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205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205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205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203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205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203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205</v>
      </c>
      <c r="D7673" s="31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205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205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203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205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203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203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205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204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205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203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203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203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205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203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205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205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203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205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205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204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205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203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205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205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203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203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203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203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203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203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203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205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205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205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204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204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205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204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205</v>
      </c>
      <c r="D7712" s="31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203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205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205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203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203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203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205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205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203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203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205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205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203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203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205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205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205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203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205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205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203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203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203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203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205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203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205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205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204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203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203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205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205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203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205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204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205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205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205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205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205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204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204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205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203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205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204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203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205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204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203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205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203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204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203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205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205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204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204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204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203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205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203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205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205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205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203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203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203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203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203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205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205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203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205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205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205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205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203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205</v>
      </c>
      <c r="D7792" s="31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203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203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205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205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203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203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205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203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203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203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205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203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203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205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205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203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205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205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203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203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205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205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205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205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203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205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204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205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205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205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205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203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205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205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203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205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205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204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203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204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205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204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203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205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204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203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203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205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203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205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205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205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205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205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205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203</v>
      </c>
      <c r="D7848" s="31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203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205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205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204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204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203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205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203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203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203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205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203</v>
      </c>
      <c r="D7860" s="31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203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205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205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205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205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203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205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205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205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205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205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205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203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203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204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205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203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203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205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204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205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203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203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205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204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205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205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204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203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205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203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203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205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205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205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203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205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205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205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203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205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203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203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205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203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205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205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205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203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203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205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205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205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205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203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205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204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205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203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203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205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205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205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205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203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203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205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203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205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203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203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205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205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205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205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203</v>
      </c>
      <c r="D7936" s="31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203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205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203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203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205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205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205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203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204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203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205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204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205</v>
      </c>
      <c r="D7949" s="31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203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205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203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205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205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203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205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205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203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205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204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205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203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205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205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203</v>
      </c>
      <c r="D7965" s="31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205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205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203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204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205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205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205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205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205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205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205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203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203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205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205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203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205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203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205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203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205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203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203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205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204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205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205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205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205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205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205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205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205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204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205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204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205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204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205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203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203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203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203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205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205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205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203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205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205</v>
      </c>
      <c r="D8014" s="31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203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203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205</v>
      </c>
      <c r="D8017" s="31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204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205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205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205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203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203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205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205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203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204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204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205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205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205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203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204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205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203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205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203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205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205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204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205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203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205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205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203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205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205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205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203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205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203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205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205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205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205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203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203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205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203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205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205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205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205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205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204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205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203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205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205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205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204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205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203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204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205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205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203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203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205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203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205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204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203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205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203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205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203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205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205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205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205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205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205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205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203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203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205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203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203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205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203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205</v>
      </c>
      <c r="D8102" s="31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203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203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205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205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204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205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203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205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205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203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204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203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203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203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205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203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205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204</v>
      </c>
      <c r="D8120" s="31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203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205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203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205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205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205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205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205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203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203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205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205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203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203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205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205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205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205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205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203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205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205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203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205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203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204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204</v>
      </c>
      <c r="D8147" s="31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203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204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203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205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205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205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205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205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205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205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205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203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205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205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205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205</v>
      </c>
      <c r="D8163" s="31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205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205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203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205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205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205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205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205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203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204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205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204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205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203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204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203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205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205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205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205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203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205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203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205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205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204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205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203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205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203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205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205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205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204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203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203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203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203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203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205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204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203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203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203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205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205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203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205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205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205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205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205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203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203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203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205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205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203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203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203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203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205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203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205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205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203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203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203</v>
      </c>
      <c r="D8231" s="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203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203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204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203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205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203</v>
      </c>
      <c r="D8237" s="31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205</v>
      </c>
      <c r="D8238" s="31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205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205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203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205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205</v>
      </c>
      <c r="D8243" s="31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205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203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205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204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204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205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205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203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203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205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205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205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203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203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205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205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203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203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204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203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203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205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204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204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203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205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204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205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204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204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203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205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203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205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203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204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205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203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203</v>
      </c>
      <c r="D8282" s="31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203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205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203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204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203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203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204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205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203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203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205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205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205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203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205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203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203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203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205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203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203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204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205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205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205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205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204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205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204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205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205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204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205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205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204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205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205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205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205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204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203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205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205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205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205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205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205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205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203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205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205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203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203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205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205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203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205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203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203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203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204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205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205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205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204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204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205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203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203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203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205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203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205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205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205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203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203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205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205</v>
      </c>
      <c r="D8361" s="3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205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203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204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205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205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205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205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203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205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203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205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203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205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203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204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205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205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205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205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203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204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203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205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205</v>
      </c>
      <c r="D8385" s="31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205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204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203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203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205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203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203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203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205</v>
      </c>
      <c r="D8394" s="31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205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205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203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205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203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203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204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203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203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205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205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203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205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203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205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205</v>
      </c>
      <c r="D8410" s="31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205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203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205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205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203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205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205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205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205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203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203</v>
      </c>
      <c r="D8421" s="3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205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203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203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203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205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203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205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205</v>
      </c>
      <c r="D8429" s="31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205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205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203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205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205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204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205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203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203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203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203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203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205</v>
      </c>
      <c r="D8442" s="31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203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203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205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205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205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204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204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205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205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203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203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203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205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203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203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203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205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205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203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203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205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203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203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204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203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203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205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205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204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205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203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203</v>
      </c>
      <c r="D8474" s="31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205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205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203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205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203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205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205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203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205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203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205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205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203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205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205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203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205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204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205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204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204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204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205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204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203</v>
      </c>
      <c r="D8499" s="31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203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205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203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205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205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205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203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203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203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203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205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203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205</v>
      </c>
      <c r="D8512" s="31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203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204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205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203</v>
      </c>
      <c r="D8516" s="31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205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204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205</v>
      </c>
      <c r="D8519" s="31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203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205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205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205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205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203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203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205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203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203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205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204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205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203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203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203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205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205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203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203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205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205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205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203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203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204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205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205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203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203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205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203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203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205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203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203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203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205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204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205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205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205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205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205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205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203</v>
      </c>
      <c r="D8565" s="31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205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203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205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203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203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203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205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205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203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205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203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205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205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203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205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203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203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205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203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203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203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205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204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205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203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203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204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205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205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203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205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205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205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203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204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205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203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205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203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205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205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205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203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205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203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205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205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203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205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203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203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203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205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205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205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205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203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203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205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205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205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203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203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203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204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203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203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203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203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203</v>
      </c>
      <c r="D8635" s="31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203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205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205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205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205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204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204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205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205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205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203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205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205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205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203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203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204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205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205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203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203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205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203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205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203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205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203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204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203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205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205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203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203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205</v>
      </c>
      <c r="D8669" s="31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205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203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204</v>
      </c>
      <c r="D8672" s="31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205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203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205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205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203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205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203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203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205</v>
      </c>
      <c r="D8681" s="3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203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205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203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203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203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204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205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203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203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205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203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205</v>
      </c>
      <c r="D8693" s="31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203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203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203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204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205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205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205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205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203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205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203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203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204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204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205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203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204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205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203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205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205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205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204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203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205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205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203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203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203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204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205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205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205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205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205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203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204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204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203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203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204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203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203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205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203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205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203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203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203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203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203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205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205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203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203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205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203</v>
      </c>
      <c r="D8750" s="31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203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203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205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204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205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205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205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203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205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205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203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205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205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205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203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203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205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205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203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203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205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205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203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205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203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203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203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204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205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205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203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203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205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203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205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205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203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203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205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205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203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205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205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205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203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203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203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203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205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203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205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204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205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205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205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205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203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205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203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205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205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205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205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203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205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203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205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204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203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203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203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203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205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203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205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205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205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205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203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203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203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205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205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205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205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203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203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205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205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203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205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205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203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205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205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205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205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205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205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203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205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205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203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203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205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204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205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203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204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203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203</v>
      </c>
      <c r="D8861" s="3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205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205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203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205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203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203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204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205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205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205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204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205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205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203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205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205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203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203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203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203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203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205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205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203</v>
      </c>
      <c r="D8885" s="31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203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203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203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203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205</v>
      </c>
      <c r="D8890" s="31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203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205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203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203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203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205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203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203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205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205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205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205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203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205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205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205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203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204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203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205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204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203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203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205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205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205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204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205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205</v>
      </c>
      <c r="D8919" s="31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203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205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203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205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205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205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205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205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205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203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205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203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203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203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203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205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205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203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203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203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203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203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205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203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203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205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205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205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203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205</v>
      </c>
      <c r="D8949" s="31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203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205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203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205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203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205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205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205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205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203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205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205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203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205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203</v>
      </c>
      <c r="D8964" s="31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205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205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205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205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205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205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205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205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203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205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203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205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205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205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204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203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203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203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204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203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203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203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205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204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205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203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205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205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203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203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205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205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205</v>
      </c>
      <c r="D8997" s="31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203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205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203</v>
      </c>
      <c r="D9000" s="31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203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203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204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203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203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204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204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205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203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205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205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205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203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205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205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203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205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205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203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204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205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203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205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203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203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203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205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203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205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203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203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205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205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205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204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203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205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205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205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205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203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203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205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205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203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204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204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203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205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203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203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203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203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203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203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205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205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205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203</v>
      </c>
      <c r="D9059" s="31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204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205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203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205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204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203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203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205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205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205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203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203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203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203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203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205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203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205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205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203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205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205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205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203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203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205</v>
      </c>
      <c r="D9085" s="31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205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203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205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205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204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205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205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203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205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205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205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205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205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203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204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205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205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205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205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205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203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203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203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203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203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203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203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203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204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203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203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203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205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203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205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205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203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203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203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204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205</v>
      </c>
      <c r="D9126" s="31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203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205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203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205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203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203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205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205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205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205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203</v>
      </c>
      <c r="D9137" s="31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205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205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205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203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205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205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205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204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203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205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205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204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205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205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205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205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203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203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205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203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205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205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203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205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204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205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205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205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205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205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203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203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203</v>
      </c>
      <c r="D9170" s="31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203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203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205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203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205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205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203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205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205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203</v>
      </c>
      <c r="D9180" s="31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203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203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205</v>
      </c>
      <c r="D9183" s="31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205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205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203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205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205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203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203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203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203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205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203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205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203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205</v>
      </c>
      <c r="D9197" s="31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203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203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205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205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205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205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203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205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205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205</v>
      </c>
      <c r="D9207" s="31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205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205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205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203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205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205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203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205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203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205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205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203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205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204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203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205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203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203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205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204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205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203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205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203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204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205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205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205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203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205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205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204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205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205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205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204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205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205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203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205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203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203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203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203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203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205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205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203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203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205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203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205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203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204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205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205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205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204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203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205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203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204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203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203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203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204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205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203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203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203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205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203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205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203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203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203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205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205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203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205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205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203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205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203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205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205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205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205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205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204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205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205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203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203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203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205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203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203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203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203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203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203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205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205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203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205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205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203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205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203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205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203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204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203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205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203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203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204</v>
      </c>
      <c r="D9325" s="31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203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205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204</v>
      </c>
      <c r="D9328" s="31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203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205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203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203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205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205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205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205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205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204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203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205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203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203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203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203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205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203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203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203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203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203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205</v>
      </c>
      <c r="D9351" s="3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205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205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203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203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203</v>
      </c>
      <c r="D9356" s="31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204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205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205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205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205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205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204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203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205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203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203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205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204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205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203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205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203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205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203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205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203</v>
      </c>
      <c r="D9377" s="31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205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205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203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205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203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205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205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205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203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203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203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205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205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205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203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205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203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205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205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205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205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205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203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203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204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205</v>
      </c>
      <c r="D9403" s="31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203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204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205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205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203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203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204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203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205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203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205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203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205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203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203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203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203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203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203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203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203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205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205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203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205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205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203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203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205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203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203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205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205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205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203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203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205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203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203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204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203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205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204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203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204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204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205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203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203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205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203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203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203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203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205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205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205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203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204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205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205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203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205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203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203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205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203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205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205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203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203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205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203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205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205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203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205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205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205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204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205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205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203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203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203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205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205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205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205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205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205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205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203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205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203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205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203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204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205</v>
      </c>
      <c r="D9502" s="31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205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203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205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205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203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203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205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205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205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205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204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203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205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205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203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205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203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203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205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205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203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205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204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205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203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205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205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205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205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204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203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205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205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203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203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205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205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203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203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204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203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205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205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203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203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205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205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205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203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205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205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205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203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203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203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203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204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203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205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205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203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203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205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203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205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205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205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203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205</v>
      </c>
      <c r="D9571" s="3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203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203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205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204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205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205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205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205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205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205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203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203</v>
      </c>
      <c r="D9583" s="31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204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203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205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203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205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205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205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203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204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203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203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203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205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203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205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205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205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205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205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203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203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203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205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203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203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205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205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205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203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205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205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205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203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204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205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203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205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205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203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203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203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205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205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203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203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205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205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205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203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205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205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205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205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205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203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204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205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203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205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203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203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205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203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205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205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205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203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203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203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203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203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205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205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203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203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205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203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204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204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203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205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203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205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203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205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205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203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205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204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203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205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203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204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205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205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205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203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203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205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205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203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205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203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203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205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205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205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205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203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205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204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203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205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205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204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205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204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204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205</v>
      </c>
      <c r="D9702" s="31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204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203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204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205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205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204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203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205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203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203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205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205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203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203</v>
      </c>
      <c r="D9716" s="31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205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205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205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205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203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205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205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203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205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203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205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205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205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205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203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205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205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203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203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205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205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205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205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205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203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203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203</v>
      </c>
      <c r="D9743" s="31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205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205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203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205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205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203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205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203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205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205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205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205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205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205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203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203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205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204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205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203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203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205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205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203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203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203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205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205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205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203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203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205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203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203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203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203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203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203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203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205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205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203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203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205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203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205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205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205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203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204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203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205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205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203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205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205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203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205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205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205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203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205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203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205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203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205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205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205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203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205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205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203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205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205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203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205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203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204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205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204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204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205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205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203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203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203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205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203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205</v>
      </c>
      <c r="D9832" s="31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203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205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205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203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204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205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203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203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205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203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205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205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203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205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205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203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203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205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205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204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205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203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204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203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203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205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205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203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203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205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203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205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205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205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203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205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205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205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204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205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203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205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203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203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205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205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203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205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203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205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205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205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205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205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203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205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204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205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205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205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203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205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205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205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205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205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203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203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204</v>
      </c>
      <c r="D9901" s="3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203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205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205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203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204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203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203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205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205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205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203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203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205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205</v>
      </c>
      <c r="D9915" s="31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204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203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203</v>
      </c>
      <c r="D9918" s="31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205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204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205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205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204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204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205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204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205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205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205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203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203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205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203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204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204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205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205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205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203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204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205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203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205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205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205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203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203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205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205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203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203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205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203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205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205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205</v>
      </c>
      <c r="D9956" s="31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205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203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205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205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203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203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205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205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205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205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203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205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203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203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205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205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203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203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205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205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205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205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204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205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203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205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205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203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203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205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205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204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203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203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205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205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205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205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205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203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205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203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205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204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203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205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203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203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205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203</v>
      </c>
      <c r="D10006" s="31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205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203</v>
      </c>
      <c r="D10008" s="31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204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205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205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205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203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205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203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204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205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205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203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205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205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205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203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203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205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203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205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205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203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205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205</v>
      </c>
      <c r="D10031" s="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203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203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205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203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205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205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204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205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203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203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204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205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203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205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205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203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203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203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205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204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203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205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203</v>
      </c>
      <c r="D10054" s="31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204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204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203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205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205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205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205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203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205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203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204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205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205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205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205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203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205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203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203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204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203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203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205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203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205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205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205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205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203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205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203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203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203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205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205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205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203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204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205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205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205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203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205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205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205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205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205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204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203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203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203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203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203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203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205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205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203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205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205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203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205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203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205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203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203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205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205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203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205</v>
      </c>
      <c r="D10123" s="31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203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205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203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205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205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205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203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204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203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204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203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205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203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205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203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205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204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205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205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203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204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204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205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203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205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204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205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205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205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205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205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203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205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203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205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203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205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205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205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205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205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205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205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205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205</v>
      </c>
      <c r="D10168" s="31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203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205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203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205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203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203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205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204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205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205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204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205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205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203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203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205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203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205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203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203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203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204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205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205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205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203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204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205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205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205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205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203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205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203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205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203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203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205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205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203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205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205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203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205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205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203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203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203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205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205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204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205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204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205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203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203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204</v>
      </c>
      <c r="D10225" s="31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205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203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205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205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205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205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203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205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203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205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203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203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205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205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203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203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204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203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205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204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203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205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205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205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205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205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204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204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205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205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203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203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203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205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205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203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205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203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203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205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205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203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203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203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204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205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203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205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203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204</v>
      </c>
      <c r="D10275" s="31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203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204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204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203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205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205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205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205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205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203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205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205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205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203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205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205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203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203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205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203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205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205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205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203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205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205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203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205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203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204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205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205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203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203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203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203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203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205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205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203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203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205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205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203</v>
      </c>
      <c r="D10319" s="31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204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203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205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205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203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203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205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203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205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205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203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205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203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205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203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203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203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205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203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203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203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203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205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203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205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205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205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205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203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204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205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203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204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205</v>
      </c>
      <c r="D10353" s="31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205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203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203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205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205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203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205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203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205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205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203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205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203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205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205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205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205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203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203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205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203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203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205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203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203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205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203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205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203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205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203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203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203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203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203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203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205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205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205</v>
      </c>
      <c r="D10392" s="31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203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205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205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205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203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204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203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203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205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203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203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203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203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205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205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205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205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204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205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203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205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203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205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203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203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205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205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205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205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204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203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205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203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203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203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203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203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203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203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203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205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205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205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204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203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203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205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203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203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203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203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203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205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204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205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203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203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205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203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205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205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203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203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205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205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205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203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205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204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205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203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204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205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203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205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203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203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203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204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205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205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205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205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205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203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203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203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205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204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203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205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203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205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205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205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203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205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203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205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205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203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205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205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205</v>
      </c>
      <c r="D10496" s="31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204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205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204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203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205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203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205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205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205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203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205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205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205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203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205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205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204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203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205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205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203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203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204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205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203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203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205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204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203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203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205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205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205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205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205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203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203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205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203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204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203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205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205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205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205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203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203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203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203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205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205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205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203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203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205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204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205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205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205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205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203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205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205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205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205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203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205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205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205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205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204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203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205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205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205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205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205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205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205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204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205</v>
      </c>
      <c r="D10577" s="31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205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205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204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203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205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205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203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205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203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205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203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203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205</v>
      </c>
      <c r="D10590" s="31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205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205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205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205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205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205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205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205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205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205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205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203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204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205</v>
      </c>
      <c r="D10604" s="31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203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205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203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205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203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205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204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203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204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203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205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205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205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204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203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203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205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205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205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205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205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203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203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203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205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205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205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205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203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205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203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203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205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205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203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203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203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203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203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205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205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205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205</v>
      </c>
      <c r="D10647" s="31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203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203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205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203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203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203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205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203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205</v>
      </c>
      <c r="D10656" s="31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203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203</v>
      </c>
      <c r="D10658" s="31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205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205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203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203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205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205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203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205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205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205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204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205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205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205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203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205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205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205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205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205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203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205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205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205</v>
      </c>
      <c r="D10682" s="31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203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203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204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205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203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205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203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203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205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205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203</v>
      </c>
      <c r="D10693" s="31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205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205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205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205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205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205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203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205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205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203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203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203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205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205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205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205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204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205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203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205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205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204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205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203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203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205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205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203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205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205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205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203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203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205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205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204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205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203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203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203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205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205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205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203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205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205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205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203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205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203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205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204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203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203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205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205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205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205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205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205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204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205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203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204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203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205</v>
      </c>
      <c r="D10759" s="31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205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203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205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203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205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203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205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205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203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205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203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205</v>
      </c>
      <c r="D10771" s="3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204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203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203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203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205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205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205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205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205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203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205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205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205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203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204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205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203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203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203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203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203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203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203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205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205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205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205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205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203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204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205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205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205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203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203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203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203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203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205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205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203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205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205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205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203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205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205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205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205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205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205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205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203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205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203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203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203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205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205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204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203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203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205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205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205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205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205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203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203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205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205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205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205</v>
      </c>
      <c r="D10844" s="31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205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204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203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203</v>
      </c>
      <c r="D10848" s="31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203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205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205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205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203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203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205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205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203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203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203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205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203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204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203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205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203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204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203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205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205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205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204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204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204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203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203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203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205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203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203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205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203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205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205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205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205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205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203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203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205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203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203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203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205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205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205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203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205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205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203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203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205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205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205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205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205</v>
      </c>
      <c r="D10905" s="31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203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203</v>
      </c>
      <c r="D10907" s="31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205</v>
      </c>
      <c r="D10908" s="31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205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205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205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203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205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205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205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205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205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205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205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205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203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205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203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203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205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205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203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204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203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205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205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203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203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203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205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205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205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205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205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205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204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203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205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205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203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205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203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203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205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204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205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203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203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205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205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205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203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203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203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205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203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205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203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203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204</v>
      </c>
      <c r="D10965" s="31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204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203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204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205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205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205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203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205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204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205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203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203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203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205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203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205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205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204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203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205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205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204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205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205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205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203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203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205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205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204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205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203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203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203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205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203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205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205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205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205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205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205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205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203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205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203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203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205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204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205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204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203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205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203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204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204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203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205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204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203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205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204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203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204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203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205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205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203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203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205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203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203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205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205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205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203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205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204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203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205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205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205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203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205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205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205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203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205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203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203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205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205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205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205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205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205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205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205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205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203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204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205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204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204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203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203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205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205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205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205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205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203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203</v>
      </c>
      <c r="D11078" s="31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203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205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205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205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205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203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203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205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203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205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205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203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205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205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205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205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205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203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205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203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203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203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205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203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203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205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205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203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203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203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203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205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203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203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204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203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203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205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205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205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203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203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205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203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205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205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205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203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203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204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203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204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203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203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205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203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204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203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205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205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205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205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204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205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203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204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203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203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203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205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205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205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205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205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203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203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205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205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205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203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203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205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205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205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205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203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205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205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205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203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203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203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205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205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205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205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205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203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205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204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204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205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205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205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203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203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204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203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203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205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205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205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205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204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205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205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203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205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205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203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205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205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203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203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205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205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205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205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203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205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203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204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203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203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203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203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203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203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203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203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203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203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203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205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205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205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205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203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203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203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204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205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203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205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205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203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204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203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203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203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203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205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205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205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205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203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203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205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203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205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203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203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203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205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203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203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205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204</v>
      </c>
      <c r="D11256" s="31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204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203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205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205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204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205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203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205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205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205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203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203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205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205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203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205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204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203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205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204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205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203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203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203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203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205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205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205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203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203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204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205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204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203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203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203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205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204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203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203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205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205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205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203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204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205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203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205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205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205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205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205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205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205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203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205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205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203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203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205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204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205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205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203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203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204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203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203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203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203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205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205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205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203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203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205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204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205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203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203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205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205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205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205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205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205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204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203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205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205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205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204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203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203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203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203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205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203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205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203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203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203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204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205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205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205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203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203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203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205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205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205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205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203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203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205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203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203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203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203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203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203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205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205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203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203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205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203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205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205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204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205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205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205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205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205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205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205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205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205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205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205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205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203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205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203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205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203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205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203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203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205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205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205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203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204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203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204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203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203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203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203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203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203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205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203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205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205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205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205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203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205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203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205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205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203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205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205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205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203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203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205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203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205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203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205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205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205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205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203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205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205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203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205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203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205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203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204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205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203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203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203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205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203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205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205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205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205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203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203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205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205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205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205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204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203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203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203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203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205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203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205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203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205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205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205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203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203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203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203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203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205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205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205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204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205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203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205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203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205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203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203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204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205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205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205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205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205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203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205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205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203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203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205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204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203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205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203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205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205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205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203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205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203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205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204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203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205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205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205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203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203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204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203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204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205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205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203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205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203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205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205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205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203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203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205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203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203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203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203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205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205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203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203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204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203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205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203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204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204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205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203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205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203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205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203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205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205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205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205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205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205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205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205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204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205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205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205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205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205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203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205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205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203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203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203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203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205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203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205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205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203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203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203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205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204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203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203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205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205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203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205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203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205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205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203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203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205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205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205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204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203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205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205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203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205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203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205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205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203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203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205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203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205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203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205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204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203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205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204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205</v>
      </c>
      <c r="D11627" s="31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205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204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203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205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203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203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205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203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205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204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205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205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203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205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203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203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203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205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203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203</v>
      </c>
      <c r="D11647" s="31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204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203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203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205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203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205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203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205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203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203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203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205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205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205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203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205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205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205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205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204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205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205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205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205</v>
      </c>
      <c r="D11671" s="31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203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203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205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204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204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203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203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205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205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205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203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205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204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205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205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205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203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203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205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203</v>
      </c>
      <c r="D11691" s="3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203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203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205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205</v>
      </c>
      <c r="D11695" s="31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204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204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205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205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205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203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204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204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205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203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205</v>
      </c>
      <c r="D11706" s="31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203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204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203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203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205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205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203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203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205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205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205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205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205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205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205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203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203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205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205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203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205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205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205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203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205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203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203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203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204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203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203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205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205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203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205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205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203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205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205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205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205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203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204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203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204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205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205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203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205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205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203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203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203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205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205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205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205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204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203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203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205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203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203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205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203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205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203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203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205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205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203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203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203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203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203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205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203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205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203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205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203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205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203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205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205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205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205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205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204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203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205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204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205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205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205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205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203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204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203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205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204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205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203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203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203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203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205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203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203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205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203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203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203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203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205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203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205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203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203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205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205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205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203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204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205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203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203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205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205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205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205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205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203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205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204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205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205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205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203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205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205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205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203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203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205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205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205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205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204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205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204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203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205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203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203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205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204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204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203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203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203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205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205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203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205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203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204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205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205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203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203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204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205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203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205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205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205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205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203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203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205</v>
      </c>
      <c r="D11887" s="31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205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203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205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203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203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204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203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205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203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205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205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203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205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204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203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205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204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203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203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205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203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203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205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205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205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203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203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203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204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205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205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205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203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203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205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204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205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205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203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205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203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205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205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205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203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205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203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203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203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203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205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204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205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203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204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205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203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205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203</v>
      </c>
      <c r="D11946" s="31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205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205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203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205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205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205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203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204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205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205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203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203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205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203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205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203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203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203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205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203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205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203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203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205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205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203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205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205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205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205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205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204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203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205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203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203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203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205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205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203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205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203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205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205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203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203</v>
      </c>
      <c r="D11992" s="31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205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203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203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205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203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203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205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205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203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203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203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205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205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205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203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205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204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203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203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203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205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205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205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203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203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205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203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203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203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203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205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205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205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203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205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203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203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203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203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205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205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203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205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205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205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203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203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205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203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203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205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205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203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205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205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205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203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203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205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205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203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205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205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203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203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203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205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203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205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205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204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203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205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203</v>
      </c>
      <c r="D12066" s="31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205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203</v>
      </c>
      <c r="D12068" s="31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203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203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205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205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205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204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203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205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205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203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205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204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203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205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205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203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203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203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203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205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205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205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205</v>
      </c>
      <c r="D12091" s="3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203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205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205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205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203</v>
      </c>
      <c r="D12096" s="31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204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205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203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205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205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204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203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203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204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205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205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205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204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205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205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204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205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205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205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203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203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205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205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203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203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203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205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204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203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205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204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205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204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205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205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204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203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203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205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205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203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205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203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203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203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205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203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205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205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203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203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203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205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205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205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205</v>
      </c>
      <c r="D12152" s="31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205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205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205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205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203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205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205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205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203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203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203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203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204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205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205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204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203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203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205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205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203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203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205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204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203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205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203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203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204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203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205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203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203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205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205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203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205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205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205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203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203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205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205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203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203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205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205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205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203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205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204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205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203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205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205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204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205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205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203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203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205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205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203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203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205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205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205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203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203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205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203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203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203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203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204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203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205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205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203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203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205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203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205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203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203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205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204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205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203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203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205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205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205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205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203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205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203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203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203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204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205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205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204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203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203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205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205</v>
      </c>
      <c r="D12259" s="31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204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204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203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239</v>
      </c>
      <c r="B1" t="s">
        <v>238</v>
      </c>
      <c r="C1" t="s">
        <v>237</v>
      </c>
      <c r="D1" t="s">
        <v>236</v>
      </c>
      <c r="E1" t="s">
        <v>235</v>
      </c>
      <c r="F1" t="s">
        <v>234</v>
      </c>
      <c r="G1" t="s">
        <v>233</v>
      </c>
      <c r="H1" t="s">
        <v>232</v>
      </c>
      <c r="I1" t="s">
        <v>231</v>
      </c>
      <c r="J1" t="s">
        <v>230</v>
      </c>
      <c r="K1" t="s">
        <v>229</v>
      </c>
      <c r="L1" t="s">
        <v>228</v>
      </c>
      <c r="M1" t="s">
        <v>227</v>
      </c>
      <c r="N1" t="s">
        <v>226</v>
      </c>
      <c r="O1" t="s">
        <v>225</v>
      </c>
      <c r="P1" t="s">
        <v>224</v>
      </c>
      <c r="Q1" t="s">
        <v>223</v>
      </c>
      <c r="R1" t="s">
        <v>222</v>
      </c>
      <c r="S1" t="s">
        <v>221</v>
      </c>
      <c r="T1" t="s">
        <v>220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215</v>
      </c>
      <c r="O2" t="s">
        <v>217</v>
      </c>
      <c r="P2">
        <v>446</v>
      </c>
      <c r="Q2">
        <v>33</v>
      </c>
      <c r="R2">
        <v>20</v>
      </c>
      <c r="S2" t="s">
        <v>219</v>
      </c>
      <c r="T2" t="s">
        <v>215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218</v>
      </c>
      <c r="O3" t="s">
        <v>216</v>
      </c>
      <c r="P3">
        <v>632</v>
      </c>
      <c r="Q3">
        <v>43</v>
      </c>
      <c r="R3">
        <v>10</v>
      </c>
      <c r="S3">
        <v>475</v>
      </c>
      <c r="T3" t="s">
        <v>218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215</v>
      </c>
      <c r="O4" t="s">
        <v>216</v>
      </c>
      <c r="P4">
        <v>880</v>
      </c>
      <c r="Q4">
        <v>82</v>
      </c>
      <c r="R4">
        <v>14</v>
      </c>
      <c r="S4">
        <v>480</v>
      </c>
      <c r="T4" t="s">
        <v>215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218</v>
      </c>
      <c r="O5" t="s">
        <v>217</v>
      </c>
      <c r="P5">
        <v>200</v>
      </c>
      <c r="Q5">
        <v>11</v>
      </c>
      <c r="R5">
        <v>3</v>
      </c>
      <c r="S5">
        <v>500</v>
      </c>
      <c r="T5" t="s">
        <v>218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218</v>
      </c>
      <c r="O6" t="s">
        <v>217</v>
      </c>
      <c r="P6">
        <v>805</v>
      </c>
      <c r="Q6">
        <v>40</v>
      </c>
      <c r="R6">
        <v>4</v>
      </c>
      <c r="S6">
        <v>91.5</v>
      </c>
      <c r="T6" t="s">
        <v>218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215</v>
      </c>
      <c r="O7" t="s">
        <v>216</v>
      </c>
      <c r="P7">
        <v>282</v>
      </c>
      <c r="Q7">
        <v>421</v>
      </c>
      <c r="R7">
        <v>25</v>
      </c>
      <c r="S7">
        <v>750</v>
      </c>
      <c r="T7" t="s">
        <v>215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218</v>
      </c>
      <c r="O8" t="s">
        <v>217</v>
      </c>
      <c r="P8">
        <v>76</v>
      </c>
      <c r="Q8">
        <v>127</v>
      </c>
      <c r="R8">
        <v>7</v>
      </c>
      <c r="S8">
        <v>70</v>
      </c>
      <c r="T8" t="s">
        <v>215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215</v>
      </c>
      <c r="O9" t="s">
        <v>216</v>
      </c>
      <c r="P9">
        <v>121</v>
      </c>
      <c r="Q9">
        <v>283</v>
      </c>
      <c r="R9">
        <v>9</v>
      </c>
      <c r="S9">
        <v>100</v>
      </c>
      <c r="T9" t="s">
        <v>215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218</v>
      </c>
      <c r="O10" t="s">
        <v>216</v>
      </c>
      <c r="P10">
        <v>143</v>
      </c>
      <c r="Q10">
        <v>290</v>
      </c>
      <c r="R10">
        <v>19</v>
      </c>
      <c r="S10">
        <v>75</v>
      </c>
      <c r="T10" t="s">
        <v>218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215</v>
      </c>
      <c r="O11" t="s">
        <v>217</v>
      </c>
      <c r="P11">
        <v>0</v>
      </c>
      <c r="Q11">
        <v>0</v>
      </c>
      <c r="R11">
        <v>0</v>
      </c>
      <c r="S11">
        <v>1100</v>
      </c>
      <c r="T11" t="s">
        <v>215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215</v>
      </c>
      <c r="O12" t="s">
        <v>217</v>
      </c>
      <c r="P12">
        <v>238</v>
      </c>
      <c r="Q12">
        <v>445</v>
      </c>
      <c r="R12">
        <v>22</v>
      </c>
      <c r="S12">
        <v>517.14300000000003</v>
      </c>
      <c r="T12" t="s">
        <v>215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218</v>
      </c>
      <c r="O13" t="s">
        <v>216</v>
      </c>
      <c r="P13">
        <v>304</v>
      </c>
      <c r="Q13">
        <v>45</v>
      </c>
      <c r="R13">
        <v>11</v>
      </c>
      <c r="S13">
        <v>512.5</v>
      </c>
      <c r="T13" t="s">
        <v>218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218</v>
      </c>
      <c r="O14" t="s">
        <v>217</v>
      </c>
      <c r="P14">
        <v>211</v>
      </c>
      <c r="Q14">
        <v>11</v>
      </c>
      <c r="R14">
        <v>7</v>
      </c>
      <c r="S14">
        <v>550</v>
      </c>
      <c r="T14" t="s">
        <v>218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215</v>
      </c>
      <c r="O15" t="s">
        <v>217</v>
      </c>
      <c r="P15">
        <v>121</v>
      </c>
      <c r="Q15">
        <v>151</v>
      </c>
      <c r="R15">
        <v>6</v>
      </c>
      <c r="S15">
        <v>700</v>
      </c>
      <c r="T15" t="s">
        <v>215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218</v>
      </c>
      <c r="O16" t="s">
        <v>217</v>
      </c>
      <c r="P16">
        <v>80</v>
      </c>
      <c r="Q16">
        <v>45</v>
      </c>
      <c r="R16">
        <v>8</v>
      </c>
      <c r="S16">
        <v>240</v>
      </c>
      <c r="T16" t="s">
        <v>218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215</v>
      </c>
      <c r="O17" t="s">
        <v>216</v>
      </c>
      <c r="P17">
        <v>118</v>
      </c>
      <c r="Q17">
        <v>0</v>
      </c>
      <c r="R17">
        <v>0</v>
      </c>
      <c r="S17" t="s">
        <v>219</v>
      </c>
      <c r="T17" t="s">
        <v>215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218</v>
      </c>
      <c r="O18" t="s">
        <v>216</v>
      </c>
      <c r="P18">
        <v>105</v>
      </c>
      <c r="Q18">
        <v>290</v>
      </c>
      <c r="R18">
        <v>10</v>
      </c>
      <c r="S18">
        <v>775</v>
      </c>
      <c r="T18" t="s">
        <v>218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215</v>
      </c>
      <c r="O19" t="s">
        <v>216</v>
      </c>
      <c r="P19">
        <v>102</v>
      </c>
      <c r="Q19">
        <v>177</v>
      </c>
      <c r="R19">
        <v>16</v>
      </c>
      <c r="S19">
        <v>175</v>
      </c>
      <c r="T19" t="s">
        <v>215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215</v>
      </c>
      <c r="O20" t="s">
        <v>216</v>
      </c>
      <c r="P20">
        <v>912</v>
      </c>
      <c r="Q20">
        <v>88</v>
      </c>
      <c r="R20">
        <v>9</v>
      </c>
      <c r="S20" t="s">
        <v>219</v>
      </c>
      <c r="T20" t="s">
        <v>215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218</v>
      </c>
      <c r="O21" t="s">
        <v>216</v>
      </c>
      <c r="P21">
        <v>202</v>
      </c>
      <c r="Q21">
        <v>22</v>
      </c>
      <c r="R21">
        <v>2</v>
      </c>
      <c r="S21">
        <v>135</v>
      </c>
      <c r="T21" t="s">
        <v>218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218</v>
      </c>
      <c r="O22" t="s">
        <v>217</v>
      </c>
      <c r="P22">
        <v>280</v>
      </c>
      <c r="Q22">
        <v>9</v>
      </c>
      <c r="R22">
        <v>5</v>
      </c>
      <c r="S22">
        <v>100</v>
      </c>
      <c r="T22" t="s">
        <v>218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215</v>
      </c>
      <c r="O23" t="s">
        <v>216</v>
      </c>
      <c r="P23">
        <v>361</v>
      </c>
      <c r="Q23">
        <v>22</v>
      </c>
      <c r="R23">
        <v>2</v>
      </c>
      <c r="S23">
        <v>115</v>
      </c>
      <c r="T23" t="s">
        <v>218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215</v>
      </c>
      <c r="O24" t="s">
        <v>216</v>
      </c>
      <c r="P24">
        <v>812</v>
      </c>
      <c r="Q24">
        <v>84</v>
      </c>
      <c r="R24">
        <v>11</v>
      </c>
      <c r="S24" t="s">
        <v>219</v>
      </c>
      <c r="T24" t="s">
        <v>215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218</v>
      </c>
      <c r="O25" t="s">
        <v>216</v>
      </c>
      <c r="P25">
        <v>518</v>
      </c>
      <c r="Q25">
        <v>55</v>
      </c>
      <c r="R25">
        <v>3</v>
      </c>
      <c r="S25">
        <v>600</v>
      </c>
      <c r="T25" t="s">
        <v>218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215</v>
      </c>
      <c r="O26" t="s">
        <v>217</v>
      </c>
      <c r="P26">
        <v>1067</v>
      </c>
      <c r="Q26">
        <v>157</v>
      </c>
      <c r="R26">
        <v>14</v>
      </c>
      <c r="S26">
        <v>776.66700000000003</v>
      </c>
      <c r="T26" t="s">
        <v>215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215</v>
      </c>
      <c r="O27" t="s">
        <v>217</v>
      </c>
      <c r="P27">
        <v>434</v>
      </c>
      <c r="Q27">
        <v>9</v>
      </c>
      <c r="R27">
        <v>3</v>
      </c>
      <c r="S27">
        <v>765</v>
      </c>
      <c r="T27" t="s">
        <v>215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218</v>
      </c>
      <c r="O28" t="s">
        <v>217</v>
      </c>
      <c r="P28">
        <v>222</v>
      </c>
      <c r="Q28">
        <v>3</v>
      </c>
      <c r="R28">
        <v>3</v>
      </c>
      <c r="S28">
        <v>708.33299999999997</v>
      </c>
      <c r="T28" t="s">
        <v>218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218</v>
      </c>
      <c r="O29" t="s">
        <v>216</v>
      </c>
      <c r="P29">
        <v>732</v>
      </c>
      <c r="Q29">
        <v>83</v>
      </c>
      <c r="R29">
        <v>13</v>
      </c>
      <c r="S29">
        <v>750</v>
      </c>
      <c r="T29" t="s">
        <v>218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218</v>
      </c>
      <c r="O30" t="s">
        <v>216</v>
      </c>
      <c r="P30">
        <v>262</v>
      </c>
      <c r="Q30">
        <v>329</v>
      </c>
      <c r="R30">
        <v>16</v>
      </c>
      <c r="S30">
        <v>625</v>
      </c>
      <c r="T30" t="s">
        <v>218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215</v>
      </c>
      <c r="O31" t="s">
        <v>216</v>
      </c>
      <c r="P31">
        <v>267</v>
      </c>
      <c r="Q31">
        <v>5</v>
      </c>
      <c r="R31">
        <v>3</v>
      </c>
      <c r="S31">
        <v>900</v>
      </c>
      <c r="T31" t="s">
        <v>215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215</v>
      </c>
      <c r="O32" t="s">
        <v>216</v>
      </c>
      <c r="P32">
        <v>127</v>
      </c>
      <c r="Q32">
        <v>221</v>
      </c>
      <c r="R32">
        <v>7</v>
      </c>
      <c r="S32" t="s">
        <v>219</v>
      </c>
      <c r="T32" t="s">
        <v>215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218</v>
      </c>
      <c r="O33" t="s">
        <v>216</v>
      </c>
      <c r="P33">
        <v>226</v>
      </c>
      <c r="Q33">
        <v>7</v>
      </c>
      <c r="R33">
        <v>4</v>
      </c>
      <c r="S33">
        <v>110</v>
      </c>
      <c r="T33" t="s">
        <v>218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218</v>
      </c>
      <c r="O34" t="s">
        <v>216</v>
      </c>
      <c r="P34">
        <v>1378</v>
      </c>
      <c r="Q34">
        <v>102</v>
      </c>
      <c r="R34">
        <v>8</v>
      </c>
      <c r="S34" t="s">
        <v>219</v>
      </c>
      <c r="T34" t="s">
        <v>218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215</v>
      </c>
      <c r="O35" t="s">
        <v>217</v>
      </c>
      <c r="P35">
        <v>109</v>
      </c>
      <c r="Q35">
        <v>292</v>
      </c>
      <c r="R35">
        <v>25</v>
      </c>
      <c r="S35">
        <v>612.5</v>
      </c>
      <c r="T35" t="s">
        <v>215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215</v>
      </c>
      <c r="O36" t="s">
        <v>216</v>
      </c>
      <c r="P36">
        <v>419</v>
      </c>
      <c r="Q36">
        <v>46</v>
      </c>
      <c r="R36">
        <v>5</v>
      </c>
      <c r="S36">
        <v>300</v>
      </c>
      <c r="T36" t="s">
        <v>215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218</v>
      </c>
      <c r="O37" t="s">
        <v>216</v>
      </c>
      <c r="P37">
        <v>72</v>
      </c>
      <c r="Q37">
        <v>170</v>
      </c>
      <c r="R37">
        <v>24</v>
      </c>
      <c r="S37">
        <v>850</v>
      </c>
      <c r="T37" t="s">
        <v>218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215</v>
      </c>
      <c r="O38" t="s">
        <v>217</v>
      </c>
      <c r="P38">
        <v>70</v>
      </c>
      <c r="Q38">
        <v>149</v>
      </c>
      <c r="R38">
        <v>12</v>
      </c>
      <c r="S38" t="s">
        <v>219</v>
      </c>
      <c r="T38" t="s">
        <v>215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218</v>
      </c>
      <c r="O39" t="s">
        <v>216</v>
      </c>
      <c r="P39">
        <v>442</v>
      </c>
      <c r="Q39">
        <v>59</v>
      </c>
      <c r="R39">
        <v>6</v>
      </c>
      <c r="S39">
        <v>90</v>
      </c>
      <c r="T39" t="s">
        <v>218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215</v>
      </c>
      <c r="O40" t="s">
        <v>217</v>
      </c>
      <c r="P40">
        <v>0</v>
      </c>
      <c r="Q40">
        <v>0</v>
      </c>
      <c r="R40">
        <v>0</v>
      </c>
      <c r="S40" t="s">
        <v>219</v>
      </c>
      <c r="T40" t="s">
        <v>215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218</v>
      </c>
      <c r="O41" t="s">
        <v>216</v>
      </c>
      <c r="P41">
        <v>166</v>
      </c>
      <c r="Q41">
        <v>172</v>
      </c>
      <c r="R41">
        <v>10</v>
      </c>
      <c r="S41" t="s">
        <v>219</v>
      </c>
      <c r="T41" t="s">
        <v>218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215</v>
      </c>
      <c r="O42" t="s">
        <v>217</v>
      </c>
      <c r="P42">
        <v>326</v>
      </c>
      <c r="Q42">
        <v>29</v>
      </c>
      <c r="R42">
        <v>5</v>
      </c>
      <c r="S42">
        <v>67.5</v>
      </c>
      <c r="T42" t="s">
        <v>215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218</v>
      </c>
      <c r="O43" t="s">
        <v>216</v>
      </c>
      <c r="P43">
        <v>103</v>
      </c>
      <c r="Q43">
        <v>84</v>
      </c>
      <c r="R43">
        <v>5</v>
      </c>
      <c r="S43" t="s">
        <v>219</v>
      </c>
      <c r="T43" t="s">
        <v>218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218</v>
      </c>
      <c r="O44" t="s">
        <v>216</v>
      </c>
      <c r="P44">
        <v>69</v>
      </c>
      <c r="Q44">
        <v>1</v>
      </c>
      <c r="R44">
        <v>1</v>
      </c>
      <c r="S44" t="s">
        <v>219</v>
      </c>
      <c r="T44" t="s">
        <v>218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215</v>
      </c>
      <c r="O45" t="s">
        <v>217</v>
      </c>
      <c r="P45">
        <v>307</v>
      </c>
      <c r="Q45">
        <v>25</v>
      </c>
      <c r="R45">
        <v>1</v>
      </c>
      <c r="S45">
        <v>180</v>
      </c>
      <c r="T45" t="s">
        <v>215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215</v>
      </c>
      <c r="O46" t="s">
        <v>217</v>
      </c>
      <c r="P46">
        <v>325</v>
      </c>
      <c r="Q46">
        <v>22</v>
      </c>
      <c r="R46">
        <v>2</v>
      </c>
      <c r="S46" t="s">
        <v>219</v>
      </c>
      <c r="T46" t="s">
        <v>215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215</v>
      </c>
      <c r="O47" t="s">
        <v>217</v>
      </c>
      <c r="P47">
        <v>359</v>
      </c>
      <c r="Q47">
        <v>30</v>
      </c>
      <c r="R47">
        <v>4</v>
      </c>
      <c r="S47">
        <v>305</v>
      </c>
      <c r="T47" t="s">
        <v>215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218</v>
      </c>
      <c r="O48" t="s">
        <v>216</v>
      </c>
      <c r="P48">
        <v>73</v>
      </c>
      <c r="Q48">
        <v>177</v>
      </c>
      <c r="R48">
        <v>18</v>
      </c>
      <c r="S48">
        <v>215</v>
      </c>
      <c r="T48" t="s">
        <v>218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215</v>
      </c>
      <c r="O49" t="s">
        <v>217</v>
      </c>
      <c r="P49">
        <v>58</v>
      </c>
      <c r="Q49">
        <v>4</v>
      </c>
      <c r="R49">
        <v>4</v>
      </c>
      <c r="S49">
        <v>247.5</v>
      </c>
      <c r="T49" t="s">
        <v>215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215</v>
      </c>
      <c r="O50" t="s">
        <v>217</v>
      </c>
      <c r="P50">
        <v>697</v>
      </c>
      <c r="Q50">
        <v>61</v>
      </c>
      <c r="R50">
        <v>9</v>
      </c>
      <c r="S50" t="s">
        <v>219</v>
      </c>
      <c r="T50" t="s">
        <v>215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218</v>
      </c>
      <c r="O51" t="s">
        <v>216</v>
      </c>
      <c r="P51">
        <v>303</v>
      </c>
      <c r="Q51">
        <v>9</v>
      </c>
      <c r="R51">
        <v>9</v>
      </c>
      <c r="S51">
        <v>815</v>
      </c>
      <c r="T51" t="s">
        <v>218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215</v>
      </c>
      <c r="O52" t="s">
        <v>216</v>
      </c>
      <c r="P52">
        <v>389</v>
      </c>
      <c r="Q52">
        <v>39</v>
      </c>
      <c r="R52">
        <v>4</v>
      </c>
      <c r="S52">
        <v>875</v>
      </c>
      <c r="T52" t="s">
        <v>215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218</v>
      </c>
      <c r="O53" t="s">
        <v>217</v>
      </c>
      <c r="P53">
        <v>109</v>
      </c>
      <c r="Q53">
        <v>7</v>
      </c>
      <c r="R53">
        <v>3</v>
      </c>
      <c r="S53">
        <v>70</v>
      </c>
      <c r="T53" t="s">
        <v>218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215</v>
      </c>
      <c r="O54" t="s">
        <v>217</v>
      </c>
      <c r="P54">
        <v>0</v>
      </c>
      <c r="Q54">
        <v>0</v>
      </c>
      <c r="R54">
        <v>0</v>
      </c>
      <c r="S54" t="s">
        <v>219</v>
      </c>
      <c r="T54" t="s">
        <v>215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215</v>
      </c>
      <c r="O55" t="s">
        <v>216</v>
      </c>
      <c r="P55">
        <v>67</v>
      </c>
      <c r="Q55">
        <v>147</v>
      </c>
      <c r="R55">
        <v>4</v>
      </c>
      <c r="S55">
        <v>1200</v>
      </c>
      <c r="T55" t="s">
        <v>215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215</v>
      </c>
      <c r="O56" t="s">
        <v>217</v>
      </c>
      <c r="P56">
        <v>316</v>
      </c>
      <c r="Q56">
        <v>6</v>
      </c>
      <c r="R56">
        <v>5</v>
      </c>
      <c r="S56">
        <v>675</v>
      </c>
      <c r="T56" t="s">
        <v>215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218</v>
      </c>
      <c r="O57" t="s">
        <v>216</v>
      </c>
      <c r="P57">
        <v>161</v>
      </c>
      <c r="Q57">
        <v>10</v>
      </c>
      <c r="R57">
        <v>3</v>
      </c>
      <c r="S57">
        <v>415</v>
      </c>
      <c r="T57" t="s">
        <v>218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218</v>
      </c>
      <c r="O58" t="s">
        <v>216</v>
      </c>
      <c r="P58">
        <v>142</v>
      </c>
      <c r="Q58">
        <v>14</v>
      </c>
      <c r="R58">
        <v>2</v>
      </c>
      <c r="S58">
        <v>340</v>
      </c>
      <c r="T58" t="s">
        <v>218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215</v>
      </c>
      <c r="O59" t="s">
        <v>217</v>
      </c>
      <c r="P59">
        <v>425</v>
      </c>
      <c r="Q59">
        <v>43</v>
      </c>
      <c r="R59">
        <v>4</v>
      </c>
      <c r="S59" t="s">
        <v>219</v>
      </c>
      <c r="T59" t="s">
        <v>215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218</v>
      </c>
      <c r="O60" t="s">
        <v>216</v>
      </c>
      <c r="P60">
        <v>106</v>
      </c>
      <c r="Q60">
        <v>206</v>
      </c>
      <c r="R60">
        <v>7</v>
      </c>
      <c r="S60">
        <v>416.66699999999997</v>
      </c>
      <c r="T60" t="s">
        <v>218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215</v>
      </c>
      <c r="O61" t="s">
        <v>217</v>
      </c>
      <c r="P61">
        <v>240</v>
      </c>
      <c r="Q61">
        <v>482</v>
      </c>
      <c r="R61">
        <v>13</v>
      </c>
      <c r="S61">
        <v>1350</v>
      </c>
      <c r="T61" t="s">
        <v>215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215</v>
      </c>
      <c r="O62" t="s">
        <v>217</v>
      </c>
      <c r="P62">
        <v>203</v>
      </c>
      <c r="Q62">
        <v>70</v>
      </c>
      <c r="R62">
        <v>10</v>
      </c>
      <c r="S62">
        <v>90</v>
      </c>
      <c r="T62" t="s">
        <v>215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218</v>
      </c>
      <c r="O63" t="s">
        <v>217</v>
      </c>
      <c r="P63">
        <v>53</v>
      </c>
      <c r="Q63">
        <v>88</v>
      </c>
      <c r="R63">
        <v>3</v>
      </c>
      <c r="S63">
        <v>275</v>
      </c>
      <c r="T63" t="s">
        <v>218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215</v>
      </c>
      <c r="O64" t="s">
        <v>216</v>
      </c>
      <c r="P64">
        <v>125</v>
      </c>
      <c r="Q64">
        <v>199</v>
      </c>
      <c r="R64">
        <v>13</v>
      </c>
      <c r="S64">
        <v>230</v>
      </c>
      <c r="T64" t="s">
        <v>215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218</v>
      </c>
      <c r="O65" t="s">
        <v>216</v>
      </c>
      <c r="P65">
        <v>73</v>
      </c>
      <c r="Q65">
        <v>152</v>
      </c>
      <c r="R65">
        <v>11</v>
      </c>
      <c r="S65">
        <v>225</v>
      </c>
      <c r="T65" t="s">
        <v>218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215</v>
      </c>
      <c r="O66" t="s">
        <v>216</v>
      </c>
      <c r="P66">
        <v>80</v>
      </c>
      <c r="Q66">
        <v>4</v>
      </c>
      <c r="R66">
        <v>0</v>
      </c>
      <c r="S66" t="s">
        <v>219</v>
      </c>
      <c r="T66" t="s">
        <v>215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215</v>
      </c>
      <c r="O67" t="s">
        <v>217</v>
      </c>
      <c r="P67">
        <v>0</v>
      </c>
      <c r="Q67">
        <v>0</v>
      </c>
      <c r="R67">
        <v>0</v>
      </c>
      <c r="S67">
        <v>950</v>
      </c>
      <c r="T67" t="s">
        <v>215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218</v>
      </c>
      <c r="O68" t="s">
        <v>217</v>
      </c>
      <c r="P68">
        <v>391</v>
      </c>
      <c r="Q68">
        <v>38</v>
      </c>
      <c r="R68">
        <v>8</v>
      </c>
      <c r="S68" t="s">
        <v>219</v>
      </c>
      <c r="T68" t="s">
        <v>218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215</v>
      </c>
      <c r="O69" t="s">
        <v>216</v>
      </c>
      <c r="P69">
        <v>152</v>
      </c>
      <c r="Q69">
        <v>3</v>
      </c>
      <c r="R69">
        <v>5</v>
      </c>
      <c r="S69">
        <v>75</v>
      </c>
      <c r="T69" t="s">
        <v>215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215</v>
      </c>
      <c r="O70" t="s">
        <v>217</v>
      </c>
      <c r="P70">
        <v>107</v>
      </c>
      <c r="Q70">
        <v>242</v>
      </c>
      <c r="R70">
        <v>23</v>
      </c>
      <c r="S70">
        <v>105</v>
      </c>
      <c r="T70" t="s">
        <v>215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215</v>
      </c>
      <c r="O71" t="s">
        <v>217</v>
      </c>
      <c r="P71">
        <v>211</v>
      </c>
      <c r="Q71">
        <v>2</v>
      </c>
      <c r="R71">
        <v>1</v>
      </c>
      <c r="S71" t="s">
        <v>219</v>
      </c>
      <c r="T71" t="s">
        <v>215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218</v>
      </c>
      <c r="O72" t="s">
        <v>216</v>
      </c>
      <c r="P72">
        <v>153</v>
      </c>
      <c r="Q72">
        <v>223</v>
      </c>
      <c r="R72">
        <v>10</v>
      </c>
      <c r="S72">
        <v>320</v>
      </c>
      <c r="T72" t="s">
        <v>218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218</v>
      </c>
      <c r="O73" t="s">
        <v>217</v>
      </c>
      <c r="P73">
        <v>244</v>
      </c>
      <c r="Q73">
        <v>21</v>
      </c>
      <c r="R73">
        <v>4</v>
      </c>
      <c r="S73" t="s">
        <v>219</v>
      </c>
      <c r="T73" t="s">
        <v>218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215</v>
      </c>
      <c r="O74" t="s">
        <v>216</v>
      </c>
      <c r="P74">
        <v>119</v>
      </c>
      <c r="Q74">
        <v>216</v>
      </c>
      <c r="R74">
        <v>12</v>
      </c>
      <c r="S74">
        <v>850</v>
      </c>
      <c r="T74" t="s">
        <v>215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215</v>
      </c>
      <c r="O75" t="s">
        <v>217</v>
      </c>
      <c r="P75">
        <v>808</v>
      </c>
      <c r="Q75">
        <v>108</v>
      </c>
      <c r="R75">
        <v>2</v>
      </c>
      <c r="S75">
        <v>535</v>
      </c>
      <c r="T75" t="s">
        <v>215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215</v>
      </c>
      <c r="O76" t="s">
        <v>217</v>
      </c>
      <c r="P76">
        <v>280</v>
      </c>
      <c r="Q76">
        <v>10</v>
      </c>
      <c r="R76">
        <v>5</v>
      </c>
      <c r="S76">
        <v>933.33299999999997</v>
      </c>
      <c r="T76" t="s">
        <v>215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215</v>
      </c>
      <c r="O77" t="s">
        <v>217</v>
      </c>
      <c r="P77">
        <v>224</v>
      </c>
      <c r="Q77">
        <v>286</v>
      </c>
      <c r="R77">
        <v>8</v>
      </c>
      <c r="S77">
        <v>850</v>
      </c>
      <c r="T77" t="s">
        <v>218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218</v>
      </c>
      <c r="O78" t="s">
        <v>216</v>
      </c>
      <c r="P78">
        <v>226</v>
      </c>
      <c r="Q78">
        <v>7</v>
      </c>
      <c r="R78">
        <v>3</v>
      </c>
      <c r="S78">
        <v>210</v>
      </c>
      <c r="T78" t="s">
        <v>215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218</v>
      </c>
      <c r="O79" t="s">
        <v>217</v>
      </c>
      <c r="P79">
        <v>83</v>
      </c>
      <c r="Q79">
        <v>2</v>
      </c>
      <c r="R79">
        <v>1</v>
      </c>
      <c r="S79" t="s">
        <v>219</v>
      </c>
      <c r="T79" t="s">
        <v>218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215</v>
      </c>
      <c r="O80" t="s">
        <v>216</v>
      </c>
      <c r="P80">
        <v>182</v>
      </c>
      <c r="Q80">
        <v>9</v>
      </c>
      <c r="R80">
        <v>4</v>
      </c>
      <c r="S80">
        <v>325</v>
      </c>
      <c r="T80" t="s">
        <v>215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215</v>
      </c>
      <c r="O81" t="s">
        <v>216</v>
      </c>
      <c r="P81">
        <v>104</v>
      </c>
      <c r="Q81">
        <v>213</v>
      </c>
      <c r="R81">
        <v>9</v>
      </c>
      <c r="S81">
        <v>275</v>
      </c>
      <c r="T81" t="s">
        <v>215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215</v>
      </c>
      <c r="O82" t="s">
        <v>216</v>
      </c>
      <c r="P82">
        <v>463</v>
      </c>
      <c r="Q82">
        <v>32</v>
      </c>
      <c r="R82">
        <v>8</v>
      </c>
      <c r="S82" t="s">
        <v>219</v>
      </c>
      <c r="T82" t="s">
        <v>215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218</v>
      </c>
      <c r="O83" t="s">
        <v>217</v>
      </c>
      <c r="P83">
        <v>51</v>
      </c>
      <c r="Q83">
        <v>54</v>
      </c>
      <c r="R83">
        <v>8</v>
      </c>
      <c r="S83">
        <v>450</v>
      </c>
      <c r="T83" t="s">
        <v>218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215</v>
      </c>
      <c r="O84" t="s">
        <v>217</v>
      </c>
      <c r="P84">
        <v>1377</v>
      </c>
      <c r="Q84">
        <v>100</v>
      </c>
      <c r="R84">
        <v>6</v>
      </c>
      <c r="S84">
        <v>1975</v>
      </c>
      <c r="T84" t="s">
        <v>215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215</v>
      </c>
      <c r="O85" t="s">
        <v>216</v>
      </c>
      <c r="P85">
        <v>92</v>
      </c>
      <c r="Q85">
        <v>2</v>
      </c>
      <c r="R85">
        <v>2</v>
      </c>
      <c r="S85" t="s">
        <v>219</v>
      </c>
      <c r="T85" t="s">
        <v>215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218</v>
      </c>
      <c r="O86" t="s">
        <v>216</v>
      </c>
      <c r="P86">
        <v>303</v>
      </c>
      <c r="Q86">
        <v>6</v>
      </c>
      <c r="R86">
        <v>6</v>
      </c>
      <c r="S86">
        <v>1900</v>
      </c>
      <c r="T86" t="s">
        <v>218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215</v>
      </c>
      <c r="O87" t="s">
        <v>216</v>
      </c>
      <c r="P87">
        <v>276</v>
      </c>
      <c r="Q87">
        <v>6</v>
      </c>
      <c r="R87">
        <v>2</v>
      </c>
      <c r="S87">
        <v>600</v>
      </c>
      <c r="T87" t="s">
        <v>215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218</v>
      </c>
      <c r="O88" t="s">
        <v>216</v>
      </c>
      <c r="P88">
        <v>278</v>
      </c>
      <c r="Q88">
        <v>9</v>
      </c>
      <c r="R88">
        <v>9</v>
      </c>
      <c r="S88">
        <v>1041.6669999999999</v>
      </c>
      <c r="T88" t="s">
        <v>218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215</v>
      </c>
      <c r="O89" t="s">
        <v>217</v>
      </c>
      <c r="P89">
        <v>148</v>
      </c>
      <c r="Q89">
        <v>4</v>
      </c>
      <c r="R89">
        <v>2</v>
      </c>
      <c r="S89">
        <v>110</v>
      </c>
      <c r="T89" t="s">
        <v>215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215</v>
      </c>
      <c r="O90" t="s">
        <v>216</v>
      </c>
      <c r="P90">
        <v>165</v>
      </c>
      <c r="Q90">
        <v>9</v>
      </c>
      <c r="R90">
        <v>1</v>
      </c>
      <c r="S90">
        <v>260</v>
      </c>
      <c r="T90" t="s">
        <v>215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215</v>
      </c>
      <c r="O91" t="s">
        <v>216</v>
      </c>
      <c r="P91">
        <v>246</v>
      </c>
      <c r="Q91">
        <v>389</v>
      </c>
      <c r="R91">
        <v>18</v>
      </c>
      <c r="S91">
        <v>475</v>
      </c>
      <c r="T91" t="s">
        <v>215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215</v>
      </c>
      <c r="O92" t="s">
        <v>216</v>
      </c>
      <c r="P92">
        <v>533</v>
      </c>
      <c r="Q92">
        <v>40</v>
      </c>
      <c r="R92">
        <v>4</v>
      </c>
      <c r="S92">
        <v>431.5</v>
      </c>
      <c r="T92" t="s">
        <v>215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218</v>
      </c>
      <c r="O93" t="s">
        <v>217</v>
      </c>
      <c r="P93">
        <v>226</v>
      </c>
      <c r="Q93">
        <v>10</v>
      </c>
      <c r="R93">
        <v>6</v>
      </c>
      <c r="S93">
        <v>1220</v>
      </c>
      <c r="T93" t="s">
        <v>218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215</v>
      </c>
      <c r="O94" t="s">
        <v>217</v>
      </c>
      <c r="P94">
        <v>45</v>
      </c>
      <c r="Q94">
        <v>122</v>
      </c>
      <c r="R94">
        <v>26</v>
      </c>
      <c r="S94">
        <v>70</v>
      </c>
      <c r="T94" t="s">
        <v>215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215</v>
      </c>
      <c r="O95" t="s">
        <v>216</v>
      </c>
      <c r="P95">
        <v>157</v>
      </c>
      <c r="Q95">
        <v>7</v>
      </c>
      <c r="R95">
        <v>8</v>
      </c>
      <c r="S95">
        <v>145</v>
      </c>
      <c r="T95" t="s">
        <v>215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218</v>
      </c>
      <c r="O96" t="s">
        <v>216</v>
      </c>
      <c r="P96">
        <v>142</v>
      </c>
      <c r="Q96">
        <v>210</v>
      </c>
      <c r="R96">
        <v>10</v>
      </c>
      <c r="S96" t="s">
        <v>219</v>
      </c>
      <c r="T96" t="s">
        <v>218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218</v>
      </c>
      <c r="O97" t="s">
        <v>216</v>
      </c>
      <c r="P97">
        <v>59</v>
      </c>
      <c r="Q97">
        <v>156</v>
      </c>
      <c r="R97">
        <v>9</v>
      </c>
      <c r="S97">
        <v>595</v>
      </c>
      <c r="T97" t="s">
        <v>218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215</v>
      </c>
      <c r="O98" t="s">
        <v>217</v>
      </c>
      <c r="P98">
        <v>292</v>
      </c>
      <c r="Q98">
        <v>9</v>
      </c>
      <c r="R98">
        <v>5</v>
      </c>
      <c r="S98">
        <v>1861.46</v>
      </c>
      <c r="T98" t="s">
        <v>215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218</v>
      </c>
      <c r="O99" t="s">
        <v>216</v>
      </c>
      <c r="P99">
        <v>360</v>
      </c>
      <c r="Q99">
        <v>32</v>
      </c>
      <c r="R99">
        <v>5</v>
      </c>
      <c r="S99" t="s">
        <v>219</v>
      </c>
      <c r="T99" t="s">
        <v>218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218</v>
      </c>
      <c r="O100" t="s">
        <v>216</v>
      </c>
      <c r="P100">
        <v>274</v>
      </c>
      <c r="Q100">
        <v>2</v>
      </c>
      <c r="R100">
        <v>7</v>
      </c>
      <c r="S100">
        <v>300</v>
      </c>
      <c r="T100" t="s">
        <v>218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218</v>
      </c>
      <c r="O101" t="s">
        <v>216</v>
      </c>
      <c r="P101">
        <v>292</v>
      </c>
      <c r="Q101">
        <v>6</v>
      </c>
      <c r="R101">
        <v>3</v>
      </c>
      <c r="S101">
        <v>490</v>
      </c>
      <c r="T101" t="s">
        <v>218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215</v>
      </c>
      <c r="O102" t="s">
        <v>217</v>
      </c>
      <c r="P102">
        <v>1045</v>
      </c>
      <c r="Q102">
        <v>88</v>
      </c>
      <c r="R102">
        <v>13</v>
      </c>
      <c r="S102">
        <v>2460</v>
      </c>
      <c r="T102" t="s">
        <v>215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215</v>
      </c>
      <c r="O103" t="s">
        <v>217</v>
      </c>
      <c r="P103">
        <v>212</v>
      </c>
      <c r="Q103">
        <v>327</v>
      </c>
      <c r="R103">
        <v>20</v>
      </c>
      <c r="S103" t="s">
        <v>219</v>
      </c>
      <c r="T103" t="s">
        <v>215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215</v>
      </c>
      <c r="O104" t="s">
        <v>217</v>
      </c>
      <c r="P104">
        <v>102</v>
      </c>
      <c r="Q104">
        <v>132</v>
      </c>
      <c r="R104">
        <v>10</v>
      </c>
      <c r="S104">
        <v>375</v>
      </c>
      <c r="T104" t="s">
        <v>215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215</v>
      </c>
      <c r="O105" t="s">
        <v>217</v>
      </c>
      <c r="P105">
        <v>709</v>
      </c>
      <c r="Q105">
        <v>41</v>
      </c>
      <c r="R105">
        <v>7</v>
      </c>
      <c r="S105" t="s">
        <v>219</v>
      </c>
      <c r="T105" t="s">
        <v>215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215</v>
      </c>
      <c r="O106" t="s">
        <v>217</v>
      </c>
      <c r="P106">
        <v>244</v>
      </c>
      <c r="Q106">
        <v>2</v>
      </c>
      <c r="R106">
        <v>4</v>
      </c>
      <c r="S106" t="s">
        <v>219</v>
      </c>
      <c r="T106" t="s">
        <v>215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215</v>
      </c>
      <c r="O107" t="s">
        <v>217</v>
      </c>
      <c r="P107">
        <v>40</v>
      </c>
      <c r="Q107">
        <v>115</v>
      </c>
      <c r="R107">
        <v>15</v>
      </c>
      <c r="S107" t="s">
        <v>219</v>
      </c>
      <c r="T107" t="s">
        <v>215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218</v>
      </c>
      <c r="O108" t="s">
        <v>216</v>
      </c>
      <c r="P108">
        <v>206</v>
      </c>
      <c r="Q108">
        <v>10</v>
      </c>
      <c r="R108">
        <v>7</v>
      </c>
      <c r="S108" t="s">
        <v>219</v>
      </c>
      <c r="T108" t="s">
        <v>218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215</v>
      </c>
      <c r="O109" t="s">
        <v>216</v>
      </c>
      <c r="P109">
        <v>316</v>
      </c>
      <c r="Q109">
        <v>439</v>
      </c>
      <c r="R109">
        <v>10</v>
      </c>
      <c r="S109">
        <v>750</v>
      </c>
      <c r="T109" t="s">
        <v>215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215</v>
      </c>
      <c r="O110" t="s">
        <v>217</v>
      </c>
      <c r="P110">
        <v>269</v>
      </c>
      <c r="Q110">
        <v>17</v>
      </c>
      <c r="R110">
        <v>10</v>
      </c>
      <c r="S110">
        <v>1175</v>
      </c>
      <c r="T110" t="s">
        <v>215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215</v>
      </c>
      <c r="O111" t="s">
        <v>217</v>
      </c>
      <c r="P111">
        <v>116</v>
      </c>
      <c r="Q111">
        <v>5</v>
      </c>
      <c r="R111">
        <v>12</v>
      </c>
      <c r="S111">
        <v>70</v>
      </c>
      <c r="T111" t="s">
        <v>215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215</v>
      </c>
      <c r="O112" t="s">
        <v>216</v>
      </c>
      <c r="P112">
        <v>97</v>
      </c>
      <c r="Q112">
        <v>218</v>
      </c>
      <c r="R112">
        <v>16</v>
      </c>
      <c r="S112">
        <v>1500</v>
      </c>
      <c r="T112" t="s">
        <v>215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218</v>
      </c>
      <c r="O113" t="s">
        <v>216</v>
      </c>
      <c r="P113">
        <v>726</v>
      </c>
      <c r="Q113">
        <v>87</v>
      </c>
      <c r="R113">
        <v>3</v>
      </c>
      <c r="S113">
        <v>385</v>
      </c>
      <c r="T113" t="s">
        <v>215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218</v>
      </c>
      <c r="O114" t="s">
        <v>217</v>
      </c>
      <c r="P114">
        <v>869</v>
      </c>
      <c r="Q114">
        <v>62</v>
      </c>
      <c r="R114">
        <v>8</v>
      </c>
      <c r="S114">
        <v>1925.5709999999999</v>
      </c>
      <c r="T114" t="s">
        <v>218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218</v>
      </c>
      <c r="O115" t="s">
        <v>216</v>
      </c>
      <c r="P115">
        <v>1253</v>
      </c>
      <c r="Q115">
        <v>111</v>
      </c>
      <c r="R115">
        <v>11</v>
      </c>
      <c r="S115">
        <v>215</v>
      </c>
      <c r="T115" t="s">
        <v>218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218</v>
      </c>
      <c r="O116" t="s">
        <v>217</v>
      </c>
      <c r="P116">
        <v>96</v>
      </c>
      <c r="Q116">
        <v>4</v>
      </c>
      <c r="R116">
        <v>4</v>
      </c>
      <c r="S116" t="s">
        <v>219</v>
      </c>
      <c r="T116" t="s">
        <v>218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215</v>
      </c>
      <c r="O117" t="s">
        <v>216</v>
      </c>
      <c r="P117">
        <v>118</v>
      </c>
      <c r="Q117">
        <v>334</v>
      </c>
      <c r="R117">
        <v>21</v>
      </c>
      <c r="S117">
        <v>900</v>
      </c>
      <c r="T117" t="s">
        <v>215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215</v>
      </c>
      <c r="O118" t="s">
        <v>216</v>
      </c>
      <c r="P118">
        <v>228</v>
      </c>
      <c r="Q118">
        <v>377</v>
      </c>
      <c r="R118">
        <v>26</v>
      </c>
      <c r="S118">
        <v>155</v>
      </c>
      <c r="T118" t="s">
        <v>215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215</v>
      </c>
      <c r="O119" t="s">
        <v>216</v>
      </c>
      <c r="P119">
        <v>144</v>
      </c>
      <c r="Q119">
        <v>6</v>
      </c>
      <c r="R119">
        <v>5</v>
      </c>
      <c r="S119">
        <v>700</v>
      </c>
      <c r="T119" t="s">
        <v>215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218</v>
      </c>
      <c r="O120" t="s">
        <v>216</v>
      </c>
      <c r="P120">
        <v>282</v>
      </c>
      <c r="Q120">
        <v>487</v>
      </c>
      <c r="R120">
        <v>19</v>
      </c>
      <c r="S120">
        <v>535</v>
      </c>
      <c r="T120" t="s">
        <v>218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215</v>
      </c>
      <c r="O121" t="s">
        <v>217</v>
      </c>
      <c r="P121">
        <v>91</v>
      </c>
      <c r="Q121">
        <v>185</v>
      </c>
      <c r="R121">
        <v>12</v>
      </c>
      <c r="S121">
        <v>362.5</v>
      </c>
      <c r="T121" t="s">
        <v>215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218</v>
      </c>
      <c r="O122" t="s">
        <v>217</v>
      </c>
      <c r="P122">
        <v>137</v>
      </c>
      <c r="Q122">
        <v>5</v>
      </c>
      <c r="R122">
        <v>9</v>
      </c>
      <c r="S122">
        <v>733.33299999999997</v>
      </c>
      <c r="T122" t="s">
        <v>218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218</v>
      </c>
      <c r="O123" t="s">
        <v>216</v>
      </c>
      <c r="P123">
        <v>83</v>
      </c>
      <c r="Q123">
        <v>174</v>
      </c>
      <c r="R123">
        <v>16</v>
      </c>
      <c r="S123">
        <v>200</v>
      </c>
      <c r="T123" t="s">
        <v>218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215</v>
      </c>
      <c r="O124" t="s">
        <v>216</v>
      </c>
      <c r="P124">
        <v>462</v>
      </c>
      <c r="Q124">
        <v>9</v>
      </c>
      <c r="R124">
        <v>7</v>
      </c>
      <c r="S124">
        <v>400</v>
      </c>
      <c r="T124" t="s">
        <v>215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218</v>
      </c>
      <c r="O125" t="s">
        <v>217</v>
      </c>
      <c r="P125">
        <v>185</v>
      </c>
      <c r="Q125">
        <v>8</v>
      </c>
      <c r="R125">
        <v>4</v>
      </c>
      <c r="S125">
        <v>400</v>
      </c>
      <c r="T125" t="s">
        <v>215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218</v>
      </c>
      <c r="O126" t="s">
        <v>216</v>
      </c>
      <c r="P126">
        <v>207</v>
      </c>
      <c r="Q126">
        <v>358</v>
      </c>
      <c r="R126">
        <v>20</v>
      </c>
      <c r="S126">
        <v>737.5</v>
      </c>
      <c r="T126" t="s">
        <v>218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215</v>
      </c>
      <c r="O127" t="s">
        <v>216</v>
      </c>
      <c r="P127">
        <v>0</v>
      </c>
      <c r="Q127">
        <v>0</v>
      </c>
      <c r="R127">
        <v>0</v>
      </c>
      <c r="S127" t="s">
        <v>219</v>
      </c>
      <c r="T127" t="s">
        <v>215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215</v>
      </c>
      <c r="O128" t="s">
        <v>216</v>
      </c>
      <c r="P128">
        <v>670</v>
      </c>
      <c r="Q128">
        <v>57</v>
      </c>
      <c r="R128">
        <v>5</v>
      </c>
      <c r="S128">
        <v>500</v>
      </c>
      <c r="T128" t="s">
        <v>215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215</v>
      </c>
      <c r="O129" t="s">
        <v>216</v>
      </c>
      <c r="P129">
        <v>237</v>
      </c>
      <c r="Q129">
        <v>8</v>
      </c>
      <c r="R129">
        <v>1</v>
      </c>
      <c r="S129">
        <v>600</v>
      </c>
      <c r="T129" t="s">
        <v>215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218</v>
      </c>
      <c r="O130" t="s">
        <v>217</v>
      </c>
      <c r="P130">
        <v>331</v>
      </c>
      <c r="Q130">
        <v>20</v>
      </c>
      <c r="R130">
        <v>4</v>
      </c>
      <c r="S130">
        <v>662.5</v>
      </c>
      <c r="T130" t="s">
        <v>218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215</v>
      </c>
      <c r="O131" t="s">
        <v>216</v>
      </c>
      <c r="P131">
        <v>295</v>
      </c>
      <c r="Q131">
        <v>15</v>
      </c>
      <c r="R131">
        <v>5</v>
      </c>
      <c r="S131">
        <v>950</v>
      </c>
      <c r="T131" t="s">
        <v>215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218</v>
      </c>
      <c r="O132" t="s">
        <v>217</v>
      </c>
      <c r="P132">
        <v>116</v>
      </c>
      <c r="Q132">
        <v>222</v>
      </c>
      <c r="R132">
        <v>15</v>
      </c>
      <c r="S132">
        <v>750</v>
      </c>
      <c r="T132" t="s">
        <v>218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218</v>
      </c>
      <c r="O133" t="s">
        <v>217</v>
      </c>
      <c r="P133">
        <v>50</v>
      </c>
      <c r="Q133">
        <v>136</v>
      </c>
      <c r="R133">
        <v>20</v>
      </c>
      <c r="S133">
        <v>297.5</v>
      </c>
      <c r="T133" t="s">
        <v>218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215</v>
      </c>
      <c r="O134" t="s">
        <v>216</v>
      </c>
      <c r="P134">
        <v>0</v>
      </c>
      <c r="Q134">
        <v>0</v>
      </c>
      <c r="R134">
        <v>0</v>
      </c>
      <c r="S134">
        <v>325</v>
      </c>
      <c r="T134" t="s">
        <v>215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215</v>
      </c>
      <c r="O135" t="s">
        <v>216</v>
      </c>
      <c r="P135">
        <v>278</v>
      </c>
      <c r="Q135">
        <v>415</v>
      </c>
      <c r="R135">
        <v>16</v>
      </c>
      <c r="S135">
        <v>87.5</v>
      </c>
      <c r="T135" t="s">
        <v>215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218</v>
      </c>
      <c r="O136" t="s">
        <v>216</v>
      </c>
      <c r="P136">
        <v>138</v>
      </c>
      <c r="Q136">
        <v>15</v>
      </c>
      <c r="R136">
        <v>1</v>
      </c>
      <c r="S136">
        <v>175</v>
      </c>
      <c r="T136" t="s">
        <v>218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218</v>
      </c>
      <c r="O137" t="s">
        <v>217</v>
      </c>
      <c r="P137">
        <v>97</v>
      </c>
      <c r="Q137">
        <v>2</v>
      </c>
      <c r="R137">
        <v>2</v>
      </c>
      <c r="S137">
        <v>90</v>
      </c>
      <c r="T137" t="s">
        <v>218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215</v>
      </c>
      <c r="O138" t="s">
        <v>217</v>
      </c>
      <c r="P138">
        <v>368</v>
      </c>
      <c r="Q138">
        <v>20</v>
      </c>
      <c r="R138">
        <v>3</v>
      </c>
      <c r="S138">
        <v>1237.5</v>
      </c>
      <c r="T138" t="s">
        <v>215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215</v>
      </c>
      <c r="O139" t="s">
        <v>217</v>
      </c>
      <c r="P139">
        <v>211</v>
      </c>
      <c r="Q139">
        <v>56</v>
      </c>
      <c r="R139">
        <v>13</v>
      </c>
      <c r="S139">
        <v>430</v>
      </c>
      <c r="T139" t="s">
        <v>215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215</v>
      </c>
      <c r="O140" t="s">
        <v>217</v>
      </c>
      <c r="P140">
        <v>122</v>
      </c>
      <c r="Q140">
        <v>140</v>
      </c>
      <c r="R140">
        <v>5</v>
      </c>
      <c r="S140" t="s">
        <v>219</v>
      </c>
      <c r="T140" t="s">
        <v>218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215</v>
      </c>
      <c r="O141" t="s">
        <v>216</v>
      </c>
      <c r="P141">
        <v>276</v>
      </c>
      <c r="Q141">
        <v>7</v>
      </c>
      <c r="R141">
        <v>9</v>
      </c>
      <c r="S141">
        <v>100</v>
      </c>
      <c r="T141" t="s">
        <v>218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215</v>
      </c>
      <c r="O142" t="s">
        <v>216</v>
      </c>
      <c r="P142">
        <v>319</v>
      </c>
      <c r="Q142">
        <v>4</v>
      </c>
      <c r="R142">
        <v>14</v>
      </c>
      <c r="S142">
        <v>165</v>
      </c>
      <c r="T142" t="s">
        <v>215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215</v>
      </c>
      <c r="O143" t="s">
        <v>217</v>
      </c>
      <c r="P143">
        <v>241</v>
      </c>
      <c r="Q143">
        <v>8</v>
      </c>
      <c r="R143">
        <v>6</v>
      </c>
      <c r="S143">
        <v>250</v>
      </c>
      <c r="T143" t="s">
        <v>215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218</v>
      </c>
      <c r="O144" t="s">
        <v>217</v>
      </c>
      <c r="P144">
        <v>623</v>
      </c>
      <c r="Q144">
        <v>35</v>
      </c>
      <c r="R144">
        <v>3</v>
      </c>
      <c r="S144">
        <v>1300</v>
      </c>
      <c r="T144" t="s">
        <v>218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218</v>
      </c>
      <c r="O145" t="s">
        <v>216</v>
      </c>
      <c r="P145">
        <v>237</v>
      </c>
      <c r="Q145">
        <v>5</v>
      </c>
      <c r="R145">
        <v>4</v>
      </c>
      <c r="S145">
        <v>773.33299999999997</v>
      </c>
      <c r="T145" t="s">
        <v>218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215</v>
      </c>
      <c r="O146" t="s">
        <v>216</v>
      </c>
      <c r="P146">
        <v>132</v>
      </c>
      <c r="Q146">
        <v>205</v>
      </c>
      <c r="R146">
        <v>5</v>
      </c>
      <c r="S146" t="s">
        <v>219</v>
      </c>
      <c r="T146" t="s">
        <v>215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218</v>
      </c>
      <c r="O147" t="s">
        <v>217</v>
      </c>
      <c r="P147">
        <v>885</v>
      </c>
      <c r="Q147">
        <v>105</v>
      </c>
      <c r="R147">
        <v>8</v>
      </c>
      <c r="S147">
        <v>1008.333</v>
      </c>
      <c r="T147" t="s">
        <v>218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215</v>
      </c>
      <c r="O148" t="s">
        <v>217</v>
      </c>
      <c r="P148">
        <v>33</v>
      </c>
      <c r="Q148">
        <v>3</v>
      </c>
      <c r="R148">
        <v>0</v>
      </c>
      <c r="S148">
        <v>275</v>
      </c>
      <c r="T148" t="s">
        <v>215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215</v>
      </c>
      <c r="O149" t="s">
        <v>217</v>
      </c>
      <c r="P149">
        <v>231</v>
      </c>
      <c r="Q149">
        <v>374</v>
      </c>
      <c r="R149">
        <v>18</v>
      </c>
      <c r="S149">
        <v>775</v>
      </c>
      <c r="T149" t="s">
        <v>215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215</v>
      </c>
      <c r="O150" t="s">
        <v>217</v>
      </c>
      <c r="P150">
        <v>304</v>
      </c>
      <c r="Q150">
        <v>347</v>
      </c>
      <c r="R150">
        <v>10</v>
      </c>
      <c r="S150">
        <v>850</v>
      </c>
      <c r="T150" t="s">
        <v>215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215</v>
      </c>
      <c r="O151" t="s">
        <v>217</v>
      </c>
      <c r="P151">
        <v>0</v>
      </c>
      <c r="Q151">
        <v>0</v>
      </c>
      <c r="R151">
        <v>0</v>
      </c>
      <c r="S151">
        <v>365</v>
      </c>
      <c r="T151" t="s">
        <v>215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215</v>
      </c>
      <c r="O152" t="s">
        <v>216</v>
      </c>
      <c r="P152">
        <v>132</v>
      </c>
      <c r="Q152">
        <v>9</v>
      </c>
      <c r="R152">
        <v>0</v>
      </c>
      <c r="S152" t="s">
        <v>219</v>
      </c>
      <c r="T152" t="s">
        <v>215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215</v>
      </c>
      <c r="O153" t="s">
        <v>216</v>
      </c>
      <c r="P153">
        <v>28</v>
      </c>
      <c r="Q153">
        <v>56</v>
      </c>
      <c r="R153">
        <v>2</v>
      </c>
      <c r="S153">
        <v>95</v>
      </c>
      <c r="T153" t="s">
        <v>215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218</v>
      </c>
      <c r="O154" t="s">
        <v>216</v>
      </c>
      <c r="P154">
        <v>102</v>
      </c>
      <c r="Q154">
        <v>4</v>
      </c>
      <c r="R154">
        <v>2</v>
      </c>
      <c r="S154">
        <v>110</v>
      </c>
      <c r="T154" t="s">
        <v>218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218</v>
      </c>
      <c r="O155" t="s">
        <v>216</v>
      </c>
      <c r="P155">
        <v>158</v>
      </c>
      <c r="Q155">
        <v>4</v>
      </c>
      <c r="R155">
        <v>5</v>
      </c>
      <c r="S155">
        <v>100</v>
      </c>
      <c r="T155" t="s">
        <v>218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218</v>
      </c>
      <c r="O156" t="s">
        <v>217</v>
      </c>
      <c r="P156">
        <v>92</v>
      </c>
      <c r="Q156">
        <v>257</v>
      </c>
      <c r="R156">
        <v>20</v>
      </c>
      <c r="S156">
        <v>277.5</v>
      </c>
      <c r="T156" t="s">
        <v>218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215</v>
      </c>
      <c r="O157" t="s">
        <v>216</v>
      </c>
      <c r="P157">
        <v>211</v>
      </c>
      <c r="Q157">
        <v>9</v>
      </c>
      <c r="R157">
        <v>3</v>
      </c>
      <c r="S157">
        <v>80</v>
      </c>
      <c r="T157" t="s">
        <v>215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218</v>
      </c>
      <c r="O158" t="s">
        <v>217</v>
      </c>
      <c r="P158">
        <v>161</v>
      </c>
      <c r="Q158">
        <v>3</v>
      </c>
      <c r="R158">
        <v>3</v>
      </c>
      <c r="S158">
        <v>600</v>
      </c>
      <c r="T158" t="s">
        <v>218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218</v>
      </c>
      <c r="O159" t="s">
        <v>217</v>
      </c>
      <c r="P159">
        <v>193</v>
      </c>
      <c r="Q159">
        <v>11</v>
      </c>
      <c r="R159">
        <v>4</v>
      </c>
      <c r="S159" t="s">
        <v>219</v>
      </c>
      <c r="T159" t="s">
        <v>218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215</v>
      </c>
      <c r="O160" t="s">
        <v>216</v>
      </c>
      <c r="P160">
        <v>0</v>
      </c>
      <c r="Q160">
        <v>0</v>
      </c>
      <c r="R160">
        <v>0</v>
      </c>
      <c r="S160" t="s">
        <v>219</v>
      </c>
      <c r="T160" t="s">
        <v>215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215</v>
      </c>
      <c r="O161" t="s">
        <v>216</v>
      </c>
      <c r="P161">
        <v>110</v>
      </c>
      <c r="Q161">
        <v>308</v>
      </c>
      <c r="R161">
        <v>15</v>
      </c>
      <c r="S161">
        <v>200</v>
      </c>
      <c r="T161" t="s">
        <v>215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215</v>
      </c>
      <c r="O162" t="s">
        <v>216</v>
      </c>
      <c r="P162">
        <v>260</v>
      </c>
      <c r="Q162">
        <v>58</v>
      </c>
      <c r="R162">
        <v>4</v>
      </c>
      <c r="S162" t="s">
        <v>219</v>
      </c>
      <c r="T162" t="s">
        <v>215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218</v>
      </c>
      <c r="O163" t="s">
        <v>217</v>
      </c>
      <c r="P163">
        <v>280</v>
      </c>
      <c r="Q163">
        <v>479</v>
      </c>
      <c r="R163">
        <v>5</v>
      </c>
      <c r="S163">
        <v>657</v>
      </c>
      <c r="T163" t="s">
        <v>218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215</v>
      </c>
      <c r="O164" t="s">
        <v>216</v>
      </c>
      <c r="P164">
        <v>332</v>
      </c>
      <c r="Q164">
        <v>19</v>
      </c>
      <c r="R164">
        <v>2</v>
      </c>
      <c r="S164">
        <v>75</v>
      </c>
      <c r="T164" t="s">
        <v>218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215</v>
      </c>
      <c r="O165" t="s">
        <v>217</v>
      </c>
      <c r="P165">
        <v>330</v>
      </c>
      <c r="Q165">
        <v>16</v>
      </c>
      <c r="R165">
        <v>8</v>
      </c>
      <c r="S165">
        <v>2412.5</v>
      </c>
      <c r="T165" t="s">
        <v>215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218</v>
      </c>
      <c r="O166" t="s">
        <v>216</v>
      </c>
      <c r="P166">
        <v>87</v>
      </c>
      <c r="Q166">
        <v>166</v>
      </c>
      <c r="R166">
        <v>14</v>
      </c>
      <c r="S166">
        <v>250</v>
      </c>
      <c r="T166" t="s">
        <v>215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218</v>
      </c>
      <c r="O167" t="s">
        <v>217</v>
      </c>
      <c r="P167">
        <v>498</v>
      </c>
      <c r="Q167">
        <v>39</v>
      </c>
      <c r="R167">
        <v>13</v>
      </c>
      <c r="S167">
        <v>155</v>
      </c>
      <c r="T167" t="s">
        <v>218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218</v>
      </c>
      <c r="O168" t="s">
        <v>217</v>
      </c>
      <c r="P168">
        <v>290</v>
      </c>
      <c r="Q168">
        <v>440</v>
      </c>
      <c r="R168">
        <v>25</v>
      </c>
      <c r="S168">
        <v>640</v>
      </c>
      <c r="T168" t="s">
        <v>218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215</v>
      </c>
      <c r="O169" t="s">
        <v>217</v>
      </c>
      <c r="P169">
        <v>222</v>
      </c>
      <c r="Q169">
        <v>5</v>
      </c>
      <c r="R169">
        <v>5</v>
      </c>
      <c r="S169">
        <v>300</v>
      </c>
      <c r="T169" t="s">
        <v>215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215</v>
      </c>
      <c r="O170" t="s">
        <v>216</v>
      </c>
      <c r="P170">
        <v>227</v>
      </c>
      <c r="Q170">
        <v>15</v>
      </c>
      <c r="R170">
        <v>3</v>
      </c>
      <c r="S170">
        <v>110</v>
      </c>
      <c r="T170" t="s">
        <v>215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218</v>
      </c>
      <c r="O171" t="s">
        <v>217</v>
      </c>
      <c r="P171">
        <v>103</v>
      </c>
      <c r="Q171">
        <v>8</v>
      </c>
      <c r="R171">
        <v>2</v>
      </c>
      <c r="S171" t="s">
        <v>219</v>
      </c>
      <c r="T171" t="s">
        <v>218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215</v>
      </c>
      <c r="O172" t="s">
        <v>216</v>
      </c>
      <c r="P172">
        <v>686</v>
      </c>
      <c r="Q172">
        <v>46</v>
      </c>
      <c r="R172">
        <v>4</v>
      </c>
      <c r="S172">
        <v>825</v>
      </c>
      <c r="T172" t="s">
        <v>218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215</v>
      </c>
      <c r="O173" t="s">
        <v>217</v>
      </c>
      <c r="P173">
        <v>243</v>
      </c>
      <c r="Q173">
        <v>23</v>
      </c>
      <c r="R173">
        <v>5</v>
      </c>
      <c r="S173" t="s">
        <v>219</v>
      </c>
      <c r="T173" t="s">
        <v>215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218</v>
      </c>
      <c r="O174" t="s">
        <v>216</v>
      </c>
      <c r="P174">
        <v>249</v>
      </c>
      <c r="Q174">
        <v>444</v>
      </c>
      <c r="R174">
        <v>16</v>
      </c>
      <c r="S174">
        <v>195</v>
      </c>
      <c r="T174" t="s">
        <v>218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215</v>
      </c>
      <c r="O175" t="s">
        <v>216</v>
      </c>
      <c r="P175">
        <v>300</v>
      </c>
      <c r="Q175">
        <v>12</v>
      </c>
      <c r="R175">
        <v>2</v>
      </c>
      <c r="S175" t="s">
        <v>219</v>
      </c>
      <c r="T175" t="s">
        <v>215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218</v>
      </c>
      <c r="O176" t="s">
        <v>216</v>
      </c>
      <c r="P176">
        <v>49</v>
      </c>
      <c r="Q176">
        <v>2</v>
      </c>
      <c r="R176">
        <v>0</v>
      </c>
      <c r="S176">
        <v>450</v>
      </c>
      <c r="T176" t="s">
        <v>218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218</v>
      </c>
      <c r="O177" t="s">
        <v>216</v>
      </c>
      <c r="P177">
        <v>303</v>
      </c>
      <c r="Q177">
        <v>12</v>
      </c>
      <c r="R177">
        <v>5</v>
      </c>
      <c r="S177">
        <v>630</v>
      </c>
      <c r="T177" t="s">
        <v>218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218</v>
      </c>
      <c r="O178" t="s">
        <v>216</v>
      </c>
      <c r="P178">
        <v>88</v>
      </c>
      <c r="Q178">
        <v>0</v>
      </c>
      <c r="R178">
        <v>3</v>
      </c>
      <c r="S178">
        <v>86.5</v>
      </c>
      <c r="T178" t="s">
        <v>218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215</v>
      </c>
      <c r="O179" t="s">
        <v>217</v>
      </c>
      <c r="P179">
        <v>190</v>
      </c>
      <c r="Q179">
        <v>2</v>
      </c>
      <c r="R179">
        <v>2</v>
      </c>
      <c r="S179">
        <v>1300</v>
      </c>
      <c r="T179" t="s">
        <v>215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215</v>
      </c>
      <c r="O180" t="s">
        <v>217</v>
      </c>
      <c r="P180">
        <v>96</v>
      </c>
      <c r="Q180">
        <v>5</v>
      </c>
      <c r="R180">
        <v>3</v>
      </c>
      <c r="S180">
        <v>1000</v>
      </c>
      <c r="T180" t="s">
        <v>218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218</v>
      </c>
      <c r="O181" t="s">
        <v>217</v>
      </c>
      <c r="P181">
        <v>1199</v>
      </c>
      <c r="Q181">
        <v>149</v>
      </c>
      <c r="R181">
        <v>5</v>
      </c>
      <c r="S181">
        <v>1800</v>
      </c>
      <c r="T181" t="s">
        <v>218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215</v>
      </c>
      <c r="O182" t="s">
        <v>216</v>
      </c>
      <c r="P182">
        <v>1218</v>
      </c>
      <c r="Q182">
        <v>104</v>
      </c>
      <c r="R182">
        <v>10</v>
      </c>
      <c r="S182">
        <v>1310</v>
      </c>
      <c r="T182" t="s">
        <v>215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218</v>
      </c>
      <c r="O183" t="s">
        <v>216</v>
      </c>
      <c r="P183">
        <v>145</v>
      </c>
      <c r="Q183">
        <v>5</v>
      </c>
      <c r="R183">
        <v>7</v>
      </c>
      <c r="S183">
        <v>737.5</v>
      </c>
      <c r="T183" t="s">
        <v>218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218</v>
      </c>
      <c r="O184" t="s">
        <v>216</v>
      </c>
      <c r="P184">
        <v>332</v>
      </c>
      <c r="Q184">
        <v>9</v>
      </c>
      <c r="R184">
        <v>8</v>
      </c>
      <c r="S184">
        <v>625</v>
      </c>
      <c r="T184" t="s">
        <v>218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218</v>
      </c>
      <c r="O185" t="s">
        <v>217</v>
      </c>
      <c r="P185">
        <v>145</v>
      </c>
      <c r="Q185">
        <v>59</v>
      </c>
      <c r="R185">
        <v>8</v>
      </c>
      <c r="S185">
        <v>125</v>
      </c>
      <c r="T185" t="s">
        <v>218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218</v>
      </c>
      <c r="O186" t="s">
        <v>217</v>
      </c>
      <c r="P186">
        <v>181</v>
      </c>
      <c r="Q186">
        <v>13</v>
      </c>
      <c r="R186">
        <v>4</v>
      </c>
      <c r="S186">
        <v>1043.3330000000001</v>
      </c>
      <c r="T186" t="s">
        <v>218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218</v>
      </c>
      <c r="O187" t="s">
        <v>216</v>
      </c>
      <c r="P187">
        <v>65</v>
      </c>
      <c r="Q187">
        <v>258</v>
      </c>
      <c r="R187">
        <v>8</v>
      </c>
      <c r="S187">
        <v>725</v>
      </c>
      <c r="T187" t="s">
        <v>218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215</v>
      </c>
      <c r="O188" t="s">
        <v>216</v>
      </c>
      <c r="P188">
        <v>0</v>
      </c>
      <c r="Q188">
        <v>0</v>
      </c>
      <c r="R188">
        <v>0</v>
      </c>
      <c r="S188">
        <v>300</v>
      </c>
      <c r="T188" t="s">
        <v>215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215</v>
      </c>
      <c r="O189" t="s">
        <v>216</v>
      </c>
      <c r="P189">
        <v>429</v>
      </c>
      <c r="Q189">
        <v>8</v>
      </c>
      <c r="R189">
        <v>6</v>
      </c>
      <c r="S189">
        <v>365</v>
      </c>
      <c r="T189" t="s">
        <v>215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218</v>
      </c>
      <c r="O190" t="s">
        <v>216</v>
      </c>
      <c r="P190">
        <v>107</v>
      </c>
      <c r="Q190">
        <v>205</v>
      </c>
      <c r="R190">
        <v>16</v>
      </c>
      <c r="S190">
        <v>75</v>
      </c>
      <c r="T190" t="s">
        <v>218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218</v>
      </c>
      <c r="O191" t="s">
        <v>217</v>
      </c>
      <c r="P191">
        <v>1231</v>
      </c>
      <c r="Q191">
        <v>80</v>
      </c>
      <c r="R191">
        <v>7</v>
      </c>
      <c r="S191">
        <v>1183.3330000000001</v>
      </c>
      <c r="T191" t="s">
        <v>218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218</v>
      </c>
      <c r="O192" t="s">
        <v>217</v>
      </c>
      <c r="P192">
        <v>283</v>
      </c>
      <c r="Q192">
        <v>8</v>
      </c>
      <c r="R192">
        <v>3</v>
      </c>
      <c r="S192">
        <v>202.5</v>
      </c>
      <c r="T192" t="s">
        <v>218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215</v>
      </c>
      <c r="O193" t="s">
        <v>217</v>
      </c>
      <c r="P193">
        <v>156</v>
      </c>
      <c r="Q193">
        <v>2</v>
      </c>
      <c r="R193">
        <v>2</v>
      </c>
      <c r="S193">
        <v>225</v>
      </c>
      <c r="T193" t="s">
        <v>215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215</v>
      </c>
      <c r="O194" t="s">
        <v>217</v>
      </c>
      <c r="P194">
        <v>239</v>
      </c>
      <c r="Q194">
        <v>8</v>
      </c>
      <c r="R194">
        <v>2</v>
      </c>
      <c r="S194">
        <v>525</v>
      </c>
      <c r="T194" t="s">
        <v>215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218</v>
      </c>
      <c r="O195" t="s">
        <v>216</v>
      </c>
      <c r="P195">
        <v>235</v>
      </c>
      <c r="Q195">
        <v>22</v>
      </c>
      <c r="R195">
        <v>5</v>
      </c>
      <c r="S195">
        <v>265</v>
      </c>
      <c r="T195" t="s">
        <v>218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215</v>
      </c>
      <c r="O196" t="s">
        <v>217</v>
      </c>
      <c r="P196">
        <v>371</v>
      </c>
      <c r="Q196">
        <v>6</v>
      </c>
      <c r="R196">
        <v>6</v>
      </c>
      <c r="S196">
        <v>787.5</v>
      </c>
      <c r="T196" t="s">
        <v>215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215</v>
      </c>
      <c r="O197" t="s">
        <v>217</v>
      </c>
      <c r="P197">
        <v>483</v>
      </c>
      <c r="Q197">
        <v>48</v>
      </c>
      <c r="R197">
        <v>6</v>
      </c>
      <c r="S197">
        <v>800</v>
      </c>
      <c r="T197" t="s">
        <v>218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215</v>
      </c>
      <c r="O198" t="s">
        <v>216</v>
      </c>
      <c r="P198">
        <v>0</v>
      </c>
      <c r="Q198">
        <v>0</v>
      </c>
      <c r="R198">
        <v>0</v>
      </c>
      <c r="S198">
        <v>587.5</v>
      </c>
      <c r="T198" t="s">
        <v>215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218</v>
      </c>
      <c r="O199" t="s">
        <v>217</v>
      </c>
      <c r="P199">
        <v>64</v>
      </c>
      <c r="Q199">
        <v>119</v>
      </c>
      <c r="R199">
        <v>9</v>
      </c>
      <c r="S199" t="s">
        <v>219</v>
      </c>
      <c r="T199" t="s">
        <v>218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215</v>
      </c>
      <c r="O200" t="s">
        <v>217</v>
      </c>
      <c r="P200">
        <v>0</v>
      </c>
      <c r="Q200">
        <v>0</v>
      </c>
      <c r="R200">
        <v>0</v>
      </c>
      <c r="S200">
        <v>145</v>
      </c>
      <c r="T200" t="s">
        <v>215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215</v>
      </c>
      <c r="O201" t="s">
        <v>216</v>
      </c>
      <c r="P201">
        <v>245</v>
      </c>
      <c r="Q201">
        <v>5</v>
      </c>
      <c r="R201">
        <v>9</v>
      </c>
      <c r="S201" t="s">
        <v>219</v>
      </c>
      <c r="T201" t="s">
        <v>215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215</v>
      </c>
      <c r="O202" t="s">
        <v>217</v>
      </c>
      <c r="P202">
        <v>276</v>
      </c>
      <c r="Q202">
        <v>421</v>
      </c>
      <c r="R202">
        <v>11</v>
      </c>
      <c r="S202">
        <v>420</v>
      </c>
      <c r="T202" t="s">
        <v>215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218</v>
      </c>
      <c r="O203" t="s">
        <v>216</v>
      </c>
      <c r="P203">
        <v>317</v>
      </c>
      <c r="Q203">
        <v>36</v>
      </c>
      <c r="R203">
        <v>1</v>
      </c>
      <c r="S203">
        <v>75</v>
      </c>
      <c r="T203" t="s">
        <v>218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215</v>
      </c>
      <c r="O204" t="s">
        <v>217</v>
      </c>
      <c r="P204">
        <v>303</v>
      </c>
      <c r="Q204">
        <v>450</v>
      </c>
      <c r="R204">
        <v>14</v>
      </c>
      <c r="S204">
        <v>575</v>
      </c>
      <c r="T204" t="s">
        <v>215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218</v>
      </c>
      <c r="O205" t="s">
        <v>217</v>
      </c>
      <c r="P205">
        <v>107</v>
      </c>
      <c r="Q205">
        <v>3</v>
      </c>
      <c r="R205">
        <v>3</v>
      </c>
      <c r="S205" t="s">
        <v>219</v>
      </c>
      <c r="T205" t="s">
        <v>218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215</v>
      </c>
      <c r="O206" t="s">
        <v>216</v>
      </c>
      <c r="P206">
        <v>310</v>
      </c>
      <c r="Q206">
        <v>9</v>
      </c>
      <c r="R206">
        <v>9</v>
      </c>
      <c r="S206">
        <v>780</v>
      </c>
      <c r="T206" t="s">
        <v>215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218</v>
      </c>
      <c r="O207" t="s">
        <v>217</v>
      </c>
      <c r="P207">
        <v>201</v>
      </c>
      <c r="Q207">
        <v>6</v>
      </c>
      <c r="R207">
        <v>3</v>
      </c>
      <c r="S207">
        <v>90</v>
      </c>
      <c r="T207" t="s">
        <v>218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218</v>
      </c>
      <c r="O208" t="s">
        <v>216</v>
      </c>
      <c r="P208">
        <v>172</v>
      </c>
      <c r="Q208">
        <v>317</v>
      </c>
      <c r="R208">
        <v>25</v>
      </c>
      <c r="S208">
        <v>150</v>
      </c>
      <c r="T208" t="s">
        <v>218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215</v>
      </c>
      <c r="O209" t="s">
        <v>217</v>
      </c>
      <c r="P209">
        <v>0</v>
      </c>
      <c r="Q209">
        <v>0</v>
      </c>
      <c r="R209">
        <v>0</v>
      </c>
      <c r="S209">
        <v>700</v>
      </c>
      <c r="T209" t="s">
        <v>218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218</v>
      </c>
      <c r="O210" t="s">
        <v>217</v>
      </c>
      <c r="P210">
        <v>415</v>
      </c>
      <c r="Q210">
        <v>35</v>
      </c>
      <c r="R210">
        <v>3</v>
      </c>
      <c r="S210" t="s">
        <v>219</v>
      </c>
      <c r="T210" t="s">
        <v>218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215</v>
      </c>
      <c r="O211" t="s">
        <v>217</v>
      </c>
      <c r="P211">
        <v>233</v>
      </c>
      <c r="Q211">
        <v>7</v>
      </c>
      <c r="R211">
        <v>7</v>
      </c>
      <c r="S211">
        <v>550</v>
      </c>
      <c r="T211" t="s">
        <v>215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215</v>
      </c>
      <c r="O212" t="s">
        <v>216</v>
      </c>
      <c r="P212">
        <v>220</v>
      </c>
      <c r="Q212">
        <v>16</v>
      </c>
      <c r="R212">
        <v>4</v>
      </c>
      <c r="S212" t="s">
        <v>219</v>
      </c>
      <c r="T212" t="s">
        <v>215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218</v>
      </c>
      <c r="O213" t="s">
        <v>217</v>
      </c>
      <c r="P213">
        <v>259</v>
      </c>
      <c r="Q213">
        <v>30</v>
      </c>
      <c r="R213">
        <v>10</v>
      </c>
      <c r="S213">
        <v>650</v>
      </c>
      <c r="T213" t="s">
        <v>215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215</v>
      </c>
      <c r="O214" t="s">
        <v>216</v>
      </c>
      <c r="P214">
        <v>102</v>
      </c>
      <c r="Q214">
        <v>6</v>
      </c>
      <c r="R214">
        <v>3</v>
      </c>
      <c r="S214">
        <v>68</v>
      </c>
      <c r="T214" t="s">
        <v>215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218</v>
      </c>
      <c r="O215" t="s">
        <v>217</v>
      </c>
      <c r="P215">
        <v>468</v>
      </c>
      <c r="Q215">
        <v>47</v>
      </c>
      <c r="R215">
        <v>6</v>
      </c>
      <c r="S215">
        <v>100</v>
      </c>
      <c r="T215" t="s">
        <v>218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218</v>
      </c>
      <c r="O216" t="s">
        <v>216</v>
      </c>
      <c r="P216">
        <v>149</v>
      </c>
      <c r="Q216">
        <v>8</v>
      </c>
      <c r="R216">
        <v>6</v>
      </c>
      <c r="S216">
        <v>670</v>
      </c>
      <c r="T216" t="s">
        <v>218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215</v>
      </c>
      <c r="O217" t="s">
        <v>217</v>
      </c>
      <c r="P217">
        <v>103</v>
      </c>
      <c r="Q217">
        <v>283</v>
      </c>
      <c r="R217">
        <v>19</v>
      </c>
      <c r="S217">
        <v>175</v>
      </c>
      <c r="T217" t="s">
        <v>215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215</v>
      </c>
      <c r="O218" t="s">
        <v>216</v>
      </c>
      <c r="P218">
        <v>358</v>
      </c>
      <c r="Q218">
        <v>32</v>
      </c>
      <c r="R218">
        <v>8</v>
      </c>
      <c r="S218">
        <v>137</v>
      </c>
      <c r="T218" t="s">
        <v>215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218</v>
      </c>
      <c r="O219" t="s">
        <v>217</v>
      </c>
      <c r="P219">
        <v>78</v>
      </c>
      <c r="Q219">
        <v>220</v>
      </c>
      <c r="R219">
        <v>6</v>
      </c>
      <c r="S219">
        <v>2127.3330000000001</v>
      </c>
      <c r="T219" t="s">
        <v>218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218</v>
      </c>
      <c r="O220" t="s">
        <v>216</v>
      </c>
      <c r="P220">
        <v>756</v>
      </c>
      <c r="Q220">
        <v>64</v>
      </c>
      <c r="R220">
        <v>15</v>
      </c>
      <c r="S220">
        <v>875</v>
      </c>
      <c r="T220" t="s">
        <v>218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215</v>
      </c>
      <c r="O221" t="s">
        <v>216</v>
      </c>
      <c r="P221">
        <v>463</v>
      </c>
      <c r="Q221">
        <v>32</v>
      </c>
      <c r="R221">
        <v>8</v>
      </c>
      <c r="S221">
        <v>120</v>
      </c>
      <c r="T221" t="s">
        <v>215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218</v>
      </c>
      <c r="O222" t="s">
        <v>217</v>
      </c>
      <c r="P222">
        <v>212</v>
      </c>
      <c r="Q222">
        <v>1</v>
      </c>
      <c r="R222">
        <v>2</v>
      </c>
      <c r="S222">
        <v>140</v>
      </c>
      <c r="T222" t="s">
        <v>218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218</v>
      </c>
      <c r="O223" t="s">
        <v>217</v>
      </c>
      <c r="P223">
        <v>325</v>
      </c>
      <c r="Q223">
        <v>12</v>
      </c>
      <c r="R223">
        <v>8</v>
      </c>
      <c r="S223">
        <v>210</v>
      </c>
      <c r="T223" t="s">
        <v>218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218</v>
      </c>
      <c r="O224" t="s">
        <v>217</v>
      </c>
      <c r="P224">
        <v>228</v>
      </c>
      <c r="Q224">
        <v>7</v>
      </c>
      <c r="R224">
        <v>5</v>
      </c>
      <c r="S224">
        <v>800</v>
      </c>
      <c r="T224" t="s">
        <v>218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218</v>
      </c>
      <c r="O225" t="s">
        <v>216</v>
      </c>
      <c r="P225">
        <v>203</v>
      </c>
      <c r="Q225">
        <v>3</v>
      </c>
      <c r="R225">
        <v>3</v>
      </c>
      <c r="S225">
        <v>240</v>
      </c>
      <c r="T225" t="s">
        <v>218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215</v>
      </c>
      <c r="O226" t="s">
        <v>217</v>
      </c>
      <c r="P226">
        <v>149</v>
      </c>
      <c r="Q226">
        <v>1</v>
      </c>
      <c r="R226">
        <v>6</v>
      </c>
      <c r="S226">
        <v>350</v>
      </c>
      <c r="T226" t="s">
        <v>215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218</v>
      </c>
      <c r="O227" t="s">
        <v>216</v>
      </c>
      <c r="P227">
        <v>512</v>
      </c>
      <c r="Q227">
        <v>30</v>
      </c>
      <c r="R227">
        <v>5</v>
      </c>
      <c r="S227" t="s">
        <v>219</v>
      </c>
      <c r="T227" t="s">
        <v>218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215</v>
      </c>
      <c r="O228" t="s">
        <v>216</v>
      </c>
      <c r="P228">
        <v>261</v>
      </c>
      <c r="Q228">
        <v>459</v>
      </c>
      <c r="R228">
        <v>22</v>
      </c>
      <c r="S228">
        <v>175</v>
      </c>
      <c r="T228" t="s">
        <v>215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215</v>
      </c>
      <c r="O229" t="s">
        <v>216</v>
      </c>
      <c r="P229">
        <v>325</v>
      </c>
      <c r="Q229">
        <v>13</v>
      </c>
      <c r="R229">
        <v>3</v>
      </c>
      <c r="S229">
        <v>200</v>
      </c>
      <c r="T229" t="s">
        <v>215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218</v>
      </c>
      <c r="O230" t="s">
        <v>216</v>
      </c>
      <c r="P230">
        <v>151</v>
      </c>
      <c r="Q230">
        <v>8</v>
      </c>
      <c r="R230">
        <v>5</v>
      </c>
      <c r="S230" t="s">
        <v>219</v>
      </c>
      <c r="T230" t="s">
        <v>218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218</v>
      </c>
      <c r="O231" t="s">
        <v>217</v>
      </c>
      <c r="P231">
        <v>229</v>
      </c>
      <c r="Q231">
        <v>453</v>
      </c>
      <c r="R231">
        <v>15</v>
      </c>
      <c r="S231">
        <v>1940</v>
      </c>
      <c r="T231" t="s">
        <v>218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218</v>
      </c>
      <c r="O232" t="s">
        <v>216</v>
      </c>
      <c r="P232">
        <v>682</v>
      </c>
      <c r="Q232">
        <v>93</v>
      </c>
      <c r="R232">
        <v>13</v>
      </c>
      <c r="S232">
        <v>700</v>
      </c>
      <c r="T232" t="s">
        <v>218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215</v>
      </c>
      <c r="O233" t="s">
        <v>216</v>
      </c>
      <c r="P233">
        <v>250</v>
      </c>
      <c r="Q233">
        <v>11</v>
      </c>
      <c r="R233">
        <v>1</v>
      </c>
      <c r="S233">
        <v>750</v>
      </c>
      <c r="T233" t="s">
        <v>215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218</v>
      </c>
      <c r="O234" t="s">
        <v>216</v>
      </c>
      <c r="P234">
        <v>58</v>
      </c>
      <c r="Q234">
        <v>141</v>
      </c>
      <c r="R234">
        <v>23</v>
      </c>
      <c r="S234">
        <v>450</v>
      </c>
      <c r="T234" t="s">
        <v>218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215</v>
      </c>
      <c r="O235" t="s">
        <v>216</v>
      </c>
      <c r="P235">
        <v>157</v>
      </c>
      <c r="Q235">
        <v>6</v>
      </c>
      <c r="R235">
        <v>14</v>
      </c>
      <c r="S235">
        <v>172</v>
      </c>
      <c r="T235" t="s">
        <v>215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215</v>
      </c>
      <c r="O236" t="s">
        <v>217</v>
      </c>
      <c r="P236">
        <v>82</v>
      </c>
      <c r="Q236">
        <v>170</v>
      </c>
      <c r="R236">
        <v>15</v>
      </c>
      <c r="S236">
        <v>1260</v>
      </c>
      <c r="T236" t="s">
        <v>215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215</v>
      </c>
      <c r="O237" t="s">
        <v>216</v>
      </c>
      <c r="P237">
        <v>1224</v>
      </c>
      <c r="Q237">
        <v>115</v>
      </c>
      <c r="R237">
        <v>11</v>
      </c>
      <c r="S237" t="s">
        <v>219</v>
      </c>
      <c r="T237" t="s">
        <v>215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218</v>
      </c>
      <c r="O238" t="s">
        <v>216</v>
      </c>
      <c r="P238">
        <v>523</v>
      </c>
      <c r="Q238">
        <v>43</v>
      </c>
      <c r="R238">
        <v>6</v>
      </c>
      <c r="S238">
        <v>750</v>
      </c>
      <c r="T238" t="s">
        <v>218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215</v>
      </c>
      <c r="O239" t="s">
        <v>217</v>
      </c>
      <c r="P239">
        <v>172</v>
      </c>
      <c r="Q239">
        <v>1</v>
      </c>
      <c r="R239">
        <v>4</v>
      </c>
      <c r="S239">
        <v>190</v>
      </c>
      <c r="T239" t="s">
        <v>215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215</v>
      </c>
      <c r="O240" t="s">
        <v>217</v>
      </c>
      <c r="P240">
        <v>846</v>
      </c>
      <c r="Q240">
        <v>84</v>
      </c>
      <c r="R240">
        <v>9</v>
      </c>
      <c r="S240">
        <v>580</v>
      </c>
      <c r="T240" t="s">
        <v>215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218</v>
      </c>
      <c r="O241" t="s">
        <v>217</v>
      </c>
      <c r="P241">
        <v>117</v>
      </c>
      <c r="Q241">
        <v>269</v>
      </c>
      <c r="R241">
        <v>12</v>
      </c>
      <c r="S241">
        <v>130</v>
      </c>
      <c r="T241" t="s">
        <v>218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215</v>
      </c>
      <c r="O242" t="s">
        <v>216</v>
      </c>
      <c r="P242">
        <v>62</v>
      </c>
      <c r="Q242">
        <v>90</v>
      </c>
      <c r="R242">
        <v>3</v>
      </c>
      <c r="S242">
        <v>450</v>
      </c>
      <c r="T242" t="s">
        <v>215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215</v>
      </c>
      <c r="O243" t="s">
        <v>216</v>
      </c>
      <c r="P243">
        <v>167</v>
      </c>
      <c r="Q243">
        <v>2</v>
      </c>
      <c r="R243">
        <v>4</v>
      </c>
      <c r="S243">
        <v>300</v>
      </c>
      <c r="T243" t="s">
        <v>215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215</v>
      </c>
      <c r="O244" t="s">
        <v>217</v>
      </c>
      <c r="P244">
        <v>391</v>
      </c>
      <c r="Q244">
        <v>44</v>
      </c>
      <c r="R244">
        <v>4</v>
      </c>
      <c r="S244">
        <v>250</v>
      </c>
      <c r="T244" t="s">
        <v>215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218</v>
      </c>
      <c r="O245" t="s">
        <v>217</v>
      </c>
      <c r="P245">
        <v>41</v>
      </c>
      <c r="Q245">
        <v>118</v>
      </c>
      <c r="R245">
        <v>8</v>
      </c>
      <c r="S245">
        <v>1050</v>
      </c>
      <c r="T245" t="s">
        <v>215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215</v>
      </c>
      <c r="O246" t="s">
        <v>217</v>
      </c>
      <c r="P246">
        <v>286</v>
      </c>
      <c r="Q246">
        <v>8</v>
      </c>
      <c r="R246">
        <v>8</v>
      </c>
      <c r="S246">
        <v>215</v>
      </c>
      <c r="T246" t="s">
        <v>215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215</v>
      </c>
      <c r="O247" t="s">
        <v>217</v>
      </c>
      <c r="P247">
        <v>659</v>
      </c>
      <c r="Q247">
        <v>53</v>
      </c>
      <c r="R247">
        <v>7</v>
      </c>
      <c r="S247">
        <v>400</v>
      </c>
      <c r="T247" t="s">
        <v>215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215</v>
      </c>
      <c r="O248" t="s">
        <v>217</v>
      </c>
      <c r="P248">
        <v>866</v>
      </c>
      <c r="Q248">
        <v>65</v>
      </c>
      <c r="R248">
        <v>6</v>
      </c>
      <c r="S248" t="s">
        <v>219</v>
      </c>
      <c r="T248" t="s">
        <v>215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215</v>
      </c>
      <c r="O249" t="s">
        <v>217</v>
      </c>
      <c r="P249">
        <v>251</v>
      </c>
      <c r="Q249">
        <v>9</v>
      </c>
      <c r="R249">
        <v>4</v>
      </c>
      <c r="S249">
        <v>560</v>
      </c>
      <c r="T249" t="s">
        <v>215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215</v>
      </c>
      <c r="O250" t="s">
        <v>217</v>
      </c>
      <c r="P250">
        <v>426</v>
      </c>
      <c r="Q250">
        <v>4</v>
      </c>
      <c r="R250">
        <v>6</v>
      </c>
      <c r="S250">
        <v>1670</v>
      </c>
      <c r="T250" t="s">
        <v>215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215</v>
      </c>
      <c r="O251" t="s">
        <v>216</v>
      </c>
      <c r="P251">
        <v>0</v>
      </c>
      <c r="Q251">
        <v>0</v>
      </c>
      <c r="R251">
        <v>0</v>
      </c>
      <c r="S251">
        <v>487.5</v>
      </c>
      <c r="T251" t="s">
        <v>215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215</v>
      </c>
      <c r="O252" t="s">
        <v>216</v>
      </c>
      <c r="P252">
        <v>205</v>
      </c>
      <c r="Q252">
        <v>5</v>
      </c>
      <c r="R252">
        <v>4</v>
      </c>
      <c r="S252" t="s">
        <v>219</v>
      </c>
      <c r="T252" t="s">
        <v>215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215</v>
      </c>
      <c r="O253" t="s">
        <v>216</v>
      </c>
      <c r="P253">
        <v>0</v>
      </c>
      <c r="Q253">
        <v>0</v>
      </c>
      <c r="R253">
        <v>0</v>
      </c>
      <c r="S253">
        <v>425</v>
      </c>
      <c r="T253" t="s">
        <v>215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218</v>
      </c>
      <c r="O254" t="s">
        <v>217</v>
      </c>
      <c r="P254">
        <v>88</v>
      </c>
      <c r="Q254">
        <v>204</v>
      </c>
      <c r="R254">
        <v>16</v>
      </c>
      <c r="S254">
        <v>500</v>
      </c>
      <c r="T254" t="s">
        <v>215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218</v>
      </c>
      <c r="O255" t="s">
        <v>216</v>
      </c>
      <c r="P255">
        <v>99</v>
      </c>
      <c r="Q255">
        <v>3</v>
      </c>
      <c r="R255">
        <v>1</v>
      </c>
      <c r="S255" t="s">
        <v>219</v>
      </c>
      <c r="T255" t="s">
        <v>218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215</v>
      </c>
      <c r="O256" t="s">
        <v>216</v>
      </c>
      <c r="P256">
        <v>145</v>
      </c>
      <c r="Q256">
        <v>2</v>
      </c>
      <c r="R256">
        <v>2</v>
      </c>
      <c r="S256" t="s">
        <v>219</v>
      </c>
      <c r="T256" t="s">
        <v>215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215</v>
      </c>
      <c r="O257" t="s">
        <v>217</v>
      </c>
      <c r="P257">
        <v>44</v>
      </c>
      <c r="Q257">
        <v>0</v>
      </c>
      <c r="R257">
        <v>1</v>
      </c>
      <c r="S257">
        <v>250</v>
      </c>
      <c r="T257" t="s">
        <v>215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215</v>
      </c>
      <c r="O258" t="s">
        <v>217</v>
      </c>
      <c r="P258">
        <v>155</v>
      </c>
      <c r="Q258">
        <v>3</v>
      </c>
      <c r="R258">
        <v>2</v>
      </c>
      <c r="S258">
        <v>400</v>
      </c>
      <c r="T258" t="s">
        <v>215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215</v>
      </c>
      <c r="O259" t="s">
        <v>217</v>
      </c>
      <c r="P259">
        <v>60</v>
      </c>
      <c r="Q259">
        <v>176</v>
      </c>
      <c r="R259">
        <v>6</v>
      </c>
      <c r="S259">
        <v>450</v>
      </c>
      <c r="T259" t="s">
        <v>215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218</v>
      </c>
      <c r="O260" t="s">
        <v>216</v>
      </c>
      <c r="P260">
        <v>367</v>
      </c>
      <c r="Q260">
        <v>475</v>
      </c>
      <c r="R260">
        <v>19</v>
      </c>
      <c r="S260">
        <v>750</v>
      </c>
      <c r="T260" t="s">
        <v>218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215</v>
      </c>
      <c r="O261" t="s">
        <v>217</v>
      </c>
      <c r="P261">
        <v>86</v>
      </c>
      <c r="Q261">
        <v>150</v>
      </c>
      <c r="R261">
        <v>15</v>
      </c>
      <c r="S261">
        <v>70</v>
      </c>
      <c r="T261" t="s">
        <v>215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218</v>
      </c>
      <c r="O262" t="s">
        <v>216</v>
      </c>
      <c r="P262">
        <v>155</v>
      </c>
      <c r="Q262">
        <v>371</v>
      </c>
      <c r="R262">
        <v>29</v>
      </c>
      <c r="S262">
        <v>875</v>
      </c>
      <c r="T262" t="s">
        <v>218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218</v>
      </c>
      <c r="O263" t="s">
        <v>217</v>
      </c>
      <c r="P263">
        <v>190</v>
      </c>
      <c r="Q263">
        <v>2</v>
      </c>
      <c r="R263">
        <v>9</v>
      </c>
      <c r="S263">
        <v>190</v>
      </c>
      <c r="T263" t="s">
        <v>218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218</v>
      </c>
      <c r="O264" t="s">
        <v>217</v>
      </c>
      <c r="P264">
        <v>181</v>
      </c>
      <c r="Q264">
        <v>3</v>
      </c>
      <c r="R264">
        <v>2</v>
      </c>
      <c r="S264">
        <v>191</v>
      </c>
      <c r="T264" t="s">
        <v>218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218</v>
      </c>
      <c r="O265" t="s">
        <v>217</v>
      </c>
      <c r="P265">
        <v>309</v>
      </c>
      <c r="Q265">
        <v>492</v>
      </c>
      <c r="R265">
        <v>5</v>
      </c>
      <c r="S265">
        <v>740</v>
      </c>
      <c r="T265" t="s">
        <v>218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218</v>
      </c>
      <c r="O266" t="s">
        <v>217</v>
      </c>
      <c r="P266">
        <v>203</v>
      </c>
      <c r="Q266">
        <v>369</v>
      </c>
      <c r="R266">
        <v>16</v>
      </c>
      <c r="S266">
        <v>250</v>
      </c>
      <c r="T266" t="s">
        <v>218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218</v>
      </c>
      <c r="O267" t="s">
        <v>217</v>
      </c>
      <c r="P267">
        <v>42</v>
      </c>
      <c r="Q267">
        <v>94</v>
      </c>
      <c r="R267">
        <v>13</v>
      </c>
      <c r="S267">
        <v>140</v>
      </c>
      <c r="T267" t="s">
        <v>218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215</v>
      </c>
      <c r="O268" t="s">
        <v>216</v>
      </c>
      <c r="P268">
        <v>200</v>
      </c>
      <c r="Q268">
        <v>7</v>
      </c>
      <c r="R268">
        <v>6</v>
      </c>
      <c r="S268">
        <v>97.5</v>
      </c>
      <c r="T268" t="s">
        <v>215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215</v>
      </c>
      <c r="O269" t="s">
        <v>216</v>
      </c>
      <c r="P269">
        <v>0</v>
      </c>
      <c r="Q269">
        <v>0</v>
      </c>
      <c r="R269">
        <v>0</v>
      </c>
      <c r="S269">
        <v>740</v>
      </c>
      <c r="T269" t="s">
        <v>215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218</v>
      </c>
      <c r="O270" t="s">
        <v>216</v>
      </c>
      <c r="P270">
        <v>255</v>
      </c>
      <c r="Q270">
        <v>450</v>
      </c>
      <c r="R270">
        <v>17</v>
      </c>
      <c r="S270">
        <v>140</v>
      </c>
      <c r="T270" t="s">
        <v>218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215</v>
      </c>
      <c r="O271" t="s">
        <v>216</v>
      </c>
      <c r="P271">
        <v>135</v>
      </c>
      <c r="Q271">
        <v>257</v>
      </c>
      <c r="R271">
        <v>7</v>
      </c>
      <c r="S271">
        <v>341.66699999999997</v>
      </c>
      <c r="T271" t="s">
        <v>215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218</v>
      </c>
      <c r="O272" t="s">
        <v>216</v>
      </c>
      <c r="P272">
        <v>179</v>
      </c>
      <c r="Q272">
        <v>5</v>
      </c>
      <c r="R272">
        <v>3</v>
      </c>
      <c r="S272" t="s">
        <v>219</v>
      </c>
      <c r="T272" t="s">
        <v>218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215</v>
      </c>
      <c r="O273" t="s">
        <v>217</v>
      </c>
      <c r="P273">
        <v>352</v>
      </c>
      <c r="Q273">
        <v>9</v>
      </c>
      <c r="R273">
        <v>1</v>
      </c>
      <c r="S273">
        <v>1000</v>
      </c>
      <c r="T273" t="s">
        <v>215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215</v>
      </c>
      <c r="O274" t="s">
        <v>216</v>
      </c>
      <c r="P274">
        <v>1236</v>
      </c>
      <c r="Q274">
        <v>98</v>
      </c>
      <c r="R274">
        <v>18</v>
      </c>
      <c r="S274">
        <v>100</v>
      </c>
      <c r="T274" t="s">
        <v>215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215</v>
      </c>
      <c r="O275" t="s">
        <v>216</v>
      </c>
      <c r="P275">
        <v>281</v>
      </c>
      <c r="Q275">
        <v>21</v>
      </c>
      <c r="R275">
        <v>3</v>
      </c>
      <c r="S275">
        <v>90</v>
      </c>
      <c r="T275" t="s">
        <v>215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218</v>
      </c>
      <c r="O276" t="s">
        <v>217</v>
      </c>
      <c r="P276">
        <v>1320</v>
      </c>
      <c r="Q276">
        <v>166</v>
      </c>
      <c r="R276">
        <v>17</v>
      </c>
      <c r="S276">
        <v>200</v>
      </c>
      <c r="T276" t="s">
        <v>218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215</v>
      </c>
      <c r="O277" t="s">
        <v>216</v>
      </c>
      <c r="P277">
        <v>111</v>
      </c>
      <c r="Q277">
        <v>226</v>
      </c>
      <c r="R277">
        <v>11</v>
      </c>
      <c r="S277">
        <v>135</v>
      </c>
      <c r="T277" t="s">
        <v>215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218</v>
      </c>
      <c r="O278" t="s">
        <v>217</v>
      </c>
      <c r="P278">
        <v>320</v>
      </c>
      <c r="Q278">
        <v>465</v>
      </c>
      <c r="R278">
        <v>32</v>
      </c>
      <c r="S278">
        <v>155</v>
      </c>
      <c r="T278" t="s">
        <v>218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215</v>
      </c>
      <c r="O279" t="s">
        <v>216</v>
      </c>
      <c r="P279">
        <v>196</v>
      </c>
      <c r="Q279">
        <v>354</v>
      </c>
      <c r="R279">
        <v>15</v>
      </c>
      <c r="S279">
        <v>475</v>
      </c>
      <c r="T279" t="s">
        <v>215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218</v>
      </c>
      <c r="O280" t="s">
        <v>216</v>
      </c>
      <c r="P280">
        <v>1160</v>
      </c>
      <c r="Q280">
        <v>53</v>
      </c>
      <c r="R280">
        <v>7</v>
      </c>
      <c r="S280">
        <v>1450</v>
      </c>
      <c r="T280" t="s">
        <v>218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218</v>
      </c>
      <c r="O281" t="s">
        <v>217</v>
      </c>
      <c r="P281">
        <v>229</v>
      </c>
      <c r="Q281">
        <v>406</v>
      </c>
      <c r="R281">
        <v>22</v>
      </c>
      <c r="S281">
        <v>150</v>
      </c>
      <c r="T281" t="s">
        <v>218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215</v>
      </c>
      <c r="O282" t="s">
        <v>216</v>
      </c>
      <c r="P282">
        <v>289</v>
      </c>
      <c r="Q282">
        <v>407</v>
      </c>
      <c r="R282">
        <v>6</v>
      </c>
      <c r="S282">
        <v>105</v>
      </c>
      <c r="T282" t="s">
        <v>215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215</v>
      </c>
      <c r="O283" t="s">
        <v>216</v>
      </c>
      <c r="P283">
        <v>209</v>
      </c>
      <c r="Q283">
        <v>372</v>
      </c>
      <c r="R283">
        <v>17</v>
      </c>
      <c r="S283">
        <v>350</v>
      </c>
      <c r="T283" t="s">
        <v>215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218</v>
      </c>
      <c r="O284" t="s">
        <v>216</v>
      </c>
      <c r="P284">
        <v>367</v>
      </c>
      <c r="Q284">
        <v>432</v>
      </c>
      <c r="R284">
        <v>16</v>
      </c>
      <c r="S284">
        <v>90</v>
      </c>
      <c r="T284" t="s">
        <v>218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215</v>
      </c>
      <c r="O285" t="s">
        <v>217</v>
      </c>
      <c r="P285">
        <v>247</v>
      </c>
      <c r="Q285">
        <v>4</v>
      </c>
      <c r="R285">
        <v>8</v>
      </c>
      <c r="S285" t="s">
        <v>219</v>
      </c>
      <c r="T285" t="s">
        <v>215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215</v>
      </c>
      <c r="O286" t="s">
        <v>217</v>
      </c>
      <c r="P286">
        <v>351</v>
      </c>
      <c r="Q286">
        <v>442</v>
      </c>
      <c r="R286">
        <v>17</v>
      </c>
      <c r="S286">
        <v>530</v>
      </c>
      <c r="T286" t="s">
        <v>215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215</v>
      </c>
      <c r="O287" t="s">
        <v>217</v>
      </c>
      <c r="P287">
        <v>106</v>
      </c>
      <c r="Q287">
        <v>144</v>
      </c>
      <c r="R287">
        <v>7</v>
      </c>
      <c r="S287">
        <v>341.66699999999997</v>
      </c>
      <c r="T287" t="s">
        <v>215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215</v>
      </c>
      <c r="O288" t="s">
        <v>216</v>
      </c>
      <c r="P288">
        <v>315</v>
      </c>
      <c r="Q288">
        <v>10</v>
      </c>
      <c r="R288">
        <v>6</v>
      </c>
      <c r="S288">
        <v>940</v>
      </c>
      <c r="T288" t="s">
        <v>215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215</v>
      </c>
      <c r="O289" t="s">
        <v>217</v>
      </c>
      <c r="P289">
        <v>294</v>
      </c>
      <c r="Q289">
        <v>445</v>
      </c>
      <c r="R289">
        <v>13</v>
      </c>
      <c r="S289">
        <v>350</v>
      </c>
      <c r="T289" t="s">
        <v>215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218</v>
      </c>
      <c r="O290" t="s">
        <v>216</v>
      </c>
      <c r="P290">
        <v>209</v>
      </c>
      <c r="Q290">
        <v>246</v>
      </c>
      <c r="R290">
        <v>3</v>
      </c>
      <c r="S290">
        <v>326.66699999999997</v>
      </c>
      <c r="T290" t="s">
        <v>218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218</v>
      </c>
      <c r="O291" t="s">
        <v>217</v>
      </c>
      <c r="P291">
        <v>81</v>
      </c>
      <c r="Q291">
        <v>147</v>
      </c>
      <c r="R291">
        <v>4</v>
      </c>
      <c r="S291">
        <v>250</v>
      </c>
      <c r="T291" t="s">
        <v>218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218</v>
      </c>
      <c r="O292" t="s">
        <v>216</v>
      </c>
      <c r="P292">
        <v>337</v>
      </c>
      <c r="Q292">
        <v>19</v>
      </c>
      <c r="R292">
        <v>4</v>
      </c>
      <c r="S292">
        <v>740</v>
      </c>
      <c r="T292" t="s">
        <v>218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218</v>
      </c>
      <c r="O293" t="s">
        <v>216</v>
      </c>
      <c r="P293">
        <v>92</v>
      </c>
      <c r="Q293">
        <v>5</v>
      </c>
      <c r="R293">
        <v>3</v>
      </c>
      <c r="S293">
        <v>425</v>
      </c>
      <c r="T293" t="s">
        <v>215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215</v>
      </c>
      <c r="O294" t="s">
        <v>216</v>
      </c>
      <c r="P294">
        <v>166</v>
      </c>
      <c r="Q294">
        <v>211</v>
      </c>
      <c r="R294">
        <v>7</v>
      </c>
      <c r="S294" t="s">
        <v>219</v>
      </c>
      <c r="T294" t="s">
        <v>215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218</v>
      </c>
      <c r="O295" t="s">
        <v>217</v>
      </c>
      <c r="P295">
        <v>352</v>
      </c>
      <c r="Q295">
        <v>414</v>
      </c>
      <c r="R295">
        <v>9</v>
      </c>
      <c r="S295">
        <v>925</v>
      </c>
      <c r="T295" t="s">
        <v>218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215</v>
      </c>
      <c r="O296" t="s">
        <v>216</v>
      </c>
      <c r="P296">
        <v>70</v>
      </c>
      <c r="Q296">
        <v>144</v>
      </c>
      <c r="R296">
        <v>11</v>
      </c>
      <c r="S296">
        <v>185</v>
      </c>
      <c r="T296" t="s">
        <v>215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218</v>
      </c>
      <c r="O297" t="s">
        <v>216</v>
      </c>
      <c r="P297">
        <v>692</v>
      </c>
      <c r="Q297">
        <v>70</v>
      </c>
      <c r="R297">
        <v>8</v>
      </c>
      <c r="S297">
        <v>920</v>
      </c>
      <c r="T297" t="s">
        <v>215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218</v>
      </c>
      <c r="O298" t="s">
        <v>217</v>
      </c>
      <c r="P298">
        <v>131</v>
      </c>
      <c r="Q298">
        <v>6</v>
      </c>
      <c r="R298">
        <v>1</v>
      </c>
      <c r="S298">
        <v>286.66699999999997</v>
      </c>
      <c r="T298" t="s">
        <v>218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215</v>
      </c>
      <c r="O299" t="s">
        <v>216</v>
      </c>
      <c r="P299">
        <v>299</v>
      </c>
      <c r="Q299">
        <v>13</v>
      </c>
      <c r="R299">
        <v>5</v>
      </c>
      <c r="S299">
        <v>245</v>
      </c>
      <c r="T299" t="s">
        <v>215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215</v>
      </c>
      <c r="O300" t="s">
        <v>217</v>
      </c>
      <c r="P300">
        <v>37</v>
      </c>
      <c r="Q300">
        <v>98</v>
      </c>
      <c r="R300">
        <v>9</v>
      </c>
      <c r="S300" t="s">
        <v>219</v>
      </c>
      <c r="T300" t="s">
        <v>215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215</v>
      </c>
      <c r="O301" t="s">
        <v>216</v>
      </c>
      <c r="P301">
        <v>178</v>
      </c>
      <c r="Q301">
        <v>45</v>
      </c>
      <c r="R301">
        <v>4</v>
      </c>
      <c r="S301">
        <v>235</v>
      </c>
      <c r="T301" t="s">
        <v>215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218</v>
      </c>
      <c r="O302" t="s">
        <v>217</v>
      </c>
      <c r="P302">
        <v>810</v>
      </c>
      <c r="Q302">
        <v>99</v>
      </c>
      <c r="R302">
        <v>18</v>
      </c>
      <c r="S302">
        <v>1150</v>
      </c>
      <c r="T302" t="s">
        <v>218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218</v>
      </c>
      <c r="O303" t="s">
        <v>217</v>
      </c>
      <c r="P303">
        <v>133</v>
      </c>
      <c r="Q303">
        <v>371</v>
      </c>
      <c r="R303">
        <v>20</v>
      </c>
      <c r="S303">
        <v>160</v>
      </c>
      <c r="T303" t="s">
        <v>218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218</v>
      </c>
      <c r="O304" t="s">
        <v>216</v>
      </c>
      <c r="P304">
        <v>398</v>
      </c>
      <c r="Q304">
        <v>29</v>
      </c>
      <c r="R304">
        <v>7</v>
      </c>
      <c r="S304" t="s">
        <v>219</v>
      </c>
      <c r="T304" t="s">
        <v>218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215</v>
      </c>
      <c r="O305" t="s">
        <v>216</v>
      </c>
      <c r="P305">
        <v>160</v>
      </c>
      <c r="Q305">
        <v>290</v>
      </c>
      <c r="R305">
        <v>11</v>
      </c>
      <c r="S305">
        <v>425</v>
      </c>
      <c r="T305" t="s">
        <v>215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218</v>
      </c>
      <c r="O306" t="s">
        <v>216</v>
      </c>
      <c r="P306">
        <v>65</v>
      </c>
      <c r="Q306">
        <v>0</v>
      </c>
      <c r="R306">
        <v>0</v>
      </c>
      <c r="S306">
        <v>900</v>
      </c>
      <c r="T306" t="s">
        <v>218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218</v>
      </c>
      <c r="O307" t="s">
        <v>217</v>
      </c>
      <c r="P307">
        <v>270</v>
      </c>
      <c r="Q307">
        <v>13</v>
      </c>
      <c r="R307">
        <v>6</v>
      </c>
      <c r="S307" t="s">
        <v>219</v>
      </c>
      <c r="T307" t="s">
        <v>218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218</v>
      </c>
      <c r="O308" t="s">
        <v>216</v>
      </c>
      <c r="P308">
        <v>167</v>
      </c>
      <c r="Q308">
        <v>18</v>
      </c>
      <c r="R308">
        <v>6</v>
      </c>
      <c r="S308">
        <v>500</v>
      </c>
      <c r="T308" t="s">
        <v>218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218</v>
      </c>
      <c r="O309" t="s">
        <v>217</v>
      </c>
      <c r="P309">
        <v>133</v>
      </c>
      <c r="Q309">
        <v>173</v>
      </c>
      <c r="R309">
        <v>9</v>
      </c>
      <c r="S309">
        <v>277.5</v>
      </c>
      <c r="T309" t="s">
        <v>218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218</v>
      </c>
      <c r="O310" t="s">
        <v>217</v>
      </c>
      <c r="P310">
        <v>94</v>
      </c>
      <c r="Q310">
        <v>270</v>
      </c>
      <c r="R310">
        <v>16</v>
      </c>
      <c r="S310">
        <v>750</v>
      </c>
      <c r="T310" t="s">
        <v>218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218</v>
      </c>
      <c r="O311" t="s">
        <v>217</v>
      </c>
      <c r="P311">
        <v>300</v>
      </c>
      <c r="Q311">
        <v>12</v>
      </c>
      <c r="R311">
        <v>9</v>
      </c>
      <c r="S311">
        <v>160</v>
      </c>
      <c r="T311" t="s">
        <v>218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218</v>
      </c>
      <c r="O312" t="s">
        <v>217</v>
      </c>
      <c r="P312">
        <v>1182</v>
      </c>
      <c r="Q312">
        <v>96</v>
      </c>
      <c r="R312">
        <v>13</v>
      </c>
      <c r="S312">
        <v>1300</v>
      </c>
      <c r="T312" t="s">
        <v>218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218</v>
      </c>
      <c r="O313" t="s">
        <v>217</v>
      </c>
      <c r="P313">
        <v>170</v>
      </c>
      <c r="Q313">
        <v>284</v>
      </c>
      <c r="R313">
        <v>3</v>
      </c>
      <c r="S313">
        <v>525</v>
      </c>
      <c r="T313" t="s">
        <v>218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218</v>
      </c>
      <c r="O314" t="s">
        <v>217</v>
      </c>
      <c r="P314">
        <v>186</v>
      </c>
      <c r="Q314">
        <v>290</v>
      </c>
      <c r="R314">
        <v>17</v>
      </c>
      <c r="S314">
        <v>550</v>
      </c>
      <c r="T314" t="s">
        <v>218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215</v>
      </c>
      <c r="O315" t="s">
        <v>217</v>
      </c>
      <c r="P315">
        <v>121</v>
      </c>
      <c r="Q315">
        <v>267</v>
      </c>
      <c r="R315">
        <v>19</v>
      </c>
      <c r="S315">
        <v>1600</v>
      </c>
      <c r="T315" t="s">
        <v>215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218</v>
      </c>
      <c r="O316" t="s">
        <v>216</v>
      </c>
      <c r="P316">
        <v>942</v>
      </c>
      <c r="Q316">
        <v>72</v>
      </c>
      <c r="R316">
        <v>11</v>
      </c>
      <c r="S316">
        <v>120</v>
      </c>
      <c r="T316" t="s">
        <v>218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215</v>
      </c>
      <c r="O317" t="s">
        <v>216</v>
      </c>
      <c r="P317">
        <v>1222</v>
      </c>
      <c r="Q317">
        <v>139</v>
      </c>
      <c r="R317">
        <v>15</v>
      </c>
      <c r="S317">
        <v>165</v>
      </c>
      <c r="T317" t="s">
        <v>215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218</v>
      </c>
      <c r="O318" t="s">
        <v>217</v>
      </c>
      <c r="P318">
        <v>325</v>
      </c>
      <c r="Q318">
        <v>58</v>
      </c>
      <c r="R318">
        <v>6</v>
      </c>
      <c r="S318" t="s">
        <v>219</v>
      </c>
      <c r="T318" t="s">
        <v>218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218</v>
      </c>
      <c r="O319" t="s">
        <v>217</v>
      </c>
      <c r="P319">
        <v>325</v>
      </c>
      <c r="Q319">
        <v>9</v>
      </c>
      <c r="R319">
        <v>3</v>
      </c>
      <c r="S319">
        <v>700</v>
      </c>
      <c r="T319" t="s">
        <v>218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215</v>
      </c>
      <c r="O320" t="s">
        <v>217</v>
      </c>
      <c r="P320">
        <v>313</v>
      </c>
      <c r="Q320">
        <v>381</v>
      </c>
      <c r="R320">
        <v>20</v>
      </c>
      <c r="S320">
        <v>875</v>
      </c>
      <c r="T320" t="s">
        <v>215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215</v>
      </c>
      <c r="O321" t="s">
        <v>216</v>
      </c>
      <c r="P321">
        <v>37</v>
      </c>
      <c r="Q321">
        <v>113</v>
      </c>
      <c r="R321">
        <v>7</v>
      </c>
      <c r="S321">
        <v>385</v>
      </c>
      <c r="T321" t="s">
        <v>215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215</v>
      </c>
      <c r="O322" t="s">
        <v>217</v>
      </c>
      <c r="P322">
        <v>1314</v>
      </c>
      <c r="Q322">
        <v>131</v>
      </c>
      <c r="R322">
        <v>12</v>
      </c>
      <c r="S322">
        <v>960</v>
      </c>
      <c r="T322" t="s">
        <v>215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215</v>
      </c>
      <c r="O323" t="s">
        <v>216</v>
      </c>
      <c r="P323">
        <v>408</v>
      </c>
      <c r="Q323">
        <v>4</v>
      </c>
      <c r="R323">
        <v>3</v>
      </c>
      <c r="S323">
        <v>1000</v>
      </c>
      <c r="T323" t="s">
        <v>215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Today</vt:lpstr>
      <vt:lpstr>Themes</vt:lpstr>
      <vt:lpstr>Regression</vt:lpstr>
      <vt:lpstr>Assumptions</vt:lpstr>
      <vt:lpstr>Diagnostics</vt:lpstr>
      <vt:lpstr>KNN</vt:lpstr>
      <vt:lpstr>OutOfSampleTesting</vt:lpstr>
      <vt:lpstr>AIC</vt:lpstr>
      <vt:lpstr>PreWork4NextClass</vt:lpstr>
      <vt:lpstr>InClassProjects</vt:lpstr>
      <vt:lpstr>Q_Regression</vt:lpstr>
      <vt:lpstr>Q_KNN</vt:lpstr>
      <vt:lpstr>Q_Diagnostics</vt:lpstr>
      <vt:lpstr>Q_AIC</vt:lpstr>
      <vt:lpstr>LendingClubData</vt:lpstr>
      <vt:lpstr>Hitters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2023-01-23T22:44:17Z</dcterms:modified>
</cp:coreProperties>
</file>